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sebastian.pokucinski\Downloads\"/>
    </mc:Choice>
  </mc:AlternateContent>
  <xr:revisionPtr revIDLastSave="0" documentId="13_ncr:1_{120A68BB-5412-41A9-A8B2-7E8C0855C45D}" xr6:coauthVersionLast="47" xr6:coauthVersionMax="47" xr10:uidLastSave="{00000000-0000-0000-0000-000000000000}"/>
  <bookViews>
    <workbookView xWindow="-108" yWindow="-108" windowWidth="30936" windowHeight="16896" firstSheet="14" activeTab="15" xr2:uid="{AA9198FE-5F40-4985-8CC1-8ECBBE3337EE}"/>
  </bookViews>
  <sheets>
    <sheet name="data" sheetId="1" r:id="rId1"/>
    <sheet name="globalResultsH0" sheetId="2" r:id="rId2"/>
    <sheet name="globalResultsH150" sheetId="5" r:id="rId3"/>
    <sheet name="protocolCompareMqttH0" sheetId="3" r:id="rId4"/>
    <sheet name="protocolCompareMqttH150" sheetId="6" r:id="rId5"/>
    <sheet name="protocolCompareMatterH0" sheetId="4" r:id="rId6"/>
    <sheet name="protocolCompareMatterH150" sheetId="7" r:id="rId7"/>
    <sheet name="csvBucketingMQTTUWB" sheetId="10" r:id="rId8"/>
    <sheet name="csvBucketingMQTTUWB_GL" sheetId="14" r:id="rId9"/>
    <sheet name="csvBucketingMQTTUWB_TL" sheetId="15" r:id="rId10"/>
    <sheet name="csvBucketingMatterUWB" sheetId="11" r:id="rId11"/>
    <sheet name="csvBucketingMatterUWB_GL" sheetId="16" r:id="rId12"/>
    <sheet name="csvBucketingMatterUWB_TL" sheetId="17" r:id="rId13"/>
    <sheet name="csvBucketingMQTTBLE" sheetId="13" r:id="rId14"/>
    <sheet name="csvBucketingMQTTBLE_GL" sheetId="18" r:id="rId15"/>
    <sheet name="csvBucketingMQTTBLE_TL" sheetId="19" r:id="rId16"/>
    <sheet name="csvBucketingMatterBLE" sheetId="12" r:id="rId17"/>
    <sheet name="csvBucketingMatterBLE_GL" sheetId="20" r:id="rId18"/>
    <sheet name="csvBucketingMatterBLE_TL" sheetId="21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4" l="1"/>
  <c r="L99" i="4"/>
  <c r="J100" i="4"/>
  <c r="L100" i="4"/>
  <c r="J101" i="4"/>
  <c r="L101" i="4"/>
  <c r="J102" i="4"/>
  <c r="L102" i="4"/>
  <c r="J104" i="4"/>
  <c r="L104" i="4"/>
  <c r="J105" i="4"/>
  <c r="L105" i="4"/>
  <c r="J106" i="4"/>
  <c r="L106" i="4"/>
  <c r="J107" i="4"/>
  <c r="L107" i="4"/>
  <c r="J109" i="4"/>
  <c r="L109" i="4"/>
  <c r="J110" i="4"/>
  <c r="L110" i="4"/>
  <c r="J111" i="4"/>
  <c r="L111" i="4"/>
  <c r="J112" i="4"/>
  <c r="L112" i="4"/>
  <c r="U65" i="7" a="1"/>
  <c r="U65" i="7" s="1"/>
  <c r="U64" i="7" a="1"/>
  <c r="U64" i="7" s="1"/>
  <c r="U63" i="7" a="1"/>
  <c r="U63" i="7" s="1"/>
  <c r="U62" i="7" a="1"/>
  <c r="U62" i="7" s="1"/>
  <c r="U60" i="7" a="1"/>
  <c r="U60" i="7" s="1"/>
  <c r="U59" i="7" a="1"/>
  <c r="U59" i="7" s="1"/>
  <c r="U58" i="7" a="1"/>
  <c r="U58" i="7" s="1"/>
  <c r="U57" i="7" a="1"/>
  <c r="U57" i="7" s="1"/>
  <c r="U55" i="7" a="1"/>
  <c r="U55" i="7" s="1"/>
  <c r="U70" i="7" s="1"/>
  <c r="U54" i="7" a="1"/>
  <c r="U54" i="7" s="1"/>
  <c r="U53" i="7" a="1"/>
  <c r="U53" i="7" s="1"/>
  <c r="U68" i="7" s="1"/>
  <c r="U52" i="7" a="1"/>
  <c r="U52" i="7" s="1"/>
  <c r="U67" i="7" s="1"/>
  <c r="Q65" i="7" a="1"/>
  <c r="Q65" i="7" s="1"/>
  <c r="Q64" i="7" a="1"/>
  <c r="Q64" i="7" s="1"/>
  <c r="Q63" i="7" a="1"/>
  <c r="Q63" i="7" s="1"/>
  <c r="Q62" i="7" a="1"/>
  <c r="Q62" i="7" s="1"/>
  <c r="Q60" i="7" a="1"/>
  <c r="Q60" i="7" s="1"/>
  <c r="Q59" i="7" a="1"/>
  <c r="Q59" i="7" s="1"/>
  <c r="Q58" i="7" a="1"/>
  <c r="Q58" i="7" s="1"/>
  <c r="Q57" i="7" a="1"/>
  <c r="Q57" i="7" s="1"/>
  <c r="Q55" i="7" a="1"/>
  <c r="Q55" i="7" s="1"/>
  <c r="Q54" i="7" a="1"/>
  <c r="Q54" i="7" s="1"/>
  <c r="Q53" i="7" a="1"/>
  <c r="Q53" i="7" s="1"/>
  <c r="Q52" i="7" a="1"/>
  <c r="Q52" i="7" s="1"/>
  <c r="M65" i="7" a="1"/>
  <c r="M65" i="7" s="1"/>
  <c r="M64" i="7" a="1"/>
  <c r="M64" i="7" s="1"/>
  <c r="M63" i="7" a="1"/>
  <c r="M63" i="7" s="1"/>
  <c r="M62" i="7" a="1"/>
  <c r="M62" i="7" s="1"/>
  <c r="M60" i="7" a="1"/>
  <c r="M60" i="7" s="1"/>
  <c r="M59" i="7" a="1"/>
  <c r="M59" i="7" s="1"/>
  <c r="M58" i="7" a="1"/>
  <c r="M58" i="7" s="1"/>
  <c r="M57" i="7" a="1"/>
  <c r="M57" i="7" s="1"/>
  <c r="M55" i="7" a="1"/>
  <c r="M55" i="7" s="1"/>
  <c r="M54" i="7" a="1"/>
  <c r="M54" i="7" s="1"/>
  <c r="M53" i="7" a="1"/>
  <c r="M53" i="7" s="1"/>
  <c r="M52" i="7" a="1"/>
  <c r="M52" i="7" s="1"/>
  <c r="I65" i="7" a="1"/>
  <c r="I65" i="7" s="1"/>
  <c r="I64" i="7" a="1"/>
  <c r="I64" i="7" s="1"/>
  <c r="I63" i="7" a="1"/>
  <c r="I63" i="7" s="1"/>
  <c r="I62" i="7" a="1"/>
  <c r="I62" i="7" s="1"/>
  <c r="I60" i="7" a="1"/>
  <c r="I60" i="7" s="1"/>
  <c r="I59" i="7" a="1"/>
  <c r="I59" i="7" s="1"/>
  <c r="I58" i="7" a="1"/>
  <c r="I58" i="7" s="1"/>
  <c r="I57" i="7" a="1"/>
  <c r="I57" i="7" s="1"/>
  <c r="I55" i="7" a="1"/>
  <c r="I55" i="7" s="1"/>
  <c r="I54" i="7" a="1"/>
  <c r="I54" i="7" s="1"/>
  <c r="I69" i="7" s="1"/>
  <c r="I53" i="7" a="1"/>
  <c r="I53" i="7" s="1"/>
  <c r="I52" i="7" a="1"/>
  <c r="I52" i="7" s="1"/>
  <c r="E65" i="7" a="1"/>
  <c r="E65" i="7" s="1"/>
  <c r="E64" i="7" a="1"/>
  <c r="E64" i="7" s="1"/>
  <c r="E63" i="7" a="1"/>
  <c r="E63" i="7" s="1"/>
  <c r="E62" i="7" a="1"/>
  <c r="E62" i="7" s="1"/>
  <c r="E60" i="7" a="1"/>
  <c r="E60" i="7" s="1"/>
  <c r="E59" i="7" a="1"/>
  <c r="E59" i="7" s="1"/>
  <c r="E58" i="7" a="1"/>
  <c r="E58" i="7" s="1"/>
  <c r="E57" i="7" a="1"/>
  <c r="E57" i="7" s="1"/>
  <c r="E55" i="7" a="1"/>
  <c r="E55" i="7" s="1"/>
  <c r="E54" i="7" a="1"/>
  <c r="E54" i="7" s="1"/>
  <c r="E53" i="7" a="1"/>
  <c r="E53" i="7" s="1"/>
  <c r="E52" i="7" a="1"/>
  <c r="E52" i="7" s="1"/>
  <c r="U18" i="7" a="1"/>
  <c r="U18" i="7" s="1"/>
  <c r="U17" i="7" a="1"/>
  <c r="U17" i="7" s="1"/>
  <c r="U16" i="7" a="1"/>
  <c r="U16" i="7" s="1"/>
  <c r="U15" i="7" a="1"/>
  <c r="U15" i="7" s="1"/>
  <c r="U13" i="7" a="1"/>
  <c r="U13" i="7" s="1"/>
  <c r="U12" i="7" a="1"/>
  <c r="U12" i="7" s="1"/>
  <c r="U11" i="7" a="1"/>
  <c r="U11" i="7" s="1"/>
  <c r="U10" i="7" a="1"/>
  <c r="U10" i="7" s="1"/>
  <c r="U8" i="7" a="1"/>
  <c r="U8" i="7" s="1"/>
  <c r="U23" i="7" s="1"/>
  <c r="U7" i="7" a="1"/>
  <c r="U7" i="7" s="1"/>
  <c r="U22" i="7" s="1"/>
  <c r="U6" i="7" a="1"/>
  <c r="U6" i="7" s="1"/>
  <c r="U5" i="7" a="1"/>
  <c r="U5" i="7" s="1"/>
  <c r="U20" i="7" s="1"/>
  <c r="Q18" i="7" a="1"/>
  <c r="Q18" i="7" s="1"/>
  <c r="Q17" i="7" a="1"/>
  <c r="Q17" i="7" s="1"/>
  <c r="Q16" i="7" a="1"/>
  <c r="Q16" i="7" s="1"/>
  <c r="Q15" i="7" a="1"/>
  <c r="Q15" i="7" s="1"/>
  <c r="Q13" i="7" a="1"/>
  <c r="Q13" i="7" s="1"/>
  <c r="Q12" i="7" a="1"/>
  <c r="Q12" i="7" s="1"/>
  <c r="Q11" i="7" a="1"/>
  <c r="Q11" i="7" s="1"/>
  <c r="Q10" i="7" a="1"/>
  <c r="Q10" i="7" s="1"/>
  <c r="Q8" i="7" a="1"/>
  <c r="Q8" i="7" s="1"/>
  <c r="Q7" i="7" a="1"/>
  <c r="Q7" i="7" s="1"/>
  <c r="Q6" i="7" a="1"/>
  <c r="Q6" i="7" s="1"/>
  <c r="Q5" i="7" a="1"/>
  <c r="Q5" i="7" s="1"/>
  <c r="M18" i="7" a="1"/>
  <c r="M18" i="7" s="1"/>
  <c r="M17" i="7" a="1"/>
  <c r="M17" i="7" s="1"/>
  <c r="M16" i="7" a="1"/>
  <c r="M16" i="7" s="1"/>
  <c r="M15" i="7" a="1"/>
  <c r="M15" i="7" s="1"/>
  <c r="M13" i="7" a="1"/>
  <c r="M13" i="7" s="1"/>
  <c r="M12" i="7" a="1"/>
  <c r="M12" i="7" s="1"/>
  <c r="M11" i="7" a="1"/>
  <c r="M11" i="7" s="1"/>
  <c r="M10" i="7" a="1"/>
  <c r="M10" i="7" s="1"/>
  <c r="M8" i="7" a="1"/>
  <c r="M8" i="7" s="1"/>
  <c r="M7" i="7" a="1"/>
  <c r="M7" i="7" s="1"/>
  <c r="M6" i="7" a="1"/>
  <c r="M6" i="7" s="1"/>
  <c r="M5" i="7" a="1"/>
  <c r="M5" i="7" s="1"/>
  <c r="I18" i="7" a="1"/>
  <c r="I18" i="7" s="1"/>
  <c r="I17" i="7" a="1"/>
  <c r="I17" i="7" s="1"/>
  <c r="I16" i="7" a="1"/>
  <c r="I16" i="7" s="1"/>
  <c r="I15" i="7" a="1"/>
  <c r="I15" i="7" s="1"/>
  <c r="I13" i="7" a="1"/>
  <c r="I13" i="7" s="1"/>
  <c r="I12" i="7" a="1"/>
  <c r="I12" i="7" s="1"/>
  <c r="I11" i="7" a="1"/>
  <c r="I11" i="7" s="1"/>
  <c r="I10" i="7" a="1"/>
  <c r="I10" i="7" s="1"/>
  <c r="I8" i="7" a="1"/>
  <c r="I8" i="7" s="1"/>
  <c r="I7" i="7" a="1"/>
  <c r="I7" i="7" s="1"/>
  <c r="I6" i="7" a="1"/>
  <c r="I6" i="7" s="1"/>
  <c r="I21" i="7" s="1"/>
  <c r="I5" i="7" a="1"/>
  <c r="I5" i="7" s="1"/>
  <c r="E18" i="7" a="1"/>
  <c r="E18" i="7" s="1"/>
  <c r="E17" i="7" a="1"/>
  <c r="E17" i="7" s="1"/>
  <c r="E16" i="7" a="1"/>
  <c r="E16" i="7" s="1"/>
  <c r="E15" i="7" a="1"/>
  <c r="E15" i="7" s="1"/>
  <c r="E13" i="7" a="1"/>
  <c r="E13" i="7" s="1"/>
  <c r="E12" i="7" a="1"/>
  <c r="E12" i="7" s="1"/>
  <c r="E11" i="7" a="1"/>
  <c r="E11" i="7" s="1"/>
  <c r="E10" i="7" a="1"/>
  <c r="E10" i="7" s="1"/>
  <c r="E8" i="7" a="1"/>
  <c r="E8" i="7" s="1"/>
  <c r="E7" i="7" a="1"/>
  <c r="E7" i="7" s="1"/>
  <c r="E6" i="7" a="1"/>
  <c r="E6" i="7" s="1"/>
  <c r="E5" i="7" a="1"/>
  <c r="E5" i="7" s="1"/>
  <c r="U65" i="6" a="1"/>
  <c r="U65" i="6" s="1"/>
  <c r="U64" i="6" a="1"/>
  <c r="U64" i="6" s="1"/>
  <c r="U63" i="6" a="1"/>
  <c r="U63" i="6" s="1"/>
  <c r="U62" i="6" a="1"/>
  <c r="U62" i="6" s="1"/>
  <c r="U60" i="6" a="1"/>
  <c r="U60" i="6" s="1"/>
  <c r="U59" i="6" a="1"/>
  <c r="U59" i="6" s="1"/>
  <c r="U58" i="6" a="1"/>
  <c r="U58" i="6" s="1"/>
  <c r="U57" i="6" a="1"/>
  <c r="U57" i="6" s="1"/>
  <c r="U55" i="6" a="1"/>
  <c r="U55" i="6" s="1"/>
  <c r="U54" i="6" a="1"/>
  <c r="U54" i="6" s="1"/>
  <c r="U53" i="6" a="1"/>
  <c r="U53" i="6" s="1"/>
  <c r="U52" i="6" a="1"/>
  <c r="U52" i="6" s="1"/>
  <c r="Q65" i="6" a="1"/>
  <c r="Q65" i="6" s="1"/>
  <c r="Q64" i="6" a="1"/>
  <c r="Q64" i="6" s="1"/>
  <c r="Q63" i="6" a="1"/>
  <c r="Q63" i="6" s="1"/>
  <c r="Q62" i="6" a="1"/>
  <c r="Q62" i="6" s="1"/>
  <c r="Q60" i="6" a="1"/>
  <c r="Q60" i="6" s="1"/>
  <c r="Q59" i="6" a="1"/>
  <c r="Q59" i="6" s="1"/>
  <c r="Q58" i="6" a="1"/>
  <c r="Q58" i="6" s="1"/>
  <c r="Q57" i="6" a="1"/>
  <c r="Q57" i="6" s="1"/>
  <c r="Q55" i="6" a="1"/>
  <c r="Q55" i="6" s="1"/>
  <c r="Q54" i="6" a="1"/>
  <c r="Q54" i="6" s="1"/>
  <c r="Q53" i="6" a="1"/>
  <c r="Q53" i="6" s="1"/>
  <c r="Q52" i="6" a="1"/>
  <c r="Q52" i="6" s="1"/>
  <c r="M65" i="6" a="1"/>
  <c r="M65" i="6" s="1"/>
  <c r="M64" i="6" a="1"/>
  <c r="M64" i="6" s="1"/>
  <c r="M63" i="6" a="1"/>
  <c r="M63" i="6" s="1"/>
  <c r="M62" i="6" a="1"/>
  <c r="M62" i="6" s="1"/>
  <c r="M60" i="6" a="1"/>
  <c r="M60" i="6" s="1"/>
  <c r="M59" i="6" a="1"/>
  <c r="M59" i="6" s="1"/>
  <c r="M58" i="6" a="1"/>
  <c r="M58" i="6" s="1"/>
  <c r="M57" i="6" a="1"/>
  <c r="M57" i="6" s="1"/>
  <c r="M55" i="6" a="1"/>
  <c r="M55" i="6" s="1"/>
  <c r="M54" i="6" a="1"/>
  <c r="M54" i="6" s="1"/>
  <c r="M53" i="6" a="1"/>
  <c r="M53" i="6" s="1"/>
  <c r="M52" i="6" a="1"/>
  <c r="M52" i="6" s="1"/>
  <c r="I65" i="6" a="1"/>
  <c r="I65" i="6" s="1"/>
  <c r="I64" i="6" a="1"/>
  <c r="I64" i="6" s="1"/>
  <c r="I63" i="6" a="1"/>
  <c r="I63" i="6" s="1"/>
  <c r="I62" i="6" a="1"/>
  <c r="I62" i="6" s="1"/>
  <c r="I60" i="6" a="1"/>
  <c r="I60" i="6" s="1"/>
  <c r="I59" i="6" a="1"/>
  <c r="I59" i="6" s="1"/>
  <c r="I58" i="6" a="1"/>
  <c r="I58" i="6" s="1"/>
  <c r="I57" i="6" a="1"/>
  <c r="I57" i="6" s="1"/>
  <c r="I55" i="6" a="1"/>
  <c r="I55" i="6" s="1"/>
  <c r="I54" i="6" a="1"/>
  <c r="I54" i="6" s="1"/>
  <c r="I69" i="6" s="1"/>
  <c r="I53" i="6" a="1"/>
  <c r="I53" i="6" s="1"/>
  <c r="I52" i="6" a="1"/>
  <c r="I52" i="6" s="1"/>
  <c r="E65" i="6" a="1"/>
  <c r="E65" i="6" s="1"/>
  <c r="E64" i="6" a="1"/>
  <c r="E64" i="6" s="1"/>
  <c r="E63" i="6" a="1"/>
  <c r="E63" i="6" s="1"/>
  <c r="E62" i="6" a="1"/>
  <c r="E62" i="6" s="1"/>
  <c r="E60" i="6" a="1"/>
  <c r="E60" i="6" s="1"/>
  <c r="E59" i="6" a="1"/>
  <c r="E59" i="6" s="1"/>
  <c r="E58" i="6" a="1"/>
  <c r="E58" i="6" s="1"/>
  <c r="E57" i="6" a="1"/>
  <c r="E57" i="6" s="1"/>
  <c r="E55" i="6" a="1"/>
  <c r="E55" i="6" s="1"/>
  <c r="E54" i="6" a="1"/>
  <c r="E54" i="6" s="1"/>
  <c r="E53" i="6" a="1"/>
  <c r="E53" i="6" s="1"/>
  <c r="E52" i="6" a="1"/>
  <c r="E52" i="6" s="1"/>
  <c r="U18" i="6" a="1"/>
  <c r="U18" i="6" s="1"/>
  <c r="U17" i="6" a="1"/>
  <c r="U17" i="6" s="1"/>
  <c r="U16" i="6" a="1"/>
  <c r="U16" i="6" s="1"/>
  <c r="U15" i="6" a="1"/>
  <c r="U15" i="6" s="1"/>
  <c r="U13" i="6" a="1"/>
  <c r="U13" i="6" s="1"/>
  <c r="U12" i="6" a="1"/>
  <c r="U12" i="6" s="1"/>
  <c r="U11" i="6" a="1"/>
  <c r="U11" i="6" s="1"/>
  <c r="U10" i="6" a="1"/>
  <c r="U10" i="6" s="1"/>
  <c r="U8" i="6" a="1"/>
  <c r="U8" i="6" s="1"/>
  <c r="U7" i="6" a="1"/>
  <c r="U7" i="6" s="1"/>
  <c r="U6" i="6" a="1"/>
  <c r="U6" i="6" s="1"/>
  <c r="U5" i="6" a="1"/>
  <c r="U5" i="6" s="1"/>
  <c r="Q18" i="6" a="1"/>
  <c r="Q18" i="6" s="1"/>
  <c r="Q17" i="6" a="1"/>
  <c r="Q17" i="6" s="1"/>
  <c r="Q16" i="6" a="1"/>
  <c r="Q16" i="6" s="1"/>
  <c r="Q15" i="6" a="1"/>
  <c r="Q15" i="6" s="1"/>
  <c r="Q13" i="6" a="1"/>
  <c r="Q13" i="6" s="1"/>
  <c r="Q12" i="6" a="1"/>
  <c r="Q12" i="6" s="1"/>
  <c r="Q11" i="6" a="1"/>
  <c r="Q11" i="6" s="1"/>
  <c r="Q10" i="6" a="1"/>
  <c r="Q10" i="6" s="1"/>
  <c r="Q8" i="6" a="1"/>
  <c r="Q8" i="6" s="1"/>
  <c r="Q7" i="6" a="1"/>
  <c r="Q7" i="6" s="1"/>
  <c r="Q6" i="6" a="1"/>
  <c r="Q6" i="6" s="1"/>
  <c r="Q5" i="6" a="1"/>
  <c r="Q5" i="6" s="1"/>
  <c r="M18" i="6" a="1"/>
  <c r="M18" i="6" s="1"/>
  <c r="M17" i="6" a="1"/>
  <c r="M17" i="6" s="1"/>
  <c r="M16" i="6" a="1"/>
  <c r="M16" i="6" s="1"/>
  <c r="M15" i="6" a="1"/>
  <c r="M15" i="6" s="1"/>
  <c r="M13" i="6" a="1"/>
  <c r="M13" i="6" s="1"/>
  <c r="M12" i="6" a="1"/>
  <c r="M12" i="6" s="1"/>
  <c r="M11" i="6" a="1"/>
  <c r="M11" i="6" s="1"/>
  <c r="M10" i="6" a="1"/>
  <c r="M10" i="6" s="1"/>
  <c r="M8" i="6" a="1"/>
  <c r="M8" i="6" s="1"/>
  <c r="M7" i="6" a="1"/>
  <c r="M7" i="6" s="1"/>
  <c r="M6" i="6" a="1"/>
  <c r="M6" i="6" s="1"/>
  <c r="M5" i="6" a="1"/>
  <c r="M5" i="6" s="1"/>
  <c r="I18" i="6" a="1"/>
  <c r="I18" i="6" s="1"/>
  <c r="I17" i="6" a="1"/>
  <c r="I17" i="6" s="1"/>
  <c r="I16" i="6" a="1"/>
  <c r="I16" i="6" s="1"/>
  <c r="I15" i="6" a="1"/>
  <c r="I15" i="6" s="1"/>
  <c r="I13" i="6" a="1"/>
  <c r="I13" i="6" s="1"/>
  <c r="I12" i="6" a="1"/>
  <c r="I12" i="6" s="1"/>
  <c r="I11" i="6" a="1"/>
  <c r="I11" i="6" s="1"/>
  <c r="I10" i="6" a="1"/>
  <c r="I10" i="6" s="1"/>
  <c r="I8" i="6" a="1"/>
  <c r="I8" i="6" s="1"/>
  <c r="I7" i="6" a="1"/>
  <c r="I7" i="6" s="1"/>
  <c r="I22" i="6" s="1"/>
  <c r="I6" i="6" a="1"/>
  <c r="I6" i="6" s="1"/>
  <c r="I5" i="6" a="1"/>
  <c r="I5" i="6" s="1"/>
  <c r="E18" i="6" a="1"/>
  <c r="E18" i="6" s="1"/>
  <c r="E17" i="6" a="1"/>
  <c r="E17" i="6" s="1"/>
  <c r="E16" i="6" a="1"/>
  <c r="E16" i="6" s="1"/>
  <c r="E15" i="6" a="1"/>
  <c r="E15" i="6" s="1"/>
  <c r="E13" i="6" a="1"/>
  <c r="E13" i="6" s="1"/>
  <c r="E12" i="6" a="1"/>
  <c r="E12" i="6" s="1"/>
  <c r="E11" i="6" a="1"/>
  <c r="E11" i="6" s="1"/>
  <c r="E10" i="6" a="1"/>
  <c r="E10" i="6" s="1"/>
  <c r="E8" i="6" a="1"/>
  <c r="E8" i="6" s="1"/>
  <c r="E7" i="6" a="1"/>
  <c r="E7" i="6" s="1"/>
  <c r="E6" i="6" a="1"/>
  <c r="E6" i="6" s="1"/>
  <c r="E5" i="6" a="1"/>
  <c r="E5" i="6" s="1"/>
  <c r="U65" i="5" a="1"/>
  <c r="U65" i="5" s="1"/>
  <c r="U64" i="5" a="1"/>
  <c r="U64" i="5" s="1"/>
  <c r="U63" i="5" a="1"/>
  <c r="U63" i="5" s="1"/>
  <c r="U62" i="5" a="1"/>
  <c r="U62" i="5" s="1"/>
  <c r="U60" i="5" a="1"/>
  <c r="U60" i="5" s="1"/>
  <c r="U59" i="5" a="1"/>
  <c r="U59" i="5" s="1"/>
  <c r="U58" i="5" a="1"/>
  <c r="U58" i="5" s="1"/>
  <c r="U57" i="5" a="1"/>
  <c r="U57" i="5" s="1"/>
  <c r="U55" i="5" a="1"/>
  <c r="U55" i="5" s="1"/>
  <c r="U54" i="5" a="1"/>
  <c r="U54" i="5" s="1"/>
  <c r="U53" i="5" a="1"/>
  <c r="U53" i="5" s="1"/>
  <c r="U52" i="5" a="1"/>
  <c r="U52" i="5" s="1"/>
  <c r="Q65" i="5" a="1"/>
  <c r="Q65" i="5" s="1"/>
  <c r="Q64" i="5" a="1"/>
  <c r="Q64" i="5" s="1"/>
  <c r="Q63" i="5" a="1"/>
  <c r="Q63" i="5" s="1"/>
  <c r="Q62" i="5" a="1"/>
  <c r="Q62" i="5" s="1"/>
  <c r="Q60" i="5" a="1"/>
  <c r="Q60" i="5" s="1"/>
  <c r="Q59" i="5" a="1"/>
  <c r="Q59" i="5" s="1"/>
  <c r="Q58" i="5" a="1"/>
  <c r="Q58" i="5" s="1"/>
  <c r="Q57" i="5" a="1"/>
  <c r="Q57" i="5" s="1"/>
  <c r="Q55" i="5" a="1"/>
  <c r="Q55" i="5" s="1"/>
  <c r="Q54" i="5" a="1"/>
  <c r="Q54" i="5" s="1"/>
  <c r="Q53" i="5" a="1"/>
  <c r="Q53" i="5" s="1"/>
  <c r="Q52" i="5" a="1"/>
  <c r="Q52" i="5" s="1"/>
  <c r="M65" i="5" a="1"/>
  <c r="M65" i="5" s="1"/>
  <c r="M64" i="5" a="1"/>
  <c r="M64" i="5" s="1"/>
  <c r="M63" i="5" a="1"/>
  <c r="M63" i="5" s="1"/>
  <c r="M62" i="5" a="1"/>
  <c r="M62" i="5" s="1"/>
  <c r="M60" i="5" a="1"/>
  <c r="M60" i="5" s="1"/>
  <c r="M59" i="5" a="1"/>
  <c r="M59" i="5" s="1"/>
  <c r="M58" i="5" a="1"/>
  <c r="M58" i="5" s="1"/>
  <c r="M57" i="5" a="1"/>
  <c r="M57" i="5" s="1"/>
  <c r="M55" i="5" a="1"/>
  <c r="M55" i="5" s="1"/>
  <c r="M54" i="5" a="1"/>
  <c r="M54" i="5" s="1"/>
  <c r="M53" i="5" a="1"/>
  <c r="M53" i="5" s="1"/>
  <c r="M52" i="5" a="1"/>
  <c r="M52" i="5" s="1"/>
  <c r="I65" i="5" a="1"/>
  <c r="I65" i="5" s="1"/>
  <c r="I64" i="5" a="1"/>
  <c r="I64" i="5" s="1"/>
  <c r="I63" i="5" a="1"/>
  <c r="I63" i="5" s="1"/>
  <c r="I62" i="5" a="1"/>
  <c r="I62" i="5" s="1"/>
  <c r="I60" i="5" a="1"/>
  <c r="I60" i="5" s="1"/>
  <c r="I59" i="5" a="1"/>
  <c r="I59" i="5" s="1"/>
  <c r="I58" i="5" a="1"/>
  <c r="I58" i="5" s="1"/>
  <c r="I57" i="5" a="1"/>
  <c r="I57" i="5" s="1"/>
  <c r="I55" i="5" a="1"/>
  <c r="I55" i="5" s="1"/>
  <c r="I54" i="5" a="1"/>
  <c r="I54" i="5" s="1"/>
  <c r="I53" i="5" a="1"/>
  <c r="I53" i="5" s="1"/>
  <c r="I52" i="5" a="1"/>
  <c r="I52" i="5" s="1"/>
  <c r="E65" i="5" a="1"/>
  <c r="E65" i="5" s="1"/>
  <c r="E64" i="5" a="1"/>
  <c r="E64" i="5" s="1"/>
  <c r="E63" i="5" a="1"/>
  <c r="E63" i="5" s="1"/>
  <c r="E62" i="5" a="1"/>
  <c r="E62" i="5" s="1"/>
  <c r="E60" i="5" a="1"/>
  <c r="E60" i="5" s="1"/>
  <c r="E59" i="5" a="1"/>
  <c r="E59" i="5" s="1"/>
  <c r="E58" i="5" a="1"/>
  <c r="E58" i="5" s="1"/>
  <c r="E57" i="5" a="1"/>
  <c r="E57" i="5" s="1"/>
  <c r="E55" i="5" a="1"/>
  <c r="E55" i="5" s="1"/>
  <c r="E54" i="5" a="1"/>
  <c r="E54" i="5" s="1"/>
  <c r="E53" i="5" a="1"/>
  <c r="E53" i="5" s="1"/>
  <c r="E52" i="5" a="1"/>
  <c r="E52" i="5" s="1"/>
  <c r="I31" i="5"/>
  <c r="I32" i="5"/>
  <c r="I33" i="5"/>
  <c r="I30" i="5"/>
  <c r="E31" i="5"/>
  <c r="E32" i="5"/>
  <c r="E33" i="5"/>
  <c r="E35" i="5"/>
  <c r="E36" i="5"/>
  <c r="E37" i="5"/>
  <c r="E38" i="5"/>
  <c r="E40" i="5"/>
  <c r="E41" i="5"/>
  <c r="E42" i="5"/>
  <c r="E43" i="5"/>
  <c r="E30" i="5"/>
  <c r="U18" i="5" a="1"/>
  <c r="U18" i="5" s="1"/>
  <c r="U17" i="5" a="1"/>
  <c r="U17" i="5" s="1"/>
  <c r="U16" i="5" a="1"/>
  <c r="U16" i="5" s="1"/>
  <c r="U15" i="5" a="1"/>
  <c r="U15" i="5" s="1"/>
  <c r="U13" i="5" a="1"/>
  <c r="U13" i="5" s="1"/>
  <c r="U12" i="5" a="1"/>
  <c r="U12" i="5" s="1"/>
  <c r="U11" i="5" a="1"/>
  <c r="U11" i="5" s="1"/>
  <c r="U10" i="5" a="1"/>
  <c r="U10" i="5" s="1"/>
  <c r="U8" i="5" a="1"/>
  <c r="U8" i="5" s="1"/>
  <c r="U7" i="5" a="1"/>
  <c r="U7" i="5" s="1"/>
  <c r="U6" i="5" a="1"/>
  <c r="U6" i="5" s="1"/>
  <c r="U5" i="5" a="1"/>
  <c r="U5" i="5" s="1"/>
  <c r="Q18" i="5" a="1"/>
  <c r="Q18" i="5" s="1"/>
  <c r="Q17" i="5" a="1"/>
  <c r="Q17" i="5" s="1"/>
  <c r="Q16" i="5" a="1"/>
  <c r="Q16" i="5" s="1"/>
  <c r="Q15" i="5" a="1"/>
  <c r="Q15" i="5" s="1"/>
  <c r="Q13" i="5" a="1"/>
  <c r="Q13" i="5" s="1"/>
  <c r="Q12" i="5" a="1"/>
  <c r="Q12" i="5" s="1"/>
  <c r="Q11" i="5" a="1"/>
  <c r="Q11" i="5" s="1"/>
  <c r="Q10" i="5" a="1"/>
  <c r="Q10" i="5" s="1"/>
  <c r="Q8" i="5" a="1"/>
  <c r="Q8" i="5" s="1"/>
  <c r="Q7" i="5" a="1"/>
  <c r="Q7" i="5" s="1"/>
  <c r="Q6" i="5" a="1"/>
  <c r="Q6" i="5" s="1"/>
  <c r="Q5" i="5" a="1"/>
  <c r="Q5" i="5" s="1"/>
  <c r="M18" i="5" a="1"/>
  <c r="M18" i="5" s="1"/>
  <c r="M17" i="5" a="1"/>
  <c r="M17" i="5" s="1"/>
  <c r="M16" i="5" a="1"/>
  <c r="M16" i="5" s="1"/>
  <c r="M15" i="5" a="1"/>
  <c r="M15" i="5" s="1"/>
  <c r="M13" i="5" a="1"/>
  <c r="M13" i="5" s="1"/>
  <c r="M12" i="5" a="1"/>
  <c r="M12" i="5" s="1"/>
  <c r="M11" i="5" a="1"/>
  <c r="M11" i="5" s="1"/>
  <c r="M10" i="5" a="1"/>
  <c r="M10" i="5" s="1"/>
  <c r="M8" i="5" a="1"/>
  <c r="M8" i="5" s="1"/>
  <c r="M7" i="5" a="1"/>
  <c r="M7" i="5" s="1"/>
  <c r="M6" i="5" a="1"/>
  <c r="M6" i="5" s="1"/>
  <c r="M5" i="5" a="1"/>
  <c r="M5" i="5" s="1"/>
  <c r="I18" i="5" a="1"/>
  <c r="I18" i="5" s="1"/>
  <c r="I17" i="5" a="1"/>
  <c r="I17" i="5" s="1"/>
  <c r="I16" i="5" a="1"/>
  <c r="I16" i="5" s="1"/>
  <c r="I15" i="5" a="1"/>
  <c r="I15" i="5" s="1"/>
  <c r="I13" i="5" a="1"/>
  <c r="I13" i="5" s="1"/>
  <c r="I12" i="5" a="1"/>
  <c r="I12" i="5" s="1"/>
  <c r="I11" i="5" a="1"/>
  <c r="I11" i="5" s="1"/>
  <c r="I10" i="5" a="1"/>
  <c r="I10" i="5" s="1"/>
  <c r="I8" i="5" a="1"/>
  <c r="I8" i="5" s="1"/>
  <c r="I7" i="5" a="1"/>
  <c r="I7" i="5" s="1"/>
  <c r="I6" i="5" a="1"/>
  <c r="I6" i="5" s="1"/>
  <c r="I5" i="5" a="1"/>
  <c r="I5" i="5" s="1"/>
  <c r="E18" i="5" a="1"/>
  <c r="E18" i="5" s="1"/>
  <c r="E17" i="5" a="1"/>
  <c r="E17" i="5" s="1"/>
  <c r="E16" i="5" a="1"/>
  <c r="E16" i="5" s="1"/>
  <c r="E15" i="5" a="1"/>
  <c r="E15" i="5" s="1"/>
  <c r="E13" i="5" a="1"/>
  <c r="E13" i="5" s="1"/>
  <c r="E12" i="5" a="1"/>
  <c r="E12" i="5" s="1"/>
  <c r="E11" i="5" a="1"/>
  <c r="E11" i="5" s="1"/>
  <c r="E10" i="5" a="1"/>
  <c r="E10" i="5" s="1"/>
  <c r="E8" i="5" a="1"/>
  <c r="E8" i="5" s="1"/>
  <c r="E7" i="5" a="1"/>
  <c r="E7" i="5" s="1"/>
  <c r="E6" i="5" a="1"/>
  <c r="E6" i="5" s="1"/>
  <c r="E5" i="5" a="1"/>
  <c r="E5" i="5" s="1"/>
  <c r="O59" i="3" a="1"/>
  <c r="O59" i="3" s="1"/>
  <c r="O84" i="3" s="1"/>
  <c r="S79" i="4"/>
  <c r="S87" i="4"/>
  <c r="S82" i="4"/>
  <c r="Q86" i="4"/>
  <c r="M82" i="4"/>
  <c r="E65" i="4" a="1"/>
  <c r="E65" i="4" s="1"/>
  <c r="E90" i="4" s="1"/>
  <c r="J121" i="4"/>
  <c r="J119" i="4"/>
  <c r="L120" i="4"/>
  <c r="S85" i="4"/>
  <c r="M86" i="4"/>
  <c r="I92" i="4"/>
  <c r="E86" i="4"/>
  <c r="E79" i="4"/>
  <c r="E11" i="4" a="1"/>
  <c r="E11" i="4" s="1"/>
  <c r="S67" i="4" a="1"/>
  <c r="S67" i="4" s="1"/>
  <c r="S66" i="4" a="1"/>
  <c r="S66" i="4" s="1"/>
  <c r="S65" i="4" a="1"/>
  <c r="S65" i="4" s="1"/>
  <c r="S64" i="4" a="1"/>
  <c r="S64" i="4" s="1"/>
  <c r="S62" i="4" a="1"/>
  <c r="S62" i="4" s="1"/>
  <c r="S61" i="4" a="1"/>
  <c r="S61" i="4" s="1"/>
  <c r="S60" i="4"/>
  <c r="S60" i="4" a="1"/>
  <c r="S59" i="4" a="1"/>
  <c r="S59" i="4" s="1"/>
  <c r="S57" i="4" a="1"/>
  <c r="S57" i="4" s="1"/>
  <c r="S72" i="4" s="1"/>
  <c r="S56" i="4" a="1"/>
  <c r="S56" i="4" s="1"/>
  <c r="S71" i="4" s="1"/>
  <c r="S55" i="4" a="1"/>
  <c r="S55" i="4" s="1"/>
  <c r="S70" i="4" s="1"/>
  <c r="S54" i="4" a="1"/>
  <c r="S54" i="4" s="1"/>
  <c r="S69" i="4" s="1"/>
  <c r="S42" i="4" a="1"/>
  <c r="S42" i="4" s="1"/>
  <c r="S41" i="4" a="1"/>
  <c r="S41" i="4" s="1"/>
  <c r="S40" i="4" a="1"/>
  <c r="S40" i="4" s="1"/>
  <c r="S39" i="4" a="1"/>
  <c r="S39" i="4" s="1"/>
  <c r="S37" i="4" a="1"/>
  <c r="S37" i="4" s="1"/>
  <c r="S36" i="4" a="1"/>
  <c r="S36" i="4" s="1"/>
  <c r="S35" i="4" a="1"/>
  <c r="S35" i="4" s="1"/>
  <c r="S34" i="4" a="1"/>
  <c r="S34" i="4" s="1"/>
  <c r="S32" i="4" a="1"/>
  <c r="S32" i="4" s="1"/>
  <c r="S31" i="4" a="1"/>
  <c r="S31" i="4" s="1"/>
  <c r="S30" i="4" a="1"/>
  <c r="S30" i="4" s="1"/>
  <c r="S29" i="4" a="1"/>
  <c r="S29" i="4" s="1"/>
  <c r="S17" i="4" a="1"/>
  <c r="S17" i="4" s="1"/>
  <c r="S16" i="4" a="1"/>
  <c r="S16" i="4" s="1"/>
  <c r="S15" i="4" a="1"/>
  <c r="S15" i="4" s="1"/>
  <c r="S14" i="4" a="1"/>
  <c r="S14" i="4" s="1"/>
  <c r="S12" i="4" a="1"/>
  <c r="S12" i="4" s="1"/>
  <c r="S11" i="4" a="1"/>
  <c r="S11" i="4" s="1"/>
  <c r="S10" i="4" a="1"/>
  <c r="S10" i="4" s="1"/>
  <c r="S9" i="4" a="1"/>
  <c r="S9" i="4" s="1"/>
  <c r="S7" i="4" a="1"/>
  <c r="S7" i="4" s="1"/>
  <c r="S6" i="4" a="1"/>
  <c r="S6" i="4" s="1"/>
  <c r="S5" i="4" a="1"/>
  <c r="S5" i="4" s="1"/>
  <c r="S4" i="4" a="1"/>
  <c r="S4" i="4" s="1"/>
  <c r="Q67" i="4" a="1"/>
  <c r="Q67" i="4" s="1"/>
  <c r="Q66" i="4" a="1"/>
  <c r="Q66" i="4" s="1"/>
  <c r="Q65" i="4" a="1"/>
  <c r="Q65" i="4" s="1"/>
  <c r="Q64" i="4" a="1"/>
  <c r="Q64" i="4" s="1"/>
  <c r="Q62" i="4" a="1"/>
  <c r="Q62" i="4" s="1"/>
  <c r="Q61" i="4" a="1"/>
  <c r="Q61" i="4" s="1"/>
  <c r="Q60" i="4" a="1"/>
  <c r="Q60" i="4" s="1"/>
  <c r="Q59" i="4" a="1"/>
  <c r="Q59" i="4" s="1"/>
  <c r="Q57" i="4" a="1"/>
  <c r="Q57" i="4" s="1"/>
  <c r="Q72" i="4" s="1"/>
  <c r="Q56" i="4" a="1"/>
  <c r="Q56" i="4" s="1"/>
  <c r="Q71" i="4" s="1"/>
  <c r="Q55" i="4" a="1"/>
  <c r="Q55" i="4" s="1"/>
  <c r="Q70" i="4" s="1"/>
  <c r="Q54" i="4" a="1"/>
  <c r="Q54" i="4" s="1"/>
  <c r="Q69" i="4" s="1"/>
  <c r="Q42" i="4" a="1"/>
  <c r="Q42" i="4" s="1"/>
  <c r="Q41" i="4" a="1"/>
  <c r="Q41" i="4" s="1"/>
  <c r="Q40" i="4" a="1"/>
  <c r="Q40" i="4" s="1"/>
  <c r="Q39" i="4" a="1"/>
  <c r="Q39" i="4" s="1"/>
  <c r="Q37" i="4" a="1"/>
  <c r="Q37" i="4" s="1"/>
  <c r="Q36" i="4" a="1"/>
  <c r="Q36" i="4" s="1"/>
  <c r="Q35" i="4" a="1"/>
  <c r="Q35" i="4" s="1"/>
  <c r="Q34" i="4" a="1"/>
  <c r="Q34" i="4" s="1"/>
  <c r="Q32" i="4" a="1"/>
  <c r="Q32" i="4" s="1"/>
  <c r="Q31" i="4" a="1"/>
  <c r="Q31" i="4" s="1"/>
  <c r="Q30" i="4" a="1"/>
  <c r="Q30" i="4" s="1"/>
  <c r="Q29" i="4" a="1"/>
  <c r="Q29" i="4" s="1"/>
  <c r="Q17" i="4" a="1"/>
  <c r="Q17" i="4" s="1"/>
  <c r="Q16" i="4" a="1"/>
  <c r="Q16" i="4" s="1"/>
  <c r="Q15" i="4" a="1"/>
  <c r="Q15" i="4" s="1"/>
  <c r="Q14" i="4" a="1"/>
  <c r="Q14" i="4" s="1"/>
  <c r="Q12" i="4" a="1"/>
  <c r="Q12" i="4" s="1"/>
  <c r="Q11" i="4" a="1"/>
  <c r="Q11" i="4" s="1"/>
  <c r="Q10" i="4" a="1"/>
  <c r="Q10" i="4" s="1"/>
  <c r="Q9" i="4" a="1"/>
  <c r="Q9" i="4" s="1"/>
  <c r="Q7" i="4" a="1"/>
  <c r="Q7" i="4" s="1"/>
  <c r="Q6" i="4" a="1"/>
  <c r="Q6" i="4" s="1"/>
  <c r="Q5" i="4" a="1"/>
  <c r="Q5" i="4" s="1"/>
  <c r="Q4" i="4" a="1"/>
  <c r="Q4" i="4" s="1"/>
  <c r="O67" i="4" a="1"/>
  <c r="O67" i="4" s="1"/>
  <c r="O66" i="4" a="1"/>
  <c r="O66" i="4" s="1"/>
  <c r="O65" i="4" a="1"/>
  <c r="O65" i="4" s="1"/>
  <c r="O64" i="4" a="1"/>
  <c r="O64" i="4" s="1"/>
  <c r="O62" i="4" a="1"/>
  <c r="O62" i="4" s="1"/>
  <c r="O61" i="4" a="1"/>
  <c r="O61" i="4" s="1"/>
  <c r="O60" i="4"/>
  <c r="O60" i="4" a="1"/>
  <c r="O59" i="4" a="1"/>
  <c r="O59" i="4" s="1"/>
  <c r="O57" i="4" a="1"/>
  <c r="O57" i="4" s="1"/>
  <c r="O72" i="4" s="1"/>
  <c r="O56" i="4" a="1"/>
  <c r="O56" i="4" s="1"/>
  <c r="O71" i="4" s="1"/>
  <c r="O55" i="4" a="1"/>
  <c r="O55" i="4" s="1"/>
  <c r="O70" i="4" s="1"/>
  <c r="O54" i="4" a="1"/>
  <c r="O54" i="4" s="1"/>
  <c r="O69" i="4" s="1"/>
  <c r="O42" i="4" a="1"/>
  <c r="O42" i="4" s="1"/>
  <c r="O41" i="4" a="1"/>
  <c r="O41" i="4" s="1"/>
  <c r="O40" i="4"/>
  <c r="O40" i="4" a="1"/>
  <c r="O39" i="4" a="1"/>
  <c r="O39" i="4" s="1"/>
  <c r="O37" i="4" a="1"/>
  <c r="O37" i="4" s="1"/>
  <c r="O36" i="4" a="1"/>
  <c r="O36" i="4" s="1"/>
  <c r="O35" i="4" a="1"/>
  <c r="O35" i="4" s="1"/>
  <c r="O34" i="4" a="1"/>
  <c r="O34" i="4" s="1"/>
  <c r="O32" i="4" a="1"/>
  <c r="O32" i="4" s="1"/>
  <c r="O31" i="4" a="1"/>
  <c r="O31" i="4" s="1"/>
  <c r="O30" i="4" a="1"/>
  <c r="O30" i="4" s="1"/>
  <c r="O29" i="4" a="1"/>
  <c r="O29" i="4" s="1"/>
  <c r="O17" i="4" a="1"/>
  <c r="O17" i="4" s="1"/>
  <c r="O16" i="4" a="1"/>
  <c r="O16" i="4" s="1"/>
  <c r="O15" i="4" a="1"/>
  <c r="O15" i="4" s="1"/>
  <c r="O14" i="4" a="1"/>
  <c r="O14" i="4" s="1"/>
  <c r="O12" i="4" a="1"/>
  <c r="O12" i="4" s="1"/>
  <c r="O11" i="4" a="1"/>
  <c r="O11" i="4" s="1"/>
  <c r="O10" i="4" a="1"/>
  <c r="O10" i="4" s="1"/>
  <c r="O9" i="4" a="1"/>
  <c r="O9" i="4" s="1"/>
  <c r="O7" i="4" a="1"/>
  <c r="O7" i="4" s="1"/>
  <c r="O6" i="4" a="1"/>
  <c r="O6" i="4" s="1"/>
  <c r="O5" i="4" a="1"/>
  <c r="O5" i="4" s="1"/>
  <c r="O4" i="4" a="1"/>
  <c r="O4" i="4" s="1"/>
  <c r="M67" i="4" a="1"/>
  <c r="M67" i="4" s="1"/>
  <c r="M66" i="4" a="1"/>
  <c r="M66" i="4" s="1"/>
  <c r="M65" i="4" a="1"/>
  <c r="M65" i="4" s="1"/>
  <c r="M64" i="4" a="1"/>
  <c r="M64" i="4" s="1"/>
  <c r="M62" i="4" a="1"/>
  <c r="M62" i="4" s="1"/>
  <c r="M61" i="4" a="1"/>
  <c r="M61" i="4" s="1"/>
  <c r="M60" i="4" a="1"/>
  <c r="M60" i="4" s="1"/>
  <c r="M59" i="4" a="1"/>
  <c r="M59" i="4" s="1"/>
  <c r="M57" i="4" a="1"/>
  <c r="M57" i="4" s="1"/>
  <c r="M72" i="4" s="1"/>
  <c r="M56" i="4" a="1"/>
  <c r="M56" i="4" s="1"/>
  <c r="M71" i="4" s="1"/>
  <c r="M55" i="4" a="1"/>
  <c r="M55" i="4" s="1"/>
  <c r="M70" i="4" s="1"/>
  <c r="M54" i="4" a="1"/>
  <c r="M54" i="4" s="1"/>
  <c r="M69" i="4" s="1"/>
  <c r="M42" i="4" a="1"/>
  <c r="M42" i="4" s="1"/>
  <c r="M41" i="4" a="1"/>
  <c r="M41" i="4" s="1"/>
  <c r="M40" i="4" a="1"/>
  <c r="M40" i="4" s="1"/>
  <c r="M39" i="4" a="1"/>
  <c r="M39" i="4" s="1"/>
  <c r="M37" i="4" a="1"/>
  <c r="M37" i="4" s="1"/>
  <c r="M36" i="4" a="1"/>
  <c r="M36" i="4" s="1"/>
  <c r="M35" i="4" a="1"/>
  <c r="M35" i="4" s="1"/>
  <c r="M34" i="4" a="1"/>
  <c r="M34" i="4" s="1"/>
  <c r="M32" i="4" a="1"/>
  <c r="M32" i="4" s="1"/>
  <c r="M31" i="4" a="1"/>
  <c r="M31" i="4" s="1"/>
  <c r="M30" i="4" a="1"/>
  <c r="M30" i="4" s="1"/>
  <c r="M29" i="4" a="1"/>
  <c r="M29" i="4" s="1"/>
  <c r="M17" i="4" a="1"/>
  <c r="M17" i="4" s="1"/>
  <c r="M16" i="4" a="1"/>
  <c r="M16" i="4" s="1"/>
  <c r="M15" i="4" a="1"/>
  <c r="M15" i="4" s="1"/>
  <c r="M14" i="4" a="1"/>
  <c r="M14" i="4" s="1"/>
  <c r="M12" i="4" a="1"/>
  <c r="M12" i="4" s="1"/>
  <c r="M11" i="4" a="1"/>
  <c r="M11" i="4" s="1"/>
  <c r="M10" i="4" a="1"/>
  <c r="M10" i="4" s="1"/>
  <c r="M9" i="4" a="1"/>
  <c r="M9" i="4" s="1"/>
  <c r="M7" i="4" a="1"/>
  <c r="M7" i="4" s="1"/>
  <c r="M6" i="4" a="1"/>
  <c r="M6" i="4" s="1"/>
  <c r="M5" i="4" a="1"/>
  <c r="M5" i="4" s="1"/>
  <c r="M4" i="4" a="1"/>
  <c r="M4" i="4" s="1"/>
  <c r="K67" i="4" a="1"/>
  <c r="K67" i="4" s="1"/>
  <c r="K66" i="4" a="1"/>
  <c r="K66" i="4" s="1"/>
  <c r="K65" i="4" a="1"/>
  <c r="K65" i="4" s="1"/>
  <c r="K64" i="4" a="1"/>
  <c r="K64" i="4" s="1"/>
  <c r="K62" i="4" a="1"/>
  <c r="K62" i="4" s="1"/>
  <c r="K61" i="4" a="1"/>
  <c r="K61" i="4" s="1"/>
  <c r="K60" i="4" a="1"/>
  <c r="K60" i="4" s="1"/>
  <c r="K59" i="4" a="1"/>
  <c r="K59" i="4" s="1"/>
  <c r="K57" i="4" a="1"/>
  <c r="K57" i="4" s="1"/>
  <c r="K72" i="4" s="1"/>
  <c r="K56" i="4" a="1"/>
  <c r="K56" i="4" s="1"/>
  <c r="K71" i="4" s="1"/>
  <c r="K55" i="4" a="1"/>
  <c r="K55" i="4" s="1"/>
  <c r="K70" i="4" s="1"/>
  <c r="K54" i="4" a="1"/>
  <c r="K54" i="4" s="1"/>
  <c r="K69" i="4" s="1"/>
  <c r="K42" i="4" a="1"/>
  <c r="K42" i="4" s="1"/>
  <c r="K41" i="4" a="1"/>
  <c r="K41" i="4" s="1"/>
  <c r="K40" i="4" a="1"/>
  <c r="K40" i="4" s="1"/>
  <c r="K39" i="4" a="1"/>
  <c r="K39" i="4" s="1"/>
  <c r="K37" i="4" a="1"/>
  <c r="K37" i="4" s="1"/>
  <c r="K36" i="4" a="1"/>
  <c r="K36" i="4" s="1"/>
  <c r="K35" i="4" a="1"/>
  <c r="K35" i="4" s="1"/>
  <c r="K34" i="4" a="1"/>
  <c r="K34" i="4" s="1"/>
  <c r="K32" i="4" a="1"/>
  <c r="K32" i="4" s="1"/>
  <c r="K31" i="4" a="1"/>
  <c r="K31" i="4" s="1"/>
  <c r="K30" i="4" a="1"/>
  <c r="K30" i="4" s="1"/>
  <c r="K29" i="4" a="1"/>
  <c r="K29" i="4" s="1"/>
  <c r="K17" i="4" a="1"/>
  <c r="K17" i="4" s="1"/>
  <c r="K16" i="4" a="1"/>
  <c r="K16" i="4" s="1"/>
  <c r="K15" i="4" a="1"/>
  <c r="K15" i="4" s="1"/>
  <c r="K14" i="4" a="1"/>
  <c r="K14" i="4" s="1"/>
  <c r="K12" i="4" a="1"/>
  <c r="K12" i="4" s="1"/>
  <c r="K11" i="4" a="1"/>
  <c r="K11" i="4" s="1"/>
  <c r="K10" i="4" a="1"/>
  <c r="K10" i="4" s="1"/>
  <c r="K9" i="4" a="1"/>
  <c r="K9" i="4" s="1"/>
  <c r="K7" i="4" a="1"/>
  <c r="K7" i="4" s="1"/>
  <c r="K6" i="4" a="1"/>
  <c r="K6" i="4" s="1"/>
  <c r="K5" i="4" a="1"/>
  <c r="K5" i="4" s="1"/>
  <c r="K4" i="4" a="1"/>
  <c r="K4" i="4" s="1"/>
  <c r="I67" i="4" a="1"/>
  <c r="I67" i="4" s="1"/>
  <c r="I66" i="4" a="1"/>
  <c r="I66" i="4" s="1"/>
  <c r="I65" i="4" a="1"/>
  <c r="I65" i="4" s="1"/>
  <c r="I64" i="4" a="1"/>
  <c r="I64" i="4" s="1"/>
  <c r="I62" i="4" a="1"/>
  <c r="I62" i="4" s="1"/>
  <c r="I61" i="4" a="1"/>
  <c r="I61" i="4" s="1"/>
  <c r="I60" i="4" a="1"/>
  <c r="I60" i="4" s="1"/>
  <c r="I59" i="4" a="1"/>
  <c r="I59" i="4" s="1"/>
  <c r="I57" i="4" a="1"/>
  <c r="I57" i="4" s="1"/>
  <c r="I72" i="4" s="1"/>
  <c r="I56" i="4" a="1"/>
  <c r="I56" i="4" s="1"/>
  <c r="I71" i="4" s="1"/>
  <c r="I55" i="4" a="1"/>
  <c r="I55" i="4" s="1"/>
  <c r="I70" i="4" s="1"/>
  <c r="I54" i="4" a="1"/>
  <c r="I54" i="4" s="1"/>
  <c r="I69" i="4" s="1"/>
  <c r="I42" i="4" a="1"/>
  <c r="I42" i="4" s="1"/>
  <c r="I41" i="4" a="1"/>
  <c r="I41" i="4" s="1"/>
  <c r="I40" i="4" a="1"/>
  <c r="I40" i="4" s="1"/>
  <c r="I39" i="4" a="1"/>
  <c r="I39" i="4" s="1"/>
  <c r="I37" i="4" a="1"/>
  <c r="I37" i="4" s="1"/>
  <c r="I36" i="4" a="1"/>
  <c r="I36" i="4" s="1"/>
  <c r="I35" i="4" a="1"/>
  <c r="I35" i="4" s="1"/>
  <c r="I34" i="4" a="1"/>
  <c r="I34" i="4" s="1"/>
  <c r="I32" i="4" a="1"/>
  <c r="I32" i="4" s="1"/>
  <c r="I31" i="4" a="1"/>
  <c r="I31" i="4" s="1"/>
  <c r="I30" i="4" a="1"/>
  <c r="I30" i="4" s="1"/>
  <c r="I29" i="4" a="1"/>
  <c r="I29" i="4" s="1"/>
  <c r="I17" i="4" a="1"/>
  <c r="I17" i="4" s="1"/>
  <c r="I16" i="4" a="1"/>
  <c r="I16" i="4" s="1"/>
  <c r="I15" i="4" a="1"/>
  <c r="I15" i="4" s="1"/>
  <c r="I14" i="4" a="1"/>
  <c r="I14" i="4" s="1"/>
  <c r="I12" i="4" a="1"/>
  <c r="I12" i="4" s="1"/>
  <c r="I11" i="4" a="1"/>
  <c r="I11" i="4" s="1"/>
  <c r="I10" i="4" a="1"/>
  <c r="I10" i="4" s="1"/>
  <c r="I9" i="4" a="1"/>
  <c r="I9" i="4" s="1"/>
  <c r="I7" i="4" a="1"/>
  <c r="I7" i="4" s="1"/>
  <c r="I6" i="4" a="1"/>
  <c r="I6" i="4" s="1"/>
  <c r="I5" i="4" a="1"/>
  <c r="I5" i="4" s="1"/>
  <c r="I4" i="4" a="1"/>
  <c r="I4" i="4" s="1"/>
  <c r="E4" i="4" a="1"/>
  <c r="E4" i="4"/>
  <c r="G67" i="4" a="1"/>
  <c r="G67" i="4" s="1"/>
  <c r="G66" i="4" a="1"/>
  <c r="G66" i="4" s="1"/>
  <c r="G65" i="4" a="1"/>
  <c r="G65" i="4" s="1"/>
  <c r="G64" i="4" a="1"/>
  <c r="G64" i="4" s="1"/>
  <c r="G62" i="4" a="1"/>
  <c r="G62" i="4" s="1"/>
  <c r="G61" i="4" a="1"/>
  <c r="G61" i="4" s="1"/>
  <c r="G60" i="4" a="1"/>
  <c r="G60" i="4" s="1"/>
  <c r="G59" i="4" a="1"/>
  <c r="G59" i="4" s="1"/>
  <c r="G57" i="4" a="1"/>
  <c r="G57" i="4" s="1"/>
  <c r="G72" i="4" s="1"/>
  <c r="G56" i="4" a="1"/>
  <c r="G56" i="4" s="1"/>
  <c r="G71" i="4" s="1"/>
  <c r="G55" i="4" a="1"/>
  <c r="G55" i="4" s="1"/>
  <c r="G70" i="4" s="1"/>
  <c r="G54" i="4" a="1"/>
  <c r="G54" i="4" s="1"/>
  <c r="G69" i="4" s="1"/>
  <c r="G42" i="4" a="1"/>
  <c r="G42" i="4" s="1"/>
  <c r="G41" i="4" a="1"/>
  <c r="G41" i="4" s="1"/>
  <c r="G91" i="4" s="1"/>
  <c r="G40" i="4" a="1"/>
  <c r="G40" i="4" s="1"/>
  <c r="G39" i="4" a="1"/>
  <c r="G39" i="4" s="1"/>
  <c r="G89" i="4" s="1"/>
  <c r="G37" i="4" a="1"/>
  <c r="G37" i="4" s="1"/>
  <c r="G36" i="4" a="1"/>
  <c r="G36" i="4" s="1"/>
  <c r="G35" i="4" a="1"/>
  <c r="G35" i="4" s="1"/>
  <c r="G34" i="4" a="1"/>
  <c r="G34" i="4" s="1"/>
  <c r="G32" i="4" a="1"/>
  <c r="G32" i="4" s="1"/>
  <c r="G31" i="4" a="1"/>
  <c r="G31" i="4" s="1"/>
  <c r="G30" i="4" a="1"/>
  <c r="G30" i="4" s="1"/>
  <c r="G29" i="4" a="1"/>
  <c r="G29" i="4" s="1"/>
  <c r="G17" i="4" a="1"/>
  <c r="G17" i="4" s="1"/>
  <c r="G16" i="4" a="1"/>
  <c r="G16" i="4" s="1"/>
  <c r="G15" i="4" a="1"/>
  <c r="G15" i="4" s="1"/>
  <c r="G14" i="4" a="1"/>
  <c r="G14" i="4" s="1"/>
  <c r="G12" i="4" a="1"/>
  <c r="G12" i="4" s="1"/>
  <c r="G11" i="4" a="1"/>
  <c r="G11" i="4" s="1"/>
  <c r="G10" i="4" a="1"/>
  <c r="G10" i="4" s="1"/>
  <c r="G9" i="4" a="1"/>
  <c r="G9" i="4" s="1"/>
  <c r="G7" i="4" a="1"/>
  <c r="G7" i="4" s="1"/>
  <c r="G6" i="4" a="1"/>
  <c r="G6" i="4" s="1"/>
  <c r="G5" i="4" a="1"/>
  <c r="G5" i="4" s="1"/>
  <c r="G4" i="4" a="1"/>
  <c r="G4" i="4" s="1"/>
  <c r="E67" i="4" a="1"/>
  <c r="E67" i="4" s="1"/>
  <c r="E66" i="4" a="1"/>
  <c r="E66" i="4" s="1"/>
  <c r="E64" i="4" a="1"/>
  <c r="E64" i="4" s="1"/>
  <c r="E62" i="4" a="1"/>
  <c r="E62" i="4" s="1"/>
  <c r="E61" i="4" a="1"/>
  <c r="E61" i="4" s="1"/>
  <c r="E60" i="4" a="1"/>
  <c r="E60" i="4" s="1"/>
  <c r="E59" i="4" a="1"/>
  <c r="E59" i="4" s="1"/>
  <c r="E57" i="4" a="1"/>
  <c r="E57" i="4" s="1"/>
  <c r="E72" i="4" s="1"/>
  <c r="E56" i="4" a="1"/>
  <c r="E56" i="4" s="1"/>
  <c r="E55" i="4" a="1"/>
  <c r="E55" i="4" s="1"/>
  <c r="E54" i="4" a="1"/>
  <c r="E54" i="4" s="1"/>
  <c r="E42" i="4" a="1"/>
  <c r="E42" i="4" s="1"/>
  <c r="E41" i="4" a="1"/>
  <c r="E41" i="4" s="1"/>
  <c r="E91" i="4" s="1"/>
  <c r="E40" i="4" a="1"/>
  <c r="E40" i="4" s="1"/>
  <c r="E39" i="4" a="1"/>
  <c r="E39" i="4" s="1"/>
  <c r="E89" i="4" s="1"/>
  <c r="E37" i="4" a="1"/>
  <c r="E37" i="4" s="1"/>
  <c r="E36" i="4" a="1"/>
  <c r="E36" i="4" s="1"/>
  <c r="E35" i="4" a="1"/>
  <c r="E35" i="4" s="1"/>
  <c r="E34" i="4" a="1"/>
  <c r="E34" i="4" s="1"/>
  <c r="E32" i="4" a="1"/>
  <c r="E32" i="4" s="1"/>
  <c r="E31" i="4" a="1"/>
  <c r="E31" i="4" s="1"/>
  <c r="E30" i="4" a="1"/>
  <c r="E30" i="4" s="1"/>
  <c r="E29" i="4" a="1"/>
  <c r="E29" i="4" s="1"/>
  <c r="E17" i="4" a="1"/>
  <c r="E17" i="4" s="1"/>
  <c r="E16" i="4" a="1"/>
  <c r="E16" i="4" s="1"/>
  <c r="E15" i="4" a="1"/>
  <c r="E15" i="4" s="1"/>
  <c r="E14" i="4" a="1"/>
  <c r="E14" i="4" s="1"/>
  <c r="E12" i="4" a="1"/>
  <c r="E12" i="4" s="1"/>
  <c r="E10" i="4" a="1"/>
  <c r="E10" i="4" s="1"/>
  <c r="E9" i="4" a="1"/>
  <c r="E9" i="4" s="1"/>
  <c r="E7" i="4" a="1"/>
  <c r="E7" i="4" s="1"/>
  <c r="E6" i="4" a="1"/>
  <c r="E6" i="4" s="1"/>
  <c r="E5" i="4" a="1"/>
  <c r="E5" i="4" s="1"/>
  <c r="I16" i="3" a="1"/>
  <c r="I16" i="3" s="1"/>
  <c r="S67" i="3" a="1"/>
  <c r="S67" i="3" s="1"/>
  <c r="S66" i="3" a="1"/>
  <c r="S66" i="3" s="1"/>
  <c r="S65" i="3" a="1"/>
  <c r="S65" i="3" s="1"/>
  <c r="S64" i="3" a="1"/>
  <c r="S64" i="3" s="1"/>
  <c r="S62" i="3" a="1"/>
  <c r="S62" i="3" s="1"/>
  <c r="S61" i="3" a="1"/>
  <c r="S61" i="3" s="1"/>
  <c r="S60" i="3" a="1"/>
  <c r="S60" i="3" s="1"/>
  <c r="S59" i="3" a="1"/>
  <c r="S59" i="3" s="1"/>
  <c r="S57" i="3" a="1"/>
  <c r="S57" i="3" s="1"/>
  <c r="S72" i="3" s="1"/>
  <c r="S56" i="3" a="1"/>
  <c r="S56" i="3" s="1"/>
  <c r="S71" i="3" s="1"/>
  <c r="S55" i="3" a="1"/>
  <c r="S55" i="3" s="1"/>
  <c r="S70" i="3" s="1"/>
  <c r="S54" i="3" a="1"/>
  <c r="S54" i="3" s="1"/>
  <c r="S69" i="3" s="1"/>
  <c r="S42" i="3" a="1"/>
  <c r="S42" i="3" s="1"/>
  <c r="S41" i="3" a="1"/>
  <c r="S41" i="3" s="1"/>
  <c r="S40" i="3" a="1"/>
  <c r="S40" i="3" s="1"/>
  <c r="S39" i="3" a="1"/>
  <c r="S39" i="3" s="1"/>
  <c r="S37" i="3" a="1"/>
  <c r="S37" i="3" s="1"/>
  <c r="S36" i="3" a="1"/>
  <c r="S36" i="3" s="1"/>
  <c r="S35" i="3" a="1"/>
  <c r="S35" i="3" s="1"/>
  <c r="S34" i="3" a="1"/>
  <c r="S34" i="3" s="1"/>
  <c r="S32" i="3" a="1"/>
  <c r="S32" i="3" s="1"/>
  <c r="S31" i="3" a="1"/>
  <c r="S31" i="3" s="1"/>
  <c r="S30" i="3" a="1"/>
  <c r="S30" i="3" s="1"/>
  <c r="S29" i="3" a="1"/>
  <c r="S29" i="3" s="1"/>
  <c r="S17" i="3" a="1"/>
  <c r="S17" i="3" s="1"/>
  <c r="S16" i="3" a="1"/>
  <c r="S16" i="3" s="1"/>
  <c r="S15" i="3" a="1"/>
  <c r="S15" i="3" s="1"/>
  <c r="S14" i="3" a="1"/>
  <c r="S14" i="3" s="1"/>
  <c r="S12" i="3" a="1"/>
  <c r="S12" i="3" s="1"/>
  <c r="S11" i="3" a="1"/>
  <c r="S11" i="3" s="1"/>
  <c r="S10" i="3" a="1"/>
  <c r="S10" i="3" s="1"/>
  <c r="S9" i="3" a="1"/>
  <c r="S9" i="3" s="1"/>
  <c r="S7" i="3" a="1"/>
  <c r="S7" i="3" s="1"/>
  <c r="S6" i="3" a="1"/>
  <c r="S6" i="3" s="1"/>
  <c r="S5" i="3" a="1"/>
  <c r="S5" i="3" s="1"/>
  <c r="S4" i="3" a="1"/>
  <c r="S4" i="3" s="1"/>
  <c r="Q67" i="3" a="1"/>
  <c r="Q67" i="3" s="1"/>
  <c r="Q66" i="3" a="1"/>
  <c r="Q66" i="3" s="1"/>
  <c r="Q65" i="3" a="1"/>
  <c r="Q65" i="3" s="1"/>
  <c r="Q64" i="3" a="1"/>
  <c r="Q64" i="3" s="1"/>
  <c r="Q62" i="3" a="1"/>
  <c r="Q62" i="3" s="1"/>
  <c r="Q61" i="3" a="1"/>
  <c r="Q61" i="3" s="1"/>
  <c r="Q60" i="3" a="1"/>
  <c r="Q60" i="3" s="1"/>
  <c r="Q59" i="3" a="1"/>
  <c r="Q59" i="3" s="1"/>
  <c r="Q57" i="3" a="1"/>
  <c r="Q57" i="3" s="1"/>
  <c r="Q72" i="3" s="1"/>
  <c r="Q56" i="3" a="1"/>
  <c r="Q56" i="3" s="1"/>
  <c r="Q71" i="3" s="1"/>
  <c r="Q55" i="3" a="1"/>
  <c r="Q55" i="3" s="1"/>
  <c r="Q70" i="3" s="1"/>
  <c r="Q54" i="3" a="1"/>
  <c r="Q54" i="3" s="1"/>
  <c r="Q69" i="3" s="1"/>
  <c r="Q42" i="3" a="1"/>
  <c r="Q42" i="3" s="1"/>
  <c r="Q41" i="3" a="1"/>
  <c r="Q41" i="3" s="1"/>
  <c r="Q40" i="3" a="1"/>
  <c r="Q40" i="3" s="1"/>
  <c r="Q39" i="3" a="1"/>
  <c r="Q39" i="3" s="1"/>
  <c r="Q37" i="3" a="1"/>
  <c r="Q37" i="3" s="1"/>
  <c r="Q36" i="3" a="1"/>
  <c r="Q36" i="3" s="1"/>
  <c r="Q35" i="3" a="1"/>
  <c r="Q35" i="3" s="1"/>
  <c r="Q34" i="3" a="1"/>
  <c r="Q34" i="3" s="1"/>
  <c r="Q32" i="3" a="1"/>
  <c r="Q32" i="3" s="1"/>
  <c r="Q31" i="3" a="1"/>
  <c r="Q31" i="3" s="1"/>
  <c r="Q30" i="3" a="1"/>
  <c r="Q30" i="3" s="1"/>
  <c r="Q29" i="3" a="1"/>
  <c r="Q29" i="3" s="1"/>
  <c r="Q17" i="3" a="1"/>
  <c r="Q17" i="3" s="1"/>
  <c r="Q16" i="3" a="1"/>
  <c r="Q16" i="3" s="1"/>
  <c r="Q15" i="3" a="1"/>
  <c r="Q15" i="3" s="1"/>
  <c r="Q14" i="3" a="1"/>
  <c r="Q14" i="3" s="1"/>
  <c r="Q12" i="3" a="1"/>
  <c r="Q12" i="3" s="1"/>
  <c r="Q11" i="3" a="1"/>
  <c r="Q11" i="3" s="1"/>
  <c r="Q10" i="3" a="1"/>
  <c r="Q10" i="3" s="1"/>
  <c r="Q9" i="3" a="1"/>
  <c r="Q9" i="3" s="1"/>
  <c r="Q7" i="3" a="1"/>
  <c r="Q7" i="3" s="1"/>
  <c r="Q6" i="3" a="1"/>
  <c r="Q6" i="3" s="1"/>
  <c r="Q5" i="3" a="1"/>
  <c r="Q5" i="3" s="1"/>
  <c r="Q4" i="3" a="1"/>
  <c r="Q4" i="3" s="1"/>
  <c r="O67" i="3" a="1"/>
  <c r="O67" i="3" s="1"/>
  <c r="O66" i="3" a="1"/>
  <c r="O66" i="3" s="1"/>
  <c r="O65" i="3" a="1"/>
  <c r="O65" i="3" s="1"/>
  <c r="O64" i="3" a="1"/>
  <c r="O64" i="3" s="1"/>
  <c r="O62" i="3" a="1"/>
  <c r="O62" i="3" s="1"/>
  <c r="O61" i="3" a="1"/>
  <c r="O61" i="3" s="1"/>
  <c r="O60" i="3" a="1"/>
  <c r="O60" i="3" s="1"/>
  <c r="O57" i="3" a="1"/>
  <c r="O57" i="3" s="1"/>
  <c r="O56" i="3" a="1"/>
  <c r="O56" i="3" s="1"/>
  <c r="O55" i="3" a="1"/>
  <c r="O55" i="3" s="1"/>
  <c r="O54" i="3" a="1"/>
  <c r="O54" i="3" s="1"/>
  <c r="O42" i="3" a="1"/>
  <c r="O42" i="3" s="1"/>
  <c r="O41" i="3" a="1"/>
  <c r="O41" i="3" s="1"/>
  <c r="O40" i="3" a="1"/>
  <c r="O40" i="3" s="1"/>
  <c r="O39" i="3" a="1"/>
  <c r="O39" i="3" s="1"/>
  <c r="O37" i="3" a="1"/>
  <c r="O37" i="3" s="1"/>
  <c r="O36" i="3" a="1"/>
  <c r="O36" i="3" s="1"/>
  <c r="O35" i="3" a="1"/>
  <c r="O35" i="3" s="1"/>
  <c r="O34" i="3" a="1"/>
  <c r="O34" i="3" s="1"/>
  <c r="O32" i="3" a="1"/>
  <c r="O32" i="3" s="1"/>
  <c r="O31" i="3" a="1"/>
  <c r="O31" i="3" s="1"/>
  <c r="O30" i="3" a="1"/>
  <c r="O30" i="3" s="1"/>
  <c r="O29" i="3" a="1"/>
  <c r="O29" i="3" s="1"/>
  <c r="O17" i="3" a="1"/>
  <c r="O17" i="3" s="1"/>
  <c r="O16" i="3" a="1"/>
  <c r="O16" i="3" s="1"/>
  <c r="O15" i="3" a="1"/>
  <c r="O15" i="3" s="1"/>
  <c r="O14" i="3" a="1"/>
  <c r="O14" i="3" s="1"/>
  <c r="O12" i="3" a="1"/>
  <c r="O12" i="3" s="1"/>
  <c r="O11" i="3" a="1"/>
  <c r="O11" i="3" s="1"/>
  <c r="O10" i="3" a="1"/>
  <c r="O10" i="3" s="1"/>
  <c r="O9" i="3" a="1"/>
  <c r="O9" i="3" s="1"/>
  <c r="O7" i="3" a="1"/>
  <c r="O7" i="3" s="1"/>
  <c r="O6" i="3" a="1"/>
  <c r="O6" i="3" s="1"/>
  <c r="O5" i="3" a="1"/>
  <c r="O5" i="3" s="1"/>
  <c r="O4" i="3" a="1"/>
  <c r="O4" i="3" s="1"/>
  <c r="M67" i="3" a="1"/>
  <c r="M67" i="3" s="1"/>
  <c r="M66" i="3" a="1"/>
  <c r="M66" i="3" s="1"/>
  <c r="M65" i="3" a="1"/>
  <c r="M65" i="3" s="1"/>
  <c r="M64" i="3" a="1"/>
  <c r="M64" i="3" s="1"/>
  <c r="M62" i="3" a="1"/>
  <c r="M62" i="3" s="1"/>
  <c r="M61" i="3" a="1"/>
  <c r="M61" i="3" s="1"/>
  <c r="M60" i="3" a="1"/>
  <c r="M60" i="3" s="1"/>
  <c r="M59" i="3" a="1"/>
  <c r="M59" i="3" s="1"/>
  <c r="M57" i="3" a="1"/>
  <c r="M57" i="3" s="1"/>
  <c r="M56" i="3" a="1"/>
  <c r="M56" i="3" s="1"/>
  <c r="M55" i="3" a="1"/>
  <c r="M55" i="3" s="1"/>
  <c r="M54" i="3" a="1"/>
  <c r="M54" i="3" s="1"/>
  <c r="M42" i="3" a="1"/>
  <c r="M42" i="3" s="1"/>
  <c r="M41" i="3" a="1"/>
  <c r="M41" i="3" s="1"/>
  <c r="M40" i="3" a="1"/>
  <c r="M40" i="3" s="1"/>
  <c r="M39" i="3" a="1"/>
  <c r="M39" i="3" s="1"/>
  <c r="M37" i="3" a="1"/>
  <c r="M37" i="3" s="1"/>
  <c r="M36" i="3" a="1"/>
  <c r="M36" i="3" s="1"/>
  <c r="M35" i="3" a="1"/>
  <c r="M35" i="3" s="1"/>
  <c r="M34" i="3" a="1"/>
  <c r="M34" i="3" s="1"/>
  <c r="M32" i="3" a="1"/>
  <c r="M32" i="3" s="1"/>
  <c r="M31" i="3" a="1"/>
  <c r="M31" i="3" s="1"/>
  <c r="M30" i="3" a="1"/>
  <c r="M30" i="3" s="1"/>
  <c r="M29" i="3" a="1"/>
  <c r="M29" i="3" s="1"/>
  <c r="M17" i="3" a="1"/>
  <c r="M17" i="3" s="1"/>
  <c r="M16" i="3" a="1"/>
  <c r="M16" i="3" s="1"/>
  <c r="M15" i="3" a="1"/>
  <c r="M15" i="3" s="1"/>
  <c r="M14" i="3" a="1"/>
  <c r="M14" i="3" s="1"/>
  <c r="M12" i="3" a="1"/>
  <c r="M12" i="3" s="1"/>
  <c r="M11" i="3" a="1"/>
  <c r="M11" i="3" s="1"/>
  <c r="M10" i="3" a="1"/>
  <c r="M10" i="3" s="1"/>
  <c r="M9" i="3" a="1"/>
  <c r="M9" i="3" s="1"/>
  <c r="M7" i="3" a="1"/>
  <c r="M7" i="3" s="1"/>
  <c r="M6" i="3" a="1"/>
  <c r="M6" i="3" s="1"/>
  <c r="M5" i="3" a="1"/>
  <c r="M5" i="3" s="1"/>
  <c r="M4" i="3" a="1"/>
  <c r="M4" i="3" s="1"/>
  <c r="K67" i="3" a="1"/>
  <c r="K67" i="3" s="1"/>
  <c r="K66" i="3" a="1"/>
  <c r="K66" i="3" s="1"/>
  <c r="K65" i="3" a="1"/>
  <c r="K65" i="3" s="1"/>
  <c r="K64" i="3" a="1"/>
  <c r="K64" i="3" s="1"/>
  <c r="K62" i="3" a="1"/>
  <c r="K62" i="3" s="1"/>
  <c r="K61" i="3" a="1"/>
  <c r="K61" i="3" s="1"/>
  <c r="K60" i="3" a="1"/>
  <c r="K60" i="3" s="1"/>
  <c r="K59" i="3" a="1"/>
  <c r="K59" i="3" s="1"/>
  <c r="K57" i="3" a="1"/>
  <c r="K57" i="3" s="1"/>
  <c r="K72" i="3" s="1"/>
  <c r="K56" i="3" a="1"/>
  <c r="K56" i="3" s="1"/>
  <c r="K71" i="3" s="1"/>
  <c r="K55" i="3" a="1"/>
  <c r="K55" i="3" s="1"/>
  <c r="K54" i="3" a="1"/>
  <c r="K54" i="3" s="1"/>
  <c r="K69" i="3" s="1"/>
  <c r="K42" i="3" a="1"/>
  <c r="K42" i="3" s="1"/>
  <c r="K41" i="3" a="1"/>
  <c r="K41" i="3" s="1"/>
  <c r="K40" i="3" a="1"/>
  <c r="K40" i="3" s="1"/>
  <c r="K39" i="3" a="1"/>
  <c r="K39" i="3" s="1"/>
  <c r="K37" i="3" a="1"/>
  <c r="K37" i="3" s="1"/>
  <c r="K36" i="3" a="1"/>
  <c r="K36" i="3" s="1"/>
  <c r="K35" i="3" a="1"/>
  <c r="K35" i="3" s="1"/>
  <c r="K34" i="3" a="1"/>
  <c r="K34" i="3" s="1"/>
  <c r="K32" i="3" a="1"/>
  <c r="K32" i="3" s="1"/>
  <c r="K31" i="3" a="1"/>
  <c r="K31" i="3" s="1"/>
  <c r="K30" i="3" a="1"/>
  <c r="K30" i="3" s="1"/>
  <c r="K29" i="3" a="1"/>
  <c r="K29" i="3" s="1"/>
  <c r="K17" i="3" a="1"/>
  <c r="K17" i="3" s="1"/>
  <c r="K16" i="3" a="1"/>
  <c r="K16" i="3" s="1"/>
  <c r="K15" i="3" a="1"/>
  <c r="K15" i="3" s="1"/>
  <c r="K14" i="3" a="1"/>
  <c r="K14" i="3" s="1"/>
  <c r="K12" i="3" a="1"/>
  <c r="K12" i="3" s="1"/>
  <c r="K11" i="3" a="1"/>
  <c r="K11" i="3" s="1"/>
  <c r="K10" i="3" a="1"/>
  <c r="K10" i="3" s="1"/>
  <c r="K9" i="3" a="1"/>
  <c r="K9" i="3" s="1"/>
  <c r="K7" i="3" a="1"/>
  <c r="K7" i="3" s="1"/>
  <c r="K6" i="3" a="1"/>
  <c r="K6" i="3" s="1"/>
  <c r="K5" i="3" a="1"/>
  <c r="K5" i="3" s="1"/>
  <c r="K4" i="3" a="1"/>
  <c r="K4" i="3" s="1"/>
  <c r="I67" i="3" a="1"/>
  <c r="I67" i="3" s="1"/>
  <c r="I66" i="3" a="1"/>
  <c r="I66" i="3" s="1"/>
  <c r="I65" i="3" a="1"/>
  <c r="I65" i="3" s="1"/>
  <c r="I64" i="3" a="1"/>
  <c r="I64" i="3" s="1"/>
  <c r="I62" i="3" a="1"/>
  <c r="I62" i="3" s="1"/>
  <c r="I61" i="3" a="1"/>
  <c r="I61" i="3" s="1"/>
  <c r="I60" i="3" a="1"/>
  <c r="I60" i="3" s="1"/>
  <c r="I59" i="3" a="1"/>
  <c r="I59" i="3" s="1"/>
  <c r="I57" i="3" a="1"/>
  <c r="I57" i="3" s="1"/>
  <c r="I72" i="3" s="1"/>
  <c r="I56" i="3" a="1"/>
  <c r="I56" i="3" s="1"/>
  <c r="I71" i="3" s="1"/>
  <c r="I55" i="3" a="1"/>
  <c r="I55" i="3" s="1"/>
  <c r="I54" i="3" a="1"/>
  <c r="I54" i="3" s="1"/>
  <c r="I42" i="3" a="1"/>
  <c r="I42" i="3" s="1"/>
  <c r="I41" i="3" a="1"/>
  <c r="I41" i="3" s="1"/>
  <c r="I40" i="3" a="1"/>
  <c r="I40" i="3" s="1"/>
  <c r="I39" i="3" a="1"/>
  <c r="I39" i="3" s="1"/>
  <c r="I37" i="3" a="1"/>
  <c r="I37" i="3" s="1"/>
  <c r="I36" i="3" a="1"/>
  <c r="I36" i="3" s="1"/>
  <c r="I35" i="3" a="1"/>
  <c r="I35" i="3" s="1"/>
  <c r="I34" i="3" a="1"/>
  <c r="I34" i="3" s="1"/>
  <c r="I32" i="3" a="1"/>
  <c r="I32" i="3" s="1"/>
  <c r="I31" i="3" a="1"/>
  <c r="I31" i="3" s="1"/>
  <c r="I30" i="3" a="1"/>
  <c r="I30" i="3" s="1"/>
  <c r="I29" i="3" a="1"/>
  <c r="I29" i="3" s="1"/>
  <c r="I17" i="3" a="1"/>
  <c r="I17" i="3" s="1"/>
  <c r="I15" i="3" a="1"/>
  <c r="I15" i="3" s="1"/>
  <c r="I14" i="3" a="1"/>
  <c r="I14" i="3" s="1"/>
  <c r="I12" i="3" a="1"/>
  <c r="I12" i="3" s="1"/>
  <c r="I11" i="3" a="1"/>
  <c r="I11" i="3" s="1"/>
  <c r="I10" i="3" a="1"/>
  <c r="I10" i="3" s="1"/>
  <c r="I9" i="3" a="1"/>
  <c r="I9" i="3" s="1"/>
  <c r="I7" i="3" a="1"/>
  <c r="I7" i="3" s="1"/>
  <c r="I6" i="3" a="1"/>
  <c r="I6" i="3" s="1"/>
  <c r="I5" i="3" a="1"/>
  <c r="I5" i="3" s="1"/>
  <c r="I4" i="3" a="1"/>
  <c r="I4" i="3" s="1"/>
  <c r="G67" i="3" a="1"/>
  <c r="G67" i="3" s="1"/>
  <c r="G66" i="3" a="1"/>
  <c r="G66" i="3" s="1"/>
  <c r="G65" i="3" a="1"/>
  <c r="G65" i="3" s="1"/>
  <c r="G64" i="3" a="1"/>
  <c r="G64" i="3" s="1"/>
  <c r="G62" i="3" a="1"/>
  <c r="G62" i="3" s="1"/>
  <c r="G61" i="3" a="1"/>
  <c r="G61" i="3" s="1"/>
  <c r="G60" i="3" a="1"/>
  <c r="G60" i="3" s="1"/>
  <c r="G59" i="3" a="1"/>
  <c r="G59" i="3" s="1"/>
  <c r="G57" i="3" a="1"/>
  <c r="G57" i="3" s="1"/>
  <c r="G56" i="3" a="1"/>
  <c r="G56" i="3" s="1"/>
  <c r="G55" i="3" a="1"/>
  <c r="G55" i="3" s="1"/>
  <c r="G54" i="3" a="1"/>
  <c r="G54" i="3" s="1"/>
  <c r="G69" i="3" s="1"/>
  <c r="G42" i="3" a="1"/>
  <c r="G42" i="3" s="1"/>
  <c r="G41" i="3" a="1"/>
  <c r="G41" i="3" s="1"/>
  <c r="G40" i="3" a="1"/>
  <c r="G40" i="3" s="1"/>
  <c r="G39" i="3" a="1"/>
  <c r="G39" i="3" s="1"/>
  <c r="G37" i="3" a="1"/>
  <c r="G37" i="3" s="1"/>
  <c r="G36" i="3" a="1"/>
  <c r="G36" i="3" s="1"/>
  <c r="G35" i="3" a="1"/>
  <c r="G35" i="3" s="1"/>
  <c r="G34" i="3" a="1"/>
  <c r="G34" i="3" s="1"/>
  <c r="G32" i="3" a="1"/>
  <c r="G32" i="3" s="1"/>
  <c r="G31" i="3" a="1"/>
  <c r="G31" i="3" s="1"/>
  <c r="G30" i="3" a="1"/>
  <c r="G30" i="3" s="1"/>
  <c r="G29" i="3" a="1"/>
  <c r="G29" i="3" s="1"/>
  <c r="G17" i="3" a="1"/>
  <c r="G17" i="3" s="1"/>
  <c r="G16" i="3" a="1"/>
  <c r="G16" i="3" s="1"/>
  <c r="G15" i="3" a="1"/>
  <c r="G15" i="3" s="1"/>
  <c r="G14" i="3" a="1"/>
  <c r="G14" i="3" s="1"/>
  <c r="G12" i="3" a="1"/>
  <c r="G12" i="3" s="1"/>
  <c r="G11" i="3" a="1"/>
  <c r="G11" i="3" s="1"/>
  <c r="G10" i="3" a="1"/>
  <c r="G10" i="3" s="1"/>
  <c r="G9" i="3" a="1"/>
  <c r="G9" i="3" s="1"/>
  <c r="G7" i="3" a="1"/>
  <c r="G7" i="3" s="1"/>
  <c r="G6" i="3" a="1"/>
  <c r="G6" i="3" s="1"/>
  <c r="G5" i="3" a="1"/>
  <c r="G5" i="3" s="1"/>
  <c r="G4" i="3" a="1"/>
  <c r="G4" i="3" s="1"/>
  <c r="E67" i="3" a="1"/>
  <c r="E67" i="3" s="1"/>
  <c r="E66" i="3" a="1"/>
  <c r="E66" i="3" s="1"/>
  <c r="E65" i="3" a="1"/>
  <c r="E65" i="3" s="1"/>
  <c r="E64" i="3" a="1"/>
  <c r="E64" i="3" s="1"/>
  <c r="E62" i="3" a="1"/>
  <c r="E62" i="3" s="1"/>
  <c r="E61" i="3" a="1"/>
  <c r="E61" i="3" s="1"/>
  <c r="E60" i="3" a="1"/>
  <c r="E60" i="3" s="1"/>
  <c r="E59" i="3" a="1"/>
  <c r="E59" i="3" s="1"/>
  <c r="E57" i="3" a="1"/>
  <c r="E57" i="3" s="1"/>
  <c r="E56" i="3" a="1"/>
  <c r="E56" i="3" s="1"/>
  <c r="E55" i="3" a="1"/>
  <c r="E55" i="3" s="1"/>
  <c r="E54" i="3" a="1"/>
  <c r="E54" i="3" s="1"/>
  <c r="E69" i="3" s="1"/>
  <c r="E42" i="3" a="1"/>
  <c r="E42" i="3" s="1"/>
  <c r="E41" i="3" a="1"/>
  <c r="E41" i="3" s="1"/>
  <c r="E40" i="3" a="1"/>
  <c r="E40" i="3" s="1"/>
  <c r="E39" i="3" a="1"/>
  <c r="E39" i="3" s="1"/>
  <c r="E37" i="3" a="1"/>
  <c r="E37" i="3" s="1"/>
  <c r="E36" i="3" a="1"/>
  <c r="E36" i="3" s="1"/>
  <c r="E35" i="3" a="1"/>
  <c r="E35" i="3" s="1"/>
  <c r="E34" i="3" a="1"/>
  <c r="E34" i="3" s="1"/>
  <c r="E32" i="3" a="1"/>
  <c r="E32" i="3" s="1"/>
  <c r="E31" i="3" a="1"/>
  <c r="E31" i="3" s="1"/>
  <c r="E30" i="3" a="1"/>
  <c r="E30" i="3" s="1"/>
  <c r="E29" i="3" a="1"/>
  <c r="E29" i="3" s="1"/>
  <c r="E17" i="3" a="1"/>
  <c r="E17" i="3" s="1"/>
  <c r="E16" i="3" a="1"/>
  <c r="E16" i="3" s="1"/>
  <c r="E15" i="3" a="1"/>
  <c r="E15" i="3" s="1"/>
  <c r="E14" i="3" a="1"/>
  <c r="E14" i="3" s="1"/>
  <c r="E12" i="3" a="1"/>
  <c r="E12" i="3" s="1"/>
  <c r="E11" i="3" a="1"/>
  <c r="E11" i="3" s="1"/>
  <c r="E10" i="3" a="1"/>
  <c r="E10" i="3" s="1"/>
  <c r="E9" i="3" a="1"/>
  <c r="E9" i="3" s="1"/>
  <c r="E7" i="3" a="1"/>
  <c r="E7" i="3" s="1"/>
  <c r="E6" i="3" a="1"/>
  <c r="E6" i="3" s="1"/>
  <c r="E5" i="3" a="1"/>
  <c r="E5" i="3" s="1"/>
  <c r="E4" i="3" a="1"/>
  <c r="E4" i="3" s="1"/>
  <c r="L120" i="2"/>
  <c r="L121" i="2"/>
  <c r="L122" i="2"/>
  <c r="L119" i="2"/>
  <c r="J120" i="2"/>
  <c r="J121" i="2"/>
  <c r="J122" i="2"/>
  <c r="J119" i="2"/>
  <c r="K56" i="2" a="1"/>
  <c r="K56" i="2" s="1"/>
  <c r="S55" i="2" a="1"/>
  <c r="S55" i="2" s="1"/>
  <c r="Q55" i="2" a="1"/>
  <c r="Q55" i="2" s="1"/>
  <c r="O55" i="2" a="1"/>
  <c r="O55" i="2" s="1"/>
  <c r="M55" i="2" a="1"/>
  <c r="M55" i="2" s="1"/>
  <c r="K55" i="2" a="1"/>
  <c r="K55" i="2" s="1"/>
  <c r="I55" i="2" a="1"/>
  <c r="I55" i="2" s="1"/>
  <c r="G55" i="2" a="1"/>
  <c r="G55" i="2" s="1"/>
  <c r="E55" i="2" a="1"/>
  <c r="E55" i="2" s="1"/>
  <c r="S54" i="2" a="1"/>
  <c r="S54" i="2" s="1"/>
  <c r="Q54" i="2" a="1"/>
  <c r="Q54" i="2" s="1"/>
  <c r="O54" i="2" a="1"/>
  <c r="O54" i="2" s="1"/>
  <c r="M54" i="2" a="1"/>
  <c r="M54" i="2" s="1"/>
  <c r="K54" i="2" a="1"/>
  <c r="K54" i="2" s="1"/>
  <c r="I54" i="2" a="1"/>
  <c r="I54" i="2" s="1"/>
  <c r="G54" i="2" a="1"/>
  <c r="G54" i="2" s="1"/>
  <c r="E54" i="2" a="1"/>
  <c r="E54" i="2" s="1"/>
  <c r="S57" i="2" a="1"/>
  <c r="S57" i="2" s="1"/>
  <c r="Q57" i="2" a="1"/>
  <c r="Q57" i="2" s="1"/>
  <c r="O57" i="2" a="1"/>
  <c r="O57" i="2" s="1"/>
  <c r="M57" i="2" a="1"/>
  <c r="M57" i="2" s="1"/>
  <c r="K57" i="2" a="1"/>
  <c r="K57" i="2" s="1"/>
  <c r="I57" i="2" a="1"/>
  <c r="I57" i="2" s="1"/>
  <c r="G57" i="2" a="1"/>
  <c r="G57" i="2" s="1"/>
  <c r="E57" i="2" a="1"/>
  <c r="E57" i="2" s="1"/>
  <c r="S56" i="2" a="1"/>
  <c r="S56" i="2" s="1"/>
  <c r="Q56" i="2" a="1"/>
  <c r="Q56" i="2" s="1"/>
  <c r="O56" i="2" a="1"/>
  <c r="O56" i="2" s="1"/>
  <c r="M56" i="2" a="1"/>
  <c r="M56" i="2" s="1"/>
  <c r="I56" i="2" a="1"/>
  <c r="I56" i="2" s="1"/>
  <c r="G56" i="2" a="1"/>
  <c r="G56" i="2" s="1"/>
  <c r="E56" i="2" a="1"/>
  <c r="E56" i="2" s="1"/>
  <c r="S62" i="2" a="1"/>
  <c r="S62" i="2" s="1"/>
  <c r="Q62" i="2" a="1"/>
  <c r="Q62" i="2" s="1"/>
  <c r="O62" i="2" a="1"/>
  <c r="O62" i="2" s="1"/>
  <c r="M62" i="2" a="1"/>
  <c r="M62" i="2" s="1"/>
  <c r="K62" i="2" a="1"/>
  <c r="K62" i="2" s="1"/>
  <c r="I62" i="2" a="1"/>
  <c r="I62" i="2" s="1"/>
  <c r="G62" i="2" a="1"/>
  <c r="G62" i="2" s="1"/>
  <c r="E62" i="2" a="1"/>
  <c r="E62" i="2" s="1"/>
  <c r="S61" i="2" a="1"/>
  <c r="S61" i="2" s="1"/>
  <c r="Q61" i="2" a="1"/>
  <c r="Q61" i="2" s="1"/>
  <c r="O61" i="2" a="1"/>
  <c r="O61" i="2" s="1"/>
  <c r="M61" i="2" a="1"/>
  <c r="M61" i="2" s="1"/>
  <c r="K61" i="2" a="1"/>
  <c r="K61" i="2" s="1"/>
  <c r="I61" i="2" a="1"/>
  <c r="I61" i="2" s="1"/>
  <c r="G61" i="2" a="1"/>
  <c r="G61" i="2" s="1"/>
  <c r="E61" i="2" a="1"/>
  <c r="E61" i="2" s="1"/>
  <c r="S60" i="2" a="1"/>
  <c r="S60" i="2" s="1"/>
  <c r="Q60" i="2" a="1"/>
  <c r="Q60" i="2" s="1"/>
  <c r="O60" i="2" a="1"/>
  <c r="O60" i="2" s="1"/>
  <c r="M60" i="2" a="1"/>
  <c r="M60" i="2" s="1"/>
  <c r="K60" i="2" a="1"/>
  <c r="K60" i="2" s="1"/>
  <c r="I60" i="2" a="1"/>
  <c r="I60" i="2" s="1"/>
  <c r="G60" i="2" a="1"/>
  <c r="G60" i="2" s="1"/>
  <c r="E60" i="2" a="1"/>
  <c r="E60" i="2" s="1"/>
  <c r="S59" i="2" a="1"/>
  <c r="S59" i="2" s="1"/>
  <c r="Q59" i="2" a="1"/>
  <c r="Q59" i="2" s="1"/>
  <c r="O59" i="2" a="1"/>
  <c r="O59" i="2" s="1"/>
  <c r="M59" i="2" a="1"/>
  <c r="M59" i="2" s="1"/>
  <c r="K59" i="2" a="1"/>
  <c r="K59" i="2" s="1"/>
  <c r="I59" i="2" a="1"/>
  <c r="I59" i="2" s="1"/>
  <c r="G59" i="2" a="1"/>
  <c r="G59" i="2" s="1"/>
  <c r="E59" i="2" a="1"/>
  <c r="E59" i="2" s="1"/>
  <c r="S65" i="2" a="1"/>
  <c r="S65" i="2" s="1"/>
  <c r="Q65" i="2" a="1"/>
  <c r="Q65" i="2" s="1"/>
  <c r="O65" i="2" a="1"/>
  <c r="O65" i="2" s="1"/>
  <c r="M65" i="2" a="1"/>
  <c r="M65" i="2" s="1"/>
  <c r="K65" i="2" a="1"/>
  <c r="K65" i="2" s="1"/>
  <c r="I65" i="2" a="1"/>
  <c r="I65" i="2" s="1"/>
  <c r="G65" i="2" a="1"/>
  <c r="G65" i="2" s="1"/>
  <c r="E65" i="2" a="1"/>
  <c r="E65" i="2" s="1"/>
  <c r="S64" i="2" a="1"/>
  <c r="S64" i="2" s="1"/>
  <c r="Q64" i="2" a="1"/>
  <c r="Q64" i="2" s="1"/>
  <c r="O64" i="2" a="1"/>
  <c r="O64" i="2" s="1"/>
  <c r="M64" i="2" a="1"/>
  <c r="M64" i="2" s="1"/>
  <c r="K64" i="2" a="1"/>
  <c r="K64" i="2" s="1"/>
  <c r="I64" i="2" a="1"/>
  <c r="I64" i="2" s="1"/>
  <c r="G64" i="2" a="1"/>
  <c r="G64" i="2" s="1"/>
  <c r="E64" i="2" a="1"/>
  <c r="E64" i="2" s="1"/>
  <c r="S67" i="2" a="1"/>
  <c r="S67" i="2" s="1"/>
  <c r="Q67" i="2" a="1"/>
  <c r="Q67" i="2" s="1"/>
  <c r="O67" i="2" a="1"/>
  <c r="O67" i="2" s="1"/>
  <c r="M67" i="2" a="1"/>
  <c r="M67" i="2" s="1"/>
  <c r="K67" i="2" a="1"/>
  <c r="K67" i="2" s="1"/>
  <c r="I67" i="2" a="1"/>
  <c r="I67" i="2" s="1"/>
  <c r="G67" i="2" a="1"/>
  <c r="G67" i="2" s="1"/>
  <c r="E67" i="2" a="1"/>
  <c r="E67" i="2" s="1"/>
  <c r="S66" i="2" a="1"/>
  <c r="S66" i="2" s="1"/>
  <c r="Q66" i="2" a="1"/>
  <c r="Q66" i="2" s="1"/>
  <c r="O66" i="2" a="1"/>
  <c r="O66" i="2" s="1"/>
  <c r="M66" i="2" a="1"/>
  <c r="M66" i="2" s="1"/>
  <c r="K66" i="2" a="1"/>
  <c r="K66" i="2" s="1"/>
  <c r="I66" i="2" a="1"/>
  <c r="I66" i="2" s="1"/>
  <c r="G66" i="2" a="1"/>
  <c r="G66" i="2" s="1"/>
  <c r="E66" i="2" a="1"/>
  <c r="E66" i="2" s="1"/>
  <c r="K41" i="2" a="1"/>
  <c r="K41" i="2" s="1"/>
  <c r="E82" i="7" l="1"/>
  <c r="Q67" i="7"/>
  <c r="Q69" i="7"/>
  <c r="E85" i="7"/>
  <c r="Q70" i="7"/>
  <c r="E87" i="7"/>
  <c r="E89" i="7"/>
  <c r="E90" i="7"/>
  <c r="M70" i="7"/>
  <c r="E35" i="7"/>
  <c r="Q20" i="7"/>
  <c r="E36" i="7"/>
  <c r="Q21" i="7"/>
  <c r="E37" i="7"/>
  <c r="E38" i="7"/>
  <c r="E40" i="7"/>
  <c r="M21" i="7"/>
  <c r="E42" i="7"/>
  <c r="E43" i="7"/>
  <c r="E31" i="7"/>
  <c r="E21" i="7"/>
  <c r="E78" i="7"/>
  <c r="E68" i="7"/>
  <c r="I68" i="7"/>
  <c r="M68" i="7"/>
  <c r="Q68" i="7"/>
  <c r="U21" i="7"/>
  <c r="E22" i="7"/>
  <c r="E32" i="7"/>
  <c r="I22" i="7"/>
  <c r="E69" i="7"/>
  <c r="E79" i="7"/>
  <c r="I79" i="7" s="1"/>
  <c r="M22" i="7"/>
  <c r="E83" i="7"/>
  <c r="Q22" i="7"/>
  <c r="M69" i="7"/>
  <c r="E41" i="7"/>
  <c r="E23" i="7"/>
  <c r="E33" i="7"/>
  <c r="I33" i="7" s="1"/>
  <c r="E67" i="7"/>
  <c r="E77" i="7"/>
  <c r="I77" i="7" s="1"/>
  <c r="U69" i="7"/>
  <c r="E20" i="7"/>
  <c r="E30" i="7"/>
  <c r="I23" i="7"/>
  <c r="E70" i="7"/>
  <c r="E80" i="7"/>
  <c r="I80" i="7" s="1"/>
  <c r="I20" i="7"/>
  <c r="M23" i="7"/>
  <c r="I67" i="7"/>
  <c r="I70" i="7"/>
  <c r="E84" i="7"/>
  <c r="M20" i="7"/>
  <c r="Q23" i="7"/>
  <c r="M67" i="7"/>
  <c r="E88" i="7"/>
  <c r="E83" i="6"/>
  <c r="Q68" i="6"/>
  <c r="Q69" i="6"/>
  <c r="E85" i="6"/>
  <c r="E87" i="6"/>
  <c r="U67" i="6"/>
  <c r="E88" i="6"/>
  <c r="U68" i="6"/>
  <c r="M68" i="6"/>
  <c r="E89" i="6"/>
  <c r="U69" i="6"/>
  <c r="M69" i="6"/>
  <c r="E90" i="6"/>
  <c r="U70" i="6"/>
  <c r="E36" i="6"/>
  <c r="Q21" i="6"/>
  <c r="E37" i="6"/>
  <c r="Q22" i="6"/>
  <c r="Q23" i="6"/>
  <c r="E40" i="6"/>
  <c r="M20" i="6"/>
  <c r="U20" i="6"/>
  <c r="U21" i="6"/>
  <c r="M21" i="6"/>
  <c r="U22" i="6"/>
  <c r="M22" i="6"/>
  <c r="E43" i="6"/>
  <c r="U23" i="6"/>
  <c r="M23" i="6"/>
  <c r="E69" i="6"/>
  <c r="E79" i="6"/>
  <c r="E22" i="6"/>
  <c r="E32" i="6"/>
  <c r="E41" i="6"/>
  <c r="E67" i="6"/>
  <c r="E77" i="6"/>
  <c r="E23" i="6"/>
  <c r="E33" i="6"/>
  <c r="I67" i="6"/>
  <c r="E80" i="6"/>
  <c r="E70" i="6"/>
  <c r="E30" i="6"/>
  <c r="E20" i="6"/>
  <c r="I23" i="6"/>
  <c r="M67" i="6"/>
  <c r="I70" i="6"/>
  <c r="E84" i="6"/>
  <c r="I20" i="6"/>
  <c r="M70" i="6"/>
  <c r="Q67" i="6"/>
  <c r="Q70" i="6"/>
  <c r="Q20" i="6"/>
  <c r="E38" i="6"/>
  <c r="E42" i="6"/>
  <c r="E35" i="6"/>
  <c r="E78" i="6"/>
  <c r="I78" i="6" s="1"/>
  <c r="E68" i="6"/>
  <c r="E31" i="6"/>
  <c r="E21" i="6"/>
  <c r="I68" i="6"/>
  <c r="E82" i="6"/>
  <c r="I21" i="6"/>
  <c r="U70" i="5"/>
  <c r="U69" i="5"/>
  <c r="Q70" i="5"/>
  <c r="Q69" i="5"/>
  <c r="Q67" i="5"/>
  <c r="M70" i="5"/>
  <c r="M69" i="5"/>
  <c r="M67" i="5"/>
  <c r="E90" i="5"/>
  <c r="E89" i="5"/>
  <c r="E88" i="5"/>
  <c r="E87" i="5"/>
  <c r="E85" i="5"/>
  <c r="I70" i="5"/>
  <c r="E84" i="5"/>
  <c r="E83" i="5"/>
  <c r="E82" i="5"/>
  <c r="I67" i="5"/>
  <c r="E70" i="5"/>
  <c r="E80" i="5"/>
  <c r="E67" i="5"/>
  <c r="E77" i="5"/>
  <c r="U67" i="5"/>
  <c r="E68" i="5"/>
  <c r="E78" i="5"/>
  <c r="I68" i="5"/>
  <c r="M68" i="5"/>
  <c r="Q68" i="5"/>
  <c r="U68" i="5"/>
  <c r="E69" i="5"/>
  <c r="E79" i="5"/>
  <c r="I69" i="5"/>
  <c r="U23" i="5"/>
  <c r="U22" i="5"/>
  <c r="U21" i="5"/>
  <c r="U20" i="5"/>
  <c r="Q23" i="5"/>
  <c r="Q22" i="5"/>
  <c r="Q21" i="5"/>
  <c r="Q20" i="5"/>
  <c r="M23" i="5"/>
  <c r="M22" i="5"/>
  <c r="M21" i="5"/>
  <c r="M20" i="5"/>
  <c r="I23" i="5"/>
  <c r="I22" i="5"/>
  <c r="I21" i="5"/>
  <c r="I20" i="5"/>
  <c r="E23" i="5"/>
  <c r="E22" i="5"/>
  <c r="E21" i="5"/>
  <c r="E20" i="5"/>
  <c r="O69" i="3"/>
  <c r="E70" i="4"/>
  <c r="S19" i="4"/>
  <c r="S20" i="4"/>
  <c r="S21" i="4"/>
  <c r="S22" i="4"/>
  <c r="Q19" i="4"/>
  <c r="Q20" i="4"/>
  <c r="Q21" i="4"/>
  <c r="O84" i="4"/>
  <c r="O20" i="4"/>
  <c r="O21" i="4"/>
  <c r="O22" i="4"/>
  <c r="M84" i="4"/>
  <c r="M20" i="4"/>
  <c r="M21" i="4"/>
  <c r="M22" i="4"/>
  <c r="K19" i="4"/>
  <c r="K20" i="4"/>
  <c r="K21" i="4"/>
  <c r="K22" i="4"/>
  <c r="I19" i="4"/>
  <c r="I20" i="4"/>
  <c r="I21" i="4"/>
  <c r="I22" i="4"/>
  <c r="G84" i="4"/>
  <c r="G20" i="4"/>
  <c r="G21" i="4"/>
  <c r="G86" i="4"/>
  <c r="G22" i="4"/>
  <c r="E19" i="4"/>
  <c r="E20" i="4"/>
  <c r="E22" i="4"/>
  <c r="E69" i="4"/>
  <c r="G19" i="4"/>
  <c r="I79" i="4"/>
  <c r="I44" i="4"/>
  <c r="I81" i="4"/>
  <c r="I46" i="4"/>
  <c r="I84" i="4"/>
  <c r="I86" i="4"/>
  <c r="I89" i="4"/>
  <c r="I91" i="4"/>
  <c r="E21" i="4"/>
  <c r="E44" i="4"/>
  <c r="K79" i="4"/>
  <c r="K44" i="4"/>
  <c r="K81" i="4"/>
  <c r="K46" i="4"/>
  <c r="K84" i="4"/>
  <c r="K86" i="4"/>
  <c r="K89" i="4"/>
  <c r="K91" i="4"/>
  <c r="M19" i="4"/>
  <c r="M89" i="4"/>
  <c r="M91" i="4"/>
  <c r="O86" i="4"/>
  <c r="O89" i="4"/>
  <c r="O91" i="4"/>
  <c r="G81" i="4"/>
  <c r="G46" i="4"/>
  <c r="Q81" i="4"/>
  <c r="Q46" i="4"/>
  <c r="Q89" i="4"/>
  <c r="Q91" i="4"/>
  <c r="E81" i="4"/>
  <c r="E46" i="4"/>
  <c r="M81" i="4"/>
  <c r="M46" i="4"/>
  <c r="O81" i="4"/>
  <c r="O46" i="4"/>
  <c r="Q84" i="4"/>
  <c r="S44" i="4"/>
  <c r="S81" i="4"/>
  <c r="S46" i="4"/>
  <c r="S84" i="4"/>
  <c r="S86" i="4"/>
  <c r="S89" i="4"/>
  <c r="S91" i="4"/>
  <c r="G79" i="4"/>
  <c r="G44" i="4"/>
  <c r="O19" i="4"/>
  <c r="O79" i="4"/>
  <c r="O44" i="4"/>
  <c r="Q79" i="4"/>
  <c r="Q44" i="4"/>
  <c r="E80" i="4"/>
  <c r="E45" i="4"/>
  <c r="E82" i="4"/>
  <c r="E47" i="4"/>
  <c r="E85" i="4"/>
  <c r="E87" i="4"/>
  <c r="E92" i="4"/>
  <c r="G80" i="4"/>
  <c r="G45" i="4"/>
  <c r="G82" i="4"/>
  <c r="G47" i="4"/>
  <c r="G85" i="4"/>
  <c r="G87" i="4"/>
  <c r="G90" i="4"/>
  <c r="G92" i="4"/>
  <c r="E71" i="4"/>
  <c r="I80" i="4"/>
  <c r="I45" i="4"/>
  <c r="I82" i="4"/>
  <c r="I47" i="4"/>
  <c r="I85" i="4"/>
  <c r="I87" i="4"/>
  <c r="I90" i="4"/>
  <c r="K80" i="4"/>
  <c r="K45" i="4"/>
  <c r="K82" i="4"/>
  <c r="K47" i="4"/>
  <c r="K85" i="4"/>
  <c r="K87" i="4"/>
  <c r="K90" i="4"/>
  <c r="K92" i="4"/>
  <c r="M80" i="4"/>
  <c r="M45" i="4"/>
  <c r="M47" i="4"/>
  <c r="M85" i="4"/>
  <c r="M87" i="4"/>
  <c r="M90" i="4"/>
  <c r="M92" i="4"/>
  <c r="O80" i="4"/>
  <c r="O45" i="4"/>
  <c r="O82" i="4"/>
  <c r="O47" i="4"/>
  <c r="O85" i="4"/>
  <c r="O87" i="4"/>
  <c r="O90" i="4"/>
  <c r="O92" i="4"/>
  <c r="Q85" i="4"/>
  <c r="Q90" i="4"/>
  <c r="Q92" i="4"/>
  <c r="E84" i="4"/>
  <c r="M79" i="4"/>
  <c r="M44" i="4"/>
  <c r="Q22" i="4"/>
  <c r="Q80" i="4"/>
  <c r="Q45" i="4"/>
  <c r="Q82" i="4"/>
  <c r="Q47" i="4"/>
  <c r="Q87" i="4"/>
  <c r="S80" i="4"/>
  <c r="S45" i="4"/>
  <c r="S47" i="4"/>
  <c r="S90" i="4"/>
  <c r="S92" i="4"/>
  <c r="K70" i="3"/>
  <c r="M91" i="3"/>
  <c r="M69" i="3"/>
  <c r="M70" i="3"/>
  <c r="E70" i="3"/>
  <c r="M71" i="3"/>
  <c r="E71" i="3"/>
  <c r="M72" i="3"/>
  <c r="E72" i="3"/>
  <c r="G70" i="3"/>
  <c r="O70" i="3"/>
  <c r="G71" i="3"/>
  <c r="O71" i="3"/>
  <c r="G72" i="3"/>
  <c r="I69" i="3"/>
  <c r="O72" i="3"/>
  <c r="I70" i="3"/>
  <c r="S19" i="3"/>
  <c r="S20" i="3"/>
  <c r="S21" i="3"/>
  <c r="S22" i="3"/>
  <c r="Q19" i="3"/>
  <c r="Q21" i="3"/>
  <c r="Q22" i="3"/>
  <c r="O19" i="3"/>
  <c r="O20" i="3"/>
  <c r="O21" i="3"/>
  <c r="O22" i="3"/>
  <c r="M19" i="3"/>
  <c r="M84" i="3"/>
  <c r="M20" i="3"/>
  <c r="M86" i="3"/>
  <c r="M21" i="3"/>
  <c r="M22" i="3"/>
  <c r="M89" i="3"/>
  <c r="K19" i="3"/>
  <c r="K84" i="3"/>
  <c r="K20" i="3"/>
  <c r="K21" i="3"/>
  <c r="K22" i="3"/>
  <c r="I19" i="3"/>
  <c r="I20" i="3"/>
  <c r="I21" i="3"/>
  <c r="I22" i="3"/>
  <c r="G19" i="3"/>
  <c r="G20" i="3"/>
  <c r="G21" i="3"/>
  <c r="G22" i="3"/>
  <c r="E19" i="3"/>
  <c r="E20" i="3"/>
  <c r="E21" i="3"/>
  <c r="E22" i="3"/>
  <c r="E86" i="3"/>
  <c r="E89" i="3"/>
  <c r="E91" i="3"/>
  <c r="E84" i="3"/>
  <c r="G79" i="3"/>
  <c r="G44" i="3"/>
  <c r="G81" i="3"/>
  <c r="G46" i="3"/>
  <c r="G84" i="3"/>
  <c r="G86" i="3"/>
  <c r="G89" i="3"/>
  <c r="G91" i="3"/>
  <c r="E79" i="3"/>
  <c r="E44" i="3"/>
  <c r="I84" i="3"/>
  <c r="I86" i="3"/>
  <c r="I89" i="3"/>
  <c r="I91" i="3"/>
  <c r="K86" i="3"/>
  <c r="K89" i="3"/>
  <c r="K91" i="3"/>
  <c r="I46" i="3"/>
  <c r="I81" i="3"/>
  <c r="M44" i="3"/>
  <c r="M79" i="3"/>
  <c r="O86" i="3"/>
  <c r="O89" i="3"/>
  <c r="O91" i="3"/>
  <c r="K81" i="3"/>
  <c r="K46" i="3"/>
  <c r="Q89" i="3"/>
  <c r="Q91" i="3"/>
  <c r="Q84" i="3"/>
  <c r="S79" i="3"/>
  <c r="S44" i="3"/>
  <c r="S81" i="3"/>
  <c r="S46" i="3"/>
  <c r="S84" i="3"/>
  <c r="S86" i="3"/>
  <c r="S89" i="3"/>
  <c r="S91" i="3"/>
  <c r="I79" i="3"/>
  <c r="I44" i="3"/>
  <c r="Q79" i="3"/>
  <c r="Q44" i="3"/>
  <c r="Q81" i="3"/>
  <c r="Q46" i="3"/>
  <c r="Q86" i="3"/>
  <c r="E80" i="3"/>
  <c r="E45" i="3"/>
  <c r="E82" i="3"/>
  <c r="E47" i="3"/>
  <c r="E85" i="3"/>
  <c r="E87" i="3"/>
  <c r="E90" i="3"/>
  <c r="E92" i="3"/>
  <c r="E81" i="3"/>
  <c r="E46" i="3"/>
  <c r="G80" i="3"/>
  <c r="G45" i="3"/>
  <c r="G82" i="3"/>
  <c r="G47" i="3"/>
  <c r="G85" i="3"/>
  <c r="G87" i="3"/>
  <c r="G90" i="3"/>
  <c r="G92" i="3"/>
  <c r="K79" i="3"/>
  <c r="K44" i="3"/>
  <c r="I80" i="3"/>
  <c r="I45" i="3"/>
  <c r="I82" i="3"/>
  <c r="I47" i="3"/>
  <c r="I85" i="3"/>
  <c r="I87" i="3"/>
  <c r="I90" i="3"/>
  <c r="I92" i="3"/>
  <c r="M81" i="3"/>
  <c r="M46" i="3"/>
  <c r="K80" i="3"/>
  <c r="K45" i="3"/>
  <c r="K82" i="3"/>
  <c r="K47" i="3"/>
  <c r="K85" i="3"/>
  <c r="K87" i="3"/>
  <c r="K90" i="3"/>
  <c r="K92" i="3"/>
  <c r="M85" i="3"/>
  <c r="M87" i="3"/>
  <c r="M90" i="3"/>
  <c r="M92" i="3"/>
  <c r="M45" i="3"/>
  <c r="M80" i="3"/>
  <c r="M47" i="3"/>
  <c r="M82" i="3"/>
  <c r="O80" i="3"/>
  <c r="O45" i="3"/>
  <c r="O82" i="3"/>
  <c r="O47" i="3"/>
  <c r="O85" i="3"/>
  <c r="O87" i="3"/>
  <c r="O90" i="3"/>
  <c r="O92" i="3"/>
  <c r="O79" i="3"/>
  <c r="O44" i="3"/>
  <c r="Q82" i="3"/>
  <c r="Q47" i="3"/>
  <c r="Q87" i="3"/>
  <c r="Q92" i="3"/>
  <c r="O81" i="3"/>
  <c r="O46" i="3"/>
  <c r="Q20" i="3"/>
  <c r="Q45" i="3"/>
  <c r="Q80" i="3"/>
  <c r="Q85" i="3"/>
  <c r="Q90" i="3"/>
  <c r="S80" i="3"/>
  <c r="S45" i="3"/>
  <c r="S82" i="3"/>
  <c r="S47" i="3"/>
  <c r="S85" i="3"/>
  <c r="S87" i="3"/>
  <c r="S90" i="3"/>
  <c r="S92" i="3"/>
  <c r="Q70" i="2"/>
  <c r="Q72" i="2"/>
  <c r="O70" i="2"/>
  <c r="K70" i="2"/>
  <c r="M70" i="2"/>
  <c r="Q69" i="2"/>
  <c r="K72" i="2"/>
  <c r="G72" i="2"/>
  <c r="M72" i="2"/>
  <c r="I72" i="2"/>
  <c r="Q71" i="2"/>
  <c r="S71" i="2"/>
  <c r="E72" i="2"/>
  <c r="K71" i="2"/>
  <c r="S69" i="2"/>
  <c r="M69" i="2"/>
  <c r="G70" i="2"/>
  <c r="K69" i="2"/>
  <c r="M71" i="2"/>
  <c r="O69" i="2"/>
  <c r="G71" i="2"/>
  <c r="S70" i="2"/>
  <c r="G69" i="2"/>
  <c r="I70" i="2"/>
  <c r="E70" i="2"/>
  <c r="O71" i="2"/>
  <c r="I71" i="2"/>
  <c r="S72" i="2"/>
  <c r="E71" i="2"/>
  <c r="I69" i="2"/>
  <c r="O72" i="2"/>
  <c r="E69" i="2"/>
  <c r="S30" i="2" a="1"/>
  <c r="S30" i="2" s="1"/>
  <c r="Q30" i="2" a="1"/>
  <c r="Q30" i="2" s="1"/>
  <c r="Q80" i="2" s="1"/>
  <c r="O30" i="2" a="1"/>
  <c r="O30" i="2" s="1"/>
  <c r="O80" i="2" s="1"/>
  <c r="M30" i="2" a="1"/>
  <c r="M30" i="2" s="1"/>
  <c r="M80" i="2" s="1"/>
  <c r="K30" i="2" a="1"/>
  <c r="K30" i="2" s="1"/>
  <c r="K80" i="2" s="1"/>
  <c r="I30" i="2" a="1"/>
  <c r="I30" i="2" s="1"/>
  <c r="G30" i="2" a="1"/>
  <c r="G30" i="2" s="1"/>
  <c r="E30" i="2" a="1"/>
  <c r="E30" i="2" s="1"/>
  <c r="S29" i="2" a="1"/>
  <c r="S29" i="2" s="1"/>
  <c r="Q29" i="2" a="1"/>
  <c r="Q29" i="2" s="1"/>
  <c r="O29" i="2" a="1"/>
  <c r="O29" i="2" s="1"/>
  <c r="M29" i="2" a="1"/>
  <c r="M29" i="2" s="1"/>
  <c r="K29" i="2" a="1"/>
  <c r="K29" i="2" s="1"/>
  <c r="K79" i="2" s="1"/>
  <c r="I29" i="2" a="1"/>
  <c r="I29" i="2" s="1"/>
  <c r="G29" i="2" a="1"/>
  <c r="G29" i="2" s="1"/>
  <c r="E29" i="2" a="1"/>
  <c r="E29" i="2" s="1"/>
  <c r="S32" i="2" a="1"/>
  <c r="S32" i="2" s="1"/>
  <c r="Q32" i="2" a="1"/>
  <c r="Q32" i="2" s="1"/>
  <c r="Q82" i="2" s="1"/>
  <c r="O32" i="2" a="1"/>
  <c r="O32" i="2" s="1"/>
  <c r="M32" i="2" a="1"/>
  <c r="M32" i="2" s="1"/>
  <c r="M82" i="2" s="1"/>
  <c r="K32" i="2" a="1"/>
  <c r="K32" i="2" s="1"/>
  <c r="K82" i="2" s="1"/>
  <c r="I32" i="2" a="1"/>
  <c r="I32" i="2" s="1"/>
  <c r="G32" i="2" a="1"/>
  <c r="G32" i="2" s="1"/>
  <c r="E32" i="2" a="1"/>
  <c r="E32" i="2" s="1"/>
  <c r="S31" i="2" a="1"/>
  <c r="S31" i="2" s="1"/>
  <c r="Q31" i="2" a="1"/>
  <c r="Q31" i="2" s="1"/>
  <c r="O31" i="2" a="1"/>
  <c r="O31" i="2" s="1"/>
  <c r="M31" i="2" a="1"/>
  <c r="M31" i="2" s="1"/>
  <c r="K31" i="2" a="1"/>
  <c r="K31" i="2" s="1"/>
  <c r="K81" i="2" s="1"/>
  <c r="I31" i="2" a="1"/>
  <c r="I31" i="2" s="1"/>
  <c r="G31" i="2" a="1"/>
  <c r="G31" i="2" s="1"/>
  <c r="E31" i="2" a="1"/>
  <c r="E31" i="2" s="1"/>
  <c r="S35" i="2" a="1"/>
  <c r="S35" i="2" s="1"/>
  <c r="Q35" i="2" a="1"/>
  <c r="Q35" i="2" s="1"/>
  <c r="O35" i="2" a="1"/>
  <c r="O35" i="2" s="1"/>
  <c r="O85" i="2" s="1"/>
  <c r="M35" i="2" a="1"/>
  <c r="M35" i="2" s="1"/>
  <c r="M85" i="2" s="1"/>
  <c r="K35" i="2" a="1"/>
  <c r="K35" i="2" s="1"/>
  <c r="K85" i="2" s="1"/>
  <c r="I35" i="2" a="1"/>
  <c r="I35" i="2" s="1"/>
  <c r="G35" i="2" a="1"/>
  <c r="G35" i="2" s="1"/>
  <c r="E35" i="2" a="1"/>
  <c r="E35" i="2" s="1"/>
  <c r="S34" i="2" a="1"/>
  <c r="S34" i="2" s="1"/>
  <c r="Q34" i="2" a="1"/>
  <c r="Q34" i="2" s="1"/>
  <c r="O34" i="2" a="1"/>
  <c r="O34" i="2" s="1"/>
  <c r="M34" i="2" a="1"/>
  <c r="M34" i="2" s="1"/>
  <c r="K34" i="2" a="1"/>
  <c r="K34" i="2" s="1"/>
  <c r="K84" i="2" s="1"/>
  <c r="I34" i="2" a="1"/>
  <c r="I34" i="2" s="1"/>
  <c r="G34" i="2" a="1"/>
  <c r="G34" i="2" s="1"/>
  <c r="E34" i="2" a="1"/>
  <c r="E34" i="2" s="1"/>
  <c r="S37" i="2" a="1"/>
  <c r="S37" i="2" s="1"/>
  <c r="Q37" i="2" a="1"/>
  <c r="Q37" i="2" s="1"/>
  <c r="Q87" i="2" s="1"/>
  <c r="O37" i="2" a="1"/>
  <c r="O37" i="2" s="1"/>
  <c r="O87" i="2" s="1"/>
  <c r="M37" i="2" a="1"/>
  <c r="M37" i="2" s="1"/>
  <c r="M87" i="2" s="1"/>
  <c r="K37" i="2" a="1"/>
  <c r="K37" i="2" s="1"/>
  <c r="K87" i="2" s="1"/>
  <c r="I37" i="2" a="1"/>
  <c r="I37" i="2" s="1"/>
  <c r="G37" i="2" a="1"/>
  <c r="G37" i="2" s="1"/>
  <c r="E37" i="2" a="1"/>
  <c r="E37" i="2" s="1"/>
  <c r="S36" i="2" a="1"/>
  <c r="S36" i="2" s="1"/>
  <c r="Q36" i="2" a="1"/>
  <c r="Q36" i="2" s="1"/>
  <c r="O36" i="2" a="1"/>
  <c r="O36" i="2" s="1"/>
  <c r="M36" i="2" a="1"/>
  <c r="M36" i="2" s="1"/>
  <c r="K36" i="2" a="1"/>
  <c r="K36" i="2" s="1"/>
  <c r="K86" i="2" s="1"/>
  <c r="I36" i="2" a="1"/>
  <c r="I36" i="2" s="1"/>
  <c r="G36" i="2" a="1"/>
  <c r="G36" i="2" s="1"/>
  <c r="E36" i="2" a="1"/>
  <c r="E36" i="2" s="1"/>
  <c r="E86" i="2" s="1"/>
  <c r="S40" i="2" a="1"/>
  <c r="S40" i="2" s="1"/>
  <c r="Q40" i="2" a="1"/>
  <c r="Q40" i="2" s="1"/>
  <c r="Q90" i="2" s="1"/>
  <c r="O40" i="2" a="1"/>
  <c r="O40" i="2" s="1"/>
  <c r="O90" i="2" s="1"/>
  <c r="M40" i="2" a="1"/>
  <c r="M40" i="2" s="1"/>
  <c r="M90" i="2" s="1"/>
  <c r="K40" i="2" a="1"/>
  <c r="K40" i="2" s="1"/>
  <c r="K90" i="2" s="1"/>
  <c r="I40" i="2" a="1"/>
  <c r="I40" i="2" s="1"/>
  <c r="G40" i="2" a="1"/>
  <c r="G40" i="2" s="1"/>
  <c r="E40" i="2" a="1"/>
  <c r="E40" i="2" s="1"/>
  <c r="S39" i="2" a="1"/>
  <c r="S39" i="2" s="1"/>
  <c r="Q39" i="2" a="1"/>
  <c r="Q39" i="2" s="1"/>
  <c r="O39" i="2" a="1"/>
  <c r="O39" i="2" s="1"/>
  <c r="M39" i="2" a="1"/>
  <c r="M39" i="2" s="1"/>
  <c r="K39" i="2" a="1"/>
  <c r="K39" i="2" s="1"/>
  <c r="K89" i="2" s="1"/>
  <c r="I39" i="2" a="1"/>
  <c r="I39" i="2" s="1"/>
  <c r="G39" i="2" a="1"/>
  <c r="G39" i="2" s="1"/>
  <c r="E39" i="2" a="1"/>
  <c r="E39" i="2" s="1"/>
  <c r="E89" i="2" s="1"/>
  <c r="S42" i="2" a="1"/>
  <c r="S42" i="2" s="1"/>
  <c r="Q42" i="2" a="1"/>
  <c r="Q42" i="2" s="1"/>
  <c r="Q92" i="2" s="1"/>
  <c r="O42" i="2" a="1"/>
  <c r="O42" i="2" s="1"/>
  <c r="O92" i="2" s="1"/>
  <c r="M42" i="2" a="1"/>
  <c r="M42" i="2" s="1"/>
  <c r="M92" i="2" s="1"/>
  <c r="K42" i="2" a="1"/>
  <c r="K42" i="2" s="1"/>
  <c r="K92" i="2" s="1"/>
  <c r="I42" i="2" a="1"/>
  <c r="I42" i="2" s="1"/>
  <c r="G42" i="2" a="1"/>
  <c r="G42" i="2" s="1"/>
  <c r="E42" i="2" a="1"/>
  <c r="E42" i="2" s="1"/>
  <c r="S41" i="2" a="1"/>
  <c r="S41" i="2" s="1"/>
  <c r="Q41" i="2" a="1"/>
  <c r="Q41" i="2" s="1"/>
  <c r="O41" i="2" a="1"/>
  <c r="O41" i="2" s="1"/>
  <c r="M41" i="2" a="1"/>
  <c r="M41" i="2" s="1"/>
  <c r="I41" i="2" a="1"/>
  <c r="I41" i="2" s="1"/>
  <c r="I91" i="2" s="1"/>
  <c r="G41" i="2" a="1"/>
  <c r="G41" i="2" s="1"/>
  <c r="E41" i="2" a="1"/>
  <c r="E41" i="2" s="1"/>
  <c r="S22" i="2"/>
  <c r="S17" i="2" a="1"/>
  <c r="S17" i="2" s="1"/>
  <c r="S16" i="2" a="1"/>
  <c r="S16" i="2" s="1"/>
  <c r="S15" i="2" a="1"/>
  <c r="S15" i="2" s="1"/>
  <c r="S14" i="2" a="1"/>
  <c r="S14" i="2" s="1"/>
  <c r="S12" i="2" a="1"/>
  <c r="S12" i="2" s="1"/>
  <c r="S11" i="2" a="1"/>
  <c r="S11" i="2" s="1"/>
  <c r="S10" i="2" a="1"/>
  <c r="S10" i="2" s="1"/>
  <c r="S9" i="2" a="1"/>
  <c r="S9" i="2" s="1"/>
  <c r="S7" i="2" a="1"/>
  <c r="S7" i="2" s="1"/>
  <c r="S6" i="2" a="1"/>
  <c r="S6" i="2" s="1"/>
  <c r="S5" i="2" a="1"/>
  <c r="S5" i="2" s="1"/>
  <c r="S4" i="2" a="1"/>
  <c r="S4" i="2" s="1"/>
  <c r="Q17" i="2" a="1"/>
  <c r="Q17" i="2" s="1"/>
  <c r="Q16" i="2" a="1"/>
  <c r="Q16" i="2" s="1"/>
  <c r="Q15" i="2" a="1"/>
  <c r="Q15" i="2" s="1"/>
  <c r="Q14" i="2" a="1"/>
  <c r="Q14" i="2" s="1"/>
  <c r="Q12" i="2" a="1"/>
  <c r="Q12" i="2" s="1"/>
  <c r="Q22" i="2" s="1"/>
  <c r="Q11" i="2" a="1"/>
  <c r="Q11" i="2" s="1"/>
  <c r="Q10" i="2" a="1"/>
  <c r="Q10" i="2" s="1"/>
  <c r="Q9" i="2" a="1"/>
  <c r="Q9" i="2" s="1"/>
  <c r="Q7" i="2" a="1"/>
  <c r="Q7" i="2" s="1"/>
  <c r="Q6" i="2" a="1"/>
  <c r="Q6" i="2" s="1"/>
  <c r="Q5" i="2" a="1"/>
  <c r="Q5" i="2" s="1"/>
  <c r="Q4" i="2" a="1"/>
  <c r="Q4" i="2" s="1"/>
  <c r="O17" i="2" a="1"/>
  <c r="O17" i="2" s="1"/>
  <c r="O16" i="2" a="1"/>
  <c r="O16" i="2" s="1"/>
  <c r="O15" i="2" a="1"/>
  <c r="O15" i="2" s="1"/>
  <c r="O14" i="2" a="1"/>
  <c r="O14" i="2" s="1"/>
  <c r="O12" i="2" a="1"/>
  <c r="O12" i="2" s="1"/>
  <c r="O11" i="2" a="1"/>
  <c r="O11" i="2" s="1"/>
  <c r="O10" i="2" a="1"/>
  <c r="O10" i="2" s="1"/>
  <c r="O9" i="2" a="1"/>
  <c r="O9" i="2" s="1"/>
  <c r="O7" i="2" a="1"/>
  <c r="O7" i="2" s="1"/>
  <c r="O22" i="2" s="1"/>
  <c r="O6" i="2" a="1"/>
  <c r="O6" i="2" s="1"/>
  <c r="O21" i="2" s="1"/>
  <c r="O5" i="2" a="1"/>
  <c r="O5" i="2" s="1"/>
  <c r="O4" i="2" a="1"/>
  <c r="O4" i="2" s="1"/>
  <c r="M17" i="2" a="1"/>
  <c r="M17" i="2" s="1"/>
  <c r="M16" i="2" a="1"/>
  <c r="M16" i="2" s="1"/>
  <c r="M15" i="2" a="1"/>
  <c r="M15" i="2" s="1"/>
  <c r="M14" i="2" a="1"/>
  <c r="M14" i="2" s="1"/>
  <c r="M12" i="2" a="1"/>
  <c r="M12" i="2" s="1"/>
  <c r="M11" i="2" a="1"/>
  <c r="M11" i="2" s="1"/>
  <c r="M10" i="2" a="1"/>
  <c r="M10" i="2" s="1"/>
  <c r="M9" i="2" a="1"/>
  <c r="M9" i="2" s="1"/>
  <c r="M7" i="2" a="1"/>
  <c r="M7" i="2" s="1"/>
  <c r="M6" i="2" a="1"/>
  <c r="M6" i="2" s="1"/>
  <c r="M21" i="2" s="1"/>
  <c r="M5" i="2" a="1"/>
  <c r="M5" i="2" s="1"/>
  <c r="M4" i="2" a="1"/>
  <c r="M4" i="2" s="1"/>
  <c r="M19" i="2" s="1"/>
  <c r="K16" i="2" a="1"/>
  <c r="K16" i="2" s="1"/>
  <c r="K91" i="2" s="1"/>
  <c r="K14" i="2" a="1"/>
  <c r="K14" i="2" s="1"/>
  <c r="K11" i="2" a="1"/>
  <c r="K11" i="2" s="1"/>
  <c r="K9" i="2" a="1"/>
  <c r="K9" i="2" s="1"/>
  <c r="K6" i="2" a="1"/>
  <c r="K6" i="2" s="1"/>
  <c r="K4" i="2" a="1"/>
  <c r="K4" i="2" s="1"/>
  <c r="K17" i="2" a="1"/>
  <c r="K17" i="2" s="1"/>
  <c r="K15" i="2" a="1"/>
  <c r="K15" i="2" s="1"/>
  <c r="K12" i="2" a="1"/>
  <c r="K12" i="2" s="1"/>
  <c r="K10" i="2" a="1"/>
  <c r="K10" i="2" s="1"/>
  <c r="K7" i="2" a="1"/>
  <c r="K7" i="2" s="1"/>
  <c r="K22" i="2" s="1"/>
  <c r="K5" i="2" a="1"/>
  <c r="K5" i="2" s="1"/>
  <c r="K20" i="2" s="1"/>
  <c r="I4" i="2" a="1"/>
  <c r="I4" i="2" s="1"/>
  <c r="I17" i="2" a="1"/>
  <c r="I17" i="2" s="1"/>
  <c r="I16" i="2" a="1"/>
  <c r="I16" i="2" s="1"/>
  <c r="I15" i="2" a="1"/>
  <c r="I15" i="2" s="1"/>
  <c r="I14" i="2" a="1"/>
  <c r="I14" i="2" s="1"/>
  <c r="I12" i="2" a="1"/>
  <c r="I12" i="2" s="1"/>
  <c r="I11" i="2" a="1"/>
  <c r="I11" i="2" s="1"/>
  <c r="I10" i="2" a="1"/>
  <c r="I10" i="2" s="1"/>
  <c r="I9" i="2" a="1"/>
  <c r="I9" i="2" s="1"/>
  <c r="I7" i="2" a="1"/>
  <c r="I7" i="2" s="1"/>
  <c r="I6" i="2" a="1"/>
  <c r="I6" i="2" s="1"/>
  <c r="I5" i="2" a="1"/>
  <c r="I5" i="2" s="1"/>
  <c r="G17" i="2" a="1"/>
  <c r="G17" i="2" s="1"/>
  <c r="G16" i="2" a="1"/>
  <c r="G16" i="2" s="1"/>
  <c r="G15" i="2" a="1"/>
  <c r="G15" i="2" s="1"/>
  <c r="G14" i="2" a="1"/>
  <c r="G14" i="2" s="1"/>
  <c r="G12" i="2" a="1"/>
  <c r="G12" i="2" s="1"/>
  <c r="G11" i="2" a="1"/>
  <c r="G11" i="2" s="1"/>
  <c r="G10" i="2" a="1"/>
  <c r="G10" i="2" s="1"/>
  <c r="G9" i="2" a="1"/>
  <c r="G9" i="2" s="1"/>
  <c r="G7" i="2" a="1"/>
  <c r="G7" i="2" s="1"/>
  <c r="G22" i="2" s="1"/>
  <c r="G6" i="2" a="1"/>
  <c r="G6" i="2" s="1"/>
  <c r="G21" i="2" s="1"/>
  <c r="G5" i="2" a="1"/>
  <c r="G5" i="2" s="1"/>
  <c r="G4" i="2" a="1"/>
  <c r="G4" i="2" s="1"/>
  <c r="E17" i="2" a="1"/>
  <c r="E17" i="2" s="1"/>
  <c r="E16" i="2" a="1"/>
  <c r="E16" i="2" s="1"/>
  <c r="E15" i="2" a="1"/>
  <c r="E15" i="2" s="1"/>
  <c r="E14" i="2" a="1"/>
  <c r="E14" i="2" s="1"/>
  <c r="E12" i="2" a="1"/>
  <c r="E12" i="2" s="1"/>
  <c r="E11" i="2" a="1"/>
  <c r="E11" i="2" s="1"/>
  <c r="E10" i="2" a="1"/>
  <c r="E10" i="2" s="1"/>
  <c r="E9" i="2" a="1"/>
  <c r="E9" i="2" s="1"/>
  <c r="E7" i="2" a="1"/>
  <c r="E7" i="2" s="1"/>
  <c r="E6" i="2" a="1"/>
  <c r="E6" i="2" s="1"/>
  <c r="E5" i="2" a="1"/>
  <c r="E5" i="2" s="1"/>
  <c r="E4" i="2" a="1"/>
  <c r="E4" i="2" s="1"/>
  <c r="I32" i="7" l="1"/>
  <c r="I30" i="7"/>
  <c r="I78" i="7"/>
  <c r="I31" i="7"/>
  <c r="I80" i="6"/>
  <c r="I77" i="6"/>
  <c r="I30" i="6"/>
  <c r="I33" i="6"/>
  <c r="I32" i="6"/>
  <c r="I31" i="6"/>
  <c r="I79" i="6"/>
  <c r="I80" i="5"/>
  <c r="I79" i="5"/>
  <c r="I77" i="5"/>
  <c r="I78" i="5"/>
  <c r="J120" i="4"/>
  <c r="L121" i="4"/>
  <c r="L119" i="4"/>
  <c r="J104" i="3"/>
  <c r="L104" i="3"/>
  <c r="L119" i="3" s="1"/>
  <c r="L106" i="3"/>
  <c r="L111" i="3"/>
  <c r="L109" i="3"/>
  <c r="L101" i="3"/>
  <c r="L100" i="3"/>
  <c r="J111" i="3"/>
  <c r="J109" i="3"/>
  <c r="J101" i="3"/>
  <c r="J106" i="3"/>
  <c r="L121" i="3"/>
  <c r="L110" i="3"/>
  <c r="J99" i="3"/>
  <c r="J119" i="3" s="1"/>
  <c r="J112" i="3"/>
  <c r="L112" i="3"/>
  <c r="J110" i="3"/>
  <c r="L99" i="3"/>
  <c r="J107" i="3"/>
  <c r="J105" i="3"/>
  <c r="L107" i="3"/>
  <c r="L105" i="3"/>
  <c r="J102" i="3"/>
  <c r="L102" i="3"/>
  <c r="J100" i="3"/>
  <c r="L100" i="2"/>
  <c r="M20" i="2"/>
  <c r="S92" i="2"/>
  <c r="L112" i="2" s="1"/>
  <c r="S90" i="2"/>
  <c r="L110" i="2" s="1"/>
  <c r="S87" i="2"/>
  <c r="S85" i="2"/>
  <c r="S82" i="2"/>
  <c r="S80" i="2"/>
  <c r="E84" i="2"/>
  <c r="J104" i="2" s="1"/>
  <c r="E81" i="2"/>
  <c r="J101" i="2" s="1"/>
  <c r="E44" i="2"/>
  <c r="E79" i="2"/>
  <c r="J99" i="2" s="1"/>
  <c r="I19" i="2"/>
  <c r="M22" i="2"/>
  <c r="E91" i="2"/>
  <c r="J111" i="2" s="1"/>
  <c r="G89" i="2"/>
  <c r="J109" i="2" s="1"/>
  <c r="G86" i="2"/>
  <c r="J106" i="2" s="1"/>
  <c r="G84" i="2"/>
  <c r="G81" i="2"/>
  <c r="G79" i="2"/>
  <c r="G91" i="2"/>
  <c r="I89" i="2"/>
  <c r="I86" i="2"/>
  <c r="I84" i="2"/>
  <c r="I81" i="2"/>
  <c r="I79" i="2"/>
  <c r="L107" i="2"/>
  <c r="S19" i="2"/>
  <c r="M91" i="2"/>
  <c r="M89" i="2"/>
  <c r="M86" i="2"/>
  <c r="M84" i="2"/>
  <c r="M46" i="2"/>
  <c r="M81" i="2"/>
  <c r="L101" i="2" s="1"/>
  <c r="M44" i="2"/>
  <c r="M79" i="2"/>
  <c r="S20" i="2"/>
  <c r="O91" i="2"/>
  <c r="O89" i="2"/>
  <c r="O86" i="2"/>
  <c r="O84" i="2"/>
  <c r="O81" i="2"/>
  <c r="O79" i="2"/>
  <c r="I20" i="2"/>
  <c r="S21" i="2"/>
  <c r="Q91" i="2"/>
  <c r="Q89" i="2"/>
  <c r="Q86" i="2"/>
  <c r="Q84" i="2"/>
  <c r="Q81" i="2"/>
  <c r="Q79" i="2"/>
  <c r="I21" i="2"/>
  <c r="Q19" i="2"/>
  <c r="S91" i="2"/>
  <c r="S89" i="2"/>
  <c r="S86" i="2"/>
  <c r="S84" i="2"/>
  <c r="S81" i="2"/>
  <c r="S79" i="2"/>
  <c r="Q85" i="2"/>
  <c r="L105" i="2" s="1"/>
  <c r="I22" i="2"/>
  <c r="K19" i="2"/>
  <c r="Q20" i="2"/>
  <c r="E92" i="2"/>
  <c r="J112" i="2" s="1"/>
  <c r="E90" i="2"/>
  <c r="J110" i="2" s="1"/>
  <c r="E87" i="2"/>
  <c r="E85" i="2"/>
  <c r="E82" i="2"/>
  <c r="E80" i="2"/>
  <c r="K21" i="2"/>
  <c r="Q21" i="2"/>
  <c r="G92" i="2"/>
  <c r="G90" i="2"/>
  <c r="G87" i="2"/>
  <c r="J107" i="2" s="1"/>
  <c r="G85" i="2"/>
  <c r="J105" i="2" s="1"/>
  <c r="G82" i="2"/>
  <c r="J102" i="2" s="1"/>
  <c r="G80" i="2"/>
  <c r="J100" i="2" s="1"/>
  <c r="G19" i="2"/>
  <c r="I92" i="2"/>
  <c r="I90" i="2"/>
  <c r="I87" i="2"/>
  <c r="I85" i="2"/>
  <c r="I82" i="2"/>
  <c r="I80" i="2"/>
  <c r="O82" i="2"/>
  <c r="L102" i="2" s="1"/>
  <c r="G20" i="2"/>
  <c r="O20" i="2"/>
  <c r="O19" i="2"/>
  <c r="I46" i="2"/>
  <c r="K46" i="2"/>
  <c r="K44" i="2"/>
  <c r="G46" i="2"/>
  <c r="O46" i="2"/>
  <c r="O44" i="2"/>
  <c r="Q46" i="2"/>
  <c r="Q44" i="2"/>
  <c r="E46" i="2"/>
  <c r="G44" i="2"/>
  <c r="S46" i="2"/>
  <c r="S44" i="2"/>
  <c r="E47" i="2"/>
  <c r="E45" i="2"/>
  <c r="G47" i="2"/>
  <c r="G45" i="2"/>
  <c r="I47" i="2"/>
  <c r="I45" i="2"/>
  <c r="I44" i="2"/>
  <c r="K47" i="2"/>
  <c r="K45" i="2"/>
  <c r="M47" i="2"/>
  <c r="M45" i="2"/>
  <c r="O47" i="2"/>
  <c r="O45" i="2"/>
  <c r="Q47" i="2"/>
  <c r="Q45" i="2"/>
  <c r="S47" i="2"/>
  <c r="S45" i="2"/>
  <c r="E22" i="2"/>
  <c r="E21" i="2"/>
  <c r="E20" i="2"/>
  <c r="E19" i="2"/>
  <c r="L122" i="4" l="1"/>
  <c r="J122" i="4"/>
  <c r="J122" i="3"/>
  <c r="J121" i="3"/>
  <c r="L120" i="3"/>
  <c r="L122" i="3"/>
  <c r="J120" i="3"/>
  <c r="L109" i="2"/>
  <c r="L106" i="2"/>
  <c r="L104" i="2"/>
  <c r="L111" i="2"/>
  <c r="L9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<sst xmlns="http://schemas.openxmlformats.org/spreadsheetml/2006/main" count="18729" uniqueCount="158">
  <si>
    <t>Experiment 1 - Tracker 1 - UWB 1</t>
  </si>
  <si>
    <t>MQTT</t>
  </si>
  <si>
    <t>Matter</t>
  </si>
  <si>
    <t>Experiment 1 - Tracker 2- UWB 2</t>
  </si>
  <si>
    <t>Experiment 1 - Tracker 3 - UWB 3</t>
  </si>
  <si>
    <t>Experiment 1 - Tracker 4 - UWB 4</t>
  </si>
  <si>
    <t>Experiment 1 - Tracker 5 - BLE 1</t>
  </si>
  <si>
    <t>Experiment 1 - Tracker 6 - BLE 2</t>
  </si>
  <si>
    <t>Experiment 1 - Tracker 7 - BLE 3</t>
  </si>
  <si>
    <t>Experiment 1 - Tracker 8 - BLE 4</t>
  </si>
  <si>
    <t>Vol.</t>
  </si>
  <si>
    <t>Ground Truth Source</t>
  </si>
  <si>
    <t>A1</t>
  </si>
  <si>
    <t>A2</t>
  </si>
  <si>
    <t>A3</t>
  </si>
  <si>
    <t>A4</t>
  </si>
  <si>
    <t>A5</t>
  </si>
  <si>
    <t>A6</t>
  </si>
  <si>
    <t>A7</t>
  </si>
  <si>
    <t>A8</t>
  </si>
  <si>
    <t>Mean unfiltered value</t>
  </si>
  <si>
    <t>Standard deviation</t>
  </si>
  <si>
    <t>Mean filtered value</t>
  </si>
  <si>
    <t>Laser</t>
  </si>
  <si>
    <t>Ground Truth</t>
  </si>
  <si>
    <t>Error [m]</t>
  </si>
  <si>
    <t>Error [%]</t>
  </si>
  <si>
    <t>3D Walk</t>
  </si>
  <si>
    <t>3D Model</t>
  </si>
  <si>
    <t>Experiment 2 - Tracker 1 - UWB 1</t>
  </si>
  <si>
    <t>Experiment 2 - Tracker 2 - UWB 2</t>
  </si>
  <si>
    <t>Experiment 2 - Tracker 3 - UWB 3</t>
  </si>
  <si>
    <t>Experiment 2 - Tracker 4 - UWB 4</t>
  </si>
  <si>
    <t>Experiment 2 - Tracker 5 - BLE 1</t>
  </si>
  <si>
    <t>Experiment 2 - Tracker 6 - BLE 2</t>
  </si>
  <si>
    <t>Experiment 2 - Tracker 7 - BLE 3</t>
  </si>
  <si>
    <t>Experiment 2 - Tracker 8 - BLE 4</t>
  </si>
  <si>
    <t>Experiment 3 - Tracker 1 - UWB 1</t>
  </si>
  <si>
    <t>Experiment 3 - Tracker 2 - UWB 2</t>
  </si>
  <si>
    <t>Experiment 3 - Tracker 3 - UWB 3</t>
  </si>
  <si>
    <t>Experiment 3 - Tracker 4 - UWB 4</t>
  </si>
  <si>
    <t>Experiment 3 - Tracker 5 - BLE 1</t>
  </si>
  <si>
    <t>Experiment 3 - Tracker 6 - BLE 2</t>
  </si>
  <si>
    <t>Experiment 3 - Tracker 7 - BLE 3</t>
  </si>
  <si>
    <t>Experiment 3 - Tracker 8 - BLE 4</t>
  </si>
  <si>
    <t>Experiment 6 - Tracker 1 - UWB 1</t>
  </si>
  <si>
    <t>Experiment 7 - Tracker 1 - UWB 1</t>
  </si>
  <si>
    <t>Experiment 8 - Tracker 1 - UWB 1</t>
  </si>
  <si>
    <t>Experiment 9 - Tracker 1 - UWB 1</t>
  </si>
  <si>
    <t>Experiment 10 - Tracker 1 - UWB 1</t>
  </si>
  <si>
    <t>Experiment 12 - Tracker 5 - BLE 1</t>
  </si>
  <si>
    <t>Experiment 13 - Tracker 5 - BLE 1</t>
  </si>
  <si>
    <t>Experiment 14 - Tracker 5 - BLE 1</t>
  </si>
  <si>
    <t>Experiment 15 - Tracker 5 - BLE 1</t>
  </si>
  <si>
    <t>Experiment 16 - Tracker 5 - BLE 1</t>
  </si>
  <si>
    <t>Summary 1: Mean values from all 3 tries of each tracker with no respect to communication medium (used both: MQTT and Matter). Mean value cross all anchors.</t>
  </si>
  <si>
    <t>Experiment 1</t>
  </si>
  <si>
    <t xml:space="preserve"> Tracker 1 - UWB 1</t>
  </si>
  <si>
    <t xml:space="preserve"> Tracker 2 - UWB 2</t>
  </si>
  <si>
    <t xml:space="preserve"> Tracker 3 - UWB 3</t>
  </si>
  <si>
    <t xml:space="preserve"> Tracker 4 - UWB 4</t>
  </si>
  <si>
    <t xml:space="preserve"> Tracker 5 - BLE 1</t>
  </si>
  <si>
    <t xml:space="preserve"> Tracker 6 - BLE 2</t>
  </si>
  <si>
    <t xml:space="preserve"> Tracker 7 - BLE 3</t>
  </si>
  <si>
    <t xml:space="preserve"> Tracker 8 - BLE 4</t>
  </si>
  <si>
    <t>Total mean error [m]</t>
  </si>
  <si>
    <t>Std. Dev.</t>
  </si>
  <si>
    <t>Total mean error [%]</t>
  </si>
  <si>
    <t>Walk</t>
  </si>
  <si>
    <t>Model</t>
  </si>
  <si>
    <t>Total</t>
  </si>
  <si>
    <t>Mean Std. Dev.</t>
  </si>
  <si>
    <t>Summary 2: Mean values from all 3 tries of each tracker with no respect to communication medium (used both: MQTT and Matter). Mean value cross all anchors.</t>
  </si>
  <si>
    <t>Experiment 2</t>
  </si>
  <si>
    <t>Summary 3: Mean values from all 3 tries of each tracker with no respect to communication medium (used both: MQTT and Matter). Mean value cross all anchors.</t>
  </si>
  <si>
    <t>Experiment 3</t>
  </si>
  <si>
    <t>Summary 4: Mean of all previous 3 experiments</t>
  </si>
  <si>
    <t>Summary 5: Total values of UWB vs. BLE</t>
  </si>
  <si>
    <t>UWB</t>
  </si>
  <si>
    <t>BLE</t>
  </si>
  <si>
    <t>Summary 6: Unified Total Values of UWB vs. BLE regardless of ground truth source</t>
  </si>
  <si>
    <t>Summary 19: Mean values from all 3 tries of tracker UWB 1 with no respect to communication medium (used both: MQTT and Matter). Mean value cross all anchors.</t>
  </si>
  <si>
    <t>Summary 20: Mean values from all 3 tries of tracker UWB 1 with no respect to communication medium (used both: MQTT and Matter). Mean value cross all anchors.</t>
  </si>
  <si>
    <t>Summary 21: Mean values from all 3 tries of tracker UWB 1 with no respect to communication medium (used both: MQTT and Matter). Mean value cross all anchors.</t>
  </si>
  <si>
    <t>Summary 22: Mean values from all 3 tries of tracker UWB 1 with no respect to communication medium (used both: MQTT and Matter). Mean value cross all anchors.</t>
  </si>
  <si>
    <t>Summary 23: Mean values from all 3 tries of tracker UWB 1 with no respect to communication medium (used both: MQTT and Matter). Mean value cross all anchors.</t>
  </si>
  <si>
    <t>Experiment 6</t>
  </si>
  <si>
    <t>Experiment 7</t>
  </si>
  <si>
    <t>Experiment 8</t>
  </si>
  <si>
    <t>Experiment 9</t>
  </si>
  <si>
    <t>Experiment 10</t>
  </si>
  <si>
    <t>Summary 24: Mean values from all 5 static measurements points of UWB 1 with no respect to communication medium (used both: MQTT and Matter). Mean value cross all anchors.</t>
  </si>
  <si>
    <t>Summary 25: Mean values from all previous</t>
  </si>
  <si>
    <t>Summary 26: Mean values from all 3 tries of tracker UWB 1 with no respect to communication medium (used both: MQTT and Matter). Mean value cross all anchors.</t>
  </si>
  <si>
    <t>Summary 27: Mean values from all 3 tries of tracker UWB 1 with no respect to communication medium (used both: MQTT and Matter). Mean value cross all anchors.</t>
  </si>
  <si>
    <t>Summary 28: Mean values from all 3 tries of tracker UWB 1 with no respect to communication medium (used both: MQTT and Matter). Mean value cross all anchors.</t>
  </si>
  <si>
    <t>Summary 29: Mean values from all 3 tries of tracker UWB 1 with no respect to communication medium (used both: MQTT and Matter). Mean value cross all anchors.</t>
  </si>
  <si>
    <t>Summary 30: Mean values from all 3 tries of tracker UWB 1 with no respect to communication medium (used both: MQTT and Matter). Mean value cross all anchors.</t>
  </si>
  <si>
    <t>Experiment 12</t>
  </si>
  <si>
    <t>Experiment 13</t>
  </si>
  <si>
    <t>Experiment 14</t>
  </si>
  <si>
    <t>Experiment 15</t>
  </si>
  <si>
    <t>Experiment 16</t>
  </si>
  <si>
    <t>Summary 31: Mean values from all 5 static measurements points of UWB 1 with no respect to communication medium (used both: MQTT and Matter). Mean value cross all anchors.</t>
  </si>
  <si>
    <t>Summary 32: Mean values from all previous</t>
  </si>
  <si>
    <t>Summary 7: Mean values from all 3 tries of each tracker - MQTT Protocol. Mean value cross all anchors.</t>
  </si>
  <si>
    <t>Summary 8: Mean values from all 3 tries of each tracker - MQTT Protocol. Mean value cross all anchors.</t>
  </si>
  <si>
    <t>Summary 9: Mean values from all 3 tries of each tracker - MQTT Protocol. Mean value cross all anchors.</t>
  </si>
  <si>
    <t>Summary 10: Mean values from all previous summaries, MQTT</t>
  </si>
  <si>
    <t>Summary 11: Total values of UWB vs. BLE - MQTT</t>
  </si>
  <si>
    <t>Summary 12: Unified Total Values of UWB vs. BLE regardless of ground truth source - MQTT</t>
  </si>
  <si>
    <t>Summary 33: Mean values from all 3 tries of tracker UWB 1 - MQTT. Mean value cross all anchors.</t>
  </si>
  <si>
    <t>Summary 34: Mean values from all 3 tries of tracker UWB 1 - MQTT. Mean value cross all anchors.</t>
  </si>
  <si>
    <t>Summary 35: Mean values from all 3 tries of tracker UWB 1 - MQTT. Mean value cross all anchors.</t>
  </si>
  <si>
    <t>Summary 36: Mean values from all 3 tries of tracker UWB 1 - MQTT. Mean value cross all anchors.</t>
  </si>
  <si>
    <t>Summary 37: Mean values from all 3 tries of tracker UWB 1 - MQTT. Mean value cross all anchors.</t>
  </si>
  <si>
    <t>Summary 38: Mean values from all 5 static measurements points of UWB 1 with no respect to communication medium (used both: MQTT and Matter). Mean value cross all anchors.</t>
  </si>
  <si>
    <t>Summary 39: Mean values from all previous</t>
  </si>
  <si>
    <t>Summary 40: Mean values from all 3 tries of tracker BLE 1 - MQTT. Mean value cross all anchors.</t>
  </si>
  <si>
    <t>Summary 41: Mean values from all 3 tries of tracker BLE 1 - MQTT. Mean value cross all anchors.</t>
  </si>
  <si>
    <t>Summary 42: Mean values from all 3 tries of tracker BLE 1 - MQTT. Mean value cross all anchors.</t>
  </si>
  <si>
    <t>Summary 43: Mean values from all 3 tries of tracker BLE 1 - MQTT. Mean value cross all anchors.</t>
  </si>
  <si>
    <t>Summary 44: Mean values from all 3 tries of tracker BLE 1 - MQTT. Mean value cross all anchors.</t>
  </si>
  <si>
    <t>Summary 45: Mean values from all 5 static measurements points of UWB 1 with no respect to communication medium (used both: MQTT and Matter). Mean value cross all anchors.</t>
  </si>
  <si>
    <t>Summary 46: Mean values from all previous</t>
  </si>
  <si>
    <t>Summary 13: Mean values from all 3 tries of each tracker - Matter Protocol. Mean value cross all anchors.</t>
  </si>
  <si>
    <t>Summary 14: Mean values from all 3 tries of each tracker - Matter Protocol. Mean value cross all anchors.</t>
  </si>
  <si>
    <t>Summary 15: Mean values from all 3 tries of each tracker - Matter Protocol. Mean value cross all anchors.</t>
  </si>
  <si>
    <t>Summary 16: Mean of all previous 3 experiments</t>
  </si>
  <si>
    <t>Summary 17: Total values of UWB vs. BLE</t>
  </si>
  <si>
    <t>Summary 18: Unified Total Values of UWB vs. BLE regardless of ground truth source</t>
  </si>
  <si>
    <t>Summary 47: Mean values from all 3 tries of tracker UWB 1 - Matter. Mean value cross all anchors.</t>
  </si>
  <si>
    <t>Summary 48: Mean values from all 3 tries of tracker UWB 1 - Matter. Mean value cross all anchors.</t>
  </si>
  <si>
    <t>Summary 49: Mean values from all 3 tries of tracker UWB 1 - Matter. Mean value cross all anchors.</t>
  </si>
  <si>
    <t>Summary 50: Mean values from all 3 tries of tracker UWB 1 - Matter. Mean value cross all anchors.</t>
  </si>
  <si>
    <t>Summary 51: Mean values from all 3 tries of tracker UWB 1 - Matter. Mean value cross all anchors.</t>
  </si>
  <si>
    <t>Summary 52: Mean values from all 5 static measurements points of UWB 1 - Matter. Mean value cross all anchors.</t>
  </si>
  <si>
    <t>Summary 53: Mean values from all previous</t>
  </si>
  <si>
    <t>Summary 54: Mean values from all 3 tries of tracker UWB 1 - Matter. Mean value cross all anchors.</t>
  </si>
  <si>
    <t>Summary 55: Mean values from all 3 tries of tracker UWB 1 - Matter. Mean value cross all anchors.</t>
  </si>
  <si>
    <t>Summary 56: Mean values from all 3 tries of tracker UWB 1 - Matter. Mean value cross all anchors.</t>
  </si>
  <si>
    <t>Summary 57: Mean values from all 3 tries of tracker UWB 1 - Matter. Mean value cross all anchors.</t>
  </si>
  <si>
    <t>Summary 58: Mean values from all 3 tries of tracker UWB 1 - Matter. Mean value cross all anchors.</t>
  </si>
  <si>
    <t>Summary 59: Mean values from all 5 static measurements points of UWB 1 - Matter. Mean value cross all anchors.</t>
  </si>
  <si>
    <t>Summary 60: Mean values from all previous</t>
  </si>
  <si>
    <t>Experiment</t>
  </si>
  <si>
    <t>Tracker</t>
  </si>
  <si>
    <t>Technology</t>
  </si>
  <si>
    <t>Protocol</t>
  </si>
  <si>
    <t>Anchor</t>
  </si>
  <si>
    <t>MeanUnfilteredValue</t>
  </si>
  <si>
    <t>StandardDeviation</t>
  </si>
  <si>
    <t>MeanFilteredValue</t>
  </si>
  <si>
    <t>GT</t>
  </si>
  <si>
    <t>ErrorM</t>
  </si>
  <si>
    <t>ErrorPercent</t>
  </si>
  <si>
    <t>GTType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</si>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</sst>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2" fontId="0" fillId="0" borderId="16" xfId="1" applyNumberFormat="1" applyFont="1" applyFill="1" applyBorder="1" applyAlignment="1">
      <alignment horizontal="center" vertical="center"/>
    </xf>
    <xf numFmtId="2" fontId="0" fillId="0" borderId="22" xfId="1" applyNumberFormat="1" applyFont="1" applyFill="1" applyBorder="1" applyAlignment="1">
      <alignment horizontal="center" vertical="center"/>
    </xf>
    <xf numFmtId="2" fontId="0" fillId="0" borderId="23" xfId="1" applyNumberFormat="1" applyFont="1" applyFill="1" applyBorder="1" applyAlignment="1">
      <alignment horizontal="center" vertical="center"/>
    </xf>
    <xf numFmtId="2" fontId="0" fillId="0" borderId="17" xfId="1" applyNumberFormat="1" applyFont="1" applyFill="1" applyBorder="1" applyAlignment="1">
      <alignment horizontal="center" vertical="center"/>
    </xf>
    <xf numFmtId="2" fontId="0" fillId="0" borderId="24" xfId="1" applyNumberFormat="1" applyFont="1" applyFill="1" applyBorder="1" applyAlignment="1">
      <alignment horizontal="center" vertical="center"/>
    </xf>
    <xf numFmtId="2" fontId="0" fillId="0" borderId="25" xfId="1" applyNumberFormat="1" applyFont="1" applyFill="1" applyBorder="1" applyAlignment="1">
      <alignment horizontal="center" vertical="center"/>
    </xf>
    <xf numFmtId="2" fontId="1" fillId="4" borderId="15" xfId="0" applyNumberFormat="1" applyFont="1" applyFill="1" applyBorder="1" applyAlignment="1">
      <alignment horizontal="center" vertical="center"/>
    </xf>
    <xf numFmtId="2" fontId="1" fillId="4" borderId="20" xfId="0" applyNumberFormat="1" applyFont="1" applyFill="1" applyBorder="1" applyAlignment="1">
      <alignment horizontal="center" vertical="center"/>
    </xf>
    <xf numFmtId="2" fontId="1" fillId="4" borderId="21" xfId="0" applyNumberFormat="1" applyFont="1" applyFill="1" applyBorder="1" applyAlignment="1">
      <alignment horizontal="center" vertical="center"/>
    </xf>
    <xf numFmtId="2" fontId="1" fillId="4" borderId="16" xfId="0" applyNumberFormat="1" applyFont="1" applyFill="1" applyBorder="1" applyAlignment="1">
      <alignment horizontal="center" vertical="center"/>
    </xf>
    <xf numFmtId="2" fontId="1" fillId="4" borderId="22" xfId="0" applyNumberFormat="1" applyFont="1" applyFill="1" applyBorder="1" applyAlignment="1">
      <alignment horizontal="center" vertical="center"/>
    </xf>
    <xf numFmtId="2" fontId="1" fillId="4" borderId="23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22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/>
    </xf>
    <xf numFmtId="2" fontId="0" fillId="3" borderId="16" xfId="1" applyNumberFormat="1" applyFont="1" applyFill="1" applyBorder="1" applyAlignment="1">
      <alignment horizontal="center" vertical="center"/>
    </xf>
    <xf numFmtId="2" fontId="0" fillId="3" borderId="22" xfId="1" applyNumberFormat="1" applyFont="1" applyFill="1" applyBorder="1" applyAlignment="1">
      <alignment horizontal="center" vertical="center"/>
    </xf>
    <xf numFmtId="2" fontId="0" fillId="3" borderId="23" xfId="1" applyNumberFormat="1" applyFont="1" applyFill="1" applyBorder="1" applyAlignment="1">
      <alignment horizontal="center" vertical="center"/>
    </xf>
    <xf numFmtId="2" fontId="1" fillId="4" borderId="16" xfId="0" applyNumberFormat="1" applyFont="1" applyFill="1" applyBorder="1" applyAlignment="1">
      <alignment horizontal="center" vertical="center" wrapText="1"/>
    </xf>
    <xf numFmtId="2" fontId="1" fillId="4" borderId="22" xfId="0" applyNumberFormat="1" applyFont="1" applyFill="1" applyBorder="1" applyAlignment="1">
      <alignment horizontal="center" vertical="center" wrapText="1"/>
    </xf>
    <xf numFmtId="2" fontId="1" fillId="4" borderId="2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right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3" borderId="5" xfId="0" applyFill="1" applyBorder="1" applyAlignment="1">
      <alignment vertical="center"/>
    </xf>
    <xf numFmtId="0" fontId="0" fillId="0" borderId="32" xfId="0" applyBorder="1" applyAlignment="1">
      <alignment horizontal="right"/>
    </xf>
    <xf numFmtId="2" fontId="0" fillId="0" borderId="33" xfId="0" applyNumberFormat="1" applyBorder="1"/>
    <xf numFmtId="0" fontId="0" fillId="0" borderId="34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6" xfId="0" applyBorder="1"/>
    <xf numFmtId="0" fontId="0" fillId="0" borderId="2" xfId="0" applyBorder="1" applyAlignment="1">
      <alignment horizontal="right"/>
    </xf>
    <xf numFmtId="2" fontId="0" fillId="0" borderId="4" xfId="0" applyNumberFormat="1" applyBorder="1"/>
    <xf numFmtId="0" fontId="0" fillId="0" borderId="38" xfId="0" applyBorder="1" applyAlignment="1">
      <alignment horizontal="right"/>
    </xf>
    <xf numFmtId="2" fontId="0" fillId="0" borderId="39" xfId="0" applyNumberFormat="1" applyBorder="1"/>
    <xf numFmtId="2" fontId="0" fillId="0" borderId="35" xfId="0" applyNumberFormat="1" applyBorder="1"/>
    <xf numFmtId="2" fontId="0" fillId="0" borderId="6" xfId="0" applyNumberFormat="1" applyBorder="1"/>
    <xf numFmtId="0" fontId="0" fillId="0" borderId="36" xfId="0" applyBorder="1"/>
    <xf numFmtId="0" fontId="0" fillId="0" borderId="0" xfId="0" applyAlignment="1">
      <alignment horizontal="right"/>
    </xf>
    <xf numFmtId="2" fontId="0" fillId="0" borderId="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/>
    </xf>
    <xf numFmtId="2" fontId="0" fillId="3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42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E533"/>
  <sheetViews>
    <sheetView topLeftCell="A331" workbookViewId="0">
      <selection activeCell="X509" sqref="X509"/>
    </sheetView>
  </sheetViews>
  <sheetFormatPr defaultRowHeight="14.4" x14ac:dyDescent="0.3"/>
  <cols>
    <col min="3" max="3" width="4.44140625" bestFit="1" customWidth="1"/>
    <col min="4" max="4" width="12" style="1" bestFit="1" customWidth="1"/>
    <col min="5" max="5" width="12.5546875" style="1" bestFit="1" customWidth="1"/>
    <col min="6" max="6" width="7.33203125" style="1" bestFit="1" customWidth="1"/>
    <col min="7" max="9" width="8.33203125" style="1" bestFit="1" customWidth="1"/>
    <col min="10" max="10" width="7.33203125" style="1" bestFit="1" customWidth="1"/>
    <col min="11" max="11" width="8.33203125" style="1" bestFit="1" customWidth="1"/>
    <col min="12" max="12" width="7.33203125" style="1" bestFit="1" customWidth="1"/>
    <col min="13" max="13" width="8.33203125" style="1" bestFit="1" customWidth="1"/>
    <col min="14" max="14" width="7.33203125" style="1" bestFit="1" customWidth="1"/>
    <col min="15" max="16" width="8.33203125" bestFit="1" customWidth="1"/>
    <col min="17" max="18" width="7.33203125" bestFit="1" customWidth="1"/>
    <col min="19" max="19" width="8.33203125" bestFit="1" customWidth="1"/>
    <col min="20" max="20" width="7.33203125" bestFit="1" customWidth="1"/>
    <col min="21" max="21" width="8.33203125" bestFit="1" customWidth="1"/>
    <col min="23" max="23" width="4.44140625" bestFit="1" customWidth="1"/>
    <col min="24" max="24" width="12" bestFit="1" customWidth="1"/>
    <col min="25" max="25" width="8" bestFit="1" customWidth="1"/>
    <col min="26" max="28" width="5.5546875" bestFit="1" customWidth="1"/>
    <col min="29" max="30" width="5" bestFit="1" customWidth="1"/>
    <col min="31" max="31" width="6.6640625" bestFit="1" customWidth="1"/>
    <col min="32" max="32" width="6.109375" bestFit="1" customWidth="1"/>
    <col min="33" max="33" width="6.6640625" bestFit="1" customWidth="1"/>
    <col min="34" max="36" width="5.5546875" bestFit="1" customWidth="1"/>
    <col min="37" max="38" width="5" bestFit="1" customWidth="1"/>
    <col min="39" max="39" width="6.6640625" bestFit="1" customWidth="1"/>
    <col min="40" max="40" width="6.109375" bestFit="1" customWidth="1"/>
    <col min="41" max="41" width="6.6640625" bestFit="1" customWidth="1"/>
    <col min="43" max="43" width="4.44140625" bestFit="1" customWidth="1"/>
    <col min="45" max="45" width="8.5546875" bestFit="1" customWidth="1"/>
    <col min="46" max="47" width="5.5546875" bestFit="1" customWidth="1"/>
    <col min="48" max="48" width="6.6640625" bestFit="1" customWidth="1"/>
    <col min="49" max="49" width="6.109375" bestFit="1" customWidth="1"/>
    <col min="50" max="50" width="5.5546875" bestFit="1" customWidth="1"/>
    <col min="51" max="51" width="5" bestFit="1" customWidth="1"/>
    <col min="52" max="53" width="6.6640625" bestFit="1" customWidth="1"/>
    <col min="54" max="55" width="5.5546875" bestFit="1" customWidth="1"/>
    <col min="56" max="56" width="6.6640625" bestFit="1" customWidth="1"/>
    <col min="57" max="57" width="6.109375" bestFit="1" customWidth="1"/>
    <col min="58" max="58" width="5.5546875" bestFit="1" customWidth="1"/>
    <col min="59" max="59" width="5" bestFit="1" customWidth="1"/>
    <col min="60" max="61" width="6.6640625" bestFit="1" customWidth="1"/>
    <col min="63" max="63" width="4.44140625" bestFit="1" customWidth="1"/>
    <col min="65" max="65" width="8.5546875" bestFit="1" customWidth="1"/>
    <col min="66" max="68" width="5.5546875" bestFit="1" customWidth="1"/>
    <col min="69" max="69" width="5" bestFit="1" customWidth="1"/>
    <col min="70" max="70" width="7.5546875" bestFit="1" customWidth="1"/>
    <col min="71" max="76" width="5.5546875" bestFit="1" customWidth="1"/>
    <col min="77" max="77" width="5" bestFit="1" customWidth="1"/>
    <col min="78" max="78" width="7.5546875" bestFit="1" customWidth="1"/>
    <col min="79" max="81" width="5.5546875" bestFit="1" customWidth="1"/>
    <col min="83" max="83" width="4.44140625" bestFit="1" customWidth="1"/>
    <col min="85" max="85" width="8.5546875" bestFit="1" customWidth="1"/>
    <col min="86" max="86" width="6.109375" bestFit="1" customWidth="1"/>
    <col min="87" max="91" width="7.33203125" bestFit="1" customWidth="1"/>
    <col min="92" max="92" width="6.6640625" bestFit="1" customWidth="1"/>
    <col min="93" max="93" width="7.33203125" bestFit="1" customWidth="1"/>
    <col min="94" max="94" width="6.109375" bestFit="1" customWidth="1"/>
    <col min="95" max="99" width="7.33203125" bestFit="1" customWidth="1"/>
    <col min="100" max="100" width="6.6640625" bestFit="1" customWidth="1"/>
    <col min="101" max="101" width="7.33203125" bestFit="1" customWidth="1"/>
    <col min="103" max="103" width="4.44140625" bestFit="1" customWidth="1"/>
    <col min="105" max="105" width="8.5546875" bestFit="1" customWidth="1"/>
    <col min="106" max="106" width="7.33203125" bestFit="1" customWidth="1"/>
    <col min="107" max="108" width="8.33203125" bestFit="1" customWidth="1"/>
    <col min="109" max="109" width="7.88671875" bestFit="1" customWidth="1"/>
    <col min="110" max="110" width="8.33203125" bestFit="1" customWidth="1"/>
    <col min="111" max="114" width="7.33203125" bestFit="1" customWidth="1"/>
    <col min="115" max="116" width="8.33203125" bestFit="1" customWidth="1"/>
    <col min="117" max="117" width="7.33203125" bestFit="1" customWidth="1"/>
    <col min="118" max="118" width="8.33203125" bestFit="1" customWidth="1"/>
    <col min="119" max="121" width="7.33203125" bestFit="1" customWidth="1"/>
    <col min="123" max="123" width="4.44140625" bestFit="1" customWidth="1"/>
    <col min="125" max="125" width="8.5546875" bestFit="1" customWidth="1"/>
    <col min="126" max="126" width="6.6640625" bestFit="1" customWidth="1"/>
    <col min="127" max="128" width="7.33203125" bestFit="1" customWidth="1"/>
    <col min="129" max="129" width="6.109375" bestFit="1" customWidth="1"/>
    <col min="130" max="133" width="7.33203125" bestFit="1" customWidth="1"/>
    <col min="134" max="134" width="6.6640625" bestFit="1" customWidth="1"/>
    <col min="135" max="136" width="7.33203125" bestFit="1" customWidth="1"/>
    <col min="137" max="137" width="6.109375" bestFit="1" customWidth="1"/>
    <col min="138" max="141" width="7.33203125" bestFit="1" customWidth="1"/>
    <col min="143" max="143" width="4.44140625" bestFit="1" customWidth="1"/>
    <col min="145" max="145" width="8.5546875" bestFit="1" customWidth="1"/>
    <col min="146" max="147" width="7.33203125" bestFit="1" customWidth="1"/>
    <col min="148" max="148" width="8.33203125" bestFit="1" customWidth="1"/>
    <col min="149" max="151" width="7.33203125" bestFit="1" customWidth="1"/>
    <col min="152" max="152" width="8.33203125" bestFit="1" customWidth="1"/>
    <col min="153" max="154" width="7.33203125" bestFit="1" customWidth="1"/>
    <col min="155" max="156" width="8.33203125" bestFit="1" customWidth="1"/>
    <col min="157" max="159" width="7.33203125" bestFit="1" customWidth="1"/>
    <col min="160" max="160" width="8.33203125" bestFit="1" customWidth="1"/>
    <col min="161" max="161" width="7.33203125" bestFit="1" customWidth="1"/>
  </cols>
  <sheetData>
    <row r="2" spans="3:161" x14ac:dyDescent="0.3">
      <c r="F2" s="42"/>
      <c r="G2" s="42"/>
      <c r="H2" s="42"/>
      <c r="I2" s="42"/>
      <c r="J2" s="42"/>
      <c r="K2" s="42"/>
      <c r="L2" s="42"/>
      <c r="M2" s="42"/>
      <c r="N2" s="42"/>
      <c r="O2" s="43"/>
      <c r="P2" s="43"/>
      <c r="Q2" s="43"/>
      <c r="R2" s="43"/>
      <c r="S2" s="43"/>
      <c r="T2" s="43"/>
      <c r="U2" s="43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</row>
    <row r="3" spans="3:161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3:161" x14ac:dyDescent="0.3"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3:161" ht="15" thickBot="1" x14ac:dyDescent="0.35"/>
    <row r="6" spans="3:161" ht="15" thickBot="1" x14ac:dyDescent="0.35">
      <c r="C6" s="77" t="s">
        <v>0</v>
      </c>
      <c r="D6" s="77"/>
      <c r="E6" s="78"/>
      <c r="F6" s="79" t="s">
        <v>1</v>
      </c>
      <c r="G6" s="80"/>
      <c r="H6" s="80"/>
      <c r="I6" s="80"/>
      <c r="J6" s="80"/>
      <c r="K6" s="80"/>
      <c r="L6" s="80"/>
      <c r="M6" s="81"/>
      <c r="N6" s="75" t="s">
        <v>2</v>
      </c>
      <c r="O6" s="75"/>
      <c r="P6" s="75"/>
      <c r="Q6" s="75"/>
      <c r="R6" s="75"/>
      <c r="S6" s="75"/>
      <c r="T6" s="75"/>
      <c r="U6" s="76"/>
      <c r="W6" s="77" t="s">
        <v>3</v>
      </c>
      <c r="X6" s="77"/>
      <c r="Y6" s="78"/>
      <c r="Z6" s="79" t="s">
        <v>1</v>
      </c>
      <c r="AA6" s="80"/>
      <c r="AB6" s="80"/>
      <c r="AC6" s="80"/>
      <c r="AD6" s="80"/>
      <c r="AE6" s="80"/>
      <c r="AF6" s="80"/>
      <c r="AG6" s="81"/>
      <c r="AH6" s="75" t="s">
        <v>2</v>
      </c>
      <c r="AI6" s="75"/>
      <c r="AJ6" s="75"/>
      <c r="AK6" s="75"/>
      <c r="AL6" s="75"/>
      <c r="AM6" s="75"/>
      <c r="AN6" s="75"/>
      <c r="AO6" s="76"/>
      <c r="AQ6" s="77" t="s">
        <v>4</v>
      </c>
      <c r="AR6" s="77"/>
      <c r="AS6" s="78"/>
      <c r="AT6" s="79" t="s">
        <v>1</v>
      </c>
      <c r="AU6" s="80"/>
      <c r="AV6" s="80"/>
      <c r="AW6" s="80"/>
      <c r="AX6" s="80"/>
      <c r="AY6" s="80"/>
      <c r="AZ6" s="80"/>
      <c r="BA6" s="81"/>
      <c r="BB6" s="75" t="s">
        <v>2</v>
      </c>
      <c r="BC6" s="75"/>
      <c r="BD6" s="75"/>
      <c r="BE6" s="75"/>
      <c r="BF6" s="75"/>
      <c r="BG6" s="75"/>
      <c r="BH6" s="75"/>
      <c r="BI6" s="76"/>
      <c r="BK6" s="77" t="s">
        <v>5</v>
      </c>
      <c r="BL6" s="77"/>
      <c r="BM6" s="78"/>
      <c r="BN6" s="79" t="s">
        <v>1</v>
      </c>
      <c r="BO6" s="80"/>
      <c r="BP6" s="80"/>
      <c r="BQ6" s="80"/>
      <c r="BR6" s="80"/>
      <c r="BS6" s="80"/>
      <c r="BT6" s="80"/>
      <c r="BU6" s="81"/>
      <c r="BV6" s="75" t="s">
        <v>2</v>
      </c>
      <c r="BW6" s="75"/>
      <c r="BX6" s="75"/>
      <c r="BY6" s="75"/>
      <c r="BZ6" s="75"/>
      <c r="CA6" s="75"/>
      <c r="CB6" s="75"/>
      <c r="CC6" s="76"/>
      <c r="CE6" s="77" t="s">
        <v>6</v>
      </c>
      <c r="CF6" s="77"/>
      <c r="CG6" s="78"/>
      <c r="CH6" s="79" t="s">
        <v>1</v>
      </c>
      <c r="CI6" s="80"/>
      <c r="CJ6" s="80"/>
      <c r="CK6" s="80"/>
      <c r="CL6" s="80"/>
      <c r="CM6" s="80"/>
      <c r="CN6" s="80"/>
      <c r="CO6" s="81"/>
      <c r="CP6" s="75" t="s">
        <v>2</v>
      </c>
      <c r="CQ6" s="75"/>
      <c r="CR6" s="75"/>
      <c r="CS6" s="75"/>
      <c r="CT6" s="75"/>
      <c r="CU6" s="75"/>
      <c r="CV6" s="75"/>
      <c r="CW6" s="76"/>
      <c r="CY6" s="77" t="s">
        <v>7</v>
      </c>
      <c r="CZ6" s="77"/>
      <c r="DA6" s="78"/>
      <c r="DB6" s="79" t="s">
        <v>1</v>
      </c>
      <c r="DC6" s="80"/>
      <c r="DD6" s="80"/>
      <c r="DE6" s="80"/>
      <c r="DF6" s="80"/>
      <c r="DG6" s="80"/>
      <c r="DH6" s="80"/>
      <c r="DI6" s="81"/>
      <c r="DJ6" s="75" t="s">
        <v>2</v>
      </c>
      <c r="DK6" s="75"/>
      <c r="DL6" s="75"/>
      <c r="DM6" s="75"/>
      <c r="DN6" s="75"/>
      <c r="DO6" s="75"/>
      <c r="DP6" s="75"/>
      <c r="DQ6" s="76"/>
      <c r="DS6" s="77" t="s">
        <v>8</v>
      </c>
      <c r="DT6" s="77"/>
      <c r="DU6" s="78"/>
      <c r="DV6" s="79" t="s">
        <v>1</v>
      </c>
      <c r="DW6" s="80"/>
      <c r="DX6" s="80"/>
      <c r="DY6" s="80"/>
      <c r="DZ6" s="80"/>
      <c r="EA6" s="80"/>
      <c r="EB6" s="80"/>
      <c r="EC6" s="81"/>
      <c r="ED6" s="75" t="s">
        <v>2</v>
      </c>
      <c r="EE6" s="75"/>
      <c r="EF6" s="75"/>
      <c r="EG6" s="75"/>
      <c r="EH6" s="75"/>
      <c r="EI6" s="75"/>
      <c r="EJ6" s="75"/>
      <c r="EK6" s="76"/>
      <c r="EM6" s="77" t="s">
        <v>9</v>
      </c>
      <c r="EN6" s="77"/>
      <c r="EO6" s="78"/>
      <c r="EP6" s="79" t="s">
        <v>1</v>
      </c>
      <c r="EQ6" s="80"/>
      <c r="ER6" s="80"/>
      <c r="ES6" s="80"/>
      <c r="ET6" s="80"/>
      <c r="EU6" s="80"/>
      <c r="EV6" s="80"/>
      <c r="EW6" s="81"/>
      <c r="EX6" s="75" t="s">
        <v>2</v>
      </c>
      <c r="EY6" s="75"/>
      <c r="EZ6" s="75"/>
      <c r="FA6" s="75"/>
      <c r="FB6" s="75"/>
      <c r="FC6" s="75"/>
      <c r="FD6" s="75"/>
      <c r="FE6" s="76"/>
    </row>
    <row r="7" spans="3:161" s="2" customFormat="1" ht="43.8" thickBot="1" x14ac:dyDescent="0.35">
      <c r="C7" s="5" t="s">
        <v>10</v>
      </c>
      <c r="D7" s="4" t="s">
        <v>11</v>
      </c>
      <c r="E7" s="3"/>
      <c r="F7" s="6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  <c r="M7" s="8" t="s">
        <v>19</v>
      </c>
      <c r="N7" s="6" t="s">
        <v>12</v>
      </c>
      <c r="O7" s="7" t="s">
        <v>13</v>
      </c>
      <c r="P7" s="7" t="s">
        <v>14</v>
      </c>
      <c r="Q7" s="7" t="s">
        <v>15</v>
      </c>
      <c r="R7" s="7" t="s">
        <v>16</v>
      </c>
      <c r="S7" s="7" t="s">
        <v>17</v>
      </c>
      <c r="T7" s="7" t="s">
        <v>18</v>
      </c>
      <c r="U7" s="8" t="s">
        <v>19</v>
      </c>
      <c r="W7" s="5" t="s">
        <v>10</v>
      </c>
      <c r="X7" s="4" t="s">
        <v>11</v>
      </c>
      <c r="Y7" s="3"/>
      <c r="Z7" s="6" t="s">
        <v>12</v>
      </c>
      <c r="AA7" s="7" t="s">
        <v>13</v>
      </c>
      <c r="AB7" s="7" t="s">
        <v>14</v>
      </c>
      <c r="AC7" s="7" t="s">
        <v>15</v>
      </c>
      <c r="AD7" s="7" t="s">
        <v>16</v>
      </c>
      <c r="AE7" s="7" t="s">
        <v>17</v>
      </c>
      <c r="AF7" s="7" t="s">
        <v>18</v>
      </c>
      <c r="AG7" s="8" t="s">
        <v>19</v>
      </c>
      <c r="AH7" s="6" t="s">
        <v>12</v>
      </c>
      <c r="AI7" s="7" t="s">
        <v>13</v>
      </c>
      <c r="AJ7" s="7" t="s">
        <v>14</v>
      </c>
      <c r="AK7" s="7" t="s">
        <v>15</v>
      </c>
      <c r="AL7" s="7" t="s">
        <v>16</v>
      </c>
      <c r="AM7" s="7" t="s">
        <v>17</v>
      </c>
      <c r="AN7" s="7" t="s">
        <v>18</v>
      </c>
      <c r="AO7" s="8" t="s">
        <v>19</v>
      </c>
      <c r="AQ7" s="5" t="s">
        <v>10</v>
      </c>
      <c r="AR7" s="4" t="s">
        <v>11</v>
      </c>
      <c r="AS7" s="3"/>
      <c r="AT7" s="6" t="s">
        <v>12</v>
      </c>
      <c r="AU7" s="7" t="s">
        <v>13</v>
      </c>
      <c r="AV7" s="7" t="s">
        <v>14</v>
      </c>
      <c r="AW7" s="7" t="s">
        <v>15</v>
      </c>
      <c r="AX7" s="7" t="s">
        <v>16</v>
      </c>
      <c r="AY7" s="7" t="s">
        <v>17</v>
      </c>
      <c r="AZ7" s="7" t="s">
        <v>18</v>
      </c>
      <c r="BA7" s="8" t="s">
        <v>19</v>
      </c>
      <c r="BB7" s="6" t="s">
        <v>12</v>
      </c>
      <c r="BC7" s="7" t="s">
        <v>13</v>
      </c>
      <c r="BD7" s="7" t="s">
        <v>14</v>
      </c>
      <c r="BE7" s="7" t="s">
        <v>15</v>
      </c>
      <c r="BF7" s="7" t="s">
        <v>16</v>
      </c>
      <c r="BG7" s="7" t="s">
        <v>17</v>
      </c>
      <c r="BH7" s="7" t="s">
        <v>18</v>
      </c>
      <c r="BI7" s="8" t="s">
        <v>19</v>
      </c>
      <c r="BK7" s="5" t="s">
        <v>10</v>
      </c>
      <c r="BL7" s="4" t="s">
        <v>11</v>
      </c>
      <c r="BM7" s="3"/>
      <c r="BN7" s="6" t="s">
        <v>12</v>
      </c>
      <c r="BO7" s="7" t="s">
        <v>13</v>
      </c>
      <c r="BP7" s="7" t="s">
        <v>14</v>
      </c>
      <c r="BQ7" s="7" t="s">
        <v>15</v>
      </c>
      <c r="BR7" s="7" t="s">
        <v>16</v>
      </c>
      <c r="BS7" s="7" t="s">
        <v>17</v>
      </c>
      <c r="BT7" s="7" t="s">
        <v>18</v>
      </c>
      <c r="BU7" s="8" t="s">
        <v>19</v>
      </c>
      <c r="BV7" s="6" t="s">
        <v>12</v>
      </c>
      <c r="BW7" s="7" t="s">
        <v>13</v>
      </c>
      <c r="BX7" s="7" t="s">
        <v>14</v>
      </c>
      <c r="BY7" s="7" t="s">
        <v>15</v>
      </c>
      <c r="BZ7" s="7" t="s">
        <v>16</v>
      </c>
      <c r="CA7" s="7" t="s">
        <v>17</v>
      </c>
      <c r="CB7" s="7" t="s">
        <v>18</v>
      </c>
      <c r="CC7" s="8" t="s">
        <v>19</v>
      </c>
      <c r="CE7" s="5" t="s">
        <v>10</v>
      </c>
      <c r="CF7" s="4" t="s">
        <v>11</v>
      </c>
      <c r="CG7" s="3"/>
      <c r="CH7" s="6" t="s">
        <v>12</v>
      </c>
      <c r="CI7" s="7" t="s">
        <v>13</v>
      </c>
      <c r="CJ7" s="7" t="s">
        <v>14</v>
      </c>
      <c r="CK7" s="7" t="s">
        <v>15</v>
      </c>
      <c r="CL7" s="7" t="s">
        <v>16</v>
      </c>
      <c r="CM7" s="7" t="s">
        <v>17</v>
      </c>
      <c r="CN7" s="7" t="s">
        <v>18</v>
      </c>
      <c r="CO7" s="8" t="s">
        <v>19</v>
      </c>
      <c r="CP7" s="6" t="s">
        <v>12</v>
      </c>
      <c r="CQ7" s="7" t="s">
        <v>13</v>
      </c>
      <c r="CR7" s="7" t="s">
        <v>14</v>
      </c>
      <c r="CS7" s="7" t="s">
        <v>15</v>
      </c>
      <c r="CT7" s="7" t="s">
        <v>16</v>
      </c>
      <c r="CU7" s="7" t="s">
        <v>17</v>
      </c>
      <c r="CV7" s="7" t="s">
        <v>18</v>
      </c>
      <c r="CW7" s="8" t="s">
        <v>19</v>
      </c>
      <c r="CY7" s="5" t="s">
        <v>10</v>
      </c>
      <c r="CZ7" s="4" t="s">
        <v>11</v>
      </c>
      <c r="DA7" s="3"/>
      <c r="DB7" s="6" t="s">
        <v>12</v>
      </c>
      <c r="DC7" s="7" t="s">
        <v>13</v>
      </c>
      <c r="DD7" s="7" t="s">
        <v>14</v>
      </c>
      <c r="DE7" s="7" t="s">
        <v>15</v>
      </c>
      <c r="DF7" s="7" t="s">
        <v>16</v>
      </c>
      <c r="DG7" s="7" t="s">
        <v>17</v>
      </c>
      <c r="DH7" s="7" t="s">
        <v>18</v>
      </c>
      <c r="DI7" s="8" t="s">
        <v>19</v>
      </c>
      <c r="DJ7" s="6" t="s">
        <v>12</v>
      </c>
      <c r="DK7" s="7" t="s">
        <v>13</v>
      </c>
      <c r="DL7" s="7" t="s">
        <v>14</v>
      </c>
      <c r="DM7" s="7" t="s">
        <v>15</v>
      </c>
      <c r="DN7" s="7" t="s">
        <v>16</v>
      </c>
      <c r="DO7" s="7" t="s">
        <v>17</v>
      </c>
      <c r="DP7" s="7" t="s">
        <v>18</v>
      </c>
      <c r="DQ7" s="8" t="s">
        <v>19</v>
      </c>
      <c r="DS7" s="5" t="s">
        <v>10</v>
      </c>
      <c r="DT7" s="4" t="s">
        <v>11</v>
      </c>
      <c r="DU7" s="3"/>
      <c r="DV7" s="6" t="s">
        <v>12</v>
      </c>
      <c r="DW7" s="7" t="s">
        <v>13</v>
      </c>
      <c r="DX7" s="7" t="s">
        <v>14</v>
      </c>
      <c r="DY7" s="7" t="s">
        <v>15</v>
      </c>
      <c r="DZ7" s="7" t="s">
        <v>16</v>
      </c>
      <c r="EA7" s="7" t="s">
        <v>17</v>
      </c>
      <c r="EB7" s="7" t="s">
        <v>18</v>
      </c>
      <c r="EC7" s="8" t="s">
        <v>19</v>
      </c>
      <c r="ED7" s="6" t="s">
        <v>12</v>
      </c>
      <c r="EE7" s="7" t="s">
        <v>13</v>
      </c>
      <c r="EF7" s="7" t="s">
        <v>14</v>
      </c>
      <c r="EG7" s="7" t="s">
        <v>15</v>
      </c>
      <c r="EH7" s="7" t="s">
        <v>16</v>
      </c>
      <c r="EI7" s="7" t="s">
        <v>17</v>
      </c>
      <c r="EJ7" s="7" t="s">
        <v>18</v>
      </c>
      <c r="EK7" s="8" t="s">
        <v>19</v>
      </c>
      <c r="EM7" s="5" t="s">
        <v>10</v>
      </c>
      <c r="EN7" s="4" t="s">
        <v>11</v>
      </c>
      <c r="EO7" s="3"/>
      <c r="EP7" s="6" t="s">
        <v>12</v>
      </c>
      <c r="EQ7" s="7" t="s">
        <v>13</v>
      </c>
      <c r="ER7" s="7" t="s">
        <v>14</v>
      </c>
      <c r="ES7" s="7" t="s">
        <v>15</v>
      </c>
      <c r="ET7" s="7" t="s">
        <v>16</v>
      </c>
      <c r="EU7" s="7" t="s">
        <v>17</v>
      </c>
      <c r="EV7" s="7" t="s">
        <v>18</v>
      </c>
      <c r="EW7" s="8" t="s">
        <v>19</v>
      </c>
      <c r="EX7" s="6" t="s">
        <v>12</v>
      </c>
      <c r="EY7" s="7" t="s">
        <v>13</v>
      </c>
      <c r="EZ7" s="7" t="s">
        <v>14</v>
      </c>
      <c r="FA7" s="7" t="s">
        <v>15</v>
      </c>
      <c r="FB7" s="7" t="s">
        <v>16</v>
      </c>
      <c r="FC7" s="7" t="s">
        <v>17</v>
      </c>
      <c r="FD7" s="7" t="s">
        <v>18</v>
      </c>
      <c r="FE7" s="8" t="s">
        <v>19</v>
      </c>
    </row>
    <row r="8" spans="3:161" s="2" customFormat="1" x14ac:dyDescent="0.3">
      <c r="C8" s="65">
        <v>1</v>
      </c>
      <c r="D8" s="71" t="s">
        <v>20</v>
      </c>
      <c r="E8" s="72"/>
      <c r="F8" s="21">
        <v>2.8996153846153825</v>
      </c>
      <c r="G8" s="22">
        <v>4.2383999999999959</v>
      </c>
      <c r="H8" s="22">
        <v>5.0367307692307577</v>
      </c>
      <c r="I8" s="22">
        <v>5.1010628019323656</v>
      </c>
      <c r="J8" s="22">
        <v>4.0803864734299546</v>
      </c>
      <c r="K8" s="22">
        <v>4.5046634615384624</v>
      </c>
      <c r="L8" s="22">
        <v>1.7265686274509802</v>
      </c>
      <c r="M8" s="23">
        <v>2.3231067961165039</v>
      </c>
      <c r="N8" s="21">
        <v>2.8821999999999997</v>
      </c>
      <c r="O8" s="22">
        <v>4.2893749999999988</v>
      </c>
      <c r="P8" s="22">
        <v>5.1958000000000002</v>
      </c>
      <c r="Q8" s="22">
        <v>4.9467346938775512</v>
      </c>
      <c r="R8" s="22">
        <v>4.0396000000000019</v>
      </c>
      <c r="S8" s="22">
        <v>4.5356000000000014</v>
      </c>
      <c r="T8" s="22">
        <v>1.7265999999999997</v>
      </c>
      <c r="U8" s="23">
        <v>2.2914000000000003</v>
      </c>
      <c r="W8" s="65">
        <v>1</v>
      </c>
      <c r="X8" s="71" t="s">
        <v>20</v>
      </c>
      <c r="Y8" s="72"/>
      <c r="Z8" s="21">
        <v>2.7501408450704226</v>
      </c>
      <c r="AA8" s="22">
        <v>5.0811267605633796</v>
      </c>
      <c r="AB8" s="22">
        <v>5.0657746478873236</v>
      </c>
      <c r="AC8" s="22">
        <v>5.3908450704225368</v>
      </c>
      <c r="AD8" s="22">
        <v>5.0266666666666673</v>
      </c>
      <c r="AE8" s="22">
        <v>3.4778873239436603</v>
      </c>
      <c r="AF8" s="22">
        <v>2.7960000000000007</v>
      </c>
      <c r="AG8" s="23">
        <v>3.2876470588235289</v>
      </c>
      <c r="AH8" s="21">
        <v>2.7088888888888798</v>
      </c>
      <c r="AI8" s="22">
        <v>5.2342222222222201</v>
      </c>
      <c r="AJ8" s="22">
        <v>5.0442222222222197</v>
      </c>
      <c r="AK8" s="22">
        <v>5.3868888888888904</v>
      </c>
      <c r="AL8" s="22">
        <v>5.218</v>
      </c>
      <c r="AM8" s="22">
        <v>3.4102222222222198</v>
      </c>
      <c r="AN8" s="22">
        <v>2.7924444444444401</v>
      </c>
      <c r="AO8" s="23">
        <v>3.2990909090909</v>
      </c>
      <c r="AQ8" s="65">
        <v>1</v>
      </c>
      <c r="AR8" s="71" t="s">
        <v>20</v>
      </c>
      <c r="AS8" s="72"/>
      <c r="AT8" s="21">
        <v>3.7551574803149519</v>
      </c>
      <c r="AU8" s="22">
        <v>4.0550787401574704</v>
      </c>
      <c r="AV8" s="22">
        <v>4.0126482213438681</v>
      </c>
      <c r="AW8" s="22">
        <v>4.2034387351778566</v>
      </c>
      <c r="AX8" s="22">
        <v>3.444664031620559</v>
      </c>
      <c r="AY8" s="22">
        <v>2.9988188976377943</v>
      </c>
      <c r="AZ8" s="22">
        <v>1.5999212598425181</v>
      </c>
      <c r="BA8" s="23">
        <v>1.22932</v>
      </c>
      <c r="BB8" s="21">
        <v>3.76459999999999</v>
      </c>
      <c r="BC8" s="22">
        <v>4.1637999999999904</v>
      </c>
      <c r="BD8" s="22">
        <v>4.1055999999999901</v>
      </c>
      <c r="BE8" s="22">
        <v>4.1536</v>
      </c>
      <c r="BF8" s="22">
        <v>3.3826000000000001</v>
      </c>
      <c r="BG8" s="22">
        <v>3.0268000000000002</v>
      </c>
      <c r="BH8" s="22">
        <v>1.6202000000000001</v>
      </c>
      <c r="BI8" s="23">
        <v>1.2238775510204001</v>
      </c>
      <c r="BK8" s="65">
        <v>1</v>
      </c>
      <c r="BL8" s="71" t="s">
        <v>20</v>
      </c>
      <c r="BM8" s="72"/>
      <c r="BN8" s="21">
        <v>3.8551260504201652</v>
      </c>
      <c r="BO8" s="22">
        <v>5.8413445378151305</v>
      </c>
      <c r="BP8" s="22">
        <v>3.6062184873949588</v>
      </c>
      <c r="BQ8" s="22">
        <v>4.91313559322034</v>
      </c>
      <c r="BR8" s="22">
        <v>5.2335897435897456</v>
      </c>
      <c r="BS8" s="22">
        <v>1.8060504201680683</v>
      </c>
      <c r="BT8" s="22">
        <v>3.4309243697478977</v>
      </c>
      <c r="BU8" s="23">
        <v>3.1077011494252869</v>
      </c>
      <c r="BV8" s="21">
        <v>3.8379999999999899</v>
      </c>
      <c r="BW8" s="22">
        <v>5.9632727272727202</v>
      </c>
      <c r="BX8" s="22">
        <v>3.6119999999999899</v>
      </c>
      <c r="BY8" s="22">
        <v>5.0389090909090903</v>
      </c>
      <c r="BZ8" s="22">
        <v>5.3252830188679203</v>
      </c>
      <c r="CA8" s="22">
        <v>1.8139999999999901</v>
      </c>
      <c r="CB8" s="22">
        <v>3.3509090909090902</v>
      </c>
      <c r="CC8" s="23">
        <v>3.1873809523809502</v>
      </c>
      <c r="CE8" s="65">
        <v>1</v>
      </c>
      <c r="CF8" s="71" t="s">
        <v>20</v>
      </c>
      <c r="CG8" s="72"/>
      <c r="CH8" s="21">
        <v>2.8743999999999983</v>
      </c>
      <c r="CI8" s="22">
        <v>1.2947916666666677</v>
      </c>
      <c r="CJ8" s="22">
        <v>2.7509615384615396</v>
      </c>
      <c r="CK8" s="22">
        <v>3.7483050847457626</v>
      </c>
      <c r="CL8" s="22">
        <v>1.7544067796610174</v>
      </c>
      <c r="CM8" s="22">
        <v>6.4343749999999993</v>
      </c>
      <c r="CN8" s="22">
        <v>1.0323728813559323</v>
      </c>
      <c r="CO8" s="23">
        <v>2.2595999999999998</v>
      </c>
      <c r="CP8" s="21"/>
      <c r="CQ8" s="22"/>
      <c r="CR8" s="22"/>
      <c r="CS8" s="22"/>
      <c r="CT8" s="22"/>
      <c r="CU8" s="22"/>
      <c r="CV8" s="22"/>
      <c r="CW8" s="23"/>
      <c r="CY8" s="65">
        <v>1</v>
      </c>
      <c r="CZ8" s="71" t="s">
        <v>20</v>
      </c>
      <c r="DA8" s="72"/>
      <c r="DB8" s="21">
        <v>0.59644067796610212</v>
      </c>
      <c r="DC8" s="22">
        <v>3.0077966101694922</v>
      </c>
      <c r="DD8" s="22">
        <v>0.41610169491525412</v>
      </c>
      <c r="DE8" s="22">
        <v>1.8201694915254234</v>
      </c>
      <c r="DF8" s="22">
        <v>5.6222033898305055</v>
      </c>
      <c r="DG8" s="22">
        <v>2.1145762711864404</v>
      </c>
      <c r="DH8" s="22">
        <v>0.67372881355932179</v>
      </c>
      <c r="DI8" s="23">
        <v>1.5407142857142868</v>
      </c>
      <c r="DJ8" s="21">
        <v>0.586666666666666</v>
      </c>
      <c r="DK8" s="22">
        <v>2.5053333333333301</v>
      </c>
      <c r="DL8" s="22">
        <v>0.27533333333333299</v>
      </c>
      <c r="DM8" s="22">
        <v>1.7426666666666599</v>
      </c>
      <c r="DN8" s="22">
        <v>6.18333333333333</v>
      </c>
      <c r="DO8" s="22">
        <v>1.7593333333333301</v>
      </c>
      <c r="DP8" s="22">
        <v>0.64866666666666595</v>
      </c>
      <c r="DQ8" s="23">
        <v>1.43733333333333</v>
      </c>
      <c r="DS8" s="65">
        <v>1</v>
      </c>
      <c r="DT8" s="71" t="s">
        <v>20</v>
      </c>
      <c r="DU8" s="72"/>
      <c r="DV8" s="21">
        <v>12.188305084745769</v>
      </c>
      <c r="DW8" s="22">
        <v>1.2749999999999999</v>
      </c>
      <c r="DX8" s="22">
        <v>1.4925423728813563</v>
      </c>
      <c r="DY8" s="22">
        <v>3.1598181818181827</v>
      </c>
      <c r="DZ8" s="22">
        <v>1.7196551724137932</v>
      </c>
      <c r="EA8" s="22">
        <v>2.4876271186440673</v>
      </c>
      <c r="EB8" s="22">
        <v>0.24810344827586206</v>
      </c>
      <c r="EC8" s="23">
        <v>0.27355932203389816</v>
      </c>
      <c r="ED8" s="21">
        <v>12.318</v>
      </c>
      <c r="EE8" s="22">
        <v>1.1499999999999999</v>
      </c>
      <c r="EF8" s="22">
        <v>1.2470000000000001</v>
      </c>
      <c r="EG8" s="22">
        <v>3.226</v>
      </c>
      <c r="EH8" s="22">
        <v>1.71</v>
      </c>
      <c r="EI8" s="22">
        <v>2.677</v>
      </c>
      <c r="EJ8" s="22">
        <v>0.22222222222222199</v>
      </c>
      <c r="EK8" s="23">
        <v>0.29799999999999999</v>
      </c>
      <c r="EM8" s="65">
        <v>1</v>
      </c>
      <c r="EN8" s="71" t="s">
        <v>20</v>
      </c>
      <c r="EO8" s="72"/>
      <c r="EP8" s="21">
        <v>0.81851063829787296</v>
      </c>
      <c r="EQ8" s="22">
        <v>1.3184745762711878</v>
      </c>
      <c r="ER8" s="22">
        <v>0.14694915254237298</v>
      </c>
      <c r="ES8" s="22">
        <v>2.0272340425531925</v>
      </c>
      <c r="ET8" s="22">
        <v>1.8788888888888879</v>
      </c>
      <c r="EU8" s="22">
        <v>0.61881355932203375</v>
      </c>
      <c r="EV8" s="22">
        <v>0.30745762711864399</v>
      </c>
      <c r="EW8" s="23">
        <v>2.4906779661016945</v>
      </c>
      <c r="EX8" s="21">
        <v>0.81416666666666604</v>
      </c>
      <c r="EY8" s="22">
        <v>1.3941666666666599</v>
      </c>
      <c r="EZ8" s="22">
        <v>0.151</v>
      </c>
      <c r="FA8" s="22">
        <v>2.0272340425531898</v>
      </c>
      <c r="FB8" s="22">
        <v>1.8790909090909</v>
      </c>
      <c r="FC8" s="22">
        <v>0.62249999999999905</v>
      </c>
      <c r="FD8" s="22">
        <v>0.30866666666666598</v>
      </c>
      <c r="FE8" s="23">
        <v>2.4589999999999899</v>
      </c>
    </row>
    <row r="9" spans="3:161" s="2" customFormat="1" ht="15" customHeight="1" x14ac:dyDescent="0.3">
      <c r="C9" s="66"/>
      <c r="D9" s="68" t="s">
        <v>21</v>
      </c>
      <c r="E9" s="69"/>
      <c r="F9" s="24">
        <v>0.45088624073154854</v>
      </c>
      <c r="G9" s="25">
        <v>0.66287741880521744</v>
      </c>
      <c r="H9" s="25">
        <v>0.79596803070771771</v>
      </c>
      <c r="I9" s="25">
        <v>1.2207612740703133</v>
      </c>
      <c r="J9" s="25">
        <v>0.77704996366367296</v>
      </c>
      <c r="K9" s="25">
        <v>0.93894373906635575</v>
      </c>
      <c r="L9" s="25">
        <v>0.1927580228306843</v>
      </c>
      <c r="M9" s="26">
        <v>0.39559779803135081</v>
      </c>
      <c r="N9" s="24">
        <v>0.479631193348239</v>
      </c>
      <c r="O9" s="25">
        <v>0.54140638863942103</v>
      </c>
      <c r="P9" s="25">
        <v>0.46422676548850378</v>
      </c>
      <c r="Q9" s="25">
        <v>1.3693328481342966</v>
      </c>
      <c r="R9" s="25">
        <v>0.81081707340842502</v>
      </c>
      <c r="S9" s="25">
        <v>0.90124666491498961</v>
      </c>
      <c r="T9" s="25">
        <v>0.22157700094310825</v>
      </c>
      <c r="U9" s="26">
        <v>0.29508220923004014</v>
      </c>
      <c r="W9" s="66"/>
      <c r="X9" s="68" t="s">
        <v>21</v>
      </c>
      <c r="Y9" s="69"/>
      <c r="Z9" s="24">
        <v>0.42273089365541955</v>
      </c>
      <c r="AA9" s="25">
        <v>1.2370362615031434</v>
      </c>
      <c r="AB9" s="25">
        <v>0.49876608308284465</v>
      </c>
      <c r="AC9" s="25">
        <v>1.2377349664134401</v>
      </c>
      <c r="AD9" s="25">
        <v>0.74212532634319972</v>
      </c>
      <c r="AE9" s="25">
        <v>0.75597792011022302</v>
      </c>
      <c r="AF9" s="25">
        <v>0.68180578644859191</v>
      </c>
      <c r="AG9" s="26">
        <v>0.60097959248900001</v>
      </c>
      <c r="AH9" s="24">
        <v>0.53048079752542399</v>
      </c>
      <c r="AI9" s="25">
        <v>1.03376440232103</v>
      </c>
      <c r="AJ9" s="25">
        <v>0.57403634762535805</v>
      </c>
      <c r="AK9" s="25">
        <v>1.3312280416087301</v>
      </c>
      <c r="AL9" s="25">
        <v>0.10495713410721499</v>
      </c>
      <c r="AM9" s="25">
        <v>0.86341052135995</v>
      </c>
      <c r="AN9" s="25">
        <v>0.68753070414040596</v>
      </c>
      <c r="AO9" s="26">
        <v>0.593911602627476</v>
      </c>
      <c r="AQ9" s="66"/>
      <c r="AR9" s="68" t="s">
        <v>21</v>
      </c>
      <c r="AS9" s="69"/>
      <c r="AT9" s="24">
        <v>0.61039786059955625</v>
      </c>
      <c r="AU9" s="25">
        <v>0.72245176658402788</v>
      </c>
      <c r="AV9" s="25">
        <v>0.60750245179370044</v>
      </c>
      <c r="AW9" s="25">
        <v>0.54906742112254237</v>
      </c>
      <c r="AX9" s="25">
        <v>0.60604395186977467</v>
      </c>
      <c r="AY9" s="25">
        <v>0.49743073353105327</v>
      </c>
      <c r="AZ9" s="25">
        <v>0.17557132515924553</v>
      </c>
      <c r="BA9" s="26">
        <v>0.12580000063848726</v>
      </c>
      <c r="BB9" s="24">
        <v>0.57428289196179205</v>
      </c>
      <c r="BC9" s="25">
        <v>0.59551621304545499</v>
      </c>
      <c r="BD9" s="25">
        <v>0.34879311919818601</v>
      </c>
      <c r="BE9" s="25">
        <v>0.74820253942365</v>
      </c>
      <c r="BF9" s="25">
        <v>0.70212195521860699</v>
      </c>
      <c r="BG9" s="25">
        <v>0.44433518879332501</v>
      </c>
      <c r="BH9" s="25">
        <v>8.38209997554311E-2</v>
      </c>
      <c r="BI9" s="26">
        <v>0.12972209426671</v>
      </c>
      <c r="BK9" s="66"/>
      <c r="BL9" s="68" t="s">
        <v>21</v>
      </c>
      <c r="BM9" s="69"/>
      <c r="BN9" s="24">
        <v>0.87165327575200513</v>
      </c>
      <c r="BO9" s="25">
        <v>0.8663569980581064</v>
      </c>
      <c r="BP9" s="25">
        <v>0.54601327294451796</v>
      </c>
      <c r="BQ9" s="25">
        <v>0.89901246785279487</v>
      </c>
      <c r="BR9" s="25">
        <v>0.6920876234369171</v>
      </c>
      <c r="BS9" s="25">
        <v>0.20627535688974921</v>
      </c>
      <c r="BT9" s="25">
        <v>0.87855716810087914</v>
      </c>
      <c r="BU9" s="26">
        <v>0.52223513627178453</v>
      </c>
      <c r="BV9" s="24">
        <v>1.00329710998741</v>
      </c>
      <c r="BW9" s="25">
        <v>0.54635670847218598</v>
      </c>
      <c r="BX9" s="25">
        <v>0.51864298458047697</v>
      </c>
      <c r="BY9" s="25">
        <v>0.807414893296721</v>
      </c>
      <c r="BZ9" s="25">
        <v>0.47046185165492899</v>
      </c>
      <c r="CA9" s="25">
        <v>0.17447688046896501</v>
      </c>
      <c r="CB9" s="25">
        <v>1.0125526208140201</v>
      </c>
      <c r="CC9" s="26">
        <v>0.13746098188922501</v>
      </c>
      <c r="CE9" s="66"/>
      <c r="CF9" s="68" t="s">
        <v>21</v>
      </c>
      <c r="CG9" s="69"/>
      <c r="CH9" s="24">
        <v>2.7835171995157504</v>
      </c>
      <c r="CI9" s="25">
        <v>0.62430212811035313</v>
      </c>
      <c r="CJ9" s="25">
        <v>1.3581811072387677</v>
      </c>
      <c r="CK9" s="25">
        <v>2.3801362990110975</v>
      </c>
      <c r="CL9" s="25">
        <v>1.3535066477378248</v>
      </c>
      <c r="CM9" s="25">
        <v>18.821901107571239</v>
      </c>
      <c r="CN9" s="25">
        <v>0.40578293408758054</v>
      </c>
      <c r="CO9" s="26">
        <v>0.95837744825999238</v>
      </c>
      <c r="CP9" s="24"/>
      <c r="CQ9" s="25"/>
      <c r="CR9" s="25"/>
      <c r="CS9" s="25"/>
      <c r="CT9" s="25"/>
      <c r="CU9" s="25"/>
      <c r="CV9" s="25"/>
      <c r="CW9" s="26"/>
      <c r="CY9" s="66"/>
      <c r="CZ9" s="68" t="s">
        <v>21</v>
      </c>
      <c r="DA9" s="69"/>
      <c r="DB9" s="24">
        <v>0.20662945939334759</v>
      </c>
      <c r="DC9" s="25">
        <v>1.5069609378693822</v>
      </c>
      <c r="DD9" s="25">
        <v>0.71150645658047118</v>
      </c>
      <c r="DE9" s="25">
        <v>0.63358991285678889</v>
      </c>
      <c r="DF9" s="25">
        <v>6.4190554326609925</v>
      </c>
      <c r="DG9" s="25">
        <v>1.353018747523985</v>
      </c>
      <c r="DH9" s="25">
        <v>7.9738761073483794E-2</v>
      </c>
      <c r="DI9" s="26">
        <v>1.0148315706968871</v>
      </c>
      <c r="DJ9" s="24">
        <v>0.21164960561162299</v>
      </c>
      <c r="DK9" s="25">
        <v>1.6478465408593701</v>
      </c>
      <c r="DL9" s="25">
        <v>0.115577775641436</v>
      </c>
      <c r="DM9" s="25">
        <v>0.49494062494628799</v>
      </c>
      <c r="DN9" s="25">
        <v>6.8096066128831696</v>
      </c>
      <c r="DO9" s="25">
        <v>0.13968854243956</v>
      </c>
      <c r="DP9" s="25">
        <v>9.3156976240226994E-2</v>
      </c>
      <c r="DQ9" s="26">
        <v>0.73883211143593897</v>
      </c>
      <c r="DS9" s="66"/>
      <c r="DT9" s="68" t="s">
        <v>21</v>
      </c>
      <c r="DU9" s="69"/>
      <c r="DV9" s="24">
        <v>2.2317351781334507</v>
      </c>
      <c r="DW9" s="25">
        <v>0.20813457185196546</v>
      </c>
      <c r="DX9" s="25">
        <v>1.3823887287270202</v>
      </c>
      <c r="DY9" s="25">
        <v>0.72508873252427886</v>
      </c>
      <c r="DZ9" s="25">
        <v>0.24481260658143991</v>
      </c>
      <c r="EA9" s="25">
        <v>0.62880110057114724</v>
      </c>
      <c r="EB9" s="25">
        <v>0.17772891733782722</v>
      </c>
      <c r="EC9" s="26">
        <v>0.15401256903325189</v>
      </c>
      <c r="ED9" s="24">
        <v>0.743999999999999</v>
      </c>
      <c r="EE9" s="25">
        <v>0.271440601237176</v>
      </c>
      <c r="EF9" s="25">
        <v>0.68499708028574802</v>
      </c>
      <c r="EG9" s="25">
        <v>0.66800000000000004</v>
      </c>
      <c r="EH9" s="25">
        <v>0.24931907267595799</v>
      </c>
      <c r="EI9" s="25">
        <v>0.50854793284409205</v>
      </c>
      <c r="EJ9" s="25">
        <v>1.98761597999981E-2</v>
      </c>
      <c r="EK9" s="26">
        <v>0.19803030071178401</v>
      </c>
      <c r="EM9" s="66"/>
      <c r="EN9" s="68" t="s">
        <v>21</v>
      </c>
      <c r="EO9" s="69"/>
      <c r="EP9" s="24">
        <v>7.6867438784155487E-2</v>
      </c>
      <c r="EQ9" s="25">
        <v>2.188668161832291</v>
      </c>
      <c r="ER9" s="25">
        <v>2.8481950563296859E-2</v>
      </c>
      <c r="ES9" s="25">
        <v>1.9938936151111777</v>
      </c>
      <c r="ET9" s="25">
        <v>0.46142791774061981</v>
      </c>
      <c r="EU9" s="25">
        <v>0.1695845302980889</v>
      </c>
      <c r="EV9" s="25">
        <v>5.0020451691042425E-2</v>
      </c>
      <c r="EW9" s="26">
        <v>0.63831368465933724</v>
      </c>
      <c r="EX9" s="24">
        <v>7.7131741556609207E-2</v>
      </c>
      <c r="EY9" s="25">
        <v>2.2631543559573801</v>
      </c>
      <c r="EZ9" s="25">
        <v>3.6226141573915002E-2</v>
      </c>
      <c r="FA9" s="25">
        <v>1.9725679365672</v>
      </c>
      <c r="FB9" s="25">
        <v>0.45296306382538698</v>
      </c>
      <c r="FC9" s="25">
        <v>0.167924834375383</v>
      </c>
      <c r="FD9" s="25">
        <v>4.9209303546743598E-2</v>
      </c>
      <c r="FE9" s="26">
        <v>0.64524078193079704</v>
      </c>
    </row>
    <row r="10" spans="3:161" s="36" customFormat="1" ht="15" customHeight="1" x14ac:dyDescent="0.3">
      <c r="C10" s="66"/>
      <c r="D10" s="68" t="s">
        <v>22</v>
      </c>
      <c r="E10" s="69"/>
      <c r="F10" s="33">
        <v>3</v>
      </c>
      <c r="G10" s="34">
        <v>4.3899999999999997</v>
      </c>
      <c r="H10" s="34">
        <v>5.3</v>
      </c>
      <c r="I10" s="34">
        <v>5.46</v>
      </c>
      <c r="J10" s="34">
        <v>4.32</v>
      </c>
      <c r="K10" s="34">
        <v>4.79</v>
      </c>
      <c r="L10" s="34">
        <v>1.75</v>
      </c>
      <c r="M10" s="35">
        <v>2.27</v>
      </c>
      <c r="N10" s="33">
        <v>3.0019565217391304</v>
      </c>
      <c r="O10" s="34">
        <v>4.3963043478260859</v>
      </c>
      <c r="P10" s="34">
        <v>5.2955319148936173</v>
      </c>
      <c r="Q10" s="34">
        <v>5.3624999999999998</v>
      </c>
      <c r="R10" s="34">
        <v>4.3236363636363642</v>
      </c>
      <c r="S10" s="34">
        <v>4.807333333333335</v>
      </c>
      <c r="T10" s="34">
        <v>1.7577551020408162</v>
      </c>
      <c r="U10" s="35">
        <v>2.2547727272727278</v>
      </c>
      <c r="W10" s="66"/>
      <c r="X10" s="68" t="s">
        <v>22</v>
      </c>
      <c r="Y10" s="69"/>
      <c r="Z10" s="33">
        <v>2.8377611940298508</v>
      </c>
      <c r="AA10" s="34">
        <v>5.4406153846153824</v>
      </c>
      <c r="AB10" s="34">
        <v>5.166029411764705</v>
      </c>
      <c r="AC10" s="34">
        <v>5.8579661016949176</v>
      </c>
      <c r="AD10" s="34">
        <v>5.2675000000000001</v>
      </c>
      <c r="AE10" s="34">
        <v>3.7246031746031729</v>
      </c>
      <c r="AF10" s="34">
        <v>3.0245161290322589</v>
      </c>
      <c r="AG10" s="35">
        <v>3.4040350877192984</v>
      </c>
      <c r="AH10" s="33">
        <v>2.8373809523809501</v>
      </c>
      <c r="AI10" s="34">
        <v>5.45697674418604</v>
      </c>
      <c r="AJ10" s="34">
        <v>5.1665116279069698</v>
      </c>
      <c r="AK10" s="34">
        <v>5.8723684210526299</v>
      </c>
      <c r="AL10" s="34">
        <v>5.1449999999999996</v>
      </c>
      <c r="AM10" s="34">
        <v>3.6690243902439001</v>
      </c>
      <c r="AN10" s="34">
        <v>3.0137499999999999</v>
      </c>
      <c r="AO10" s="35">
        <v>3.4257142857142799</v>
      </c>
      <c r="AQ10" s="66"/>
      <c r="AR10" s="68" t="s">
        <v>22</v>
      </c>
      <c r="AS10" s="69"/>
      <c r="AT10" s="33">
        <v>3.9142127659574371</v>
      </c>
      <c r="AU10" s="34">
        <v>4.2569957081544958</v>
      </c>
      <c r="AV10" s="34">
        <v>4.1589830508474517</v>
      </c>
      <c r="AW10" s="34">
        <v>4.3022131147540899</v>
      </c>
      <c r="AX10" s="34">
        <v>3.5981779661017015</v>
      </c>
      <c r="AY10" s="34">
        <v>3.1259401709401691</v>
      </c>
      <c r="AZ10" s="34">
        <v>1.6292276422764211</v>
      </c>
      <c r="BA10" s="35">
        <v>1.243512396694215</v>
      </c>
      <c r="BB10" s="33">
        <v>3.9180434782608602</v>
      </c>
      <c r="BC10" s="34">
        <v>4.2722916666666597</v>
      </c>
      <c r="BD10" s="34">
        <v>4.1553061224489696</v>
      </c>
      <c r="BE10" s="34">
        <v>4.3054166666666598</v>
      </c>
      <c r="BF10" s="34">
        <v>3.6039999999999899</v>
      </c>
      <c r="BG10" s="34">
        <v>3.1255319148936098</v>
      </c>
      <c r="BH10" s="34">
        <v>1.63183673469387</v>
      </c>
      <c r="BI10" s="35">
        <v>1.2387234042553099</v>
      </c>
      <c r="BK10" s="66"/>
      <c r="BL10" s="68" t="s">
        <v>22</v>
      </c>
      <c r="BM10" s="69"/>
      <c r="BN10" s="33">
        <v>4.1203738317756979</v>
      </c>
      <c r="BO10" s="34">
        <v>6.0938532110091774</v>
      </c>
      <c r="BP10" s="34">
        <v>3.7511926605504593</v>
      </c>
      <c r="BQ10" s="34">
        <v>5.1123762376237618</v>
      </c>
      <c r="BR10" s="34">
        <v>5.3855454545454551</v>
      </c>
      <c r="BS10" s="34">
        <v>1.847543859649124</v>
      </c>
      <c r="BT10" s="34">
        <v>3.7243396226415082</v>
      </c>
      <c r="BU10" s="35">
        <v>3.1539743589743585</v>
      </c>
      <c r="BV10" s="33">
        <v>4.1537999999999897</v>
      </c>
      <c r="BW10" s="34">
        <v>6.0915384615384598</v>
      </c>
      <c r="BX10" s="34">
        <v>3.7589999999999999</v>
      </c>
      <c r="BY10" s="34">
        <v>5.1698000000000004</v>
      </c>
      <c r="BZ10" s="34">
        <v>5.4377551020408097</v>
      </c>
      <c r="CA10" s="34">
        <v>1.8477358490566</v>
      </c>
      <c r="CB10" s="34">
        <v>3.72583333333333</v>
      </c>
      <c r="CC10" s="35">
        <v>3.1673170731707301</v>
      </c>
      <c r="CE10" s="66"/>
      <c r="CF10" s="68" t="s">
        <v>22</v>
      </c>
      <c r="CG10" s="69"/>
      <c r="CH10" s="33">
        <v>2.3212499999999987</v>
      </c>
      <c r="CI10" s="34">
        <v>1.1415555555555565</v>
      </c>
      <c r="CJ10" s="34">
        <v>2.5597916666666682</v>
      </c>
      <c r="CK10" s="34">
        <v>3.3131578947368432</v>
      </c>
      <c r="CL10" s="34">
        <v>1.393272727272727</v>
      </c>
      <c r="CM10" s="34">
        <v>1.6913333333333342</v>
      </c>
      <c r="CN10" s="34">
        <v>1.260909090909091</v>
      </c>
      <c r="CO10" s="35">
        <v>2.8852941176470588</v>
      </c>
      <c r="CP10" s="33"/>
      <c r="CQ10" s="34"/>
      <c r="CR10" s="34"/>
      <c r="CS10" s="34"/>
      <c r="CT10" s="34"/>
      <c r="CU10" s="34"/>
      <c r="CV10" s="34"/>
      <c r="CW10" s="35"/>
      <c r="CY10" s="66"/>
      <c r="CZ10" s="68" t="s">
        <v>22</v>
      </c>
      <c r="DA10" s="69"/>
      <c r="DB10" s="33">
        <v>0.53592592592592625</v>
      </c>
      <c r="DC10" s="34">
        <v>3.836279069767444</v>
      </c>
      <c r="DD10" s="34">
        <v>0.32431034482758631</v>
      </c>
      <c r="DE10" s="34">
        <v>1.6115094339622638</v>
      </c>
      <c r="DF10" s="34">
        <v>2.2660869565217383</v>
      </c>
      <c r="DG10" s="34">
        <v>1.8057142857142858</v>
      </c>
      <c r="DH10" s="34">
        <v>0.68999999999999984</v>
      </c>
      <c r="DI10" s="35">
        <v>1.1956000000000007</v>
      </c>
      <c r="DJ10" s="33">
        <v>0.53071428571428503</v>
      </c>
      <c r="DK10" s="34">
        <v>3.56</v>
      </c>
      <c r="DL10" s="34">
        <v>0.35888888888888798</v>
      </c>
      <c r="DM10" s="34">
        <v>1.6128571428571401</v>
      </c>
      <c r="DN10" s="34">
        <v>2.0936363636363602</v>
      </c>
      <c r="DO10" s="34">
        <v>1.89</v>
      </c>
      <c r="DP10" s="34">
        <v>0.67923076923076897</v>
      </c>
      <c r="DQ10" s="35">
        <v>1.24142857142857</v>
      </c>
      <c r="DS10" s="66"/>
      <c r="DT10" s="68" t="s">
        <v>22</v>
      </c>
      <c r="DU10" s="69"/>
      <c r="DV10" s="33">
        <v>12.260769230769229</v>
      </c>
      <c r="DW10" s="34">
        <v>1.3477777777777773</v>
      </c>
      <c r="DX10" s="34">
        <v>1.3315517241379311</v>
      </c>
      <c r="DY10" s="34">
        <v>3.4609523809523828</v>
      </c>
      <c r="DZ10" s="34">
        <v>1.7966666666666666</v>
      </c>
      <c r="EA10" s="34">
        <v>2.4093877551020406</v>
      </c>
      <c r="EB10" s="34">
        <v>0.21517857142857144</v>
      </c>
      <c r="EC10" s="35">
        <v>0.21122448979591835</v>
      </c>
      <c r="ED10" s="33">
        <v>12.69</v>
      </c>
      <c r="EE10" s="34">
        <v>1.37</v>
      </c>
      <c r="EF10" s="34">
        <v>1.69</v>
      </c>
      <c r="EG10" s="34">
        <v>3.5599999999999898</v>
      </c>
      <c r="EH10" s="34">
        <v>1.82</v>
      </c>
      <c r="EI10" s="34">
        <v>2.4562499999999998</v>
      </c>
      <c r="EJ10" s="34">
        <v>0.24</v>
      </c>
      <c r="EK10" s="35">
        <v>0.236666666666666</v>
      </c>
      <c r="EM10" s="66"/>
      <c r="EN10" s="68" t="s">
        <v>22</v>
      </c>
      <c r="EO10" s="69"/>
      <c r="EP10" s="33">
        <v>0.85000000000000042</v>
      </c>
      <c r="EQ10" s="34">
        <v>0.5975471698113205</v>
      </c>
      <c r="ER10" s="34">
        <v>0.14735849056603784</v>
      </c>
      <c r="ES10" s="34">
        <v>1.5354545454545461</v>
      </c>
      <c r="ET10" s="34">
        <v>2.057826086956521</v>
      </c>
      <c r="EU10" s="34">
        <v>0.70023255813953533</v>
      </c>
      <c r="EV10" s="34">
        <v>0.2970454545454545</v>
      </c>
      <c r="EW10" s="35">
        <v>2.2176595744680845</v>
      </c>
      <c r="EX10" s="33">
        <v>0.85</v>
      </c>
      <c r="EY10" s="34">
        <v>0.58132075471697997</v>
      </c>
      <c r="EZ10" s="34">
        <v>0.14777777777777701</v>
      </c>
      <c r="FA10" s="34">
        <v>1.5354545454545401</v>
      </c>
      <c r="FB10" s="34">
        <v>2.0542553191489299</v>
      </c>
      <c r="FC10" s="34">
        <v>0.70340909090909098</v>
      </c>
      <c r="FD10" s="34">
        <v>0.29888888888888798</v>
      </c>
      <c r="FE10" s="35">
        <v>2.1959574468085101</v>
      </c>
    </row>
    <row r="11" spans="3:161" s="2" customFormat="1" ht="28.8" x14ac:dyDescent="0.3">
      <c r="C11" s="66"/>
      <c r="D11" s="73" t="s">
        <v>23</v>
      </c>
      <c r="E11" s="38" t="s">
        <v>24</v>
      </c>
      <c r="F11" s="27">
        <v>3.04</v>
      </c>
      <c r="G11" s="28">
        <v>4.01</v>
      </c>
      <c r="H11" s="28">
        <v>5.24</v>
      </c>
      <c r="I11" s="28">
        <v>5.77</v>
      </c>
      <c r="J11" s="28">
        <v>4.1900000000000004</v>
      </c>
      <c r="K11" s="28">
        <v>4.38</v>
      </c>
      <c r="L11" s="28">
        <v>1.55</v>
      </c>
      <c r="M11" s="29">
        <v>2.41</v>
      </c>
      <c r="N11" s="27">
        <v>3.04</v>
      </c>
      <c r="O11" s="28">
        <v>4.01</v>
      </c>
      <c r="P11" s="28">
        <v>5.24</v>
      </c>
      <c r="Q11" s="28">
        <v>5.77</v>
      </c>
      <c r="R11" s="28">
        <v>4.1900000000000004</v>
      </c>
      <c r="S11" s="28">
        <v>4.38</v>
      </c>
      <c r="T11" s="28">
        <v>1.55</v>
      </c>
      <c r="U11" s="29">
        <v>2.41</v>
      </c>
      <c r="W11" s="66"/>
      <c r="X11" s="73" t="s">
        <v>23</v>
      </c>
      <c r="Y11" s="38" t="s">
        <v>24</v>
      </c>
      <c r="Z11" s="27">
        <v>2.88</v>
      </c>
      <c r="AA11" s="28">
        <v>5.31</v>
      </c>
      <c r="AB11" s="28">
        <v>5.04</v>
      </c>
      <c r="AC11" s="28">
        <v>6.21</v>
      </c>
      <c r="AD11" s="28">
        <v>5.29</v>
      </c>
      <c r="AE11" s="28">
        <v>3.65</v>
      </c>
      <c r="AF11" s="28">
        <v>2.85</v>
      </c>
      <c r="AG11" s="29">
        <v>3.06</v>
      </c>
      <c r="AH11" s="27">
        <v>2.88</v>
      </c>
      <c r="AI11" s="28">
        <v>5.31</v>
      </c>
      <c r="AJ11" s="28">
        <v>5.04</v>
      </c>
      <c r="AK11" s="28">
        <v>6.21</v>
      </c>
      <c r="AL11" s="28">
        <v>5.29</v>
      </c>
      <c r="AM11" s="28">
        <v>3.65</v>
      </c>
      <c r="AN11" s="28">
        <v>2.85</v>
      </c>
      <c r="AO11" s="29">
        <v>3.06</v>
      </c>
      <c r="AQ11" s="66"/>
      <c r="AR11" s="73" t="s">
        <v>23</v>
      </c>
      <c r="AS11" s="38" t="s">
        <v>24</v>
      </c>
      <c r="AT11" s="27">
        <v>3.88</v>
      </c>
      <c r="AU11" s="28">
        <v>4.2300000000000004</v>
      </c>
      <c r="AV11" s="28">
        <v>3.88</v>
      </c>
      <c r="AW11" s="28">
        <v>4.43</v>
      </c>
      <c r="AX11" s="28">
        <v>3.58</v>
      </c>
      <c r="AY11" s="28">
        <v>3.17</v>
      </c>
      <c r="AZ11" s="28">
        <v>1.72</v>
      </c>
      <c r="BA11" s="29">
        <v>1.1399999999999999</v>
      </c>
      <c r="BB11" s="27">
        <v>3.88</v>
      </c>
      <c r="BC11" s="28">
        <v>4.2300000000000004</v>
      </c>
      <c r="BD11" s="28">
        <v>3.88</v>
      </c>
      <c r="BE11" s="28">
        <v>4.43</v>
      </c>
      <c r="BF11" s="28">
        <v>3.58</v>
      </c>
      <c r="BG11" s="28">
        <v>3.17</v>
      </c>
      <c r="BH11" s="28">
        <v>1.72</v>
      </c>
      <c r="BI11" s="29">
        <v>1.1399999999999999</v>
      </c>
      <c r="BK11" s="66"/>
      <c r="BL11" s="73" t="s">
        <v>23</v>
      </c>
      <c r="BM11" s="38" t="s">
        <v>24</v>
      </c>
      <c r="BN11" s="27">
        <v>4.2</v>
      </c>
      <c r="BO11" s="28">
        <v>6.08</v>
      </c>
      <c r="BP11" s="28">
        <v>3.62</v>
      </c>
      <c r="BQ11" s="28">
        <v>5.36</v>
      </c>
      <c r="BR11" s="28">
        <v>5.44</v>
      </c>
      <c r="BS11" s="28">
        <v>1.82</v>
      </c>
      <c r="BT11" s="28">
        <v>3.76</v>
      </c>
      <c r="BU11" s="29">
        <v>2.87</v>
      </c>
      <c r="BV11" s="27">
        <v>4.2</v>
      </c>
      <c r="BW11" s="28">
        <v>6.08</v>
      </c>
      <c r="BX11" s="28">
        <v>3.62</v>
      </c>
      <c r="BY11" s="28">
        <v>5.36</v>
      </c>
      <c r="BZ11" s="28">
        <v>5.44</v>
      </c>
      <c r="CA11" s="28">
        <v>1.82</v>
      </c>
      <c r="CB11" s="28">
        <v>3.76</v>
      </c>
      <c r="CC11" s="29">
        <v>2.87</v>
      </c>
      <c r="CE11" s="66"/>
      <c r="CF11" s="73" t="s">
        <v>23</v>
      </c>
      <c r="CG11" s="38" t="s">
        <v>24</v>
      </c>
      <c r="CH11" s="27">
        <v>3.04</v>
      </c>
      <c r="CI11" s="28">
        <v>4.01</v>
      </c>
      <c r="CJ11" s="28">
        <v>5.24</v>
      </c>
      <c r="CK11" s="28">
        <v>5.77</v>
      </c>
      <c r="CL11" s="28">
        <v>4.1900000000000004</v>
      </c>
      <c r="CM11" s="28">
        <v>4.38</v>
      </c>
      <c r="CN11" s="28">
        <v>1.55</v>
      </c>
      <c r="CO11" s="29">
        <v>2.41</v>
      </c>
      <c r="CP11" s="27"/>
      <c r="CQ11" s="28"/>
      <c r="CR11" s="28"/>
      <c r="CS11" s="28"/>
      <c r="CT11" s="28"/>
      <c r="CU11" s="28"/>
      <c r="CV11" s="28"/>
      <c r="CW11" s="29"/>
      <c r="CY11" s="66"/>
      <c r="CZ11" s="73" t="s">
        <v>23</v>
      </c>
      <c r="DA11" s="38" t="s">
        <v>24</v>
      </c>
      <c r="DB11" s="27">
        <v>2.88</v>
      </c>
      <c r="DC11" s="28">
        <v>5.31</v>
      </c>
      <c r="DD11" s="28">
        <v>5.04</v>
      </c>
      <c r="DE11" s="28">
        <v>6.21</v>
      </c>
      <c r="DF11" s="28">
        <v>5.29</v>
      </c>
      <c r="DG11" s="28">
        <v>3.65</v>
      </c>
      <c r="DH11" s="28">
        <v>2.85</v>
      </c>
      <c r="DI11" s="29">
        <v>3.06</v>
      </c>
      <c r="DJ11" s="27">
        <v>2.88</v>
      </c>
      <c r="DK11" s="28">
        <v>5.31</v>
      </c>
      <c r="DL11" s="28">
        <v>5.04</v>
      </c>
      <c r="DM11" s="28">
        <v>6.21</v>
      </c>
      <c r="DN11" s="28">
        <v>5.29</v>
      </c>
      <c r="DO11" s="28">
        <v>3.65</v>
      </c>
      <c r="DP11" s="28">
        <v>2.85</v>
      </c>
      <c r="DQ11" s="29">
        <v>3.06</v>
      </c>
      <c r="DS11" s="66"/>
      <c r="DT11" s="73" t="s">
        <v>23</v>
      </c>
      <c r="DU11" s="38" t="s">
        <v>24</v>
      </c>
      <c r="DV11" s="27">
        <v>3.88</v>
      </c>
      <c r="DW11" s="28">
        <v>4.2300000000000004</v>
      </c>
      <c r="DX11" s="28">
        <v>3.88</v>
      </c>
      <c r="DY11" s="28">
        <v>4.43</v>
      </c>
      <c r="DZ11" s="28">
        <v>3.58</v>
      </c>
      <c r="EA11" s="28">
        <v>3.17</v>
      </c>
      <c r="EB11" s="28">
        <v>1.72</v>
      </c>
      <c r="EC11" s="29">
        <v>1.1399999999999999</v>
      </c>
      <c r="ED11" s="27">
        <v>3.88</v>
      </c>
      <c r="EE11" s="28">
        <v>4.2300000000000004</v>
      </c>
      <c r="EF11" s="28">
        <v>3.88</v>
      </c>
      <c r="EG11" s="28">
        <v>4.43</v>
      </c>
      <c r="EH11" s="28">
        <v>3.58</v>
      </c>
      <c r="EI11" s="28">
        <v>3.17</v>
      </c>
      <c r="EJ11" s="28">
        <v>1.72</v>
      </c>
      <c r="EK11" s="29">
        <v>1.1399999999999999</v>
      </c>
      <c r="EM11" s="66"/>
      <c r="EN11" s="73" t="s">
        <v>23</v>
      </c>
      <c r="EO11" s="38" t="s">
        <v>24</v>
      </c>
      <c r="EP11" s="27">
        <v>4.2</v>
      </c>
      <c r="EQ11" s="28">
        <v>6.08</v>
      </c>
      <c r="ER11" s="28">
        <v>3.62</v>
      </c>
      <c r="ES11" s="28">
        <v>5.36</v>
      </c>
      <c r="ET11" s="28">
        <v>5.44</v>
      </c>
      <c r="EU11" s="28">
        <v>1.82</v>
      </c>
      <c r="EV11" s="28">
        <v>3.76</v>
      </c>
      <c r="EW11" s="29">
        <v>2.87</v>
      </c>
      <c r="EX11" s="27">
        <v>4.2</v>
      </c>
      <c r="EY11" s="28">
        <v>6.08</v>
      </c>
      <c r="EZ11" s="28">
        <v>3.62</v>
      </c>
      <c r="FA11" s="28">
        <v>5.36</v>
      </c>
      <c r="FB11" s="28">
        <v>5.44</v>
      </c>
      <c r="FC11" s="28">
        <v>1.82</v>
      </c>
      <c r="FD11" s="28">
        <v>3.76</v>
      </c>
      <c r="FE11" s="29">
        <v>2.87</v>
      </c>
    </row>
    <row r="12" spans="3:161" x14ac:dyDescent="0.3">
      <c r="C12" s="66"/>
      <c r="D12" s="70"/>
      <c r="E12" s="39" t="s">
        <v>25</v>
      </c>
      <c r="F12" s="9">
        <v>0.04</v>
      </c>
      <c r="G12" s="10">
        <v>-0.38</v>
      </c>
      <c r="H12" s="10">
        <v>-0.06</v>
      </c>
      <c r="I12" s="10">
        <v>0.31</v>
      </c>
      <c r="J12" s="10">
        <v>-0.13</v>
      </c>
      <c r="K12" s="10">
        <v>-0.41</v>
      </c>
      <c r="L12" s="10">
        <v>-0.2</v>
      </c>
      <c r="M12" s="11">
        <v>0.14000000000000001</v>
      </c>
      <c r="N12" s="9">
        <v>3.8043478260869623E-2</v>
      </c>
      <c r="O12" s="10">
        <v>-0.38630434782608614</v>
      </c>
      <c r="P12" s="10">
        <v>-5.5531914893617085E-2</v>
      </c>
      <c r="Q12" s="10">
        <v>0.40749999999999975</v>
      </c>
      <c r="R12" s="10">
        <v>-0.13363636363636378</v>
      </c>
      <c r="S12" s="10">
        <v>-0.42733333333333512</v>
      </c>
      <c r="T12" s="10">
        <v>-0.20775510204081615</v>
      </c>
      <c r="U12" s="11">
        <v>0.15522727272727233</v>
      </c>
      <c r="W12" s="66"/>
      <c r="X12" s="70"/>
      <c r="Y12" s="39" t="s">
        <v>25</v>
      </c>
      <c r="Z12" s="9">
        <v>4.2238805970149063E-2</v>
      </c>
      <c r="AA12" s="10">
        <v>-0.1306153846153828</v>
      </c>
      <c r="AB12" s="10">
        <v>-0.12602941176470495</v>
      </c>
      <c r="AC12" s="10">
        <v>0.35203389830508236</v>
      </c>
      <c r="AD12" s="10">
        <v>2.2499999999999964E-2</v>
      </c>
      <c r="AE12" s="10">
        <v>-7.4603174603173006E-2</v>
      </c>
      <c r="AF12" s="10">
        <v>-0.17451612903225877</v>
      </c>
      <c r="AG12" s="11">
        <v>-0.34403508771929836</v>
      </c>
      <c r="AH12" s="9">
        <v>4.2619047619049777E-2</v>
      </c>
      <c r="AI12" s="10">
        <v>-0.14697674418604034</v>
      </c>
      <c r="AJ12" s="10">
        <v>-0.12651162790696979</v>
      </c>
      <c r="AK12" s="10">
        <v>0.33763157894737006</v>
      </c>
      <c r="AL12" s="10">
        <v>0.14500000000000046</v>
      </c>
      <c r="AM12" s="10">
        <v>-1.9024390243900235E-2</v>
      </c>
      <c r="AN12" s="10">
        <v>-0.16374999999999984</v>
      </c>
      <c r="AO12" s="11">
        <v>-0.36571428571427989</v>
      </c>
      <c r="AQ12" s="66"/>
      <c r="AR12" s="70"/>
      <c r="AS12" s="39" t="s">
        <v>25</v>
      </c>
      <c r="AT12" s="9">
        <v>-3.4212765957437163E-2</v>
      </c>
      <c r="AU12" s="10">
        <v>-2.6995708154495368E-2</v>
      </c>
      <c r="AV12" s="10">
        <v>-0.27898305084745179</v>
      </c>
      <c r="AW12" s="10">
        <v>0.12778688524590986</v>
      </c>
      <c r="AX12" s="10">
        <v>-1.8177966101701415E-2</v>
      </c>
      <c r="AY12" s="10">
        <v>4.4059829059830857E-2</v>
      </c>
      <c r="AZ12" s="10">
        <v>9.0772357723578834E-2</v>
      </c>
      <c r="BA12" s="11">
        <v>-0.10351239669421508</v>
      </c>
      <c r="BB12" s="9">
        <v>-3.8043478260860297E-2</v>
      </c>
      <c r="BC12" s="10">
        <v>-4.2291666666659289E-2</v>
      </c>
      <c r="BD12" s="10">
        <v>-0.27530612244896968</v>
      </c>
      <c r="BE12" s="10">
        <v>0.12458333333333993</v>
      </c>
      <c r="BF12" s="10">
        <v>-2.3999999999989807E-2</v>
      </c>
      <c r="BG12" s="10">
        <v>4.4468085106390109E-2</v>
      </c>
      <c r="BH12" s="10">
        <v>8.8163265306129945E-2</v>
      </c>
      <c r="BI12" s="11">
        <v>-9.872340425531001E-2</v>
      </c>
      <c r="BK12" s="66"/>
      <c r="BL12" s="70"/>
      <c r="BM12" s="39" t="s">
        <v>25</v>
      </c>
      <c r="BN12" s="9">
        <v>7.9626168224302241E-2</v>
      </c>
      <c r="BO12" s="10">
        <v>-1.3853211009177357E-2</v>
      </c>
      <c r="BP12" s="10">
        <v>-0.13119266055045919</v>
      </c>
      <c r="BQ12" s="10">
        <v>0.24762376237623851</v>
      </c>
      <c r="BR12" s="10">
        <v>5.4454545454545311E-2</v>
      </c>
      <c r="BS12" s="10">
        <v>-2.7543859649123981E-2</v>
      </c>
      <c r="BT12" s="10">
        <v>3.5660377358491591E-2</v>
      </c>
      <c r="BU12" s="11">
        <v>-0.28397435897435841</v>
      </c>
      <c r="BV12" s="9">
        <v>4.6200000000010455E-2</v>
      </c>
      <c r="BW12" s="10">
        <v>-1.1538461538459721E-2</v>
      </c>
      <c r="BX12" s="10">
        <v>-0.13899999999999979</v>
      </c>
      <c r="BY12" s="10">
        <v>0.19019999999999992</v>
      </c>
      <c r="BZ12" s="10">
        <v>2.2448979591906948E-3</v>
      </c>
      <c r="CA12" s="10">
        <v>-2.7735849056599982E-2</v>
      </c>
      <c r="CB12" s="10">
        <v>3.4166666666669787E-2</v>
      </c>
      <c r="CC12" s="11">
        <v>-0.29731707317072997</v>
      </c>
      <c r="CE12" s="66"/>
      <c r="CF12" s="70"/>
      <c r="CG12" s="39" t="s">
        <v>25</v>
      </c>
      <c r="CH12" s="9">
        <v>0.71875000000000133</v>
      </c>
      <c r="CI12" s="10">
        <v>2.8684444444444432</v>
      </c>
      <c r="CJ12" s="10">
        <v>2.680208333333332</v>
      </c>
      <c r="CK12" s="10">
        <v>2.4568421052631564</v>
      </c>
      <c r="CL12" s="10">
        <v>2.7967272727272734</v>
      </c>
      <c r="CM12" s="10">
        <v>2.6886666666666654</v>
      </c>
      <c r="CN12" s="10">
        <v>0.28909090909090907</v>
      </c>
      <c r="CO12" s="11">
        <v>-0.47529411764705864</v>
      </c>
      <c r="CP12" s="9"/>
      <c r="CQ12" s="10"/>
      <c r="CR12" s="10"/>
      <c r="CS12" s="10"/>
      <c r="CT12" s="10"/>
      <c r="CU12" s="10"/>
      <c r="CV12" s="10"/>
      <c r="CW12" s="11"/>
      <c r="CY12" s="66"/>
      <c r="CZ12" s="70"/>
      <c r="DA12" s="39" t="s">
        <v>25</v>
      </c>
      <c r="DB12" s="9">
        <v>2.3440740740740735</v>
      </c>
      <c r="DC12" s="10">
        <v>1.4737209302325556</v>
      </c>
      <c r="DD12" s="10">
        <v>4.7156896551724135</v>
      </c>
      <c r="DE12" s="10">
        <v>4.5984905660377358</v>
      </c>
      <c r="DF12" s="10">
        <v>3.0239130434782617</v>
      </c>
      <c r="DG12" s="10">
        <v>1.8442857142857141</v>
      </c>
      <c r="DH12" s="10">
        <v>2.16</v>
      </c>
      <c r="DI12" s="11">
        <v>1.8643999999999994</v>
      </c>
      <c r="DJ12" s="9">
        <v>2.3492857142857151</v>
      </c>
      <c r="DK12" s="10">
        <v>1.7499999999999996</v>
      </c>
      <c r="DL12" s="10">
        <v>4.6811111111111119</v>
      </c>
      <c r="DM12" s="10">
        <v>4.5971428571428596</v>
      </c>
      <c r="DN12" s="10">
        <v>3.1963636363636398</v>
      </c>
      <c r="DO12" s="10">
        <v>1.76</v>
      </c>
      <c r="DP12" s="10">
        <v>2.1707692307692312</v>
      </c>
      <c r="DQ12" s="11">
        <v>1.8185714285714301</v>
      </c>
      <c r="DS12" s="66"/>
      <c r="DT12" s="70"/>
      <c r="DU12" s="39" t="s">
        <v>25</v>
      </c>
      <c r="DV12" s="9">
        <v>-8.3807692307692285</v>
      </c>
      <c r="DW12" s="10">
        <v>2.8822222222222234</v>
      </c>
      <c r="DX12" s="10">
        <v>2.5484482758620688</v>
      </c>
      <c r="DY12" s="10">
        <v>0.96904761904761694</v>
      </c>
      <c r="DZ12" s="10">
        <v>1.7833333333333334</v>
      </c>
      <c r="EA12" s="10">
        <v>0.76061224489795931</v>
      </c>
      <c r="EB12" s="10">
        <v>1.5048214285714285</v>
      </c>
      <c r="EC12" s="11">
        <v>0.92877551020408156</v>
      </c>
      <c r="ED12" s="9">
        <v>-8.8099999999999987</v>
      </c>
      <c r="EE12" s="10">
        <v>2.8600000000000003</v>
      </c>
      <c r="EF12" s="10">
        <v>2.19</v>
      </c>
      <c r="EG12" s="10">
        <v>0.87000000000000988</v>
      </c>
      <c r="EH12" s="10">
        <v>1.76</v>
      </c>
      <c r="EI12" s="10">
        <v>0.71375000000000011</v>
      </c>
      <c r="EJ12" s="10">
        <v>1.48</v>
      </c>
      <c r="EK12" s="11">
        <v>0.90333333333333388</v>
      </c>
      <c r="EM12" s="66"/>
      <c r="EN12" s="70"/>
      <c r="EO12" s="39" t="s">
        <v>25</v>
      </c>
      <c r="EP12" s="9">
        <v>3.3499999999999996</v>
      </c>
      <c r="EQ12" s="10">
        <v>5.4824528301886799</v>
      </c>
      <c r="ER12" s="10">
        <v>3.4726415094339624</v>
      </c>
      <c r="ES12" s="10">
        <v>3.8245454545454542</v>
      </c>
      <c r="ET12" s="10">
        <v>3.3821739130434794</v>
      </c>
      <c r="EU12" s="10">
        <v>1.1197674418604646</v>
      </c>
      <c r="EV12" s="10">
        <v>3.4629545454545454</v>
      </c>
      <c r="EW12" s="11">
        <v>0.65234042553191562</v>
      </c>
      <c r="EX12" s="9">
        <v>3.35</v>
      </c>
      <c r="EY12" s="10">
        <v>5.4986792452830198</v>
      </c>
      <c r="EZ12" s="10">
        <v>3.4722222222222232</v>
      </c>
      <c r="FA12" s="10">
        <v>3.8245454545454605</v>
      </c>
      <c r="FB12" s="10">
        <v>3.3857446808510705</v>
      </c>
      <c r="FC12" s="10">
        <v>1.1165909090909092</v>
      </c>
      <c r="FD12" s="10">
        <v>3.4611111111111117</v>
      </c>
      <c r="FE12" s="11">
        <v>0.67404255319148998</v>
      </c>
    </row>
    <row r="13" spans="3:161" x14ac:dyDescent="0.3">
      <c r="C13" s="66"/>
      <c r="D13" s="70"/>
      <c r="E13" s="39" t="s">
        <v>26</v>
      </c>
      <c r="F13" s="9">
        <v>1.35</v>
      </c>
      <c r="G13" s="10">
        <v>-8.69</v>
      </c>
      <c r="H13" s="10">
        <v>-1.08</v>
      </c>
      <c r="I13" s="10">
        <v>5.61</v>
      </c>
      <c r="J13" s="10">
        <v>-3.07</v>
      </c>
      <c r="K13" s="10">
        <v>-8.65</v>
      </c>
      <c r="L13" s="10">
        <v>-11.58</v>
      </c>
      <c r="M13" s="11">
        <v>6.08</v>
      </c>
      <c r="N13" s="9">
        <v>1.267289448910133</v>
      </c>
      <c r="O13" s="10">
        <v>-8.7870246748751253</v>
      </c>
      <c r="P13" s="10">
        <v>-1.0486560327855692</v>
      </c>
      <c r="Q13" s="10">
        <v>7.5990675990675953</v>
      </c>
      <c r="R13" s="10">
        <v>-3.0908326324642585</v>
      </c>
      <c r="S13" s="10">
        <v>-8.8891970600471844</v>
      </c>
      <c r="T13" s="10">
        <v>-11.819342853825605</v>
      </c>
      <c r="U13" s="11">
        <v>6.8843866545710926</v>
      </c>
      <c r="W13" s="66"/>
      <c r="X13" s="70"/>
      <c r="Y13" s="39" t="s">
        <v>26</v>
      </c>
      <c r="Z13" s="9">
        <v>1.4884552674485809</v>
      </c>
      <c r="AA13" s="10">
        <v>-2.400746521886632</v>
      </c>
      <c r="AB13" s="10">
        <v>-2.4395798343248991</v>
      </c>
      <c r="AC13" s="10">
        <v>6.0094901915397987</v>
      </c>
      <c r="AD13" s="10">
        <v>0.4271476032273368</v>
      </c>
      <c r="AE13" s="10">
        <v>-2.0029831664180273</v>
      </c>
      <c r="AF13" s="10">
        <v>-5.7700511945392714</v>
      </c>
      <c r="AG13" s="11">
        <v>-10.106684533319592</v>
      </c>
      <c r="AH13" s="9">
        <v>1.5020558865487053</v>
      </c>
      <c r="AI13" s="10">
        <v>-2.6933731088854644</v>
      </c>
      <c r="AJ13" s="10">
        <v>-2.4486856319768222</v>
      </c>
      <c r="AK13" s="10">
        <v>5.7494958548062138</v>
      </c>
      <c r="AL13" s="10">
        <v>2.8182701652089497</v>
      </c>
      <c r="AM13" s="10">
        <v>-0.51851359436276689</v>
      </c>
      <c r="AN13" s="10">
        <v>-5.4334301119867225</v>
      </c>
      <c r="AO13" s="11">
        <v>-10.675562969140799</v>
      </c>
      <c r="AQ13" s="66"/>
      <c r="AR13" s="70"/>
      <c r="AS13" s="39" t="s">
        <v>26</v>
      </c>
      <c r="AT13" s="9">
        <v>-0.87406505479189356</v>
      </c>
      <c r="AU13" s="10">
        <v>-0.63414929225283667</v>
      </c>
      <c r="AV13" s="10">
        <v>-6.7079631591815474</v>
      </c>
      <c r="AW13" s="10">
        <v>2.9702593023036248</v>
      </c>
      <c r="AX13" s="10">
        <v>-0.50519919450775774</v>
      </c>
      <c r="AY13" s="10">
        <v>1.4094904780784483</v>
      </c>
      <c r="AZ13" s="10">
        <v>5.5714962948178384</v>
      </c>
      <c r="BA13" s="11">
        <v>-8.3241949955139223</v>
      </c>
      <c r="BB13" s="9">
        <v>-0.97098152360848788</v>
      </c>
      <c r="BC13" s="10">
        <v>-0.98990588579492333</v>
      </c>
      <c r="BD13" s="10">
        <v>-6.625411325573177</v>
      </c>
      <c r="BE13" s="10">
        <v>2.8936417303785573</v>
      </c>
      <c r="BF13" s="10">
        <v>-0.66592674805743268</v>
      </c>
      <c r="BG13" s="10">
        <v>1.4227365554801497</v>
      </c>
      <c r="BH13" s="10">
        <v>5.4027013506758221</v>
      </c>
      <c r="BI13" s="11">
        <v>-7.9697698385427769</v>
      </c>
      <c r="BK13" s="66"/>
      <c r="BL13" s="70"/>
      <c r="BM13" s="39" t="s">
        <v>26</v>
      </c>
      <c r="BN13" s="9">
        <v>1.9324986390855441</v>
      </c>
      <c r="BO13" s="10">
        <v>-0.22733089441915169</v>
      </c>
      <c r="BP13" s="10">
        <v>-3.4973586382312778</v>
      </c>
      <c r="BQ13" s="10">
        <v>4.8436138278299783</v>
      </c>
      <c r="BR13" s="10">
        <v>1.0111240525987042</v>
      </c>
      <c r="BS13" s="10">
        <v>-1.4908365777229757</v>
      </c>
      <c r="BT13" s="10">
        <v>0.95749531384571407</v>
      </c>
      <c r="BU13" s="11">
        <v>-9.0036990366245107</v>
      </c>
      <c r="BV13" s="9">
        <v>1.1122345803844809</v>
      </c>
      <c r="BW13" s="10">
        <v>-0.18941785578984266</v>
      </c>
      <c r="BX13" s="10">
        <v>-3.6977919659483849</v>
      </c>
      <c r="BY13" s="10">
        <v>3.6790591512244166</v>
      </c>
      <c r="BZ13" s="10">
        <v>4.1283542878718028E-2</v>
      </c>
      <c r="CA13" s="10">
        <v>-1.5010721944243868</v>
      </c>
      <c r="CB13" s="10">
        <v>0.91702080071580805</v>
      </c>
      <c r="CC13" s="11">
        <v>-9.3870321885106538</v>
      </c>
      <c r="CE13" s="66"/>
      <c r="CF13" s="70"/>
      <c r="CG13" s="39" t="s">
        <v>26</v>
      </c>
      <c r="CH13" s="9">
        <v>30.963920301561732</v>
      </c>
      <c r="CI13" s="10">
        <v>251.27506326649765</v>
      </c>
      <c r="CJ13" s="10">
        <v>104.70415886709519</v>
      </c>
      <c r="CK13" s="10">
        <v>74.154090548053944</v>
      </c>
      <c r="CL13" s="10">
        <v>200.7307842881379</v>
      </c>
      <c r="CM13" s="10">
        <v>158.96728419392966</v>
      </c>
      <c r="CN13" s="10">
        <v>22.927180966113912</v>
      </c>
      <c r="CO13" s="11">
        <v>-16.472986748216101</v>
      </c>
      <c r="CP13" s="9"/>
      <c r="CQ13" s="10"/>
      <c r="CR13" s="10"/>
      <c r="CS13" s="10"/>
      <c r="CT13" s="10"/>
      <c r="CU13" s="10"/>
      <c r="CV13" s="10"/>
      <c r="CW13" s="11"/>
      <c r="CY13" s="66"/>
      <c r="CZ13" s="70"/>
      <c r="DA13" s="39" t="s">
        <v>26</v>
      </c>
      <c r="DB13" s="9">
        <v>437.38769868693811</v>
      </c>
      <c r="DC13" s="10">
        <v>38.415373423860238</v>
      </c>
      <c r="DD13" s="10">
        <v>1454.0669856459324</v>
      </c>
      <c r="DE13" s="10">
        <v>285.35300316122243</v>
      </c>
      <c r="DF13" s="10">
        <v>133.44205679201849</v>
      </c>
      <c r="DG13" s="10">
        <v>102.13607594936707</v>
      </c>
      <c r="DH13" s="10">
        <v>313.04347826086968</v>
      </c>
      <c r="DI13" s="11">
        <v>155.93844095015041</v>
      </c>
      <c r="DJ13" s="9">
        <v>442.66487213997385</v>
      </c>
      <c r="DK13" s="10">
        <v>49.157303370786501</v>
      </c>
      <c r="DL13" s="10">
        <v>1304.3343653250811</v>
      </c>
      <c r="DM13" s="10">
        <v>285.03100088574024</v>
      </c>
      <c r="DN13" s="10">
        <v>152.67042987407771</v>
      </c>
      <c r="DO13" s="10">
        <v>93.121693121693127</v>
      </c>
      <c r="DP13" s="10">
        <v>319.59229898074761</v>
      </c>
      <c r="DQ13" s="11">
        <v>146.49021864211767</v>
      </c>
      <c r="DS13" s="66"/>
      <c r="DT13" s="70"/>
      <c r="DU13" s="39" t="s">
        <v>26</v>
      </c>
      <c r="DV13" s="9">
        <v>-68.354350963046613</v>
      </c>
      <c r="DW13" s="10">
        <v>213.84995877988473</v>
      </c>
      <c r="DX13" s="10">
        <v>191.38935646769389</v>
      </c>
      <c r="DY13" s="10">
        <v>27.9994496422674</v>
      </c>
      <c r="DZ13" s="10">
        <v>99.2578849721707</v>
      </c>
      <c r="EA13" s="10">
        <v>31.568693884465532</v>
      </c>
      <c r="EB13" s="10">
        <v>699.33609958506213</v>
      </c>
      <c r="EC13" s="11">
        <v>439.71014492753619</v>
      </c>
      <c r="ED13" s="9">
        <v>-69.424743892828985</v>
      </c>
      <c r="EE13" s="10">
        <v>208.75912408759123</v>
      </c>
      <c r="EF13" s="10">
        <v>129.58579881656803</v>
      </c>
      <c r="EG13" s="10">
        <v>24.438202247191359</v>
      </c>
      <c r="EH13" s="10">
        <v>96.703296703296701</v>
      </c>
      <c r="EI13" s="10">
        <v>29.058524173027994</v>
      </c>
      <c r="EJ13" s="10">
        <v>616.66666666666674</v>
      </c>
      <c r="EK13" s="11">
        <v>381.69014084507171</v>
      </c>
      <c r="EM13" s="66"/>
      <c r="EN13" s="70"/>
      <c r="EO13" s="39" t="s">
        <v>26</v>
      </c>
      <c r="EP13" s="9">
        <v>394.11764705882331</v>
      </c>
      <c r="EQ13" s="10">
        <v>917.49289548468619</v>
      </c>
      <c r="ER13" s="10">
        <v>2356.5941101152353</v>
      </c>
      <c r="ES13" s="10">
        <v>249.08229721728821</v>
      </c>
      <c r="ET13" s="10">
        <v>164.35664483414337</v>
      </c>
      <c r="EU13" s="10">
        <v>159.9136499501825</v>
      </c>
      <c r="EV13" s="10">
        <v>1165.7995409334355</v>
      </c>
      <c r="EW13" s="11">
        <v>29.415715245131004</v>
      </c>
      <c r="EX13" s="9">
        <v>394.11764705882354</v>
      </c>
      <c r="EY13" s="10">
        <v>945.89419019798959</v>
      </c>
      <c r="EZ13" s="10">
        <v>2349.6240601503887</v>
      </c>
      <c r="FA13" s="10">
        <v>249.08229721728961</v>
      </c>
      <c r="FB13" s="10">
        <v>164.81615743138354</v>
      </c>
      <c r="FC13" s="10">
        <v>158.73990306946689</v>
      </c>
      <c r="FD13" s="10">
        <v>1157.9925650557659</v>
      </c>
      <c r="FE13" s="11">
        <v>30.694700125956821</v>
      </c>
    </row>
    <row r="14" spans="3:161" ht="28.8" x14ac:dyDescent="0.3">
      <c r="C14" s="66"/>
      <c r="D14" s="70" t="s">
        <v>27</v>
      </c>
      <c r="E14" s="40" t="s">
        <v>24</v>
      </c>
      <c r="F14" s="27">
        <v>2.99</v>
      </c>
      <c r="G14" s="28">
        <v>4.18</v>
      </c>
      <c r="H14" s="28">
        <v>5.28</v>
      </c>
      <c r="I14" s="28">
        <v>5.69</v>
      </c>
      <c r="J14" s="28">
        <v>4.22</v>
      </c>
      <c r="K14" s="28">
        <v>4.3899999999999997</v>
      </c>
      <c r="L14" s="28">
        <v>1.62</v>
      </c>
      <c r="M14" s="29">
        <v>2.44</v>
      </c>
      <c r="N14" s="27">
        <v>2.99</v>
      </c>
      <c r="O14" s="28">
        <v>4.18</v>
      </c>
      <c r="P14" s="28">
        <v>5.28</v>
      </c>
      <c r="Q14" s="28">
        <v>5.69</v>
      </c>
      <c r="R14" s="28">
        <v>4.22</v>
      </c>
      <c r="S14" s="28">
        <v>4.3899999999999997</v>
      </c>
      <c r="T14" s="28">
        <v>1.62</v>
      </c>
      <c r="U14" s="29">
        <v>2.44</v>
      </c>
      <c r="W14" s="66"/>
      <c r="X14" s="70" t="s">
        <v>27</v>
      </c>
      <c r="Y14" s="40" t="s">
        <v>24</v>
      </c>
      <c r="Z14" s="27">
        <v>2.84</v>
      </c>
      <c r="AA14" s="28">
        <v>5.41</v>
      </c>
      <c r="AB14" s="28">
        <v>5.0999999999999996</v>
      </c>
      <c r="AC14" s="28">
        <v>6.17</v>
      </c>
      <c r="AD14" s="28">
        <v>5.33</v>
      </c>
      <c r="AE14" s="28">
        <v>3.65</v>
      </c>
      <c r="AF14" s="28">
        <v>2.94</v>
      </c>
      <c r="AG14" s="29">
        <v>3.12</v>
      </c>
      <c r="AH14" s="27">
        <v>2.84</v>
      </c>
      <c r="AI14" s="28">
        <v>5.41</v>
      </c>
      <c r="AJ14" s="28">
        <v>5.0999999999999996</v>
      </c>
      <c r="AK14" s="28">
        <v>6.17</v>
      </c>
      <c r="AL14" s="28">
        <v>5.33</v>
      </c>
      <c r="AM14" s="28">
        <v>3.65</v>
      </c>
      <c r="AN14" s="28">
        <v>2.94</v>
      </c>
      <c r="AO14" s="29">
        <v>3.12</v>
      </c>
      <c r="AQ14" s="66"/>
      <c r="AR14" s="70" t="s">
        <v>27</v>
      </c>
      <c r="AS14" s="40" t="s">
        <v>24</v>
      </c>
      <c r="AT14" s="27">
        <v>3.86</v>
      </c>
      <c r="AU14" s="28">
        <v>4.24</v>
      </c>
      <c r="AV14" s="28">
        <v>3.37</v>
      </c>
      <c r="AW14" s="28">
        <v>4.38</v>
      </c>
      <c r="AX14" s="28">
        <v>3.57</v>
      </c>
      <c r="AY14" s="28">
        <v>3.19</v>
      </c>
      <c r="AZ14" s="28">
        <v>1.74</v>
      </c>
      <c r="BA14" s="29">
        <v>1.1200000000000001</v>
      </c>
      <c r="BB14" s="27">
        <v>3.86</v>
      </c>
      <c r="BC14" s="28">
        <v>4.24</v>
      </c>
      <c r="BD14" s="28">
        <v>3.37</v>
      </c>
      <c r="BE14" s="28">
        <v>4.38</v>
      </c>
      <c r="BF14" s="28">
        <v>3.57</v>
      </c>
      <c r="BG14" s="28">
        <v>3.19</v>
      </c>
      <c r="BH14" s="28">
        <v>1.74</v>
      </c>
      <c r="BI14" s="29">
        <v>1.1200000000000001</v>
      </c>
      <c r="BK14" s="66"/>
      <c r="BL14" s="70" t="s">
        <v>27</v>
      </c>
      <c r="BM14" s="40" t="s">
        <v>24</v>
      </c>
      <c r="BN14" s="27">
        <v>4.1399999999999997</v>
      </c>
      <c r="BO14" s="28">
        <v>6.08</v>
      </c>
      <c r="BP14" s="28">
        <v>3.66</v>
      </c>
      <c r="BQ14" s="28">
        <v>5.32</v>
      </c>
      <c r="BR14" s="28">
        <v>5.44</v>
      </c>
      <c r="BS14" s="28">
        <v>1.83</v>
      </c>
      <c r="BT14" s="28">
        <v>3.76</v>
      </c>
      <c r="BU14" s="29">
        <v>2.91</v>
      </c>
      <c r="BV14" s="27">
        <v>4.1399999999999997</v>
      </c>
      <c r="BW14" s="28">
        <v>6.08</v>
      </c>
      <c r="BX14" s="28">
        <v>3.66</v>
      </c>
      <c r="BY14" s="28">
        <v>5.32</v>
      </c>
      <c r="BZ14" s="28">
        <v>5.44</v>
      </c>
      <c r="CA14" s="28">
        <v>1.83</v>
      </c>
      <c r="CB14" s="28">
        <v>3.76</v>
      </c>
      <c r="CC14" s="29">
        <v>2.91</v>
      </c>
      <c r="CE14" s="66"/>
      <c r="CF14" s="70" t="s">
        <v>27</v>
      </c>
      <c r="CG14" s="40" t="s">
        <v>24</v>
      </c>
      <c r="CH14" s="27">
        <v>2.99</v>
      </c>
      <c r="CI14" s="28">
        <v>4.18</v>
      </c>
      <c r="CJ14" s="28">
        <v>5.28</v>
      </c>
      <c r="CK14" s="28">
        <v>5.69</v>
      </c>
      <c r="CL14" s="28">
        <v>4.22</v>
      </c>
      <c r="CM14" s="28">
        <v>4.3899999999999997</v>
      </c>
      <c r="CN14" s="28">
        <v>1.62</v>
      </c>
      <c r="CO14" s="29">
        <v>2.44</v>
      </c>
      <c r="CP14" s="27"/>
      <c r="CQ14" s="28"/>
      <c r="CR14" s="28"/>
      <c r="CS14" s="28"/>
      <c r="CT14" s="28"/>
      <c r="CU14" s="28"/>
      <c r="CV14" s="28"/>
      <c r="CW14" s="29"/>
      <c r="CY14" s="66"/>
      <c r="CZ14" s="70" t="s">
        <v>27</v>
      </c>
      <c r="DA14" s="40" t="s">
        <v>24</v>
      </c>
      <c r="DB14" s="27">
        <v>2.84</v>
      </c>
      <c r="DC14" s="28">
        <v>5.41</v>
      </c>
      <c r="DD14" s="28">
        <v>5.0999999999999996</v>
      </c>
      <c r="DE14" s="28">
        <v>6.17</v>
      </c>
      <c r="DF14" s="28">
        <v>5.33</v>
      </c>
      <c r="DG14" s="28">
        <v>3.65</v>
      </c>
      <c r="DH14" s="28">
        <v>2.94</v>
      </c>
      <c r="DI14" s="29">
        <v>3.12</v>
      </c>
      <c r="DJ14" s="27">
        <v>2.84</v>
      </c>
      <c r="DK14" s="28">
        <v>5.41</v>
      </c>
      <c r="DL14" s="28">
        <v>5.0999999999999996</v>
      </c>
      <c r="DM14" s="28">
        <v>6.17</v>
      </c>
      <c r="DN14" s="28">
        <v>5.33</v>
      </c>
      <c r="DO14" s="28">
        <v>3.65</v>
      </c>
      <c r="DP14" s="28">
        <v>2.94</v>
      </c>
      <c r="DQ14" s="29">
        <v>3.12</v>
      </c>
      <c r="DS14" s="66"/>
      <c r="DT14" s="70" t="s">
        <v>27</v>
      </c>
      <c r="DU14" s="40" t="s">
        <v>24</v>
      </c>
      <c r="DV14" s="27">
        <v>3.86</v>
      </c>
      <c r="DW14" s="28">
        <v>4.24</v>
      </c>
      <c r="DX14" s="28">
        <v>3.37</v>
      </c>
      <c r="DY14" s="28">
        <v>4.38</v>
      </c>
      <c r="DZ14" s="28">
        <v>3.57</v>
      </c>
      <c r="EA14" s="28">
        <v>3.19</v>
      </c>
      <c r="EB14" s="28">
        <v>1.74</v>
      </c>
      <c r="EC14" s="29">
        <v>1.1200000000000001</v>
      </c>
      <c r="ED14" s="27">
        <v>3.86</v>
      </c>
      <c r="EE14" s="28">
        <v>4.24</v>
      </c>
      <c r="EF14" s="28">
        <v>3.37</v>
      </c>
      <c r="EG14" s="28">
        <v>4.38</v>
      </c>
      <c r="EH14" s="28">
        <v>3.57</v>
      </c>
      <c r="EI14" s="28">
        <v>3.19</v>
      </c>
      <c r="EJ14" s="28">
        <v>1.74</v>
      </c>
      <c r="EK14" s="29">
        <v>1.1200000000000001</v>
      </c>
      <c r="EM14" s="66"/>
      <c r="EN14" s="70" t="s">
        <v>27</v>
      </c>
      <c r="EO14" s="40" t="s">
        <v>24</v>
      </c>
      <c r="EP14" s="27">
        <v>4.1399999999999997</v>
      </c>
      <c r="EQ14" s="28">
        <v>6.08</v>
      </c>
      <c r="ER14" s="28">
        <v>3.66</v>
      </c>
      <c r="ES14" s="28">
        <v>5.32</v>
      </c>
      <c r="ET14" s="28">
        <v>5.44</v>
      </c>
      <c r="EU14" s="28">
        <v>1.83</v>
      </c>
      <c r="EV14" s="28">
        <v>3.76</v>
      </c>
      <c r="EW14" s="29">
        <v>2.91</v>
      </c>
      <c r="EX14" s="27">
        <v>4.1399999999999997</v>
      </c>
      <c r="EY14" s="28">
        <v>6.08</v>
      </c>
      <c r="EZ14" s="28">
        <v>3.66</v>
      </c>
      <c r="FA14" s="28">
        <v>5.32</v>
      </c>
      <c r="FB14" s="28">
        <v>5.44</v>
      </c>
      <c r="FC14" s="28">
        <v>1.83</v>
      </c>
      <c r="FD14" s="28">
        <v>3.76</v>
      </c>
      <c r="FE14" s="29">
        <v>2.91</v>
      </c>
    </row>
    <row r="15" spans="3:161" x14ac:dyDescent="0.3">
      <c r="C15" s="66"/>
      <c r="D15" s="70"/>
      <c r="E15" s="39" t="s">
        <v>25</v>
      </c>
      <c r="F15" s="9">
        <v>-0.01</v>
      </c>
      <c r="G15" s="10">
        <v>-0.21</v>
      </c>
      <c r="H15" s="10">
        <v>-0.02</v>
      </c>
      <c r="I15" s="10">
        <v>0.23</v>
      </c>
      <c r="J15" s="10">
        <v>-0.1</v>
      </c>
      <c r="K15" s="10">
        <v>-0.4</v>
      </c>
      <c r="L15" s="10">
        <v>-0.13</v>
      </c>
      <c r="M15" s="11">
        <v>0.17</v>
      </c>
      <c r="N15" s="9">
        <v>-1.1956521739130199E-2</v>
      </c>
      <c r="O15" s="10">
        <v>-0.21630434782608621</v>
      </c>
      <c r="P15" s="10">
        <v>-1.5531914893617049E-2</v>
      </c>
      <c r="Q15" s="10">
        <v>0.32750000000000057</v>
      </c>
      <c r="R15" s="10">
        <v>-0.10363636363636441</v>
      </c>
      <c r="S15" s="10">
        <v>-0.41733333333333533</v>
      </c>
      <c r="T15" s="10">
        <v>-0.13775510204081609</v>
      </c>
      <c r="U15" s="11">
        <v>0.18522727272727213</v>
      </c>
      <c r="W15" s="66"/>
      <c r="X15" s="70"/>
      <c r="Y15" s="39" t="s">
        <v>25</v>
      </c>
      <c r="Z15" s="9">
        <v>2.238805970149027E-3</v>
      </c>
      <c r="AA15" s="10">
        <v>-3.0615384615382268E-2</v>
      </c>
      <c r="AB15" s="10">
        <v>-6.6029411764705337E-2</v>
      </c>
      <c r="AC15" s="10">
        <v>0.31203389830508232</v>
      </c>
      <c r="AD15" s="10">
        <v>6.25E-2</v>
      </c>
      <c r="AE15" s="10">
        <v>-7.4603174603173006E-2</v>
      </c>
      <c r="AF15" s="10">
        <v>-8.4516129032258913E-2</v>
      </c>
      <c r="AG15" s="11">
        <v>-0.28403508771929831</v>
      </c>
      <c r="AH15" s="9">
        <v>2.6190476190497414E-3</v>
      </c>
      <c r="AI15" s="10">
        <v>-4.6976744186039809E-2</v>
      </c>
      <c r="AJ15" s="10">
        <v>-6.6511627906970183E-2</v>
      </c>
      <c r="AK15" s="10">
        <v>0.29763157894737002</v>
      </c>
      <c r="AL15" s="10">
        <v>0.1850000000000005</v>
      </c>
      <c r="AM15" s="10">
        <v>-1.9024390243900235E-2</v>
      </c>
      <c r="AN15" s="10">
        <v>-7.3749999999999982E-2</v>
      </c>
      <c r="AO15" s="11">
        <v>-0.30571428571427983</v>
      </c>
      <c r="AQ15" s="66"/>
      <c r="AR15" s="70"/>
      <c r="AS15" s="39" t="s">
        <v>25</v>
      </c>
      <c r="AT15" s="9">
        <v>-5.4212765957437181E-2</v>
      </c>
      <c r="AU15" s="10">
        <v>-1.6995708154495581E-2</v>
      </c>
      <c r="AV15" s="10">
        <v>-0.78898305084745157</v>
      </c>
      <c r="AW15" s="10">
        <v>7.7786885245910042E-2</v>
      </c>
      <c r="AX15" s="10">
        <v>-2.8177966101701646E-2</v>
      </c>
      <c r="AY15" s="10">
        <v>6.4059829059830875E-2</v>
      </c>
      <c r="AZ15" s="10">
        <v>0.11077235772357885</v>
      </c>
      <c r="BA15" s="11">
        <v>-0.12351239669421488</v>
      </c>
      <c r="BB15" s="9">
        <v>-5.8043478260860315E-2</v>
      </c>
      <c r="BC15" s="10">
        <v>-3.2291666666659502E-2</v>
      </c>
      <c r="BD15" s="10">
        <v>-0.78530612244896947</v>
      </c>
      <c r="BE15" s="10">
        <v>7.4583333333340107E-2</v>
      </c>
      <c r="BF15" s="10">
        <v>-3.3999999999990038E-2</v>
      </c>
      <c r="BG15" s="10">
        <v>6.4468085106390127E-2</v>
      </c>
      <c r="BH15" s="10">
        <v>0.10816326530612996</v>
      </c>
      <c r="BI15" s="11">
        <v>-0.11872340425530981</v>
      </c>
      <c r="BK15" s="66"/>
      <c r="BL15" s="70"/>
      <c r="BM15" s="39" t="s">
        <v>25</v>
      </c>
      <c r="BN15" s="9">
        <v>1.9626168224301743E-2</v>
      </c>
      <c r="BO15" s="10">
        <v>-1.3853211009177357E-2</v>
      </c>
      <c r="BP15" s="10">
        <v>-9.1192660550459159E-2</v>
      </c>
      <c r="BQ15" s="10">
        <v>0.20762376237623847</v>
      </c>
      <c r="BR15" s="10">
        <v>5.4454545454545311E-2</v>
      </c>
      <c r="BS15" s="10">
        <v>-1.7543859649123972E-2</v>
      </c>
      <c r="BT15" s="10">
        <v>3.5660377358491591E-2</v>
      </c>
      <c r="BU15" s="11">
        <v>-0.24397435897435837</v>
      </c>
      <c r="BV15" s="9">
        <v>-1.3799999999990042E-2</v>
      </c>
      <c r="BW15" s="10">
        <v>-1.1538461538459721E-2</v>
      </c>
      <c r="BX15" s="10">
        <v>-9.8999999999999755E-2</v>
      </c>
      <c r="BY15" s="10">
        <v>0.15019999999999989</v>
      </c>
      <c r="BZ15" s="10">
        <v>2.2448979591906948E-3</v>
      </c>
      <c r="CA15" s="10">
        <v>-1.7735849056599973E-2</v>
      </c>
      <c r="CB15" s="10">
        <v>3.4166666666669787E-2</v>
      </c>
      <c r="CC15" s="11">
        <v>-0.25731707317072994</v>
      </c>
      <c r="CE15" s="66"/>
      <c r="CF15" s="70"/>
      <c r="CG15" s="39" t="s">
        <v>25</v>
      </c>
      <c r="CH15" s="9">
        <v>0.66875000000000151</v>
      </c>
      <c r="CI15" s="10">
        <v>3.0384444444444432</v>
      </c>
      <c r="CJ15" s="10">
        <v>2.720208333333332</v>
      </c>
      <c r="CK15" s="10">
        <v>2.3768421052631572</v>
      </c>
      <c r="CL15" s="10">
        <v>2.8267272727272728</v>
      </c>
      <c r="CM15" s="10">
        <v>2.6986666666666652</v>
      </c>
      <c r="CN15" s="10">
        <v>0.35909090909090913</v>
      </c>
      <c r="CO15" s="11">
        <v>-0.44529411764705884</v>
      </c>
      <c r="CP15" s="9"/>
      <c r="CQ15" s="10"/>
      <c r="CR15" s="10"/>
      <c r="CS15" s="10"/>
      <c r="CT15" s="10"/>
      <c r="CU15" s="10"/>
      <c r="CV15" s="10"/>
      <c r="CW15" s="11"/>
      <c r="CY15" s="66"/>
      <c r="CZ15" s="70"/>
      <c r="DA15" s="39" t="s">
        <v>25</v>
      </c>
      <c r="DB15" s="9">
        <v>2.3040740740740735</v>
      </c>
      <c r="DC15" s="10">
        <v>1.5737209302325561</v>
      </c>
      <c r="DD15" s="10">
        <v>4.7756896551724131</v>
      </c>
      <c r="DE15" s="10">
        <v>4.5584905660377366</v>
      </c>
      <c r="DF15" s="10">
        <v>3.0639130434782618</v>
      </c>
      <c r="DG15" s="10">
        <v>1.8442857142857141</v>
      </c>
      <c r="DH15" s="10">
        <v>2.25</v>
      </c>
      <c r="DI15" s="11">
        <v>1.9243999999999994</v>
      </c>
      <c r="DJ15" s="9">
        <v>2.3092857142857151</v>
      </c>
      <c r="DK15" s="10">
        <v>1.85</v>
      </c>
      <c r="DL15" s="10">
        <v>4.7411111111111115</v>
      </c>
      <c r="DM15" s="10">
        <v>4.5571428571428596</v>
      </c>
      <c r="DN15" s="10">
        <v>3.2363636363636399</v>
      </c>
      <c r="DO15" s="10">
        <v>1.76</v>
      </c>
      <c r="DP15" s="10">
        <v>2.2607692307692311</v>
      </c>
      <c r="DQ15" s="11">
        <v>1.8785714285714301</v>
      </c>
      <c r="DS15" s="66"/>
      <c r="DT15" s="70"/>
      <c r="DU15" s="39" t="s">
        <v>25</v>
      </c>
      <c r="DV15" s="9">
        <v>-8.4007692307692299</v>
      </c>
      <c r="DW15" s="10">
        <v>2.8922222222222231</v>
      </c>
      <c r="DX15" s="10">
        <v>2.038448275862069</v>
      </c>
      <c r="DY15" s="10">
        <v>0.91904761904761711</v>
      </c>
      <c r="DZ15" s="10">
        <v>1.7733333333333332</v>
      </c>
      <c r="EA15" s="10">
        <v>0.78061224489795933</v>
      </c>
      <c r="EB15" s="10">
        <v>1.5248214285714285</v>
      </c>
      <c r="EC15" s="11">
        <v>0.90877551020408176</v>
      </c>
      <c r="ED15" s="9">
        <v>-8.83</v>
      </c>
      <c r="EE15" s="10">
        <v>2.87</v>
      </c>
      <c r="EF15" s="10">
        <v>1.6800000000000002</v>
      </c>
      <c r="EG15" s="10">
        <v>0.82000000000001005</v>
      </c>
      <c r="EH15" s="10">
        <v>1.7499999999999998</v>
      </c>
      <c r="EI15" s="10">
        <v>0.73375000000000012</v>
      </c>
      <c r="EJ15" s="10">
        <v>1.5</v>
      </c>
      <c r="EK15" s="11">
        <v>0.88333333333333408</v>
      </c>
      <c r="EM15" s="66"/>
      <c r="EN15" s="70"/>
      <c r="EO15" s="39" t="s">
        <v>25</v>
      </c>
      <c r="EP15" s="9">
        <v>3.2899999999999991</v>
      </c>
      <c r="EQ15" s="10">
        <v>5.4824528301886799</v>
      </c>
      <c r="ER15" s="10">
        <v>3.5126415094339625</v>
      </c>
      <c r="ES15" s="10">
        <v>3.7845454545454542</v>
      </c>
      <c r="ET15" s="10">
        <v>3.3821739130434794</v>
      </c>
      <c r="EU15" s="10">
        <v>1.1297674418604648</v>
      </c>
      <c r="EV15" s="10">
        <v>3.4629545454545454</v>
      </c>
      <c r="EW15" s="11">
        <v>0.69234042553191566</v>
      </c>
      <c r="EX15" s="9">
        <v>3.2899999999999996</v>
      </c>
      <c r="EY15" s="10">
        <v>5.4986792452830198</v>
      </c>
      <c r="EZ15" s="10">
        <v>3.5122222222222232</v>
      </c>
      <c r="FA15" s="10">
        <v>3.7845454545454604</v>
      </c>
      <c r="FB15" s="10">
        <v>3.3857446808510705</v>
      </c>
      <c r="FC15" s="10">
        <v>1.126590909090909</v>
      </c>
      <c r="FD15" s="10">
        <v>3.4611111111111117</v>
      </c>
      <c r="FE15" s="11">
        <v>0.71404255319149001</v>
      </c>
    </row>
    <row r="16" spans="3:161" x14ac:dyDescent="0.3">
      <c r="C16" s="66"/>
      <c r="D16" s="70"/>
      <c r="E16" s="39" t="s">
        <v>26</v>
      </c>
      <c r="F16" s="9">
        <v>-0.32</v>
      </c>
      <c r="G16" s="10">
        <v>-4.82</v>
      </c>
      <c r="H16" s="10">
        <v>-0.33</v>
      </c>
      <c r="I16" s="10">
        <v>4.1500000000000004</v>
      </c>
      <c r="J16" s="10">
        <v>-2.37</v>
      </c>
      <c r="K16" s="10">
        <v>-8.44</v>
      </c>
      <c r="L16" s="10">
        <v>-7.59</v>
      </c>
      <c r="M16" s="11">
        <v>7.4</v>
      </c>
      <c r="N16" s="9">
        <v>-0.39829096965746191</v>
      </c>
      <c r="O16" s="10">
        <v>-4.9201404341591104</v>
      </c>
      <c r="P16" s="10">
        <v>-0.29330226204347354</v>
      </c>
      <c r="Q16" s="10">
        <v>6.1072261072261176</v>
      </c>
      <c r="R16" s="10">
        <v>-2.3969722455845428</v>
      </c>
      <c r="S16" s="10">
        <v>-8.6811815282208116</v>
      </c>
      <c r="T16" s="10">
        <v>-7.8369905956112724</v>
      </c>
      <c r="U16" s="11">
        <v>8.2148976917649144</v>
      </c>
      <c r="W16" s="66"/>
      <c r="X16" s="70"/>
      <c r="Y16" s="39" t="s">
        <v>26</v>
      </c>
      <c r="Z16" s="9">
        <v>7.8893388734016107E-2</v>
      </c>
      <c r="AA16" s="10">
        <v>-0.56271914941744372</v>
      </c>
      <c r="AB16" s="10">
        <v>-1.2781462609240126</v>
      </c>
      <c r="AC16" s="10">
        <v>5.326659336843889</v>
      </c>
      <c r="AD16" s="10">
        <v>1.1865211200759374</v>
      </c>
      <c r="AE16" s="10">
        <v>-2.0029831664180273</v>
      </c>
      <c r="AF16" s="10">
        <v>-2.7943686006826214</v>
      </c>
      <c r="AG16" s="11">
        <v>-8.3440705045611523</v>
      </c>
      <c r="AH16" s="9">
        <v>9.2305110346638602E-2</v>
      </c>
      <c r="AI16" s="10">
        <v>-0.86085659492849531</v>
      </c>
      <c r="AJ16" s="10">
        <v>-1.2873604609289349</v>
      </c>
      <c r="AK16" s="10">
        <v>5.0683396818283954</v>
      </c>
      <c r="AL16" s="10">
        <v>3.5957240038872786</v>
      </c>
      <c r="AM16" s="10">
        <v>-0.51851359436276689</v>
      </c>
      <c r="AN16" s="10">
        <v>-2.4471173786810447</v>
      </c>
      <c r="AO16" s="11">
        <v>-8.924103419516106</v>
      </c>
      <c r="AQ16" s="66"/>
      <c r="AR16" s="70"/>
      <c r="AS16" s="39" t="s">
        <v>26</v>
      </c>
      <c r="AT16" s="9">
        <v>-1.3850234823445131</v>
      </c>
      <c r="AU16" s="10">
        <v>-0.39924184377116995</v>
      </c>
      <c r="AV16" s="10">
        <v>-18.970576249082939</v>
      </c>
      <c r="AW16" s="10">
        <v>1.8080667593882378</v>
      </c>
      <c r="AX16" s="10">
        <v>-0.78311763251193245</v>
      </c>
      <c r="AY16" s="10">
        <v>2.0492979889811522</v>
      </c>
      <c r="AZ16" s="10">
        <v>6.7990718331296742</v>
      </c>
      <c r="BA16" s="11">
        <v>-9.9325424517329601</v>
      </c>
      <c r="BB16" s="9">
        <v>-1.4814403817342179</v>
      </c>
      <c r="BC16" s="10">
        <v>-0.75583946944928981</v>
      </c>
      <c r="BD16" s="10">
        <v>-18.898875300819999</v>
      </c>
      <c r="BE16" s="10">
        <v>1.732313945611309</v>
      </c>
      <c r="BF16" s="10">
        <v>-0.94339622641482057</v>
      </c>
      <c r="BG16" s="10">
        <v>2.0626276378491104</v>
      </c>
      <c r="BH16" s="10">
        <v>6.6283141570790312</v>
      </c>
      <c r="BI16" s="11">
        <v>-9.5843352799718353</v>
      </c>
      <c r="BK16" s="66"/>
      <c r="BL16" s="70"/>
      <c r="BM16" s="39" t="s">
        <v>26</v>
      </c>
      <c r="BN16" s="9">
        <v>0.47632008709859558</v>
      </c>
      <c r="BO16" s="10">
        <v>-0.22733089441915169</v>
      </c>
      <c r="BP16" s="10">
        <v>-2.4310311093719545</v>
      </c>
      <c r="BQ16" s="10">
        <v>4.0611987992640817</v>
      </c>
      <c r="BR16" s="10">
        <v>1.0111240525987042</v>
      </c>
      <c r="BS16" s="10">
        <v>-0.94957743804013461</v>
      </c>
      <c r="BT16" s="10">
        <v>0.95749531384571407</v>
      </c>
      <c r="BU16" s="11">
        <v>-7.7354579082150963</v>
      </c>
      <c r="BV16" s="9">
        <v>-0.33222591362102355</v>
      </c>
      <c r="BW16" s="10">
        <v>-0.18941785578984266</v>
      </c>
      <c r="BX16" s="10">
        <v>-2.6336791699920128</v>
      </c>
      <c r="BY16" s="10">
        <v>2.9053348292003536</v>
      </c>
      <c r="BZ16" s="10">
        <v>4.1283542878718028E-2</v>
      </c>
      <c r="CA16" s="10">
        <v>-0.95986929439375102</v>
      </c>
      <c r="CB16" s="10">
        <v>0.91702080071580805</v>
      </c>
      <c r="CC16" s="11">
        <v>-8.1241336824271766</v>
      </c>
      <c r="CE16" s="66"/>
      <c r="CF16" s="70"/>
      <c r="CG16" s="39" t="s">
        <v>26</v>
      </c>
      <c r="CH16" s="9">
        <v>28.809908454496579</v>
      </c>
      <c r="CI16" s="10">
        <v>266.16702355460353</v>
      </c>
      <c r="CJ16" s="10">
        <v>106.26678603401957</v>
      </c>
      <c r="CK16" s="10">
        <v>71.739475774424093</v>
      </c>
      <c r="CL16" s="10">
        <v>202.88398799425815</v>
      </c>
      <c r="CM16" s="10">
        <v>159.55853370122176</v>
      </c>
      <c r="CN16" s="10">
        <v>28.478731074260999</v>
      </c>
      <c r="CO16" s="11">
        <v>-15.433231396534151</v>
      </c>
      <c r="CP16" s="9"/>
      <c r="CQ16" s="10"/>
      <c r="CR16" s="10"/>
      <c r="CS16" s="10"/>
      <c r="CT16" s="10"/>
      <c r="CU16" s="10"/>
      <c r="CV16" s="10"/>
      <c r="CW16" s="11"/>
      <c r="CY16" s="66"/>
      <c r="CZ16" s="70"/>
      <c r="DA16" s="39" t="s">
        <v>26</v>
      </c>
      <c r="DB16" s="9">
        <v>429.92398064961952</v>
      </c>
      <c r="DC16" s="10">
        <v>41.022065955383049</v>
      </c>
      <c r="DD16" s="10">
        <v>1472.5677830940983</v>
      </c>
      <c r="DE16" s="10">
        <v>282.87085821332408</v>
      </c>
      <c r="DF16" s="10">
        <v>135.20721412125872</v>
      </c>
      <c r="DG16" s="10">
        <v>102.13607594936707</v>
      </c>
      <c r="DH16" s="10">
        <v>326.08695652173918</v>
      </c>
      <c r="DI16" s="11">
        <v>160.95684175309455</v>
      </c>
      <c r="DJ16" s="9">
        <v>435.1278600269186</v>
      </c>
      <c r="DK16" s="10">
        <v>51.966292134831463</v>
      </c>
      <c r="DL16" s="10">
        <v>1321.0526315789507</v>
      </c>
      <c r="DM16" s="10">
        <v>282.55093002657281</v>
      </c>
      <c r="DN16" s="10">
        <v>154.58098132870214</v>
      </c>
      <c r="DO16" s="10">
        <v>93.121693121693127</v>
      </c>
      <c r="DP16" s="10">
        <v>332.84258210645544</v>
      </c>
      <c r="DQ16" s="11">
        <v>151.32336018411999</v>
      </c>
      <c r="DS16" s="66"/>
      <c r="DT16" s="70"/>
      <c r="DU16" s="39" t="s">
        <v>26</v>
      </c>
      <c r="DV16" s="9">
        <v>-68.517472865298956</v>
      </c>
      <c r="DW16" s="10">
        <v>214.59192085737854</v>
      </c>
      <c r="DX16" s="10">
        <v>153.08817816910528</v>
      </c>
      <c r="DY16" s="10">
        <v>26.554760594386277</v>
      </c>
      <c r="DZ16" s="10">
        <v>98.701298701298697</v>
      </c>
      <c r="EA16" s="10">
        <v>32.39878028121295</v>
      </c>
      <c r="EB16" s="10">
        <v>708.63070539419084</v>
      </c>
      <c r="EC16" s="11">
        <v>430.24154589371994</v>
      </c>
      <c r="ED16" s="9">
        <v>-69.582348305752561</v>
      </c>
      <c r="EE16" s="10">
        <v>209.4890510948905</v>
      </c>
      <c r="EF16" s="10">
        <v>99.408284023668642</v>
      </c>
      <c r="EG16" s="10">
        <v>23.033707865168886</v>
      </c>
      <c r="EH16" s="10">
        <v>96.153846153846132</v>
      </c>
      <c r="EI16" s="10">
        <v>29.872773536895679</v>
      </c>
      <c r="EJ16" s="10">
        <v>625</v>
      </c>
      <c r="EK16" s="11">
        <v>373.2394366197197</v>
      </c>
      <c r="EM16" s="66"/>
      <c r="EN16" s="70"/>
      <c r="EO16" s="39" t="s">
        <v>26</v>
      </c>
      <c r="EP16" s="9">
        <v>387.05882352941148</v>
      </c>
      <c r="EQ16" s="10">
        <v>917.49289548468619</v>
      </c>
      <c r="ER16" s="10">
        <v>2383.7387964148511</v>
      </c>
      <c r="ES16" s="10">
        <v>246.47720544700996</v>
      </c>
      <c r="ET16" s="10">
        <v>164.35664483414337</v>
      </c>
      <c r="EU16" s="10">
        <v>161.34174692793079</v>
      </c>
      <c r="EV16" s="10">
        <v>1165.7995409334355</v>
      </c>
      <c r="EW16" s="11">
        <v>31.219418593495195</v>
      </c>
      <c r="EX16" s="9">
        <v>387.05882352941171</v>
      </c>
      <c r="EY16" s="10">
        <v>945.89419019798959</v>
      </c>
      <c r="EZ16" s="10">
        <v>2376.6917293233214</v>
      </c>
      <c r="FA16" s="10">
        <v>246.47720544701133</v>
      </c>
      <c r="FB16" s="10">
        <v>164.81615743138354</v>
      </c>
      <c r="FC16" s="10">
        <v>160.16155088852986</v>
      </c>
      <c r="FD16" s="10">
        <v>1157.9925650557659</v>
      </c>
      <c r="FE16" s="11">
        <v>32.516229047572949</v>
      </c>
    </row>
    <row r="17" spans="3:161" ht="28.8" x14ac:dyDescent="0.3">
      <c r="C17" s="66"/>
      <c r="D17" s="70" t="s">
        <v>28</v>
      </c>
      <c r="E17" s="40" t="s">
        <v>24</v>
      </c>
      <c r="F17" s="27">
        <v>2.99</v>
      </c>
      <c r="G17" s="28">
        <v>4.1900000000000004</v>
      </c>
      <c r="H17" s="28">
        <v>5.3</v>
      </c>
      <c r="I17" s="28">
        <v>5.73</v>
      </c>
      <c r="J17" s="28">
        <v>4.24</v>
      </c>
      <c r="K17" s="28">
        <v>4.45</v>
      </c>
      <c r="L17" s="28">
        <v>1.61</v>
      </c>
      <c r="M17" s="29">
        <v>2.42</v>
      </c>
      <c r="N17" s="27">
        <v>2.99</v>
      </c>
      <c r="O17" s="28">
        <v>4.1900000000000004</v>
      </c>
      <c r="P17" s="28">
        <v>5.3</v>
      </c>
      <c r="Q17" s="28">
        <v>5.73</v>
      </c>
      <c r="R17" s="28">
        <v>4.24</v>
      </c>
      <c r="S17" s="28">
        <v>4.45</v>
      </c>
      <c r="T17" s="28">
        <v>1.61</v>
      </c>
      <c r="U17" s="29">
        <v>2.42</v>
      </c>
      <c r="W17" s="66"/>
      <c r="X17" s="70" t="s">
        <v>28</v>
      </c>
      <c r="Y17" s="40" t="s">
        <v>24</v>
      </c>
      <c r="Z17" s="27">
        <v>2.88</v>
      </c>
      <c r="AA17" s="28">
        <v>5.38</v>
      </c>
      <c r="AB17" s="28">
        <v>5.0999999999999996</v>
      </c>
      <c r="AC17" s="28">
        <v>6.21</v>
      </c>
      <c r="AD17" s="28">
        <v>5.33</v>
      </c>
      <c r="AE17" s="28">
        <v>3.71</v>
      </c>
      <c r="AF17" s="28">
        <v>2.87</v>
      </c>
      <c r="AG17" s="29">
        <v>3.05</v>
      </c>
      <c r="AH17" s="27">
        <v>2.88</v>
      </c>
      <c r="AI17" s="28">
        <v>5.38</v>
      </c>
      <c r="AJ17" s="28">
        <v>5.0999999999999996</v>
      </c>
      <c r="AK17" s="28">
        <v>6.21</v>
      </c>
      <c r="AL17" s="28">
        <v>5.33</v>
      </c>
      <c r="AM17" s="28">
        <v>3.71</v>
      </c>
      <c r="AN17" s="28">
        <v>2.87</v>
      </c>
      <c r="AO17" s="29">
        <v>3.05</v>
      </c>
      <c r="AQ17" s="66"/>
      <c r="AR17" s="70" t="s">
        <v>28</v>
      </c>
      <c r="AS17" s="40" t="s">
        <v>24</v>
      </c>
      <c r="AT17" s="27">
        <v>3.83</v>
      </c>
      <c r="AU17" s="28">
        <v>4.29</v>
      </c>
      <c r="AV17" s="28">
        <v>3.95</v>
      </c>
      <c r="AW17" s="28">
        <v>4.43</v>
      </c>
      <c r="AX17" s="28">
        <v>3.64</v>
      </c>
      <c r="AY17" s="28">
        <v>3.23</v>
      </c>
      <c r="AZ17" s="28">
        <v>1.7</v>
      </c>
      <c r="BA17" s="29">
        <v>1.1299999999999999</v>
      </c>
      <c r="BB17" s="27">
        <v>3.83</v>
      </c>
      <c r="BC17" s="28">
        <v>4.29</v>
      </c>
      <c r="BD17" s="28">
        <v>3.95</v>
      </c>
      <c r="BE17" s="28">
        <v>4.43</v>
      </c>
      <c r="BF17" s="28">
        <v>3.64</v>
      </c>
      <c r="BG17" s="28">
        <v>3.23</v>
      </c>
      <c r="BH17" s="28">
        <v>1.7</v>
      </c>
      <c r="BI17" s="29">
        <v>1.1299999999999999</v>
      </c>
      <c r="BK17" s="66"/>
      <c r="BL17" s="70" t="s">
        <v>28</v>
      </c>
      <c r="BM17" s="40" t="s">
        <v>24</v>
      </c>
      <c r="BN17" s="27">
        <v>4.1900000000000004</v>
      </c>
      <c r="BO17" s="28">
        <v>6.13</v>
      </c>
      <c r="BP17" s="28">
        <v>3.69</v>
      </c>
      <c r="BQ17" s="28">
        <v>5.35</v>
      </c>
      <c r="BR17" s="28">
        <v>5.49</v>
      </c>
      <c r="BS17" s="28">
        <v>1.85</v>
      </c>
      <c r="BT17" s="28">
        <v>3.72</v>
      </c>
      <c r="BU17" s="29">
        <v>2.9</v>
      </c>
      <c r="BV17" s="27">
        <v>4.1900000000000004</v>
      </c>
      <c r="BW17" s="28">
        <v>6.13</v>
      </c>
      <c r="BX17" s="28">
        <v>3.69</v>
      </c>
      <c r="BY17" s="28">
        <v>5.35</v>
      </c>
      <c r="BZ17" s="28">
        <v>5.49</v>
      </c>
      <c r="CA17" s="28">
        <v>1.85</v>
      </c>
      <c r="CB17" s="28">
        <v>3.72</v>
      </c>
      <c r="CC17" s="29">
        <v>2.9</v>
      </c>
      <c r="CE17" s="66"/>
      <c r="CF17" s="70" t="s">
        <v>28</v>
      </c>
      <c r="CG17" s="40" t="s">
        <v>24</v>
      </c>
      <c r="CH17" s="27">
        <v>2.99</v>
      </c>
      <c r="CI17" s="28">
        <v>4.1900000000000004</v>
      </c>
      <c r="CJ17" s="28">
        <v>5.3</v>
      </c>
      <c r="CK17" s="28">
        <v>5.73</v>
      </c>
      <c r="CL17" s="28">
        <v>4.24</v>
      </c>
      <c r="CM17" s="28">
        <v>4.45</v>
      </c>
      <c r="CN17" s="28">
        <v>1.61</v>
      </c>
      <c r="CO17" s="29">
        <v>2.42</v>
      </c>
      <c r="CP17" s="27"/>
      <c r="CQ17" s="28"/>
      <c r="CR17" s="28"/>
      <c r="CS17" s="28"/>
      <c r="CT17" s="28"/>
      <c r="CU17" s="28"/>
      <c r="CV17" s="28"/>
      <c r="CW17" s="29"/>
      <c r="CY17" s="66"/>
      <c r="CZ17" s="70" t="s">
        <v>28</v>
      </c>
      <c r="DA17" s="40" t="s">
        <v>24</v>
      </c>
      <c r="DB17" s="27">
        <v>2.88</v>
      </c>
      <c r="DC17" s="28">
        <v>5.38</v>
      </c>
      <c r="DD17" s="28">
        <v>5.0999999999999996</v>
      </c>
      <c r="DE17" s="28">
        <v>6.21</v>
      </c>
      <c r="DF17" s="28">
        <v>5.33</v>
      </c>
      <c r="DG17" s="28">
        <v>3.71</v>
      </c>
      <c r="DH17" s="28">
        <v>2.87</v>
      </c>
      <c r="DI17" s="29">
        <v>3.05</v>
      </c>
      <c r="DJ17" s="27">
        <v>2.88</v>
      </c>
      <c r="DK17" s="28">
        <v>5.38</v>
      </c>
      <c r="DL17" s="28">
        <v>5.0999999999999996</v>
      </c>
      <c r="DM17" s="28">
        <v>6.21</v>
      </c>
      <c r="DN17" s="28">
        <v>5.33</v>
      </c>
      <c r="DO17" s="28">
        <v>3.71</v>
      </c>
      <c r="DP17" s="28">
        <v>2.87</v>
      </c>
      <c r="DQ17" s="29">
        <v>3.05</v>
      </c>
      <c r="DS17" s="66"/>
      <c r="DT17" s="70" t="s">
        <v>28</v>
      </c>
      <c r="DU17" s="40" t="s">
        <v>24</v>
      </c>
      <c r="DV17" s="27">
        <v>3.83</v>
      </c>
      <c r="DW17" s="28">
        <v>4.29</v>
      </c>
      <c r="DX17" s="28">
        <v>3.95</v>
      </c>
      <c r="DY17" s="28">
        <v>4.43</v>
      </c>
      <c r="DZ17" s="28">
        <v>3.64</v>
      </c>
      <c r="EA17" s="28">
        <v>3.23</v>
      </c>
      <c r="EB17" s="28">
        <v>1.7</v>
      </c>
      <c r="EC17" s="29">
        <v>1.1299999999999999</v>
      </c>
      <c r="ED17" s="27">
        <v>3.83</v>
      </c>
      <c r="EE17" s="28">
        <v>4.29</v>
      </c>
      <c r="EF17" s="28">
        <v>3.95</v>
      </c>
      <c r="EG17" s="28">
        <v>4.43</v>
      </c>
      <c r="EH17" s="28">
        <v>3.64</v>
      </c>
      <c r="EI17" s="28">
        <v>3.23</v>
      </c>
      <c r="EJ17" s="28">
        <v>1.7</v>
      </c>
      <c r="EK17" s="29">
        <v>1.1299999999999999</v>
      </c>
      <c r="EM17" s="66"/>
      <c r="EN17" s="70" t="s">
        <v>28</v>
      </c>
      <c r="EO17" s="40" t="s">
        <v>24</v>
      </c>
      <c r="EP17" s="27">
        <v>4.1900000000000004</v>
      </c>
      <c r="EQ17" s="28">
        <v>6.13</v>
      </c>
      <c r="ER17" s="28">
        <v>3.69</v>
      </c>
      <c r="ES17" s="28">
        <v>5.35</v>
      </c>
      <c r="ET17" s="28">
        <v>5.49</v>
      </c>
      <c r="EU17" s="28">
        <v>1.85</v>
      </c>
      <c r="EV17" s="28">
        <v>3.72</v>
      </c>
      <c r="EW17" s="29">
        <v>2.9</v>
      </c>
      <c r="EX17" s="27">
        <v>4.1900000000000004</v>
      </c>
      <c r="EY17" s="28">
        <v>6.13</v>
      </c>
      <c r="EZ17" s="28">
        <v>3.69</v>
      </c>
      <c r="FA17" s="28">
        <v>5.35</v>
      </c>
      <c r="FB17" s="28">
        <v>5.49</v>
      </c>
      <c r="FC17" s="28">
        <v>1.85</v>
      </c>
      <c r="FD17" s="28">
        <v>3.72</v>
      </c>
      <c r="FE17" s="29">
        <v>2.9</v>
      </c>
    </row>
    <row r="18" spans="3:161" x14ac:dyDescent="0.3">
      <c r="C18" s="66"/>
      <c r="D18" s="70"/>
      <c r="E18" s="39" t="s">
        <v>25</v>
      </c>
      <c r="F18" s="9">
        <v>-0.01</v>
      </c>
      <c r="G18" s="10">
        <v>-0.2</v>
      </c>
      <c r="H18" s="10">
        <v>0</v>
      </c>
      <c r="I18" s="10">
        <v>0.27</v>
      </c>
      <c r="J18" s="10">
        <v>-0.08</v>
      </c>
      <c r="K18" s="10">
        <v>-0.34</v>
      </c>
      <c r="L18" s="10">
        <v>-0.14000000000000001</v>
      </c>
      <c r="M18" s="11">
        <v>0.15</v>
      </c>
      <c r="N18" s="9">
        <v>-1.1956521739130199E-2</v>
      </c>
      <c r="O18" s="10">
        <v>-0.20630434782608553</v>
      </c>
      <c r="P18" s="10">
        <v>4.4680851063825244E-3</v>
      </c>
      <c r="Q18" s="10">
        <v>0.3675000000000006</v>
      </c>
      <c r="R18" s="10">
        <v>-8.3636363636363953E-2</v>
      </c>
      <c r="S18" s="10">
        <v>-0.35733333333333483</v>
      </c>
      <c r="T18" s="10">
        <v>-0.1477551020408161</v>
      </c>
      <c r="U18" s="11">
        <v>0.16522727272727211</v>
      </c>
      <c r="W18" s="66"/>
      <c r="X18" s="70"/>
      <c r="Y18" s="39" t="s">
        <v>25</v>
      </c>
      <c r="Z18" s="9">
        <v>4.2238805970149063E-2</v>
      </c>
      <c r="AA18" s="10">
        <v>-6.0615384615382517E-2</v>
      </c>
      <c r="AB18" s="10">
        <v>-6.6029411764705337E-2</v>
      </c>
      <c r="AC18" s="10">
        <v>0.35203389830508236</v>
      </c>
      <c r="AD18" s="10">
        <v>6.25E-2</v>
      </c>
      <c r="AE18" s="10">
        <v>-1.4603174603172953E-2</v>
      </c>
      <c r="AF18" s="10">
        <v>-0.15451612903225875</v>
      </c>
      <c r="AG18" s="11">
        <v>-0.35403508771929859</v>
      </c>
      <c r="AH18" s="9">
        <v>4.2619047619049777E-2</v>
      </c>
      <c r="AI18" s="10">
        <v>-7.6976744186040058E-2</v>
      </c>
      <c r="AJ18" s="10">
        <v>-6.6511627906970183E-2</v>
      </c>
      <c r="AK18" s="10">
        <v>0.33763157894737006</v>
      </c>
      <c r="AL18" s="10">
        <v>0.1850000000000005</v>
      </c>
      <c r="AM18" s="10">
        <v>4.0975609756099818E-2</v>
      </c>
      <c r="AN18" s="10">
        <v>-0.14374999999999982</v>
      </c>
      <c r="AO18" s="11">
        <v>-0.37571428571428012</v>
      </c>
      <c r="AQ18" s="66"/>
      <c r="AR18" s="70"/>
      <c r="AS18" s="39" t="s">
        <v>25</v>
      </c>
      <c r="AT18" s="9">
        <v>-8.4212765957436986E-2</v>
      </c>
      <c r="AU18" s="10">
        <v>3.3004291845504241E-2</v>
      </c>
      <c r="AV18" s="10">
        <v>-0.2089830508474515</v>
      </c>
      <c r="AW18" s="10">
        <v>0.12778688524590986</v>
      </c>
      <c r="AX18" s="10">
        <v>4.1822033898298638E-2</v>
      </c>
      <c r="AY18" s="10">
        <v>0.10405982905983091</v>
      </c>
      <c r="AZ18" s="10">
        <v>7.0772357723578816E-2</v>
      </c>
      <c r="BA18" s="11">
        <v>-0.11351239669421509</v>
      </c>
      <c r="BB18" s="9">
        <v>-8.804347826086012E-2</v>
      </c>
      <c r="BC18" s="10">
        <v>1.770833333334032E-2</v>
      </c>
      <c r="BD18" s="10">
        <v>-0.2053061224489694</v>
      </c>
      <c r="BE18" s="10">
        <v>0.12458333333333993</v>
      </c>
      <c r="BF18" s="10">
        <v>3.6000000000010246E-2</v>
      </c>
      <c r="BG18" s="10">
        <v>0.10446808510639016</v>
      </c>
      <c r="BH18" s="10">
        <v>6.8163265306129928E-2</v>
      </c>
      <c r="BI18" s="11">
        <v>-0.10872340425531002</v>
      </c>
      <c r="BK18" s="66"/>
      <c r="BL18" s="70"/>
      <c r="BM18" s="39" t="s">
        <v>25</v>
      </c>
      <c r="BN18" s="9">
        <v>6.9626168224302454E-2</v>
      </c>
      <c r="BO18" s="10">
        <v>3.6146788990822465E-2</v>
      </c>
      <c r="BP18" s="10">
        <v>-6.1192660550459355E-2</v>
      </c>
      <c r="BQ18" s="10">
        <v>0.23762376237623783</v>
      </c>
      <c r="BR18" s="10">
        <v>0.10445454545454513</v>
      </c>
      <c r="BS18" s="10">
        <v>2.456140350876046E-3</v>
      </c>
      <c r="BT18" s="10">
        <v>-4.3396226415080008E-3</v>
      </c>
      <c r="BU18" s="11">
        <v>-0.2539743589743586</v>
      </c>
      <c r="BV18" s="9">
        <v>3.6200000000010668E-2</v>
      </c>
      <c r="BW18" s="10">
        <v>3.8461538461540101E-2</v>
      </c>
      <c r="BX18" s="10">
        <v>-6.899999999999995E-2</v>
      </c>
      <c r="BY18" s="10">
        <v>0.18019999999999925</v>
      </c>
      <c r="BZ18" s="10">
        <v>5.2244897959190517E-2</v>
      </c>
      <c r="CA18" s="10">
        <v>2.2641509434000451E-3</v>
      </c>
      <c r="CB18" s="10">
        <v>-5.8333333333298043E-3</v>
      </c>
      <c r="CC18" s="11">
        <v>-0.26731707317073017</v>
      </c>
      <c r="CE18" s="66"/>
      <c r="CF18" s="70"/>
      <c r="CG18" s="39" t="s">
        <v>25</v>
      </c>
      <c r="CH18" s="9">
        <v>0.66875000000000151</v>
      </c>
      <c r="CI18" s="10">
        <v>3.0484444444444438</v>
      </c>
      <c r="CJ18" s="10">
        <v>2.7402083333333316</v>
      </c>
      <c r="CK18" s="10">
        <v>2.4168421052631572</v>
      </c>
      <c r="CL18" s="10">
        <v>2.8467272727272732</v>
      </c>
      <c r="CM18" s="10">
        <v>2.7586666666666657</v>
      </c>
      <c r="CN18" s="10">
        <v>0.34909090909090912</v>
      </c>
      <c r="CO18" s="11">
        <v>-0.46529411764705886</v>
      </c>
      <c r="CP18" s="9"/>
      <c r="CQ18" s="10"/>
      <c r="CR18" s="10"/>
      <c r="CS18" s="10"/>
      <c r="CT18" s="10"/>
      <c r="CU18" s="10"/>
      <c r="CV18" s="10"/>
      <c r="CW18" s="11"/>
      <c r="CY18" s="66"/>
      <c r="CZ18" s="70"/>
      <c r="DA18" s="39" t="s">
        <v>25</v>
      </c>
      <c r="DB18" s="9">
        <v>2.3440740740740735</v>
      </c>
      <c r="DC18" s="10">
        <v>1.5437209302325559</v>
      </c>
      <c r="DD18" s="10">
        <v>4.7756896551724131</v>
      </c>
      <c r="DE18" s="10">
        <v>4.5984905660377358</v>
      </c>
      <c r="DF18" s="10">
        <v>3.0639130434782618</v>
      </c>
      <c r="DG18" s="10">
        <v>1.9042857142857141</v>
      </c>
      <c r="DH18" s="10">
        <v>2.1800000000000002</v>
      </c>
      <c r="DI18" s="11">
        <v>1.8543999999999992</v>
      </c>
      <c r="DJ18" s="9">
        <v>2.3492857142857151</v>
      </c>
      <c r="DK18" s="10">
        <v>1.8199999999999998</v>
      </c>
      <c r="DL18" s="10">
        <v>4.7411111111111115</v>
      </c>
      <c r="DM18" s="10">
        <v>4.5971428571428596</v>
      </c>
      <c r="DN18" s="10">
        <v>3.2363636363636399</v>
      </c>
      <c r="DO18" s="10">
        <v>1.82</v>
      </c>
      <c r="DP18" s="10">
        <v>2.1907692307692312</v>
      </c>
      <c r="DQ18" s="11">
        <v>1.8085714285714298</v>
      </c>
      <c r="DS18" s="66"/>
      <c r="DT18" s="70"/>
      <c r="DU18" s="39" t="s">
        <v>25</v>
      </c>
      <c r="DV18" s="9">
        <v>-8.4307692307692292</v>
      </c>
      <c r="DW18" s="10">
        <v>2.942222222222223</v>
      </c>
      <c r="DX18" s="10">
        <v>2.6184482758620691</v>
      </c>
      <c r="DY18" s="10">
        <v>0.96904761904761694</v>
      </c>
      <c r="DZ18" s="10">
        <v>1.8433333333333335</v>
      </c>
      <c r="EA18" s="10">
        <v>0.82061224489795936</v>
      </c>
      <c r="EB18" s="10">
        <v>1.4848214285714285</v>
      </c>
      <c r="EC18" s="11">
        <v>0.91877551020408155</v>
      </c>
      <c r="ED18" s="9">
        <v>-8.86</v>
      </c>
      <c r="EE18" s="10">
        <v>2.92</v>
      </c>
      <c r="EF18" s="10">
        <v>2.2600000000000002</v>
      </c>
      <c r="EG18" s="10">
        <v>0.87000000000000988</v>
      </c>
      <c r="EH18" s="10">
        <v>1.82</v>
      </c>
      <c r="EI18" s="10">
        <v>0.77375000000000016</v>
      </c>
      <c r="EJ18" s="10">
        <v>1.46</v>
      </c>
      <c r="EK18" s="11">
        <v>0.89333333333333387</v>
      </c>
      <c r="EM18" s="66"/>
      <c r="EN18" s="70"/>
      <c r="EO18" s="39" t="s">
        <v>25</v>
      </c>
      <c r="EP18" s="9">
        <v>3.34</v>
      </c>
      <c r="EQ18" s="10">
        <v>5.5324528301886797</v>
      </c>
      <c r="ER18" s="10">
        <v>3.5426415094339623</v>
      </c>
      <c r="ES18" s="10">
        <v>3.8145454545454536</v>
      </c>
      <c r="ET18" s="10">
        <v>3.4321739130434792</v>
      </c>
      <c r="EU18" s="10">
        <v>1.1497674418604649</v>
      </c>
      <c r="EV18" s="10">
        <v>3.4229545454545458</v>
      </c>
      <c r="EW18" s="11">
        <v>0.68234042553191543</v>
      </c>
      <c r="EX18" s="9">
        <v>3.3400000000000003</v>
      </c>
      <c r="EY18" s="10">
        <v>5.5486792452830196</v>
      </c>
      <c r="EZ18" s="10">
        <v>3.542222222222223</v>
      </c>
      <c r="FA18" s="10">
        <v>3.8145454545454598</v>
      </c>
      <c r="FB18" s="10">
        <v>3.4357446808510703</v>
      </c>
      <c r="FC18" s="10">
        <v>1.146590909090909</v>
      </c>
      <c r="FD18" s="10">
        <v>3.4211111111111121</v>
      </c>
      <c r="FE18" s="11">
        <v>0.70404255319148978</v>
      </c>
    </row>
    <row r="19" spans="3:161" ht="15" thickBot="1" x14ac:dyDescent="0.35">
      <c r="C19" s="66"/>
      <c r="D19" s="74"/>
      <c r="E19" s="41" t="s">
        <v>26</v>
      </c>
      <c r="F19" s="12">
        <v>-0.32</v>
      </c>
      <c r="G19" s="13">
        <v>-4.59</v>
      </c>
      <c r="H19" s="13">
        <v>0.05</v>
      </c>
      <c r="I19" s="13">
        <v>4.88</v>
      </c>
      <c r="J19" s="13">
        <v>-1.91</v>
      </c>
      <c r="K19" s="13">
        <v>-7.19</v>
      </c>
      <c r="L19" s="13">
        <v>-8.16</v>
      </c>
      <c r="M19" s="14">
        <v>6.52</v>
      </c>
      <c r="N19" s="12">
        <v>-0.39829096965746191</v>
      </c>
      <c r="O19" s="13">
        <v>-4.6926766552934467</v>
      </c>
      <c r="P19" s="13">
        <v>8.4374623327565845E-2</v>
      </c>
      <c r="Q19" s="13">
        <v>6.8531468531468649</v>
      </c>
      <c r="R19" s="13">
        <v>-1.934398654331378</v>
      </c>
      <c r="S19" s="13">
        <v>-7.4330883372625447</v>
      </c>
      <c r="T19" s="13">
        <v>-8.405898061070463</v>
      </c>
      <c r="U19" s="14">
        <v>7.3278903336356933</v>
      </c>
      <c r="W19" s="66"/>
      <c r="X19" s="74"/>
      <c r="Y19" s="41" t="s">
        <v>26</v>
      </c>
      <c r="Z19" s="12">
        <v>1.4884552674485809</v>
      </c>
      <c r="AA19" s="13">
        <v>-1.1141273611582019</v>
      </c>
      <c r="AB19" s="13">
        <v>-1.2781462609240126</v>
      </c>
      <c r="AC19" s="13">
        <v>6.0094901915397987</v>
      </c>
      <c r="AD19" s="13">
        <v>1.1865211200759374</v>
      </c>
      <c r="AE19" s="13">
        <v>-0.39207330066051416</v>
      </c>
      <c r="AF19" s="13">
        <v>-5.1087883959044582</v>
      </c>
      <c r="AG19" s="14">
        <v>-10.400453538112671</v>
      </c>
      <c r="AH19" s="12">
        <v>1.5020558865487053</v>
      </c>
      <c r="AI19" s="13">
        <v>-1.4106115491155877</v>
      </c>
      <c r="AJ19" s="13">
        <v>-1.2873604609289349</v>
      </c>
      <c r="AK19" s="13">
        <v>5.7494958548062138</v>
      </c>
      <c r="AL19" s="13">
        <v>3.5957240038872786</v>
      </c>
      <c r="AM19" s="13">
        <v>1.1167985109353809</v>
      </c>
      <c r="AN19" s="13">
        <v>-4.7698050601410147</v>
      </c>
      <c r="AO19" s="14">
        <v>-10.967472894078254</v>
      </c>
      <c r="AQ19" s="66"/>
      <c r="AR19" s="74"/>
      <c r="AS19" s="41" t="s">
        <v>26</v>
      </c>
      <c r="AT19" s="12">
        <v>-2.1514611236734367</v>
      </c>
      <c r="AU19" s="13">
        <v>0.77529539863718466</v>
      </c>
      <c r="AV19" s="13">
        <v>-5.0248594017440933</v>
      </c>
      <c r="AW19" s="13">
        <v>2.9702593023036248</v>
      </c>
      <c r="AX19" s="13">
        <v>1.1623114335172535</v>
      </c>
      <c r="AY19" s="13">
        <v>3.3289130107865597</v>
      </c>
      <c r="AZ19" s="13">
        <v>4.3439207565060016</v>
      </c>
      <c r="BA19" s="14">
        <v>-9.128368723623451</v>
      </c>
      <c r="BB19" s="12">
        <v>-2.2471286689228069</v>
      </c>
      <c r="BC19" s="13">
        <v>0.41449261227889833</v>
      </c>
      <c r="BD19" s="13">
        <v>-4.9408182309314501</v>
      </c>
      <c r="BE19" s="13">
        <v>2.8936417303785573</v>
      </c>
      <c r="BF19" s="13">
        <v>0.99889012208685768</v>
      </c>
      <c r="BG19" s="13">
        <v>3.342409802587031</v>
      </c>
      <c r="BH19" s="13">
        <v>4.1770885442726131</v>
      </c>
      <c r="BI19" s="14">
        <v>-8.7770525592573154</v>
      </c>
      <c r="BK19" s="66"/>
      <c r="BL19" s="74"/>
      <c r="BM19" s="41" t="s">
        <v>26</v>
      </c>
      <c r="BN19" s="12">
        <v>1.6898022137543929</v>
      </c>
      <c r="BO19" s="13">
        <v>0.59316802914647737</v>
      </c>
      <c r="BP19" s="13">
        <v>-1.6312854627274676</v>
      </c>
      <c r="BQ19" s="13">
        <v>4.6480100706884908</v>
      </c>
      <c r="BR19" s="13">
        <v>1.9395351192586154</v>
      </c>
      <c r="BS19" s="13">
        <v>0.13294084132554793</v>
      </c>
      <c r="BT19" s="13">
        <v>-0.11652059374837841</v>
      </c>
      <c r="BU19" s="14">
        <v>-8.052518190317457</v>
      </c>
      <c r="BV19" s="12">
        <v>0.87149116471690391</v>
      </c>
      <c r="BW19" s="13">
        <v>0.63139285263293532</v>
      </c>
      <c r="BX19" s="13">
        <v>-1.8355945730247392</v>
      </c>
      <c r="BY19" s="13">
        <v>3.4856280707183886</v>
      </c>
      <c r="BZ19" s="13">
        <v>0.96078063426546756</v>
      </c>
      <c r="CA19" s="13">
        <v>0.12253650566752031</v>
      </c>
      <c r="CB19" s="13">
        <v>-0.15656452695137041</v>
      </c>
      <c r="CC19" s="14">
        <v>-8.4398583089480539</v>
      </c>
      <c r="CE19" s="66"/>
      <c r="CF19" s="74"/>
      <c r="CG19" s="41" t="s">
        <v>26</v>
      </c>
      <c r="CH19" s="12">
        <v>28.809908454496579</v>
      </c>
      <c r="CI19" s="13">
        <v>267.04302121860979</v>
      </c>
      <c r="CJ19" s="13">
        <v>107.04809961748177</v>
      </c>
      <c r="CK19" s="13">
        <v>72.94678316123904</v>
      </c>
      <c r="CL19" s="13">
        <v>204.31945713167175</v>
      </c>
      <c r="CM19" s="13">
        <v>163.10603074497422</v>
      </c>
      <c r="CN19" s="13">
        <v>27.685652487382839</v>
      </c>
      <c r="CO19" s="14">
        <v>-16.126401630988788</v>
      </c>
      <c r="CP19" s="12"/>
      <c r="CQ19" s="13"/>
      <c r="CR19" s="13"/>
      <c r="CS19" s="13"/>
      <c r="CT19" s="13"/>
      <c r="CU19" s="13"/>
      <c r="CV19" s="13"/>
      <c r="CW19" s="14"/>
      <c r="CY19" s="66"/>
      <c r="CZ19" s="74"/>
      <c r="DA19" s="41" t="s">
        <v>26</v>
      </c>
      <c r="DB19" s="12">
        <v>437.38769868693811</v>
      </c>
      <c r="DC19" s="13">
        <v>40.240058195926203</v>
      </c>
      <c r="DD19" s="13">
        <v>1472.5677830940983</v>
      </c>
      <c r="DE19" s="13">
        <v>285.35300316122243</v>
      </c>
      <c r="DF19" s="13">
        <v>135.20721412125872</v>
      </c>
      <c r="DG19" s="13">
        <v>105.45886075949366</v>
      </c>
      <c r="DH19" s="13">
        <v>315.94202898550736</v>
      </c>
      <c r="DI19" s="14">
        <v>155.10204081632637</v>
      </c>
      <c r="DJ19" s="12">
        <v>442.66487213997385</v>
      </c>
      <c r="DK19" s="13">
        <v>51.123595505617971</v>
      </c>
      <c r="DL19" s="13">
        <v>1321.0526315789507</v>
      </c>
      <c r="DM19" s="13">
        <v>285.03100088574024</v>
      </c>
      <c r="DN19" s="13">
        <v>154.58098132870214</v>
      </c>
      <c r="DO19" s="13">
        <v>96.296296296296305</v>
      </c>
      <c r="DP19" s="13">
        <v>322.53680634201606</v>
      </c>
      <c r="DQ19" s="14">
        <v>145.68469505178393</v>
      </c>
      <c r="DS19" s="66"/>
      <c r="DT19" s="74"/>
      <c r="DU19" s="41" t="s">
        <v>26</v>
      </c>
      <c r="DV19" s="12">
        <v>-68.762155718677448</v>
      </c>
      <c r="DW19" s="13">
        <v>218.30173124484759</v>
      </c>
      <c r="DX19" s="13">
        <v>196.6463809400492</v>
      </c>
      <c r="DY19" s="13">
        <v>27.9994496422674</v>
      </c>
      <c r="DZ19" s="13">
        <v>102.59740259740259</v>
      </c>
      <c r="EA19" s="13">
        <v>34.058953074707787</v>
      </c>
      <c r="EB19" s="13">
        <v>690.04149377593353</v>
      </c>
      <c r="EC19" s="14">
        <v>434.97584541062804</v>
      </c>
      <c r="ED19" s="12">
        <v>-69.81875492513791</v>
      </c>
      <c r="EE19" s="13">
        <v>213.13868613138683</v>
      </c>
      <c r="EF19" s="13">
        <v>133.72781065088759</v>
      </c>
      <c r="EG19" s="13">
        <v>24.438202247191359</v>
      </c>
      <c r="EH19" s="13">
        <v>100</v>
      </c>
      <c r="EI19" s="13">
        <v>31.501272264631051</v>
      </c>
      <c r="EJ19" s="13">
        <v>608.33333333333326</v>
      </c>
      <c r="EK19" s="14">
        <v>377.46478873239562</v>
      </c>
      <c r="EM19" s="66"/>
      <c r="EN19" s="74"/>
      <c r="EO19" s="41" t="s">
        <v>26</v>
      </c>
      <c r="EP19" s="12">
        <v>392.94117647058806</v>
      </c>
      <c r="EQ19" s="13">
        <v>925.86043574360644</v>
      </c>
      <c r="ER19" s="13">
        <v>2404.0973111395629</v>
      </c>
      <c r="ES19" s="13">
        <v>248.43102427471862</v>
      </c>
      <c r="ET19" s="13">
        <v>166.78639340798657</v>
      </c>
      <c r="EU19" s="13">
        <v>164.19794088342729</v>
      </c>
      <c r="EV19" s="13">
        <v>1152.3335883703139</v>
      </c>
      <c r="EW19" s="14">
        <v>30.768492756404136</v>
      </c>
      <c r="EX19" s="12">
        <v>392.94117647058829</v>
      </c>
      <c r="EY19" s="13">
        <v>954.49529373580208</v>
      </c>
      <c r="EZ19" s="13">
        <v>2396.9924812030208</v>
      </c>
      <c r="FA19" s="13">
        <v>248.43102427471999</v>
      </c>
      <c r="FB19" s="13">
        <v>167.25012946659845</v>
      </c>
      <c r="FC19" s="13">
        <v>163.00484652665585</v>
      </c>
      <c r="FD19" s="13">
        <v>1144.6096654275132</v>
      </c>
      <c r="FE19" s="14">
        <v>32.060846817168901</v>
      </c>
    </row>
    <row r="20" spans="3:161" x14ac:dyDescent="0.3">
      <c r="C20" s="65">
        <v>2</v>
      </c>
      <c r="D20" s="71" t="s">
        <v>20</v>
      </c>
      <c r="E20" s="72"/>
      <c r="F20" s="21">
        <v>2.95885714285714</v>
      </c>
      <c r="G20" s="22">
        <v>4.3125308641975204</v>
      </c>
      <c r="H20" s="22">
        <v>5.07419540229884</v>
      </c>
      <c r="I20" s="22">
        <v>5.0943749999999897</v>
      </c>
      <c r="J20" s="22">
        <v>4.2281250000000004</v>
      </c>
      <c r="K20" s="22">
        <v>4.4652272727272697</v>
      </c>
      <c r="L20" s="22">
        <v>1.7498850574712601</v>
      </c>
      <c r="M20" s="23">
        <v>2.25602272727272</v>
      </c>
      <c r="N20" s="21">
        <v>2.8634090909090899</v>
      </c>
      <c r="O20" s="22">
        <v>4.3536585365853604</v>
      </c>
      <c r="P20" s="22">
        <v>5.00590909090909</v>
      </c>
      <c r="Q20" s="22">
        <v>4.9744444444444396</v>
      </c>
      <c r="R20" s="22">
        <v>4.0955555555555501</v>
      </c>
      <c r="S20" s="22">
        <v>4.3077777777777699</v>
      </c>
      <c r="T20" s="22">
        <v>1.75325581395348</v>
      </c>
      <c r="U20" s="23">
        <v>2.2702222222222201</v>
      </c>
      <c r="W20" s="65">
        <v>2</v>
      </c>
      <c r="X20" s="71" t="s">
        <v>20</v>
      </c>
      <c r="Y20" s="72"/>
      <c r="Z20" s="21">
        <v>2.7745833333333301</v>
      </c>
      <c r="AA20" s="22">
        <v>5.34097222222222</v>
      </c>
      <c r="AB20" s="22">
        <v>4.94848484848485</v>
      </c>
      <c r="AC20" s="22">
        <v>5.34777777777777</v>
      </c>
      <c r="AD20" s="22">
        <v>4.9492307692307698</v>
      </c>
      <c r="AE20" s="22">
        <v>3.5276388888888799</v>
      </c>
      <c r="AF20" s="22">
        <v>2.8105555555555499</v>
      </c>
      <c r="AG20" s="23">
        <v>3.3192647058823499</v>
      </c>
      <c r="AH20" s="21">
        <v>2.7699999999999898</v>
      </c>
      <c r="AI20" s="22">
        <v>5.3922222222222196</v>
      </c>
      <c r="AJ20" s="22">
        <v>4.8702380952380899</v>
      </c>
      <c r="AK20" s="22">
        <v>5.3264444444444399</v>
      </c>
      <c r="AL20" s="22">
        <v>4.5860000000000003</v>
      </c>
      <c r="AM20" s="22">
        <v>3.5191111111111102</v>
      </c>
      <c r="AN20" s="22">
        <v>2.7386666666666599</v>
      </c>
      <c r="AO20" s="23">
        <v>3.3268292682926801</v>
      </c>
      <c r="AQ20" s="65">
        <v>2</v>
      </c>
      <c r="AR20" s="71" t="s">
        <v>20</v>
      </c>
      <c r="AS20" s="72"/>
      <c r="AT20" s="21">
        <v>3.7704166666666601</v>
      </c>
      <c r="AU20" s="22">
        <v>3.98386363636362</v>
      </c>
      <c r="AV20" s="22">
        <v>3.9887878787878699</v>
      </c>
      <c r="AW20" s="22">
        <v>4.17145593869731</v>
      </c>
      <c r="AX20" s="22">
        <v>3.3224999999999998</v>
      </c>
      <c r="AY20" s="22">
        <v>3.0324714828897301</v>
      </c>
      <c r="AZ20" s="22">
        <v>1.57151515151515</v>
      </c>
      <c r="BA20" s="23">
        <v>1.2284351145038099</v>
      </c>
      <c r="BB20" s="21">
        <v>3.7566000000000002</v>
      </c>
      <c r="BC20" s="22">
        <v>3.7964000000000002</v>
      </c>
      <c r="BD20" s="22">
        <v>3.9929999999999901</v>
      </c>
      <c r="BE20" s="22">
        <v>4.1602083333333297</v>
      </c>
      <c r="BF20" s="22">
        <v>3.2242000000000002</v>
      </c>
      <c r="BG20" s="22">
        <v>3.0855999999999999</v>
      </c>
      <c r="BH20" s="22">
        <v>1.5656000000000001</v>
      </c>
      <c r="BI20" s="23">
        <v>1.2342</v>
      </c>
      <c r="BK20" s="65">
        <v>2</v>
      </c>
      <c r="BL20" s="71" t="s">
        <v>20</v>
      </c>
      <c r="BM20" s="72"/>
      <c r="BN20" s="21">
        <v>4.00420168067226</v>
      </c>
      <c r="BO20" s="22">
        <v>5.9033913043478199</v>
      </c>
      <c r="BP20" s="22">
        <v>3.69857142857142</v>
      </c>
      <c r="BQ20" s="22">
        <v>4.8133050847457604</v>
      </c>
      <c r="BR20" s="22">
        <v>5.0250847457627099</v>
      </c>
      <c r="BS20" s="22">
        <v>1.8402521008403301</v>
      </c>
      <c r="BT20" s="22">
        <v>3.6768907563025102</v>
      </c>
      <c r="BU20" s="23">
        <v>3.0604255319148899</v>
      </c>
      <c r="BV20" s="21">
        <v>4.0415999999999901</v>
      </c>
      <c r="BW20" s="22">
        <v>5.8229166666666599</v>
      </c>
      <c r="BX20" s="22">
        <v>3.6996000000000002</v>
      </c>
      <c r="BY20" s="22">
        <v>4.7832653061224404</v>
      </c>
      <c r="BZ20" s="22">
        <v>4.9351020408163198</v>
      </c>
      <c r="CA20" s="22">
        <v>1.8459999999999901</v>
      </c>
      <c r="CB20" s="22">
        <v>3.7338</v>
      </c>
      <c r="CC20" s="23">
        <v>2.97371428571428</v>
      </c>
      <c r="CE20" s="65">
        <v>2</v>
      </c>
      <c r="CF20" s="71" t="s">
        <v>20</v>
      </c>
      <c r="CG20" s="72"/>
      <c r="CH20" s="21">
        <v>3.67584905660377</v>
      </c>
      <c r="CI20" s="22">
        <v>1.2244736842105199</v>
      </c>
      <c r="CJ20" s="22">
        <v>3.09980769230769</v>
      </c>
      <c r="CK20" s="22">
        <v>3.93355932203389</v>
      </c>
      <c r="CL20" s="22">
        <v>1.59379310344827</v>
      </c>
      <c r="CM20" s="22">
        <v>8.0749999999999993</v>
      </c>
      <c r="CN20" s="22">
        <v>1.05614035087719</v>
      </c>
      <c r="CO20" s="23">
        <v>3.4342857142857102</v>
      </c>
      <c r="CP20" s="21">
        <v>3.26018518518518</v>
      </c>
      <c r="CQ20" s="22">
        <v>1.21078947368421</v>
      </c>
      <c r="CR20" s="22">
        <v>3.0053846153846102</v>
      </c>
      <c r="CS20" s="22">
        <v>3.9521666666666602</v>
      </c>
      <c r="CT20" s="22">
        <v>1.59</v>
      </c>
      <c r="CU20" s="22">
        <v>7.12843137254902</v>
      </c>
      <c r="CV20" s="22">
        <v>1.07</v>
      </c>
      <c r="CW20" s="23">
        <v>3.5249999999999999</v>
      </c>
      <c r="CY20" s="65">
        <v>2</v>
      </c>
      <c r="CZ20" s="71" t="s">
        <v>20</v>
      </c>
      <c r="DA20" s="72"/>
      <c r="DB20" s="21">
        <v>0.55155172413793097</v>
      </c>
      <c r="DC20" s="22">
        <v>3.2267796610169501</v>
      </c>
      <c r="DD20" s="22">
        <v>0.40593220338982999</v>
      </c>
      <c r="DE20" s="22">
        <v>1.86389830508474</v>
      </c>
      <c r="DF20" s="22">
        <v>5.1486440677966003</v>
      </c>
      <c r="DG20" s="22">
        <v>2.2493220338983</v>
      </c>
      <c r="DH20" s="22">
        <v>0.67711864406779598</v>
      </c>
      <c r="DI20" s="23">
        <v>1.38</v>
      </c>
      <c r="DJ20" s="21">
        <v>0.55530612244897903</v>
      </c>
      <c r="DK20" s="22">
        <v>3.2303999999999999</v>
      </c>
      <c r="DL20" s="22">
        <v>0.41839999999999899</v>
      </c>
      <c r="DM20" s="22">
        <v>1.8706</v>
      </c>
      <c r="DN20" s="22">
        <v>5.6767999999999903</v>
      </c>
      <c r="DO20" s="22">
        <v>2.2054</v>
      </c>
      <c r="DP20" s="22">
        <v>0.67420000000000002</v>
      </c>
      <c r="DQ20" s="23">
        <v>1.40782608695652</v>
      </c>
      <c r="DS20" s="65">
        <v>2</v>
      </c>
      <c r="DT20" s="71" t="s">
        <v>20</v>
      </c>
      <c r="DU20" s="72"/>
      <c r="DV20" s="21">
        <v>12.484915254237199</v>
      </c>
      <c r="DW20" s="22">
        <v>1.37785714285714</v>
      </c>
      <c r="DX20" s="22">
        <v>1.6754237288135501</v>
      </c>
      <c r="DY20" s="22">
        <v>3.1871428571428502</v>
      </c>
      <c r="DZ20" s="22">
        <v>1.6886440677966099</v>
      </c>
      <c r="EA20" s="22">
        <v>2.6499999999999901</v>
      </c>
      <c r="EB20" s="22">
        <v>0.22050847457627101</v>
      </c>
      <c r="EC20" s="23">
        <v>0.331864406779661</v>
      </c>
      <c r="ED20" s="21">
        <v>12.640599999999999</v>
      </c>
      <c r="EE20" s="22">
        <v>1.3726086956521699</v>
      </c>
      <c r="EF20" s="22">
        <v>1.6712</v>
      </c>
      <c r="EG20" s="22">
        <v>3.1044680851063799</v>
      </c>
      <c r="EH20" s="22">
        <v>1.6779999999999999</v>
      </c>
      <c r="EI20" s="22">
        <v>2.6764000000000001</v>
      </c>
      <c r="EJ20" s="22">
        <v>0.217</v>
      </c>
      <c r="EK20" s="23">
        <v>0.336199999999999</v>
      </c>
      <c r="EM20" s="65">
        <v>2</v>
      </c>
      <c r="EN20" s="71" t="s">
        <v>20</v>
      </c>
      <c r="EO20" s="72"/>
      <c r="EP20" s="21">
        <v>0.82153846153846199</v>
      </c>
      <c r="EQ20" s="22">
        <v>1.1481355932203301</v>
      </c>
      <c r="ER20" s="22">
        <v>0.14932203389830501</v>
      </c>
      <c r="ES20" s="22">
        <v>2.1711999999999998</v>
      </c>
      <c r="ET20" s="22">
        <v>1.82481481481481</v>
      </c>
      <c r="EU20" s="22">
        <v>0.61508474576271099</v>
      </c>
      <c r="EV20" s="22">
        <v>0.30949152542372799</v>
      </c>
      <c r="EW20" s="23">
        <v>2.4864406779661001</v>
      </c>
      <c r="EX20" s="21">
        <v>0.81814814814814796</v>
      </c>
      <c r="EY20" s="22">
        <v>1.1245000000000001</v>
      </c>
      <c r="EZ20" s="22">
        <v>0.14933333333333301</v>
      </c>
      <c r="FA20" s="22">
        <v>2.2538</v>
      </c>
      <c r="FB20" s="22">
        <v>1.86163636363636</v>
      </c>
      <c r="FC20" s="22">
        <v>0.61966666666666603</v>
      </c>
      <c r="FD20" s="22">
        <v>0.30933333333333302</v>
      </c>
      <c r="FE20" s="23">
        <v>2.51416666666666</v>
      </c>
    </row>
    <row r="21" spans="3:161" ht="15" customHeight="1" x14ac:dyDescent="0.3">
      <c r="C21" s="66"/>
      <c r="D21" s="68" t="s">
        <v>21</v>
      </c>
      <c r="E21" s="69"/>
      <c r="F21" s="24">
        <v>0.32759357597548899</v>
      </c>
      <c r="G21" s="25">
        <v>0.42500299451144702</v>
      </c>
      <c r="H21" s="25">
        <v>0.85627178168896401</v>
      </c>
      <c r="I21" s="25">
        <v>1.24436897857088</v>
      </c>
      <c r="J21" s="25">
        <v>0.48030459825226801</v>
      </c>
      <c r="K21" s="25">
        <v>0.94481055974287897</v>
      </c>
      <c r="L21" s="25">
        <v>2.4658320405627401E-2</v>
      </c>
      <c r="M21" s="26">
        <v>0.51525708449261898</v>
      </c>
      <c r="N21" s="24">
        <v>0.60566621163587697</v>
      </c>
      <c r="O21" s="25">
        <v>0.21854012410026799</v>
      </c>
      <c r="P21" s="25">
        <v>0.98869362425608198</v>
      </c>
      <c r="Q21" s="25">
        <v>1.36680252260612</v>
      </c>
      <c r="R21" s="25">
        <v>0.760405025278723</v>
      </c>
      <c r="S21" s="25">
        <v>1.02988648541453</v>
      </c>
      <c r="T21" s="25">
        <v>2.1210016307851801E-2</v>
      </c>
      <c r="U21" s="26">
        <v>0.48472438394933398</v>
      </c>
      <c r="W21" s="66"/>
      <c r="X21" s="68" t="s">
        <v>21</v>
      </c>
      <c r="Y21" s="69"/>
      <c r="Z21" s="24">
        <v>0.229594676065839</v>
      </c>
      <c r="AA21" s="25">
        <v>0.48153158348654701</v>
      </c>
      <c r="AB21" s="25">
        <v>0.813803718469431</v>
      </c>
      <c r="AC21" s="25">
        <v>1.3269840723969</v>
      </c>
      <c r="AD21" s="25">
        <v>0.764475300586683</v>
      </c>
      <c r="AE21" s="25">
        <v>0.62542095391725105</v>
      </c>
      <c r="AF21" s="25">
        <v>0.74759222561665795</v>
      </c>
      <c r="AG21" s="26">
        <v>0.60423582311113899</v>
      </c>
      <c r="AH21" s="24">
        <v>0.23716848207316399</v>
      </c>
      <c r="AI21" s="25">
        <v>0.39795526766425399</v>
      </c>
      <c r="AJ21" s="25">
        <v>0.945829160289274</v>
      </c>
      <c r="AK21" s="25">
        <v>1.3089234856774501</v>
      </c>
      <c r="AL21" s="25">
        <v>1.1380087873122899</v>
      </c>
      <c r="AM21" s="25">
        <v>0.71370651366953397</v>
      </c>
      <c r="AN21" s="25">
        <v>0.83069341850983403</v>
      </c>
      <c r="AO21" s="26">
        <v>0.63476302097861903</v>
      </c>
      <c r="AQ21" s="66"/>
      <c r="AR21" s="68" t="s">
        <v>21</v>
      </c>
      <c r="AS21" s="69"/>
      <c r="AT21" s="24">
        <v>0.61348808417050005</v>
      </c>
      <c r="AU21" s="25">
        <v>0.85193420549703602</v>
      </c>
      <c r="AV21" s="25">
        <v>0.63188214558862299</v>
      </c>
      <c r="AW21" s="25">
        <v>0.62397209493827999</v>
      </c>
      <c r="AX21" s="25">
        <v>0.79366561827784998</v>
      </c>
      <c r="AY21" s="25">
        <v>0.46321283997567803</v>
      </c>
      <c r="AZ21" s="25">
        <v>0.26269000294875899</v>
      </c>
      <c r="BA21" s="26">
        <v>0.141327652396327</v>
      </c>
      <c r="BB21" s="24">
        <v>0.64714947268772405</v>
      </c>
      <c r="BC21" s="25">
        <v>1.12600490229838</v>
      </c>
      <c r="BD21" s="25">
        <v>0.61632864609719296</v>
      </c>
      <c r="BE21" s="25">
        <v>0.681479669491728</v>
      </c>
      <c r="BF21" s="25">
        <v>0.88550119141647698</v>
      </c>
      <c r="BG21" s="25">
        <v>0.25582931810095499</v>
      </c>
      <c r="BH21" s="25">
        <v>0.27568213580136097</v>
      </c>
      <c r="BI21" s="26">
        <v>9.2673405030785402E-2</v>
      </c>
      <c r="BK21" s="66"/>
      <c r="BL21" s="68" t="s">
        <v>21</v>
      </c>
      <c r="BM21" s="69"/>
      <c r="BN21" s="24">
        <v>0.63082644978240499</v>
      </c>
      <c r="BO21" s="25">
        <v>0.88432227743010505</v>
      </c>
      <c r="BP21" s="25">
        <v>0.39558123540623302</v>
      </c>
      <c r="BQ21" s="25">
        <v>1.11692757688582</v>
      </c>
      <c r="BR21" s="25">
        <v>1.10227172644491</v>
      </c>
      <c r="BS21" s="25">
        <v>6.6313011066931299E-2</v>
      </c>
      <c r="BT21" s="25">
        <v>0.46479370665542202</v>
      </c>
      <c r="BU21" s="26">
        <v>0.59666433575410405</v>
      </c>
      <c r="BV21" s="24">
        <v>0.51851079063024297</v>
      </c>
      <c r="BW21" s="25">
        <v>1.00889163262903</v>
      </c>
      <c r="BX21" s="25">
        <v>0.27740915630166202</v>
      </c>
      <c r="BY21" s="25">
        <v>1.21969448793473</v>
      </c>
      <c r="BZ21" s="25">
        <v>1.1146137290998499</v>
      </c>
      <c r="CA21" s="25">
        <v>1.54919333848296E-2</v>
      </c>
      <c r="CB21" s="25">
        <v>0.16877073205979701</v>
      </c>
      <c r="CC21" s="26">
        <v>0.64843585744812804</v>
      </c>
      <c r="CE21" s="66"/>
      <c r="CF21" s="68" t="s">
        <v>21</v>
      </c>
      <c r="CG21" s="69"/>
      <c r="CH21" s="24">
        <v>4.7397704880197402</v>
      </c>
      <c r="CI21" s="25">
        <v>0.387357426188357</v>
      </c>
      <c r="CJ21" s="25">
        <v>2.0440245843627398</v>
      </c>
      <c r="CK21" s="25">
        <v>2.7660727607326798</v>
      </c>
      <c r="CL21" s="25">
        <v>0.97513363820874799</v>
      </c>
      <c r="CM21" s="25">
        <v>20.958794418132399</v>
      </c>
      <c r="CN21" s="25">
        <v>0.37503101338874001</v>
      </c>
      <c r="CO21" s="26">
        <v>1.72203526159509</v>
      </c>
      <c r="CP21" s="24">
        <v>3.7826467760515401</v>
      </c>
      <c r="CQ21" s="25">
        <v>0.30504858611243602</v>
      </c>
      <c r="CR21" s="25">
        <v>1.83214088887464</v>
      </c>
      <c r="CS21" s="25">
        <v>2.7362158124355198</v>
      </c>
      <c r="CT21" s="25">
        <v>0.967265935423401</v>
      </c>
      <c r="CU21" s="25">
        <v>19.7181781734668</v>
      </c>
      <c r="CV21" s="25">
        <v>0.355833165091887</v>
      </c>
      <c r="CW21" s="26">
        <v>1.69616184369298</v>
      </c>
      <c r="CY21" s="66"/>
      <c r="CZ21" s="68" t="s">
        <v>21</v>
      </c>
      <c r="DA21" s="69"/>
      <c r="DB21" s="24">
        <v>9.5841135149175402E-2</v>
      </c>
      <c r="DC21" s="25">
        <v>1.7154625216877</v>
      </c>
      <c r="DD21" s="25">
        <v>0.59528975609252999</v>
      </c>
      <c r="DE21" s="25">
        <v>0.66507809392136497</v>
      </c>
      <c r="DF21" s="25">
        <v>6.26248866371371</v>
      </c>
      <c r="DG21" s="25">
        <v>1.5230854772042299</v>
      </c>
      <c r="DH21" s="25">
        <v>6.4283557416291506E-2</v>
      </c>
      <c r="DI21" s="26">
        <v>0.74407785335396903</v>
      </c>
      <c r="DJ21" s="24">
        <v>0.102401810427561</v>
      </c>
      <c r="DK21" s="25">
        <v>1.7498696637178399</v>
      </c>
      <c r="DL21" s="25">
        <v>0.64447299400362701</v>
      </c>
      <c r="DM21" s="25">
        <v>0.67383502431975095</v>
      </c>
      <c r="DN21" s="25">
        <v>6.6628913963834</v>
      </c>
      <c r="DO21" s="25">
        <v>1.4385718056461401</v>
      </c>
      <c r="DP21" s="25">
        <v>6.5851044031207201E-2</v>
      </c>
      <c r="DQ21" s="26">
        <v>0.802127369923468</v>
      </c>
      <c r="DS21" s="66"/>
      <c r="DT21" s="68" t="s">
        <v>21</v>
      </c>
      <c r="DU21" s="69"/>
      <c r="DV21" s="24">
        <v>2.5791953632153701</v>
      </c>
      <c r="DW21" s="25">
        <v>0.224298225310747</v>
      </c>
      <c r="DX21" s="25">
        <v>1.6750788719441101</v>
      </c>
      <c r="DY21" s="25">
        <v>0.70117175979548196</v>
      </c>
      <c r="DZ21" s="25">
        <v>0.22361784613236199</v>
      </c>
      <c r="EA21" s="25">
        <v>0.71844700688005803</v>
      </c>
      <c r="EB21" s="25">
        <v>2.7826565091504302E-2</v>
      </c>
      <c r="EC21" s="26">
        <v>0.18387979286655701</v>
      </c>
      <c r="ED21" s="24">
        <v>2.1027376536315598</v>
      </c>
      <c r="EE21" s="25">
        <v>0.21771975188110099</v>
      </c>
      <c r="EF21" s="25">
        <v>1.8180557087174201</v>
      </c>
      <c r="EG21" s="25">
        <v>0.77825721425158001</v>
      </c>
      <c r="EH21" s="25">
        <v>0.22</v>
      </c>
      <c r="EI21" s="25">
        <v>0.69138053197931404</v>
      </c>
      <c r="EJ21" s="25">
        <v>3.10644491340181E-2</v>
      </c>
      <c r="EK21" s="26">
        <v>0.18272263132956401</v>
      </c>
      <c r="EM21" s="66"/>
      <c r="EN21" s="68" t="s">
        <v>21</v>
      </c>
      <c r="EO21" s="69"/>
      <c r="EP21" s="24">
        <v>7.2890450344879107E-2</v>
      </c>
      <c r="EQ21" s="25">
        <v>1.9353005062292199</v>
      </c>
      <c r="ER21" s="25">
        <v>2.70507624993356E-2</v>
      </c>
      <c r="ES21" s="25">
        <v>2.1506033014017198</v>
      </c>
      <c r="ET21" s="25">
        <v>0.46566853869320901</v>
      </c>
      <c r="EU21" s="25">
        <v>0.172492916890745</v>
      </c>
      <c r="EV21" s="25">
        <v>5.7206842331468402E-2</v>
      </c>
      <c r="EW21" s="26">
        <v>0.63021589712523896</v>
      </c>
      <c r="EX21" s="24">
        <v>7.3587289413575396E-2</v>
      </c>
      <c r="EY21" s="25">
        <v>1.92318609343973</v>
      </c>
      <c r="EZ21" s="25">
        <v>2.6824532718307599E-2</v>
      </c>
      <c r="FA21" s="25">
        <v>2.24245302291932</v>
      </c>
      <c r="FB21" s="25">
        <v>0.44598721398861002</v>
      </c>
      <c r="FC21" s="25">
        <v>0.168888194443016</v>
      </c>
      <c r="FD21" s="25">
        <v>5.9325842223735402E-2</v>
      </c>
      <c r="FE21" s="26">
        <v>0.655070712892042</v>
      </c>
    </row>
    <row r="22" spans="3:161" ht="15" customHeight="1" x14ac:dyDescent="0.3">
      <c r="C22" s="66"/>
      <c r="D22" s="68" t="s">
        <v>22</v>
      </c>
      <c r="E22" s="69"/>
      <c r="F22" s="33">
        <v>3</v>
      </c>
      <c r="G22" s="34">
        <v>4.3899999999999997</v>
      </c>
      <c r="H22" s="34">
        <v>5.28</v>
      </c>
      <c r="I22" s="34">
        <v>5.46</v>
      </c>
      <c r="J22" s="34">
        <v>4.32</v>
      </c>
      <c r="K22" s="34">
        <v>4.78</v>
      </c>
      <c r="L22" s="34">
        <v>1.75</v>
      </c>
      <c r="M22" s="35">
        <v>2.2799999999999998</v>
      </c>
      <c r="N22" s="33">
        <v>2.99547619047619</v>
      </c>
      <c r="O22" s="34">
        <v>4.3879999999999901</v>
      </c>
      <c r="P22" s="34">
        <v>5.2568292682926803</v>
      </c>
      <c r="Q22" s="34">
        <v>5.4114999999999904</v>
      </c>
      <c r="R22" s="34">
        <v>4.3095121951219504</v>
      </c>
      <c r="S22" s="34">
        <v>4.6574358974358896</v>
      </c>
      <c r="T22" s="34">
        <v>1.7515384615384599</v>
      </c>
      <c r="U22" s="35">
        <v>2.2935135135135098</v>
      </c>
      <c r="W22" s="66"/>
      <c r="X22" s="68" t="s">
        <v>22</v>
      </c>
      <c r="Y22" s="69"/>
      <c r="Z22" s="33">
        <v>2.8431818181818098</v>
      </c>
      <c r="AA22" s="34">
        <v>5.4513235294117601</v>
      </c>
      <c r="AB22" s="34">
        <v>5.1795081967213097</v>
      </c>
      <c r="AC22" s="34">
        <v>5.8268852459016296</v>
      </c>
      <c r="AD22" s="34">
        <v>5.1691666666666602</v>
      </c>
      <c r="AE22" s="34">
        <v>3.7189230769230699</v>
      </c>
      <c r="AF22" s="34">
        <v>3.0503076923076899</v>
      </c>
      <c r="AG22" s="35">
        <v>3.3993333333333302</v>
      </c>
      <c r="AH22" s="33">
        <v>2.8431707317073101</v>
      </c>
      <c r="AI22" s="34">
        <v>5.4518181818181697</v>
      </c>
      <c r="AJ22" s="34">
        <v>5.1765789473684203</v>
      </c>
      <c r="AK22" s="34">
        <v>5.75051282051282</v>
      </c>
      <c r="AL22" s="34">
        <v>5.1550000000000002</v>
      </c>
      <c r="AM22" s="34">
        <v>3.7083333333333299</v>
      </c>
      <c r="AN22" s="34">
        <v>3.05538461538461</v>
      </c>
      <c r="AO22" s="35">
        <v>3.41351351351351</v>
      </c>
      <c r="AQ22" s="66"/>
      <c r="AR22" s="68" t="s">
        <v>22</v>
      </c>
      <c r="AS22" s="69"/>
      <c r="AT22" s="33">
        <v>3.9152016129032199</v>
      </c>
      <c r="AU22" s="34">
        <v>4.2516455696202398</v>
      </c>
      <c r="AV22" s="34">
        <v>4.1533606557376999</v>
      </c>
      <c r="AW22" s="34">
        <v>4.2990763052208703</v>
      </c>
      <c r="AX22" s="34">
        <v>3.5863404255319198</v>
      </c>
      <c r="AY22" s="34">
        <v>3.1254</v>
      </c>
      <c r="AZ22" s="34">
        <v>1.6285999999999901</v>
      </c>
      <c r="BA22" s="35">
        <v>1.24960629921259</v>
      </c>
      <c r="BB22" s="33">
        <v>3.9197872340425501</v>
      </c>
      <c r="BC22" s="34">
        <v>4.2676190476190401</v>
      </c>
      <c r="BD22" s="34">
        <v>4.1591304347826004</v>
      </c>
      <c r="BE22" s="34">
        <v>4.30217391304347</v>
      </c>
      <c r="BF22" s="34">
        <v>3.6011904761904701</v>
      </c>
      <c r="BG22" s="34">
        <v>3.1220408163265301</v>
      </c>
      <c r="BH22" s="34">
        <v>1.62787234042553</v>
      </c>
      <c r="BI22" s="35">
        <v>1.2467346938775501</v>
      </c>
      <c r="BK22" s="66"/>
      <c r="BL22" s="68" t="s">
        <v>22</v>
      </c>
      <c r="BM22" s="69"/>
      <c r="BN22" s="33">
        <v>4.1494642857142798</v>
      </c>
      <c r="BO22" s="34">
        <v>6.0976146788990802</v>
      </c>
      <c r="BP22" s="34">
        <v>3.7673684210526202</v>
      </c>
      <c r="BQ22" s="34">
        <v>5.1278095238095203</v>
      </c>
      <c r="BR22" s="34">
        <v>5.3187037037036999</v>
      </c>
      <c r="BS22" s="34">
        <v>1.84618644067796</v>
      </c>
      <c r="BT22" s="34">
        <v>3.7506086956521698</v>
      </c>
      <c r="BU22" s="35">
        <v>3.1469767441860399</v>
      </c>
      <c r="BV22" s="33">
        <v>4.1449999999999898</v>
      </c>
      <c r="BW22" s="34">
        <v>6.0993181818181803</v>
      </c>
      <c r="BX22" s="34">
        <v>3.7676086956521702</v>
      </c>
      <c r="BY22" s="34">
        <v>5.1353488372092997</v>
      </c>
      <c r="BZ22" s="34">
        <v>5.2997674418604603</v>
      </c>
      <c r="CA22" s="34">
        <v>1.8472727272727201</v>
      </c>
      <c r="CB22" s="34">
        <v>3.75775510204081</v>
      </c>
      <c r="CC22" s="35">
        <v>3.1324242424242401</v>
      </c>
      <c r="CE22" s="66"/>
      <c r="CF22" s="68" t="s">
        <v>22</v>
      </c>
      <c r="CG22" s="69"/>
      <c r="CH22" s="33">
        <v>2.3497959183673398</v>
      </c>
      <c r="CI22" s="34">
        <v>1.16135135135135</v>
      </c>
      <c r="CJ22" s="34">
        <v>2.5554545454545399</v>
      </c>
      <c r="CK22" s="34">
        <v>3.3019642857142801</v>
      </c>
      <c r="CL22" s="34">
        <v>1.41071428571428</v>
      </c>
      <c r="CM22" s="34">
        <v>1.3395744680851001</v>
      </c>
      <c r="CN22" s="34">
        <v>1.2245454545454499</v>
      </c>
      <c r="CO22" s="35">
        <v>2.9807142857142801</v>
      </c>
      <c r="CP22" s="33">
        <v>2.3592156862745099</v>
      </c>
      <c r="CQ22" s="34">
        <v>1.17</v>
      </c>
      <c r="CR22" s="34">
        <v>2.5569565217391301</v>
      </c>
      <c r="CS22" s="34">
        <v>3.3326315789473702</v>
      </c>
      <c r="CT22" s="34">
        <v>1.41</v>
      </c>
      <c r="CU22" s="34">
        <v>1.4619148936170201</v>
      </c>
      <c r="CV22" s="34">
        <v>1.2178260869565201</v>
      </c>
      <c r="CW22" s="35">
        <v>2.94857142857142</v>
      </c>
      <c r="CY22" s="66"/>
      <c r="CZ22" s="68" t="s">
        <v>22</v>
      </c>
      <c r="DA22" s="69"/>
      <c r="DB22" s="33">
        <v>0.5534</v>
      </c>
      <c r="DC22" s="34">
        <v>4.1736585365853696</v>
      </c>
      <c r="DD22" s="34">
        <v>0.32862068965517199</v>
      </c>
      <c r="DE22" s="34">
        <v>1.60607843137254</v>
      </c>
      <c r="DF22" s="34">
        <v>2.33612244897959</v>
      </c>
      <c r="DG22" s="34">
        <v>1.83981818181818</v>
      </c>
      <c r="DH22" s="34">
        <v>0.68368421052631501</v>
      </c>
      <c r="DI22" s="35">
        <v>1.2013725490195999</v>
      </c>
      <c r="DJ22" s="33">
        <v>0.55571428571428505</v>
      </c>
      <c r="DK22" s="34">
        <v>4.2088235294117604</v>
      </c>
      <c r="DL22" s="34">
        <v>0.32714285714285701</v>
      </c>
      <c r="DM22" s="34">
        <v>1.6053488372093001</v>
      </c>
      <c r="DN22" s="34">
        <v>2.3634999999999899</v>
      </c>
      <c r="DO22" s="34">
        <v>1.8431914893617001</v>
      </c>
      <c r="DP22" s="34">
        <v>0.68187500000000001</v>
      </c>
      <c r="DQ22" s="35">
        <v>1.1979069767441799</v>
      </c>
      <c r="DS22" s="66"/>
      <c r="DT22" s="68" t="s">
        <v>22</v>
      </c>
      <c r="DU22" s="69"/>
      <c r="DV22" s="33">
        <v>13.442608695652099</v>
      </c>
      <c r="DW22" s="34">
        <v>1.3578787878787799</v>
      </c>
      <c r="DX22" s="34">
        <v>1.3821052631578901</v>
      </c>
      <c r="DY22" s="34">
        <v>3.5104761904761901</v>
      </c>
      <c r="DZ22" s="34">
        <v>1.77</v>
      </c>
      <c r="EA22" s="34">
        <v>2.4559523809523802</v>
      </c>
      <c r="EB22" s="34">
        <v>0.22857142857142801</v>
      </c>
      <c r="EC22" s="35">
        <v>0.23372093023255799</v>
      </c>
      <c r="ED22" s="33">
        <v>12.285652173913</v>
      </c>
      <c r="EE22" s="34">
        <v>1.3557142857142801</v>
      </c>
      <c r="EF22" s="34">
        <v>1.32270833333333</v>
      </c>
      <c r="EG22" s="34">
        <v>3.5096774193548401</v>
      </c>
      <c r="EH22" s="34">
        <v>1.76024390243902</v>
      </c>
      <c r="EI22" s="34">
        <v>2.43166666666666</v>
      </c>
      <c r="EJ22" s="34">
        <v>0.229473684210526</v>
      </c>
      <c r="EK22" s="35">
        <v>0.22971428571428501</v>
      </c>
      <c r="EM22" s="66"/>
      <c r="EN22" s="68" t="s">
        <v>22</v>
      </c>
      <c r="EO22" s="69"/>
      <c r="EP22" s="33">
        <v>0.85</v>
      </c>
      <c r="EQ22" s="34">
        <v>0.56777777777777705</v>
      </c>
      <c r="ER22" s="34">
        <v>0.14888888888888799</v>
      </c>
      <c r="ES22" s="34">
        <v>1.57673913043478</v>
      </c>
      <c r="ET22" s="34">
        <v>2.0197777777777701</v>
      </c>
      <c r="EU22" s="34">
        <v>0.69285714285714295</v>
      </c>
      <c r="EV22" s="34">
        <v>0.30142857142857099</v>
      </c>
      <c r="EW22" s="35">
        <v>2.24204081632652</v>
      </c>
      <c r="EX22" s="33">
        <v>0.85</v>
      </c>
      <c r="EY22" s="34">
        <v>0.55254545454545401</v>
      </c>
      <c r="EZ22" s="34">
        <v>0.14890909090909099</v>
      </c>
      <c r="FA22" s="34">
        <v>1.55422222222222</v>
      </c>
      <c r="FB22" s="34">
        <v>2.0338297872340401</v>
      </c>
      <c r="FC22" s="34">
        <v>0.70090909090909104</v>
      </c>
      <c r="FD22" s="34">
        <v>0.30142857142857099</v>
      </c>
      <c r="FE22" s="35">
        <v>2.2268749999999899</v>
      </c>
    </row>
    <row r="23" spans="3:161" ht="28.8" x14ac:dyDescent="0.3">
      <c r="C23" s="66"/>
      <c r="D23" s="73" t="s">
        <v>23</v>
      </c>
      <c r="E23" s="38" t="s">
        <v>24</v>
      </c>
      <c r="F23" s="27">
        <v>3.04</v>
      </c>
      <c r="G23" s="28">
        <v>4.01</v>
      </c>
      <c r="H23" s="28">
        <v>5.24</v>
      </c>
      <c r="I23" s="28">
        <v>5.77</v>
      </c>
      <c r="J23" s="28">
        <v>4.1900000000000004</v>
      </c>
      <c r="K23" s="28">
        <v>4.38</v>
      </c>
      <c r="L23" s="28">
        <v>1.55</v>
      </c>
      <c r="M23" s="29">
        <v>2.41</v>
      </c>
      <c r="N23" s="27">
        <v>3.04</v>
      </c>
      <c r="O23" s="28">
        <v>4.01</v>
      </c>
      <c r="P23" s="28">
        <v>5.24</v>
      </c>
      <c r="Q23" s="28">
        <v>5.77</v>
      </c>
      <c r="R23" s="28">
        <v>4.1900000000000004</v>
      </c>
      <c r="S23" s="28">
        <v>4.38</v>
      </c>
      <c r="T23" s="28">
        <v>1.55</v>
      </c>
      <c r="U23" s="29">
        <v>2.41</v>
      </c>
      <c r="W23" s="66"/>
      <c r="X23" s="73" t="s">
        <v>23</v>
      </c>
      <c r="Y23" s="38" t="s">
        <v>24</v>
      </c>
      <c r="Z23" s="27">
        <v>2.88</v>
      </c>
      <c r="AA23" s="28">
        <v>5.31</v>
      </c>
      <c r="AB23" s="28">
        <v>5.04</v>
      </c>
      <c r="AC23" s="28">
        <v>6.21</v>
      </c>
      <c r="AD23" s="28">
        <v>5.29</v>
      </c>
      <c r="AE23" s="28">
        <v>3.65</v>
      </c>
      <c r="AF23" s="28">
        <v>2.85</v>
      </c>
      <c r="AG23" s="29">
        <v>3.06</v>
      </c>
      <c r="AH23" s="27">
        <v>2.88</v>
      </c>
      <c r="AI23" s="28">
        <v>5.31</v>
      </c>
      <c r="AJ23" s="28">
        <v>5.04</v>
      </c>
      <c r="AK23" s="28">
        <v>6.21</v>
      </c>
      <c r="AL23" s="28">
        <v>5.29</v>
      </c>
      <c r="AM23" s="28">
        <v>3.65</v>
      </c>
      <c r="AN23" s="28">
        <v>2.85</v>
      </c>
      <c r="AO23" s="29">
        <v>3.06</v>
      </c>
      <c r="AQ23" s="66"/>
      <c r="AR23" s="73" t="s">
        <v>23</v>
      </c>
      <c r="AS23" s="38" t="s">
        <v>24</v>
      </c>
      <c r="AT23" s="27">
        <v>3.88</v>
      </c>
      <c r="AU23" s="28">
        <v>4.2300000000000004</v>
      </c>
      <c r="AV23" s="28">
        <v>3.88</v>
      </c>
      <c r="AW23" s="28">
        <v>4.43</v>
      </c>
      <c r="AX23" s="28">
        <v>3.58</v>
      </c>
      <c r="AY23" s="28">
        <v>3.17</v>
      </c>
      <c r="AZ23" s="28">
        <v>1.72</v>
      </c>
      <c r="BA23" s="29">
        <v>1.1399999999999999</v>
      </c>
      <c r="BB23" s="27">
        <v>3.88</v>
      </c>
      <c r="BC23" s="28">
        <v>4.2300000000000004</v>
      </c>
      <c r="BD23" s="28">
        <v>3.88</v>
      </c>
      <c r="BE23" s="28">
        <v>4.43</v>
      </c>
      <c r="BF23" s="28">
        <v>3.58</v>
      </c>
      <c r="BG23" s="28">
        <v>3.17</v>
      </c>
      <c r="BH23" s="28">
        <v>1.72</v>
      </c>
      <c r="BI23" s="29">
        <v>1.1399999999999999</v>
      </c>
      <c r="BK23" s="66"/>
      <c r="BL23" s="73" t="s">
        <v>23</v>
      </c>
      <c r="BM23" s="38" t="s">
        <v>24</v>
      </c>
      <c r="BN23" s="27">
        <v>4.2</v>
      </c>
      <c r="BO23" s="28">
        <v>6.08</v>
      </c>
      <c r="BP23" s="28">
        <v>3.62</v>
      </c>
      <c r="BQ23" s="28">
        <v>5.36</v>
      </c>
      <c r="BR23" s="28">
        <v>5.44</v>
      </c>
      <c r="BS23" s="28">
        <v>1.82</v>
      </c>
      <c r="BT23" s="28">
        <v>3.76</v>
      </c>
      <c r="BU23" s="29">
        <v>2.87</v>
      </c>
      <c r="BV23" s="27">
        <v>4.2</v>
      </c>
      <c r="BW23" s="28">
        <v>6.08</v>
      </c>
      <c r="BX23" s="28">
        <v>3.62</v>
      </c>
      <c r="BY23" s="28">
        <v>5.36</v>
      </c>
      <c r="BZ23" s="28">
        <v>5.44</v>
      </c>
      <c r="CA23" s="28">
        <v>1.82</v>
      </c>
      <c r="CB23" s="28">
        <v>3.76</v>
      </c>
      <c r="CC23" s="29">
        <v>2.87</v>
      </c>
      <c r="CE23" s="66"/>
      <c r="CF23" s="73" t="s">
        <v>23</v>
      </c>
      <c r="CG23" s="38" t="s">
        <v>24</v>
      </c>
      <c r="CH23" s="27">
        <v>3.04</v>
      </c>
      <c r="CI23" s="28">
        <v>4.01</v>
      </c>
      <c r="CJ23" s="28">
        <v>5.24</v>
      </c>
      <c r="CK23" s="28">
        <v>5.77</v>
      </c>
      <c r="CL23" s="28">
        <v>4.1900000000000004</v>
      </c>
      <c r="CM23" s="28">
        <v>4.38</v>
      </c>
      <c r="CN23" s="28">
        <v>1.55</v>
      </c>
      <c r="CO23" s="29">
        <v>2.41</v>
      </c>
      <c r="CP23" s="27">
        <v>3.04</v>
      </c>
      <c r="CQ23" s="28">
        <v>4.01</v>
      </c>
      <c r="CR23" s="28">
        <v>5.24</v>
      </c>
      <c r="CS23" s="28">
        <v>5.77</v>
      </c>
      <c r="CT23" s="28">
        <v>4.1900000000000004</v>
      </c>
      <c r="CU23" s="28">
        <v>4.38</v>
      </c>
      <c r="CV23" s="28">
        <v>1.55</v>
      </c>
      <c r="CW23" s="29">
        <v>2.41</v>
      </c>
      <c r="CY23" s="66"/>
      <c r="CZ23" s="73" t="s">
        <v>23</v>
      </c>
      <c r="DA23" s="38" t="s">
        <v>24</v>
      </c>
      <c r="DB23" s="27">
        <v>2.88</v>
      </c>
      <c r="DC23" s="28">
        <v>5.31</v>
      </c>
      <c r="DD23" s="28">
        <v>5.04</v>
      </c>
      <c r="DE23" s="28">
        <v>6.21</v>
      </c>
      <c r="DF23" s="28">
        <v>5.29</v>
      </c>
      <c r="DG23" s="28">
        <v>3.65</v>
      </c>
      <c r="DH23" s="28">
        <v>2.85</v>
      </c>
      <c r="DI23" s="29">
        <v>3.06</v>
      </c>
      <c r="DJ23" s="27">
        <v>2.88</v>
      </c>
      <c r="DK23" s="28">
        <v>5.31</v>
      </c>
      <c r="DL23" s="28">
        <v>5.04</v>
      </c>
      <c r="DM23" s="28">
        <v>6.21</v>
      </c>
      <c r="DN23" s="28">
        <v>5.29</v>
      </c>
      <c r="DO23" s="28">
        <v>3.65</v>
      </c>
      <c r="DP23" s="28">
        <v>2.85</v>
      </c>
      <c r="DQ23" s="29">
        <v>3.06</v>
      </c>
      <c r="DS23" s="66"/>
      <c r="DT23" s="73" t="s">
        <v>23</v>
      </c>
      <c r="DU23" s="38" t="s">
        <v>24</v>
      </c>
      <c r="DV23" s="27">
        <v>3.88</v>
      </c>
      <c r="DW23" s="28">
        <v>4.2300000000000004</v>
      </c>
      <c r="DX23" s="28">
        <v>3.88</v>
      </c>
      <c r="DY23" s="28">
        <v>4.43</v>
      </c>
      <c r="DZ23" s="28">
        <v>3.58</v>
      </c>
      <c r="EA23" s="28">
        <v>3.17</v>
      </c>
      <c r="EB23" s="28">
        <v>1.72</v>
      </c>
      <c r="EC23" s="29">
        <v>1.1399999999999999</v>
      </c>
      <c r="ED23" s="27">
        <v>3.88</v>
      </c>
      <c r="EE23" s="28">
        <v>4.2300000000000004</v>
      </c>
      <c r="EF23" s="28">
        <v>3.88</v>
      </c>
      <c r="EG23" s="28">
        <v>4.43</v>
      </c>
      <c r="EH23" s="28">
        <v>3.58</v>
      </c>
      <c r="EI23" s="28">
        <v>3.17</v>
      </c>
      <c r="EJ23" s="28">
        <v>1.72</v>
      </c>
      <c r="EK23" s="29">
        <v>1.1399999999999999</v>
      </c>
      <c r="EM23" s="66"/>
      <c r="EN23" s="73" t="s">
        <v>23</v>
      </c>
      <c r="EO23" s="38" t="s">
        <v>24</v>
      </c>
      <c r="EP23" s="27">
        <v>4.2</v>
      </c>
      <c r="EQ23" s="28">
        <v>6.08</v>
      </c>
      <c r="ER23" s="28">
        <v>3.62</v>
      </c>
      <c r="ES23" s="28">
        <v>5.36</v>
      </c>
      <c r="ET23" s="28">
        <v>5.44</v>
      </c>
      <c r="EU23" s="28">
        <v>1.82</v>
      </c>
      <c r="EV23" s="28">
        <v>3.76</v>
      </c>
      <c r="EW23" s="29">
        <v>2.87</v>
      </c>
      <c r="EX23" s="27">
        <v>4.2</v>
      </c>
      <c r="EY23" s="28">
        <v>6.08</v>
      </c>
      <c r="EZ23" s="28">
        <v>3.62</v>
      </c>
      <c r="FA23" s="28">
        <v>5.36</v>
      </c>
      <c r="FB23" s="28">
        <v>5.44</v>
      </c>
      <c r="FC23" s="28">
        <v>1.82</v>
      </c>
      <c r="FD23" s="28">
        <v>3.76</v>
      </c>
      <c r="FE23" s="29">
        <v>2.87</v>
      </c>
    </row>
    <row r="24" spans="3:161" x14ac:dyDescent="0.3">
      <c r="C24" s="66"/>
      <c r="D24" s="70"/>
      <c r="E24" s="39" t="s">
        <v>25</v>
      </c>
      <c r="F24" s="9">
        <v>0.04</v>
      </c>
      <c r="G24" s="10">
        <v>-0.38</v>
      </c>
      <c r="H24" s="10">
        <v>-0.04</v>
      </c>
      <c r="I24" s="10">
        <v>0.31</v>
      </c>
      <c r="J24" s="10">
        <v>-0.13</v>
      </c>
      <c r="K24" s="10">
        <v>-0.4</v>
      </c>
      <c r="L24" s="10">
        <v>-0.2</v>
      </c>
      <c r="M24" s="11">
        <v>0.13</v>
      </c>
      <c r="N24" s="9">
        <v>4.4523809523810076E-2</v>
      </c>
      <c r="O24" s="10">
        <v>-0.37799999999999034</v>
      </c>
      <c r="P24" s="10">
        <v>-1.6829268292680055E-2</v>
      </c>
      <c r="Q24" s="10">
        <v>0.35850000000000914</v>
      </c>
      <c r="R24" s="10">
        <v>-0.11951219512194999</v>
      </c>
      <c r="S24" s="10">
        <v>-0.2774358974358897</v>
      </c>
      <c r="T24" s="10">
        <v>-0.20153846153845989</v>
      </c>
      <c r="U24" s="11">
        <v>0.11648648648649029</v>
      </c>
      <c r="W24" s="66"/>
      <c r="X24" s="70"/>
      <c r="Y24" s="39" t="s">
        <v>25</v>
      </c>
      <c r="Z24" s="9">
        <v>3.6818181818190077E-2</v>
      </c>
      <c r="AA24" s="10">
        <v>-0.14132352941176052</v>
      </c>
      <c r="AB24" s="10">
        <v>-0.13950819672130965</v>
      </c>
      <c r="AC24" s="10">
        <v>0.38311475409837037</v>
      </c>
      <c r="AD24" s="10">
        <v>0.12083333333333979</v>
      </c>
      <c r="AE24" s="10">
        <v>-6.8923076923069981E-2</v>
      </c>
      <c r="AF24" s="10">
        <v>-0.20030769230768986</v>
      </c>
      <c r="AG24" s="11">
        <v>-0.33933333333333016</v>
      </c>
      <c r="AH24" s="9">
        <v>3.6829268292689843E-2</v>
      </c>
      <c r="AI24" s="10">
        <v>-0.14181818181817007</v>
      </c>
      <c r="AJ24" s="10">
        <v>-0.13657894736842024</v>
      </c>
      <c r="AK24" s="10">
        <v>0.45948717948717999</v>
      </c>
      <c r="AL24" s="10">
        <v>0.13499999999999979</v>
      </c>
      <c r="AM24" s="10">
        <v>-5.8333333333330017E-2</v>
      </c>
      <c r="AN24" s="10">
        <v>-0.20538461538460995</v>
      </c>
      <c r="AO24" s="11">
        <v>-0.3535135135135099</v>
      </c>
      <c r="AQ24" s="66"/>
      <c r="AR24" s="70"/>
      <c r="AS24" s="39" t="s">
        <v>25</v>
      </c>
      <c r="AT24" s="9">
        <v>-3.5201612903219992E-2</v>
      </c>
      <c r="AU24" s="10">
        <v>-2.1645569620239336E-2</v>
      </c>
      <c r="AV24" s="10">
        <v>-0.27336065573769996</v>
      </c>
      <c r="AW24" s="10">
        <v>0.13092369477912946</v>
      </c>
      <c r="AX24" s="10">
        <v>-6.3404255319197134E-3</v>
      </c>
      <c r="AY24" s="10">
        <v>4.4599999999999973E-2</v>
      </c>
      <c r="AZ24" s="10">
        <v>9.1400000000009918E-2</v>
      </c>
      <c r="BA24" s="11">
        <v>-0.10960629921259013</v>
      </c>
      <c r="BB24" s="9">
        <v>-3.9787234042550246E-2</v>
      </c>
      <c r="BC24" s="10">
        <v>-3.7619047619039669E-2</v>
      </c>
      <c r="BD24" s="10">
        <v>-0.27913043478260047</v>
      </c>
      <c r="BE24" s="10">
        <v>0.12782608695652975</v>
      </c>
      <c r="BF24" s="10">
        <v>-2.1190476190469987E-2</v>
      </c>
      <c r="BG24" s="10">
        <v>4.7959183673469852E-2</v>
      </c>
      <c r="BH24" s="10">
        <v>9.212765957447E-2</v>
      </c>
      <c r="BI24" s="11">
        <v>-0.10673469387755019</v>
      </c>
      <c r="BK24" s="66"/>
      <c r="BL24" s="70"/>
      <c r="BM24" s="39" t="s">
        <v>25</v>
      </c>
      <c r="BN24" s="9">
        <v>5.0535714285720346E-2</v>
      </c>
      <c r="BO24" s="10">
        <v>-1.7614678899080083E-2</v>
      </c>
      <c r="BP24" s="10">
        <v>-0.14736842105262005</v>
      </c>
      <c r="BQ24" s="10">
        <v>0.23219047619048006</v>
      </c>
      <c r="BR24" s="10">
        <v>0.12129629629630045</v>
      </c>
      <c r="BS24" s="10">
        <v>-2.6186440677959943E-2</v>
      </c>
      <c r="BT24" s="10">
        <v>9.3913043478299763E-3</v>
      </c>
      <c r="BU24" s="11">
        <v>-0.27697674418603979</v>
      </c>
      <c r="BV24" s="9">
        <v>5.5000000000010374E-2</v>
      </c>
      <c r="BW24" s="10">
        <v>-1.9318181818180236E-2</v>
      </c>
      <c r="BX24" s="10">
        <v>-0.14760869565217005</v>
      </c>
      <c r="BY24" s="10">
        <v>0.22465116279070063</v>
      </c>
      <c r="BZ24" s="10">
        <v>0.14023255813954005</v>
      </c>
      <c r="CA24" s="10">
        <v>-2.727272727272001E-2</v>
      </c>
      <c r="CB24" s="10">
        <v>2.2448979591898066E-3</v>
      </c>
      <c r="CC24" s="11">
        <v>-0.26242424242424001</v>
      </c>
      <c r="CE24" s="66"/>
      <c r="CF24" s="70"/>
      <c r="CG24" s="39" t="s">
        <v>25</v>
      </c>
      <c r="CH24" s="9">
        <v>0.69020408163266023</v>
      </c>
      <c r="CI24" s="10">
        <v>2.8486486486486498</v>
      </c>
      <c r="CJ24" s="10">
        <v>2.6845454545454603</v>
      </c>
      <c r="CK24" s="10">
        <v>2.4680357142857194</v>
      </c>
      <c r="CL24" s="10">
        <v>2.7792857142857201</v>
      </c>
      <c r="CM24" s="10">
        <v>3.0404255319148996</v>
      </c>
      <c r="CN24" s="10">
        <v>0.3254545454545501</v>
      </c>
      <c r="CO24" s="11">
        <v>-0.57071428571427996</v>
      </c>
      <c r="CP24" s="9">
        <v>0.68078431372549009</v>
      </c>
      <c r="CQ24" s="10">
        <v>2.84</v>
      </c>
      <c r="CR24" s="10">
        <v>2.6830434782608701</v>
      </c>
      <c r="CS24" s="10">
        <v>2.4373684210526294</v>
      </c>
      <c r="CT24" s="10">
        <v>2.7800000000000002</v>
      </c>
      <c r="CU24" s="10">
        <v>2.9180851063829798</v>
      </c>
      <c r="CV24" s="10">
        <v>0.33217391304347998</v>
      </c>
      <c r="CW24" s="11">
        <v>-0.53857142857141982</v>
      </c>
      <c r="CY24" s="66"/>
      <c r="CZ24" s="70"/>
      <c r="DA24" s="39" t="s">
        <v>25</v>
      </c>
      <c r="DB24" s="9">
        <v>2.3266</v>
      </c>
      <c r="DC24" s="10">
        <v>1.13634146341463</v>
      </c>
      <c r="DD24" s="10">
        <v>4.711379310344828</v>
      </c>
      <c r="DE24" s="10">
        <v>4.6039215686274595</v>
      </c>
      <c r="DF24" s="10">
        <v>2.9538775510204101</v>
      </c>
      <c r="DG24" s="10">
        <v>1.8101818181818199</v>
      </c>
      <c r="DH24" s="10">
        <v>2.1663157894736851</v>
      </c>
      <c r="DI24" s="11">
        <v>1.8586274509804002</v>
      </c>
      <c r="DJ24" s="9">
        <v>2.3242857142857147</v>
      </c>
      <c r="DK24" s="10">
        <v>1.1011764705882392</v>
      </c>
      <c r="DL24" s="10">
        <v>4.7128571428571426</v>
      </c>
      <c r="DM24" s="10">
        <v>4.6046511627906996</v>
      </c>
      <c r="DN24" s="10">
        <v>2.9265000000000101</v>
      </c>
      <c r="DO24" s="10">
        <v>1.8068085106382998</v>
      </c>
      <c r="DP24" s="10">
        <v>2.1681249999999999</v>
      </c>
      <c r="DQ24" s="11">
        <v>1.8620930232558202</v>
      </c>
      <c r="DS24" s="66"/>
      <c r="DT24" s="70"/>
      <c r="DU24" s="39" t="s">
        <v>25</v>
      </c>
      <c r="DV24" s="9">
        <v>-9.5626086956520986</v>
      </c>
      <c r="DW24" s="10">
        <v>2.8721212121212205</v>
      </c>
      <c r="DX24" s="10">
        <v>2.4978947368421096</v>
      </c>
      <c r="DY24" s="10">
        <v>0.91952380952380963</v>
      </c>
      <c r="DZ24" s="10">
        <v>1.81</v>
      </c>
      <c r="EA24" s="10">
        <v>0.71404761904761971</v>
      </c>
      <c r="EB24" s="10">
        <v>1.491428571428572</v>
      </c>
      <c r="EC24" s="11">
        <v>0.90627906976744188</v>
      </c>
      <c r="ED24" s="9">
        <v>-8.4056521739130012</v>
      </c>
      <c r="EE24" s="10">
        <v>2.8742857142857203</v>
      </c>
      <c r="EF24" s="10">
        <v>2.5572916666666696</v>
      </c>
      <c r="EG24" s="10">
        <v>0.92032258064515959</v>
      </c>
      <c r="EH24" s="10">
        <v>1.8197560975609801</v>
      </c>
      <c r="EI24" s="10">
        <v>0.73833333333333995</v>
      </c>
      <c r="EJ24" s="10">
        <v>1.4905263157894739</v>
      </c>
      <c r="EK24" s="11">
        <v>0.91028571428571492</v>
      </c>
      <c r="EM24" s="66"/>
      <c r="EN24" s="70"/>
      <c r="EO24" s="39" t="s">
        <v>25</v>
      </c>
      <c r="EP24" s="9">
        <v>3.35</v>
      </c>
      <c r="EQ24" s="10">
        <v>5.5122222222222232</v>
      </c>
      <c r="ER24" s="10">
        <v>3.4711111111111119</v>
      </c>
      <c r="ES24" s="10">
        <v>3.7832608695652201</v>
      </c>
      <c r="ET24" s="10">
        <v>3.4202222222222303</v>
      </c>
      <c r="EU24" s="10">
        <v>1.1271428571428572</v>
      </c>
      <c r="EV24" s="10">
        <v>3.4585714285714286</v>
      </c>
      <c r="EW24" s="11">
        <v>0.62795918367348014</v>
      </c>
      <c r="EX24" s="9">
        <v>3.35</v>
      </c>
      <c r="EY24" s="10">
        <v>5.5274545454545461</v>
      </c>
      <c r="EZ24" s="10">
        <v>3.471090909090909</v>
      </c>
      <c r="FA24" s="10">
        <v>3.8057777777777804</v>
      </c>
      <c r="FB24" s="10">
        <v>3.4061702127659603</v>
      </c>
      <c r="FC24" s="10">
        <v>1.1190909090909091</v>
      </c>
      <c r="FD24" s="10">
        <v>3.4585714285714286</v>
      </c>
      <c r="FE24" s="11">
        <v>0.64312500000001016</v>
      </c>
    </row>
    <row r="25" spans="3:161" x14ac:dyDescent="0.3">
      <c r="C25" s="66"/>
      <c r="D25" s="70"/>
      <c r="E25" s="39" t="s">
        <v>26</v>
      </c>
      <c r="F25" s="9">
        <v>1.32</v>
      </c>
      <c r="G25" s="10">
        <v>-8.56</v>
      </c>
      <c r="H25" s="10">
        <v>-0.69</v>
      </c>
      <c r="I25" s="10">
        <v>5.72</v>
      </c>
      <c r="J25" s="10">
        <v>-3.08</v>
      </c>
      <c r="K25" s="10">
        <v>-8.43</v>
      </c>
      <c r="L25" s="10">
        <v>-11.39</v>
      </c>
      <c r="M25" s="11">
        <v>5.93</v>
      </c>
      <c r="N25" s="9">
        <v>1.4863683332008772</v>
      </c>
      <c r="O25" s="10">
        <v>-8.6144029170462897</v>
      </c>
      <c r="P25" s="10">
        <v>-0.32014104764992468</v>
      </c>
      <c r="Q25" s="10">
        <v>6.6247805599188716</v>
      </c>
      <c r="R25" s="10">
        <v>-2.773218631501472</v>
      </c>
      <c r="S25" s="10">
        <v>-5.9568377009467719</v>
      </c>
      <c r="T25" s="10">
        <v>-11.506368028107076</v>
      </c>
      <c r="U25" s="11">
        <v>5.0789535705870223</v>
      </c>
      <c r="W25" s="66"/>
      <c r="X25" s="70"/>
      <c r="Y25" s="39" t="s">
        <v>26</v>
      </c>
      <c r="Z25" s="9">
        <v>1.2949640287772728</v>
      </c>
      <c r="AA25" s="10">
        <v>-2.5924627046857815</v>
      </c>
      <c r="AB25" s="10">
        <v>-2.6934641557208079</v>
      </c>
      <c r="AC25" s="10">
        <v>6.574949358541704</v>
      </c>
      <c r="AD25" s="10">
        <v>2.3375785910044806</v>
      </c>
      <c r="AE25" s="10">
        <v>-1.8533074090926063</v>
      </c>
      <c r="AF25" s="10">
        <v>-6.5668028446057649</v>
      </c>
      <c r="AG25" s="11">
        <v>-9.9823494802901696</v>
      </c>
      <c r="AH25" s="9">
        <v>1.2953590117528415</v>
      </c>
      <c r="AI25" s="10">
        <v>-2.6013006503249532</v>
      </c>
      <c r="AJ25" s="10">
        <v>-2.6384017080982005</v>
      </c>
      <c r="AK25" s="10">
        <v>7.9903687519507827</v>
      </c>
      <c r="AL25" s="10">
        <v>2.6188166828321977</v>
      </c>
      <c r="AM25" s="10">
        <v>-1.5730337078650805</v>
      </c>
      <c r="AN25" s="10">
        <v>-6.7220543806644866</v>
      </c>
      <c r="AO25" s="11">
        <v>-10.356294536817007</v>
      </c>
      <c r="AQ25" s="66"/>
      <c r="AR25" s="70"/>
      <c r="AS25" s="39" t="s">
        <v>26</v>
      </c>
      <c r="AT25" s="9">
        <v>-0.89910089910075186</v>
      </c>
      <c r="AU25" s="10">
        <v>-0.50911039656988</v>
      </c>
      <c r="AV25" s="10">
        <v>-6.5816739357816969</v>
      </c>
      <c r="AW25" s="10">
        <v>3.0453912767292248</v>
      </c>
      <c r="AX25" s="10">
        <v>-0.1767937445865673</v>
      </c>
      <c r="AY25" s="10">
        <v>1.4270173417802514</v>
      </c>
      <c r="AZ25" s="10">
        <v>5.6121822424174423</v>
      </c>
      <c r="BA25" s="11">
        <v>-8.7712665406421166</v>
      </c>
      <c r="BB25" s="9">
        <v>-1.0150355533842823</v>
      </c>
      <c r="BC25" s="10">
        <v>-0.88149966525310697</v>
      </c>
      <c r="BD25" s="10">
        <v>-6.711269077984344</v>
      </c>
      <c r="BE25" s="10">
        <v>2.9711975745327841</v>
      </c>
      <c r="BF25" s="10">
        <v>-0.5884297520659445</v>
      </c>
      <c r="BG25" s="10">
        <v>1.5361485161459165</v>
      </c>
      <c r="BH25" s="10">
        <v>5.6593909292904128</v>
      </c>
      <c r="BI25" s="11">
        <v>-8.5611393026681348</v>
      </c>
      <c r="BK25" s="66"/>
      <c r="BL25" s="70"/>
      <c r="BM25" s="39" t="s">
        <v>26</v>
      </c>
      <c r="BN25" s="9">
        <v>1.2178852691829165</v>
      </c>
      <c r="BO25" s="10">
        <v>-0.2888781896966372</v>
      </c>
      <c r="BP25" s="10">
        <v>-3.911707180776459</v>
      </c>
      <c r="BQ25" s="10">
        <v>4.5280635934772899</v>
      </c>
      <c r="BR25" s="10">
        <v>2.2805612617945856</v>
      </c>
      <c r="BS25" s="10">
        <v>-1.418407160890192</v>
      </c>
      <c r="BT25" s="10">
        <v>0.25039413892248175</v>
      </c>
      <c r="BU25" s="11">
        <v>-8.8013597398756556</v>
      </c>
      <c r="BV25" s="9">
        <v>1.3268998793729918</v>
      </c>
      <c r="BW25" s="10">
        <v>-0.31672690688226351</v>
      </c>
      <c r="BX25" s="10">
        <v>-3.9178350931855226</v>
      </c>
      <c r="BY25" s="10">
        <v>4.3746037496604169</v>
      </c>
      <c r="BZ25" s="10">
        <v>2.6460134275309262</v>
      </c>
      <c r="CA25" s="10">
        <v>-1.4763779527555181</v>
      </c>
      <c r="CB25" s="10">
        <v>5.9740400803943258E-2</v>
      </c>
      <c r="CC25" s="11">
        <v>-8.3776724388119632</v>
      </c>
      <c r="CE25" s="66"/>
      <c r="CF25" s="70"/>
      <c r="CG25" s="39" t="s">
        <v>26</v>
      </c>
      <c r="CH25" s="9">
        <v>29.372937293729766</v>
      </c>
      <c r="CI25" s="10">
        <v>245.28740982080558</v>
      </c>
      <c r="CJ25" s="10">
        <v>105.05158306652483</v>
      </c>
      <c r="CK25" s="10">
        <v>74.744470282840581</v>
      </c>
      <c r="CL25" s="10">
        <v>197.0126582278493</v>
      </c>
      <c r="CM25" s="10">
        <v>226.96950444726963</v>
      </c>
      <c r="CN25" s="10">
        <v>26.577579806978953</v>
      </c>
      <c r="CO25" s="11">
        <v>-19.146896716990017</v>
      </c>
      <c r="CP25" s="9">
        <v>28.856382978723399</v>
      </c>
      <c r="CQ25" s="10">
        <v>242.73504273504273</v>
      </c>
      <c r="CR25" s="10">
        <v>104.93113416085703</v>
      </c>
      <c r="CS25" s="10">
        <v>73.136449778900712</v>
      </c>
      <c r="CT25" s="10">
        <v>197.1631205673759</v>
      </c>
      <c r="CU25" s="10">
        <v>199.60704409838473</v>
      </c>
      <c r="CV25" s="10">
        <v>27.275972866833452</v>
      </c>
      <c r="CW25" s="11">
        <v>-18.265503875968751</v>
      </c>
      <c r="CY25" s="66"/>
      <c r="CZ25" s="70"/>
      <c r="DA25" s="39" t="s">
        <v>26</v>
      </c>
      <c r="DB25" s="9">
        <v>420.41922659920488</v>
      </c>
      <c r="DC25" s="10">
        <v>27.226507713884875</v>
      </c>
      <c r="DD25" s="10">
        <v>1433.6831059811143</v>
      </c>
      <c r="DE25" s="10">
        <v>286.65608594799386</v>
      </c>
      <c r="DF25" s="10">
        <v>126.44360967939217</v>
      </c>
      <c r="DG25" s="10">
        <v>98.389168890206733</v>
      </c>
      <c r="DH25" s="10">
        <v>316.85912240184808</v>
      </c>
      <c r="DI25" s="11">
        <v>154.70866655786034</v>
      </c>
      <c r="DJ25" s="9">
        <v>418.25192802056614</v>
      </c>
      <c r="DK25" s="10">
        <v>26.163522012578738</v>
      </c>
      <c r="DL25" s="10">
        <v>1440.6113537117908</v>
      </c>
      <c r="DM25" s="10">
        <v>286.83181225554159</v>
      </c>
      <c r="DN25" s="10">
        <v>123.82060503490682</v>
      </c>
      <c r="DO25" s="10">
        <v>98.026087960291107</v>
      </c>
      <c r="DP25" s="10">
        <v>317.96516956920254</v>
      </c>
      <c r="DQ25" s="11">
        <v>155.44554455445677</v>
      </c>
      <c r="DS25" s="66"/>
      <c r="DT25" s="70"/>
      <c r="DU25" s="39" t="s">
        <v>26</v>
      </c>
      <c r="DV25" s="9">
        <v>-71.136554757746126</v>
      </c>
      <c r="DW25" s="10">
        <v>211.51528676634865</v>
      </c>
      <c r="DX25" s="10">
        <v>180.73115003808167</v>
      </c>
      <c r="DY25" s="10">
        <v>26.193705914270215</v>
      </c>
      <c r="DZ25" s="10">
        <v>102.25988700564972</v>
      </c>
      <c r="EA25" s="10">
        <v>29.07416383906935</v>
      </c>
      <c r="EB25" s="10">
        <v>652.50000000000182</v>
      </c>
      <c r="EC25" s="11">
        <v>387.76119402985103</v>
      </c>
      <c r="ED25" s="9">
        <v>-68.418444987082736</v>
      </c>
      <c r="EE25" s="10">
        <v>212.01264488935854</v>
      </c>
      <c r="EF25" s="10">
        <v>193.33753346983849</v>
      </c>
      <c r="EG25" s="10">
        <v>26.222426470588179</v>
      </c>
      <c r="EH25" s="10">
        <v>103.38090619370981</v>
      </c>
      <c r="EI25" s="10">
        <v>30.363262508567868</v>
      </c>
      <c r="EJ25" s="10">
        <v>649.54128440367072</v>
      </c>
      <c r="EK25" s="11">
        <v>396.2686567164194</v>
      </c>
      <c r="EM25" s="66"/>
      <c r="EN25" s="70"/>
      <c r="EO25" s="39" t="s">
        <v>26</v>
      </c>
      <c r="EP25" s="9">
        <v>394.11764705882354</v>
      </c>
      <c r="EQ25" s="10">
        <v>970.84148727984484</v>
      </c>
      <c r="ER25" s="10">
        <v>2331.3432835821045</v>
      </c>
      <c r="ES25" s="10">
        <v>239.94209292706526</v>
      </c>
      <c r="ET25" s="10">
        <v>169.33656067774336</v>
      </c>
      <c r="EU25" s="10">
        <v>162.68041237113403</v>
      </c>
      <c r="EV25" s="10">
        <v>1147.3933649289115</v>
      </c>
      <c r="EW25" s="11">
        <v>28.008374294557321</v>
      </c>
      <c r="EX25" s="9">
        <v>394.11764705882354</v>
      </c>
      <c r="EY25" s="10">
        <v>1000.361961171439</v>
      </c>
      <c r="EZ25" s="10">
        <v>2331.0134310134299</v>
      </c>
      <c r="FA25" s="10">
        <v>244.8670288818993</v>
      </c>
      <c r="FB25" s="10">
        <v>167.4756773721104</v>
      </c>
      <c r="FC25" s="10">
        <v>159.662775616083</v>
      </c>
      <c r="FD25" s="10">
        <v>1147.3933649289115</v>
      </c>
      <c r="FE25" s="11">
        <v>28.880157170923965</v>
      </c>
    </row>
    <row r="26" spans="3:161" ht="28.8" x14ac:dyDescent="0.3">
      <c r="C26" s="66"/>
      <c r="D26" s="70" t="s">
        <v>27</v>
      </c>
      <c r="E26" s="40" t="s">
        <v>24</v>
      </c>
      <c r="F26" s="27">
        <v>2.99</v>
      </c>
      <c r="G26" s="28">
        <v>4.18</v>
      </c>
      <c r="H26" s="28">
        <v>5.28</v>
      </c>
      <c r="I26" s="28">
        <v>5.69</v>
      </c>
      <c r="J26" s="28">
        <v>4.22</v>
      </c>
      <c r="K26" s="28">
        <v>4.3899999999999997</v>
      </c>
      <c r="L26" s="28">
        <v>1.62</v>
      </c>
      <c r="M26" s="29">
        <v>2.44</v>
      </c>
      <c r="N26" s="27">
        <v>2.99</v>
      </c>
      <c r="O26" s="28">
        <v>4.18</v>
      </c>
      <c r="P26" s="28">
        <v>5.28</v>
      </c>
      <c r="Q26" s="28">
        <v>5.69</v>
      </c>
      <c r="R26" s="28">
        <v>4.22</v>
      </c>
      <c r="S26" s="28">
        <v>4.3899999999999997</v>
      </c>
      <c r="T26" s="28">
        <v>1.62</v>
      </c>
      <c r="U26" s="29">
        <v>2.44</v>
      </c>
      <c r="W26" s="66"/>
      <c r="X26" s="70" t="s">
        <v>27</v>
      </c>
      <c r="Y26" s="40" t="s">
        <v>24</v>
      </c>
      <c r="Z26" s="27">
        <v>2.84</v>
      </c>
      <c r="AA26" s="28">
        <v>5.41</v>
      </c>
      <c r="AB26" s="28">
        <v>5.0999999999999996</v>
      </c>
      <c r="AC26" s="28">
        <v>6.17</v>
      </c>
      <c r="AD26" s="28">
        <v>5.33</v>
      </c>
      <c r="AE26" s="28">
        <v>3.65</v>
      </c>
      <c r="AF26" s="28">
        <v>2.94</v>
      </c>
      <c r="AG26" s="29">
        <v>3.12</v>
      </c>
      <c r="AH26" s="27">
        <v>2.84</v>
      </c>
      <c r="AI26" s="28">
        <v>5.41</v>
      </c>
      <c r="AJ26" s="28">
        <v>5.0999999999999996</v>
      </c>
      <c r="AK26" s="28">
        <v>6.17</v>
      </c>
      <c r="AL26" s="28">
        <v>5.33</v>
      </c>
      <c r="AM26" s="28">
        <v>3.65</v>
      </c>
      <c r="AN26" s="28">
        <v>2.94</v>
      </c>
      <c r="AO26" s="29">
        <v>3.12</v>
      </c>
      <c r="AQ26" s="66"/>
      <c r="AR26" s="70" t="s">
        <v>27</v>
      </c>
      <c r="AS26" s="40" t="s">
        <v>24</v>
      </c>
      <c r="AT26" s="27">
        <v>3.86</v>
      </c>
      <c r="AU26" s="28">
        <v>4.24</v>
      </c>
      <c r="AV26" s="28">
        <v>3.37</v>
      </c>
      <c r="AW26" s="28">
        <v>4.38</v>
      </c>
      <c r="AX26" s="28">
        <v>3.57</v>
      </c>
      <c r="AY26" s="28">
        <v>3.19</v>
      </c>
      <c r="AZ26" s="28">
        <v>1.74</v>
      </c>
      <c r="BA26" s="29">
        <v>1.1200000000000001</v>
      </c>
      <c r="BB26" s="27">
        <v>3.86</v>
      </c>
      <c r="BC26" s="28">
        <v>4.24</v>
      </c>
      <c r="BD26" s="28">
        <v>3.37</v>
      </c>
      <c r="BE26" s="28">
        <v>4.38</v>
      </c>
      <c r="BF26" s="28">
        <v>3.57</v>
      </c>
      <c r="BG26" s="28">
        <v>3.19</v>
      </c>
      <c r="BH26" s="28">
        <v>1.74</v>
      </c>
      <c r="BI26" s="29">
        <v>1.1200000000000001</v>
      </c>
      <c r="BK26" s="66"/>
      <c r="BL26" s="70" t="s">
        <v>27</v>
      </c>
      <c r="BM26" s="40" t="s">
        <v>24</v>
      </c>
      <c r="BN26" s="27">
        <v>4.1399999999999997</v>
      </c>
      <c r="BO26" s="28">
        <v>6.08</v>
      </c>
      <c r="BP26" s="28">
        <v>3.66</v>
      </c>
      <c r="BQ26" s="28">
        <v>5.32</v>
      </c>
      <c r="BR26" s="28">
        <v>5.44</v>
      </c>
      <c r="BS26" s="28">
        <v>1.83</v>
      </c>
      <c r="BT26" s="28">
        <v>3.76</v>
      </c>
      <c r="BU26" s="29">
        <v>2.91</v>
      </c>
      <c r="BV26" s="27">
        <v>4.1399999999999997</v>
      </c>
      <c r="BW26" s="28">
        <v>6.08</v>
      </c>
      <c r="BX26" s="28">
        <v>3.66</v>
      </c>
      <c r="BY26" s="28">
        <v>5.32</v>
      </c>
      <c r="BZ26" s="28">
        <v>5.44</v>
      </c>
      <c r="CA26" s="28">
        <v>1.83</v>
      </c>
      <c r="CB26" s="28">
        <v>3.76</v>
      </c>
      <c r="CC26" s="29">
        <v>2.91</v>
      </c>
      <c r="CE26" s="66"/>
      <c r="CF26" s="70" t="s">
        <v>27</v>
      </c>
      <c r="CG26" s="40" t="s">
        <v>24</v>
      </c>
      <c r="CH26" s="27">
        <v>2.99</v>
      </c>
      <c r="CI26" s="28">
        <v>4.18</v>
      </c>
      <c r="CJ26" s="28">
        <v>5.28</v>
      </c>
      <c r="CK26" s="28">
        <v>5.69</v>
      </c>
      <c r="CL26" s="28">
        <v>4.22</v>
      </c>
      <c r="CM26" s="28">
        <v>4.3899999999999997</v>
      </c>
      <c r="CN26" s="28">
        <v>1.62</v>
      </c>
      <c r="CO26" s="29">
        <v>2.44</v>
      </c>
      <c r="CP26" s="27">
        <v>2.99</v>
      </c>
      <c r="CQ26" s="28">
        <v>4.18</v>
      </c>
      <c r="CR26" s="28">
        <v>5.28</v>
      </c>
      <c r="CS26" s="28">
        <v>5.69</v>
      </c>
      <c r="CT26" s="28">
        <v>4.22</v>
      </c>
      <c r="CU26" s="28">
        <v>4.3899999999999997</v>
      </c>
      <c r="CV26" s="28">
        <v>1.62</v>
      </c>
      <c r="CW26" s="29">
        <v>2.44</v>
      </c>
      <c r="CY26" s="66"/>
      <c r="CZ26" s="70" t="s">
        <v>27</v>
      </c>
      <c r="DA26" s="40" t="s">
        <v>24</v>
      </c>
      <c r="DB26" s="27">
        <v>2.84</v>
      </c>
      <c r="DC26" s="28">
        <v>5.41</v>
      </c>
      <c r="DD26" s="28">
        <v>5.0999999999999996</v>
      </c>
      <c r="DE26" s="28">
        <v>6.17</v>
      </c>
      <c r="DF26" s="28">
        <v>5.33</v>
      </c>
      <c r="DG26" s="28">
        <v>3.65</v>
      </c>
      <c r="DH26" s="28">
        <v>2.94</v>
      </c>
      <c r="DI26" s="29">
        <v>3.12</v>
      </c>
      <c r="DJ26" s="27">
        <v>2.84</v>
      </c>
      <c r="DK26" s="28">
        <v>5.41</v>
      </c>
      <c r="DL26" s="28">
        <v>5.0999999999999996</v>
      </c>
      <c r="DM26" s="28">
        <v>6.17</v>
      </c>
      <c r="DN26" s="28">
        <v>5.33</v>
      </c>
      <c r="DO26" s="28">
        <v>3.65</v>
      </c>
      <c r="DP26" s="28">
        <v>2.94</v>
      </c>
      <c r="DQ26" s="29">
        <v>3.12</v>
      </c>
      <c r="DS26" s="66"/>
      <c r="DT26" s="70" t="s">
        <v>27</v>
      </c>
      <c r="DU26" s="40" t="s">
        <v>24</v>
      </c>
      <c r="DV26" s="27">
        <v>3.86</v>
      </c>
      <c r="DW26" s="28">
        <v>4.24</v>
      </c>
      <c r="DX26" s="28">
        <v>3.37</v>
      </c>
      <c r="DY26" s="28">
        <v>4.38</v>
      </c>
      <c r="DZ26" s="28">
        <v>3.57</v>
      </c>
      <c r="EA26" s="28">
        <v>3.19</v>
      </c>
      <c r="EB26" s="28">
        <v>1.74</v>
      </c>
      <c r="EC26" s="29">
        <v>1.1200000000000001</v>
      </c>
      <c r="ED26" s="27">
        <v>3.86</v>
      </c>
      <c r="EE26" s="28">
        <v>4.24</v>
      </c>
      <c r="EF26" s="28">
        <v>3.37</v>
      </c>
      <c r="EG26" s="28">
        <v>4.38</v>
      </c>
      <c r="EH26" s="28">
        <v>3.57</v>
      </c>
      <c r="EI26" s="28">
        <v>3.19</v>
      </c>
      <c r="EJ26" s="28">
        <v>1.74</v>
      </c>
      <c r="EK26" s="29">
        <v>1.1200000000000001</v>
      </c>
      <c r="EM26" s="66"/>
      <c r="EN26" s="70" t="s">
        <v>27</v>
      </c>
      <c r="EO26" s="40" t="s">
        <v>24</v>
      </c>
      <c r="EP26" s="27">
        <v>4.1399999999999997</v>
      </c>
      <c r="EQ26" s="28">
        <v>6.08</v>
      </c>
      <c r="ER26" s="28">
        <v>3.66</v>
      </c>
      <c r="ES26" s="28">
        <v>5.32</v>
      </c>
      <c r="ET26" s="28">
        <v>5.44</v>
      </c>
      <c r="EU26" s="28">
        <v>1.83</v>
      </c>
      <c r="EV26" s="28">
        <v>3.76</v>
      </c>
      <c r="EW26" s="29">
        <v>2.91</v>
      </c>
      <c r="EX26" s="27">
        <v>4.1399999999999997</v>
      </c>
      <c r="EY26" s="28">
        <v>6.08</v>
      </c>
      <c r="EZ26" s="28">
        <v>3.66</v>
      </c>
      <c r="FA26" s="28">
        <v>5.32</v>
      </c>
      <c r="FB26" s="28">
        <v>5.44</v>
      </c>
      <c r="FC26" s="28">
        <v>1.83</v>
      </c>
      <c r="FD26" s="28">
        <v>3.76</v>
      </c>
      <c r="FE26" s="29">
        <v>2.91</v>
      </c>
    </row>
    <row r="27" spans="3:161" x14ac:dyDescent="0.3">
      <c r="C27" s="66"/>
      <c r="D27" s="70"/>
      <c r="E27" s="39" t="s">
        <v>25</v>
      </c>
      <c r="F27" s="9">
        <v>-0.01</v>
      </c>
      <c r="G27" s="10">
        <v>-0.21</v>
      </c>
      <c r="H27" s="10">
        <v>0</v>
      </c>
      <c r="I27" s="10">
        <v>0.23</v>
      </c>
      <c r="J27" s="10">
        <v>-0.1</v>
      </c>
      <c r="K27" s="10">
        <v>-0.39</v>
      </c>
      <c r="L27" s="10">
        <v>-0.13</v>
      </c>
      <c r="M27" s="11">
        <v>0.16</v>
      </c>
      <c r="N27" s="9">
        <v>-5.4761904761897462E-3</v>
      </c>
      <c r="O27" s="10">
        <v>-0.20799999999999041</v>
      </c>
      <c r="P27" s="10">
        <v>2.317073170731998E-2</v>
      </c>
      <c r="Q27" s="10">
        <v>0.27850000000000996</v>
      </c>
      <c r="R27" s="10">
        <v>-8.9512195121950633E-2</v>
      </c>
      <c r="S27" s="10">
        <v>-0.26743589743588991</v>
      </c>
      <c r="T27" s="10">
        <v>-0.13153846153845983</v>
      </c>
      <c r="U27" s="11">
        <v>0.1464864864864901</v>
      </c>
      <c r="W27" s="66"/>
      <c r="X27" s="70"/>
      <c r="Y27" s="39" t="s">
        <v>25</v>
      </c>
      <c r="Z27" s="9">
        <v>-3.1818181818099589E-3</v>
      </c>
      <c r="AA27" s="10">
        <v>-4.1323529411759985E-2</v>
      </c>
      <c r="AB27" s="10">
        <v>-7.9508196721310043E-2</v>
      </c>
      <c r="AC27" s="10">
        <v>0.34311475409837033</v>
      </c>
      <c r="AD27" s="10">
        <v>0.16083333333333982</v>
      </c>
      <c r="AE27" s="10">
        <v>-6.8923076923069981E-2</v>
      </c>
      <c r="AF27" s="10">
        <v>-0.11030769230769</v>
      </c>
      <c r="AG27" s="11">
        <v>-0.2793333333333301</v>
      </c>
      <c r="AH27" s="9">
        <v>-3.1707317073101926E-3</v>
      </c>
      <c r="AI27" s="10">
        <v>-4.1818181818169542E-2</v>
      </c>
      <c r="AJ27" s="10">
        <v>-7.6578947368420636E-2</v>
      </c>
      <c r="AK27" s="10">
        <v>0.41948717948717995</v>
      </c>
      <c r="AL27" s="10">
        <v>0.17499999999999982</v>
      </c>
      <c r="AM27" s="10">
        <v>-5.8333333333330017E-2</v>
      </c>
      <c r="AN27" s="10">
        <v>-0.11538461538461009</v>
      </c>
      <c r="AO27" s="11">
        <v>-0.29351351351350985</v>
      </c>
      <c r="AQ27" s="66"/>
      <c r="AR27" s="70"/>
      <c r="AS27" s="39" t="s">
        <v>25</v>
      </c>
      <c r="AT27" s="9">
        <v>-5.520161290322001E-2</v>
      </c>
      <c r="AU27" s="10">
        <v>-1.1645569620239549E-2</v>
      </c>
      <c r="AV27" s="10">
        <v>-0.78336065573769975</v>
      </c>
      <c r="AW27" s="10">
        <v>8.092369477912964E-2</v>
      </c>
      <c r="AX27" s="10">
        <v>-1.6340425531919944E-2</v>
      </c>
      <c r="AY27" s="10">
        <v>6.4599999999999991E-2</v>
      </c>
      <c r="AZ27" s="10">
        <v>0.11140000000000994</v>
      </c>
      <c r="BA27" s="11">
        <v>-0.12960629921258993</v>
      </c>
      <c r="BB27" s="9">
        <v>-5.9787234042550264E-2</v>
      </c>
      <c r="BC27" s="10">
        <v>-2.7619047619039883E-2</v>
      </c>
      <c r="BD27" s="10">
        <v>-0.78913043478260025</v>
      </c>
      <c r="BE27" s="10">
        <v>7.7826086956529927E-2</v>
      </c>
      <c r="BF27" s="10">
        <v>-3.1190476190470218E-2</v>
      </c>
      <c r="BG27" s="10">
        <v>6.795918367346987E-2</v>
      </c>
      <c r="BH27" s="10">
        <v>0.11212765957447002</v>
      </c>
      <c r="BI27" s="11">
        <v>-0.12673469387754999</v>
      </c>
      <c r="BK27" s="66"/>
      <c r="BL27" s="70"/>
      <c r="BM27" s="39" t="s">
        <v>25</v>
      </c>
      <c r="BN27" s="9">
        <v>-9.4642857142801518E-3</v>
      </c>
      <c r="BO27" s="10">
        <v>-1.7614678899080083E-2</v>
      </c>
      <c r="BP27" s="10">
        <v>-0.10736842105262001</v>
      </c>
      <c r="BQ27" s="10">
        <v>0.19219047619048002</v>
      </c>
      <c r="BR27" s="10">
        <v>0.12129629629630045</v>
      </c>
      <c r="BS27" s="10">
        <v>-1.6186440677959935E-2</v>
      </c>
      <c r="BT27" s="10">
        <v>9.3913043478299763E-3</v>
      </c>
      <c r="BU27" s="11">
        <v>-0.23697674418603976</v>
      </c>
      <c r="BV27" s="9">
        <v>-4.9999999999901235E-3</v>
      </c>
      <c r="BW27" s="10">
        <v>-1.9318181818180236E-2</v>
      </c>
      <c r="BX27" s="10">
        <v>-0.10760869565217002</v>
      </c>
      <c r="BY27" s="10">
        <v>0.1846511627907006</v>
      </c>
      <c r="BZ27" s="10">
        <v>0.14023255813954005</v>
      </c>
      <c r="CA27" s="10">
        <v>-1.7272727272720001E-2</v>
      </c>
      <c r="CB27" s="10">
        <v>2.2448979591898066E-3</v>
      </c>
      <c r="CC27" s="11">
        <v>-0.22242424242423997</v>
      </c>
      <c r="CE27" s="66"/>
      <c r="CF27" s="70"/>
      <c r="CG27" s="39" t="s">
        <v>25</v>
      </c>
      <c r="CH27" s="9">
        <v>0.6402040816326604</v>
      </c>
      <c r="CI27" s="10">
        <v>3.0186486486486497</v>
      </c>
      <c r="CJ27" s="10">
        <v>2.7245454545454604</v>
      </c>
      <c r="CK27" s="10">
        <v>2.3880357142857203</v>
      </c>
      <c r="CL27" s="10">
        <v>2.8092857142857195</v>
      </c>
      <c r="CM27" s="10">
        <v>3.0504255319148994</v>
      </c>
      <c r="CN27" s="10">
        <v>0.39545454545455017</v>
      </c>
      <c r="CO27" s="11">
        <v>-0.54071428571428015</v>
      </c>
      <c r="CP27" s="9">
        <v>0.63078431372549026</v>
      </c>
      <c r="CQ27" s="10">
        <v>3.01</v>
      </c>
      <c r="CR27" s="10">
        <v>2.7230434782608701</v>
      </c>
      <c r="CS27" s="10">
        <v>2.3573684210526302</v>
      </c>
      <c r="CT27" s="10">
        <v>2.8099999999999996</v>
      </c>
      <c r="CU27" s="10">
        <v>2.9280851063829796</v>
      </c>
      <c r="CV27" s="10">
        <v>0.40217391304348005</v>
      </c>
      <c r="CW27" s="11">
        <v>-0.50857142857142001</v>
      </c>
      <c r="CY27" s="66"/>
      <c r="CZ27" s="70"/>
      <c r="DA27" s="39" t="s">
        <v>25</v>
      </c>
      <c r="DB27" s="9">
        <v>2.2866</v>
      </c>
      <c r="DC27" s="10">
        <v>1.2363414634146306</v>
      </c>
      <c r="DD27" s="10">
        <v>4.7713793103448277</v>
      </c>
      <c r="DE27" s="10">
        <v>4.5639215686274603</v>
      </c>
      <c r="DF27" s="10">
        <v>2.9938775510204101</v>
      </c>
      <c r="DG27" s="10">
        <v>1.8101818181818199</v>
      </c>
      <c r="DH27" s="10">
        <v>2.2563157894736849</v>
      </c>
      <c r="DI27" s="11">
        <v>1.9186274509804002</v>
      </c>
      <c r="DJ27" s="9">
        <v>2.2842857142857147</v>
      </c>
      <c r="DK27" s="10">
        <v>1.2011764705882397</v>
      </c>
      <c r="DL27" s="10">
        <v>4.7728571428571422</v>
      </c>
      <c r="DM27" s="10">
        <v>4.5646511627906996</v>
      </c>
      <c r="DN27" s="10">
        <v>2.9665000000000101</v>
      </c>
      <c r="DO27" s="10">
        <v>1.8068085106382998</v>
      </c>
      <c r="DP27" s="10">
        <v>2.2581249999999997</v>
      </c>
      <c r="DQ27" s="11">
        <v>1.9220930232558202</v>
      </c>
      <c r="DS27" s="66"/>
      <c r="DT27" s="70"/>
      <c r="DU27" s="39" t="s">
        <v>25</v>
      </c>
      <c r="DV27" s="9">
        <v>-9.5826086956520999</v>
      </c>
      <c r="DW27" s="10">
        <v>2.8821212121212203</v>
      </c>
      <c r="DX27" s="10">
        <v>1.98789473684211</v>
      </c>
      <c r="DY27" s="10">
        <v>0.86952380952380981</v>
      </c>
      <c r="DZ27" s="10">
        <v>1.7999999999999998</v>
      </c>
      <c r="EA27" s="10">
        <v>0.73404761904761973</v>
      </c>
      <c r="EB27" s="10">
        <v>1.511428571428572</v>
      </c>
      <c r="EC27" s="11">
        <v>0.88627906976744208</v>
      </c>
      <c r="ED27" s="9">
        <v>-8.4256521739130008</v>
      </c>
      <c r="EE27" s="10">
        <v>2.8842857142857201</v>
      </c>
      <c r="EF27" s="10">
        <v>2.0472916666666698</v>
      </c>
      <c r="EG27" s="10">
        <v>0.87032258064515977</v>
      </c>
      <c r="EH27" s="10">
        <v>1.8097560975609799</v>
      </c>
      <c r="EI27" s="10">
        <v>0.75833333333333997</v>
      </c>
      <c r="EJ27" s="10">
        <v>1.5105263157894739</v>
      </c>
      <c r="EK27" s="11">
        <v>0.89028571428571512</v>
      </c>
      <c r="EM27" s="66"/>
      <c r="EN27" s="70"/>
      <c r="EO27" s="39" t="s">
        <v>25</v>
      </c>
      <c r="EP27" s="9">
        <v>3.2899999999999996</v>
      </c>
      <c r="EQ27" s="10">
        <v>5.5122222222222232</v>
      </c>
      <c r="ER27" s="10">
        <v>3.511111111111112</v>
      </c>
      <c r="ES27" s="10">
        <v>3.7432608695652201</v>
      </c>
      <c r="ET27" s="10">
        <v>3.4202222222222303</v>
      </c>
      <c r="EU27" s="10">
        <v>1.137142857142857</v>
      </c>
      <c r="EV27" s="10">
        <v>3.4585714285714286</v>
      </c>
      <c r="EW27" s="11">
        <v>0.66795918367348017</v>
      </c>
      <c r="EX27" s="9">
        <v>3.2899999999999996</v>
      </c>
      <c r="EY27" s="10">
        <v>5.5274545454545461</v>
      </c>
      <c r="EZ27" s="10">
        <v>3.511090909090909</v>
      </c>
      <c r="FA27" s="10">
        <v>3.7657777777777803</v>
      </c>
      <c r="FB27" s="10">
        <v>3.4061702127659603</v>
      </c>
      <c r="FC27" s="10">
        <v>1.1290909090909089</v>
      </c>
      <c r="FD27" s="10">
        <v>3.4585714285714286</v>
      </c>
      <c r="FE27" s="11">
        <v>0.6831250000000102</v>
      </c>
    </row>
    <row r="28" spans="3:161" x14ac:dyDescent="0.3">
      <c r="C28" s="66"/>
      <c r="D28" s="70"/>
      <c r="E28" s="39" t="s">
        <v>26</v>
      </c>
      <c r="F28" s="9">
        <v>-0.34</v>
      </c>
      <c r="G28" s="10">
        <v>-4.68</v>
      </c>
      <c r="H28" s="10">
        <v>0.06</v>
      </c>
      <c r="I28" s="10">
        <v>4.25</v>
      </c>
      <c r="J28" s="10">
        <v>-2.39</v>
      </c>
      <c r="K28" s="10">
        <v>-8.2200000000000006</v>
      </c>
      <c r="L28" s="10">
        <v>-7.39</v>
      </c>
      <c r="M28" s="11">
        <v>7.25</v>
      </c>
      <c r="N28" s="9">
        <v>-0.18281535648992084</v>
      </c>
      <c r="O28" s="10">
        <v>-4.7402005469460091</v>
      </c>
      <c r="P28" s="10">
        <v>0.44077390618480944</v>
      </c>
      <c r="Q28" s="10">
        <v>5.1464473805785911</v>
      </c>
      <c r="R28" s="10">
        <v>-2.077084158696008</v>
      </c>
      <c r="S28" s="10">
        <v>-5.7421272847388929</v>
      </c>
      <c r="T28" s="10">
        <v>-7.5098814229248108</v>
      </c>
      <c r="U28" s="11">
        <v>6.3869903370258569</v>
      </c>
      <c r="W28" s="66"/>
      <c r="X28" s="70"/>
      <c r="Y28" s="39" t="s">
        <v>26</v>
      </c>
      <c r="Z28" s="9">
        <v>-0.11191047162241297</v>
      </c>
      <c r="AA28" s="10">
        <v>-0.75804580646893127</v>
      </c>
      <c r="AB28" s="10">
        <v>-1.5350530147174914</v>
      </c>
      <c r="AC28" s="10">
        <v>5.8884762547829803</v>
      </c>
      <c r="AD28" s="10">
        <v>3.1113977107852331</v>
      </c>
      <c r="AE28" s="10">
        <v>-1.8533074090926063</v>
      </c>
      <c r="AF28" s="10">
        <v>-3.6162808291722679</v>
      </c>
      <c r="AG28" s="11">
        <v>-8.2172975093154648</v>
      </c>
      <c r="AH28" s="9">
        <v>-0.11152097452150486</v>
      </c>
      <c r="AI28" s="10">
        <v>-0.76705019176232447</v>
      </c>
      <c r="AJ28" s="10">
        <v>-1.4793350617660437</v>
      </c>
      <c r="AK28" s="10">
        <v>7.29477861506221</v>
      </c>
      <c r="AL28" s="10">
        <v>3.3947623666343318</v>
      </c>
      <c r="AM28" s="10">
        <v>-1.5730337078650805</v>
      </c>
      <c r="AN28" s="10">
        <v>-3.7764350453170539</v>
      </c>
      <c r="AO28" s="11">
        <v>-8.5985748218526332</v>
      </c>
      <c r="AQ28" s="66"/>
      <c r="AR28" s="70"/>
      <c r="AS28" s="39" t="s">
        <v>26</v>
      </c>
      <c r="AT28" s="9">
        <v>-1.4099302759095114</v>
      </c>
      <c r="AU28" s="10">
        <v>-0.27390734786201237</v>
      </c>
      <c r="AV28" s="10">
        <v>-18.860886897831005</v>
      </c>
      <c r="AW28" s="10">
        <v>1.8823507431318338</v>
      </c>
      <c r="AX28" s="10">
        <v>-0.45562951624973974</v>
      </c>
      <c r="AY28" s="10">
        <v>2.0669354322646698</v>
      </c>
      <c r="AZ28" s="10">
        <v>6.8402308731432289</v>
      </c>
      <c r="BA28" s="11">
        <v>-10.37177063642031</v>
      </c>
      <c r="BB28" s="9">
        <v>-1.5252673288823018</v>
      </c>
      <c r="BC28" s="10">
        <v>-0.64717696942628722</v>
      </c>
      <c r="BD28" s="10">
        <v>-18.97344762701217</v>
      </c>
      <c r="BE28" s="10">
        <v>1.8089944416373842</v>
      </c>
      <c r="BF28" s="10">
        <v>-0.86611570247917447</v>
      </c>
      <c r="BG28" s="10">
        <v>2.17675513138974</v>
      </c>
      <c r="BH28" s="10">
        <v>6.8879884982356518</v>
      </c>
      <c r="BI28" s="11">
        <v>-10.165329841217801</v>
      </c>
      <c r="BK28" s="66"/>
      <c r="BL28" s="70"/>
      <c r="BM28" s="39" t="s">
        <v>26</v>
      </c>
      <c r="BN28" s="9">
        <v>-0.22808452037685126</v>
      </c>
      <c r="BO28" s="10">
        <v>-0.2888781896966372</v>
      </c>
      <c r="BP28" s="10">
        <v>-2.8499580888513361</v>
      </c>
      <c r="BQ28" s="10">
        <v>3.7480034174065633</v>
      </c>
      <c r="BR28" s="10">
        <v>2.2805612617945856</v>
      </c>
      <c r="BS28" s="10">
        <v>-0.87675005737859935</v>
      </c>
      <c r="BT28" s="10">
        <v>0.25039413892248175</v>
      </c>
      <c r="BU28" s="11">
        <v>-7.5302985515812377</v>
      </c>
      <c r="BV28" s="9">
        <v>-0.12062726176092005</v>
      </c>
      <c r="BW28" s="10">
        <v>-0.31672690688226351</v>
      </c>
      <c r="BX28" s="10">
        <v>-2.8561537129997263</v>
      </c>
      <c r="BY28" s="10">
        <v>3.5956887963047413</v>
      </c>
      <c r="BZ28" s="10">
        <v>2.6460134275309262</v>
      </c>
      <c r="CA28" s="10">
        <v>-0.93503937007835014</v>
      </c>
      <c r="CB28" s="10">
        <v>5.9740400803943258E-2</v>
      </c>
      <c r="CC28" s="11">
        <v>-7.1007062010253694</v>
      </c>
      <c r="CE28" s="66"/>
      <c r="CF28" s="70"/>
      <c r="CG28" s="39" t="s">
        <v>26</v>
      </c>
      <c r="CH28" s="9">
        <v>27.245092930346061</v>
      </c>
      <c r="CI28" s="10">
        <v>259.92552943914393</v>
      </c>
      <c r="CJ28" s="10">
        <v>106.61686232657463</v>
      </c>
      <c r="CK28" s="10">
        <v>72.321670001622721</v>
      </c>
      <c r="CL28" s="10">
        <v>199.13924050633028</v>
      </c>
      <c r="CM28" s="10">
        <v>227.71601016518574</v>
      </c>
      <c r="CN28" s="10">
        <v>32.293986636971553</v>
      </c>
      <c r="CO28" s="11">
        <v>-18.140426551641355</v>
      </c>
      <c r="CP28" s="9">
        <v>26.737034574468087</v>
      </c>
      <c r="CQ28" s="10">
        <v>257.26495726495727</v>
      </c>
      <c r="CR28" s="10">
        <v>106.49549396361166</v>
      </c>
      <c r="CS28" s="10">
        <v>70.735944409349258</v>
      </c>
      <c r="CT28" s="10">
        <v>199.29078014184395</v>
      </c>
      <c r="CU28" s="10">
        <v>200.29107844564132</v>
      </c>
      <c r="CV28" s="10">
        <v>33.02392002856142</v>
      </c>
      <c r="CW28" s="11">
        <v>-17.248062015503638</v>
      </c>
      <c r="CY28" s="66"/>
      <c r="CZ28" s="70"/>
      <c r="DA28" s="39" t="s">
        <v>26</v>
      </c>
      <c r="DB28" s="9">
        <v>413.1911817853271</v>
      </c>
      <c r="DC28" s="10">
        <v>29.6224871435249</v>
      </c>
      <c r="DD28" s="10">
        <v>1451.9412381951749</v>
      </c>
      <c r="DE28" s="10">
        <v>284.16554755219357</v>
      </c>
      <c r="DF28" s="10">
        <v>128.15584869398114</v>
      </c>
      <c r="DG28" s="10">
        <v>98.389168890206733</v>
      </c>
      <c r="DH28" s="10">
        <v>330.02309468822222</v>
      </c>
      <c r="DI28" s="11">
        <v>159.70295413742625</v>
      </c>
      <c r="DJ28" s="9">
        <v>411.05398457583601</v>
      </c>
      <c r="DK28" s="10">
        <v>28.539482879105655</v>
      </c>
      <c r="DL28" s="10">
        <v>1458.9519650655027</v>
      </c>
      <c r="DM28" s="10">
        <v>284.34014196726116</v>
      </c>
      <c r="DN28" s="10">
        <v>125.51301036598362</v>
      </c>
      <c r="DO28" s="10">
        <v>98.026087960291107</v>
      </c>
      <c r="DP28" s="10">
        <v>331.16406966086151</v>
      </c>
      <c r="DQ28" s="11">
        <v>160.45428072219121</v>
      </c>
      <c r="DS28" s="66"/>
      <c r="DT28" s="70"/>
      <c r="DU28" s="39" t="s">
        <v>26</v>
      </c>
      <c r="DV28" s="9">
        <v>-71.285335403324765</v>
      </c>
      <c r="DW28" s="10">
        <v>212.25172952466153</v>
      </c>
      <c r="DX28" s="10">
        <v>143.83092155369465</v>
      </c>
      <c r="DY28" s="10">
        <v>24.769397721106902</v>
      </c>
      <c r="DZ28" s="10">
        <v>101.69491525423729</v>
      </c>
      <c r="EA28" s="10">
        <v>29.888511875908907</v>
      </c>
      <c r="EB28" s="10">
        <v>661.25000000000182</v>
      </c>
      <c r="EC28" s="11">
        <v>379.20398009950281</v>
      </c>
      <c r="ED28" s="9">
        <v>-68.581236507767883</v>
      </c>
      <c r="EE28" s="10">
        <v>212.75026343519627</v>
      </c>
      <c r="EF28" s="10">
        <v>154.78028035911228</v>
      </c>
      <c r="EG28" s="10">
        <v>24.797794117647008</v>
      </c>
      <c r="EH28" s="10">
        <v>102.81280310378324</v>
      </c>
      <c r="EI28" s="10">
        <v>31.185743660041481</v>
      </c>
      <c r="EJ28" s="10">
        <v>658.25688073394599</v>
      </c>
      <c r="EK28" s="11">
        <v>387.56218905472792</v>
      </c>
      <c r="EM28" s="66"/>
      <c r="EN28" s="70"/>
      <c r="EO28" s="39" t="s">
        <v>26</v>
      </c>
      <c r="EP28" s="9">
        <v>387.05882352941171</v>
      </c>
      <c r="EQ28" s="10">
        <v>970.84148727984484</v>
      </c>
      <c r="ER28" s="10">
        <v>2358.2089552238954</v>
      </c>
      <c r="ES28" s="10">
        <v>237.40521163656476</v>
      </c>
      <c r="ET28" s="10">
        <v>169.33656067774336</v>
      </c>
      <c r="EU28" s="10">
        <v>164.12371134020614</v>
      </c>
      <c r="EV28" s="10">
        <v>1147.3933649289115</v>
      </c>
      <c r="EW28" s="11">
        <v>29.792463134899585</v>
      </c>
      <c r="EX28" s="9">
        <v>387.05882352941171</v>
      </c>
      <c r="EY28" s="10">
        <v>1000.361961171439</v>
      </c>
      <c r="EZ28" s="10">
        <v>2357.8754578754565</v>
      </c>
      <c r="FA28" s="10">
        <v>242.29339433800453</v>
      </c>
      <c r="FB28" s="10">
        <v>167.4756773721104</v>
      </c>
      <c r="FC28" s="10">
        <v>161.08949416342406</v>
      </c>
      <c r="FD28" s="10">
        <v>1147.3933649289115</v>
      </c>
      <c r="FE28" s="11">
        <v>30.676396295257401</v>
      </c>
    </row>
    <row r="29" spans="3:161" ht="28.8" x14ac:dyDescent="0.3">
      <c r="C29" s="66"/>
      <c r="D29" s="70" t="s">
        <v>28</v>
      </c>
      <c r="E29" s="40" t="s">
        <v>24</v>
      </c>
      <c r="F29" s="27">
        <v>2.99</v>
      </c>
      <c r="G29" s="28">
        <v>4.1900000000000004</v>
      </c>
      <c r="H29" s="28">
        <v>5.3</v>
      </c>
      <c r="I29" s="28">
        <v>5.73</v>
      </c>
      <c r="J29" s="28">
        <v>4.24</v>
      </c>
      <c r="K29" s="28">
        <v>4.45</v>
      </c>
      <c r="L29" s="28">
        <v>1.61</v>
      </c>
      <c r="M29" s="29">
        <v>2.42</v>
      </c>
      <c r="N29" s="27">
        <v>2.99</v>
      </c>
      <c r="O29" s="28">
        <v>4.1900000000000004</v>
      </c>
      <c r="P29" s="28">
        <v>5.3</v>
      </c>
      <c r="Q29" s="28">
        <v>5.73</v>
      </c>
      <c r="R29" s="28">
        <v>4.24</v>
      </c>
      <c r="S29" s="28">
        <v>4.45</v>
      </c>
      <c r="T29" s="28">
        <v>1.61</v>
      </c>
      <c r="U29" s="29">
        <v>2.42</v>
      </c>
      <c r="W29" s="66"/>
      <c r="X29" s="70" t="s">
        <v>28</v>
      </c>
      <c r="Y29" s="40" t="s">
        <v>24</v>
      </c>
      <c r="Z29" s="27">
        <v>2.88</v>
      </c>
      <c r="AA29" s="28">
        <v>5.38</v>
      </c>
      <c r="AB29" s="28">
        <v>5.0999999999999996</v>
      </c>
      <c r="AC29" s="28">
        <v>6.21</v>
      </c>
      <c r="AD29" s="28">
        <v>5.33</v>
      </c>
      <c r="AE29" s="28">
        <v>3.71</v>
      </c>
      <c r="AF29" s="28">
        <v>2.87</v>
      </c>
      <c r="AG29" s="29">
        <v>3.05</v>
      </c>
      <c r="AH29" s="27">
        <v>2.88</v>
      </c>
      <c r="AI29" s="28">
        <v>5.38</v>
      </c>
      <c r="AJ29" s="28">
        <v>5.0999999999999996</v>
      </c>
      <c r="AK29" s="28">
        <v>6.21</v>
      </c>
      <c r="AL29" s="28">
        <v>5.33</v>
      </c>
      <c r="AM29" s="28">
        <v>3.71</v>
      </c>
      <c r="AN29" s="28">
        <v>2.87</v>
      </c>
      <c r="AO29" s="29">
        <v>3.05</v>
      </c>
      <c r="AQ29" s="66"/>
      <c r="AR29" s="70" t="s">
        <v>28</v>
      </c>
      <c r="AS29" s="40" t="s">
        <v>24</v>
      </c>
      <c r="AT29" s="27">
        <v>3.83</v>
      </c>
      <c r="AU29" s="28">
        <v>4.29</v>
      </c>
      <c r="AV29" s="28">
        <v>3.95</v>
      </c>
      <c r="AW29" s="28">
        <v>4.43</v>
      </c>
      <c r="AX29" s="28">
        <v>3.64</v>
      </c>
      <c r="AY29" s="28">
        <v>3.23</v>
      </c>
      <c r="AZ29" s="28">
        <v>1.7</v>
      </c>
      <c r="BA29" s="29">
        <v>1.1299999999999999</v>
      </c>
      <c r="BB29" s="27">
        <v>3.83</v>
      </c>
      <c r="BC29" s="28">
        <v>4.29</v>
      </c>
      <c r="BD29" s="28">
        <v>3.95</v>
      </c>
      <c r="BE29" s="28">
        <v>4.43</v>
      </c>
      <c r="BF29" s="28">
        <v>3.64</v>
      </c>
      <c r="BG29" s="28">
        <v>3.23</v>
      </c>
      <c r="BH29" s="28">
        <v>1.7</v>
      </c>
      <c r="BI29" s="29">
        <v>1.1299999999999999</v>
      </c>
      <c r="BK29" s="66"/>
      <c r="BL29" s="70" t="s">
        <v>28</v>
      </c>
      <c r="BM29" s="40" t="s">
        <v>24</v>
      </c>
      <c r="BN29" s="27">
        <v>4.1900000000000004</v>
      </c>
      <c r="BO29" s="28">
        <v>6.13</v>
      </c>
      <c r="BP29" s="28">
        <v>3.69</v>
      </c>
      <c r="BQ29" s="28">
        <v>5.35</v>
      </c>
      <c r="BR29" s="28">
        <v>5.49</v>
      </c>
      <c r="BS29" s="28">
        <v>1.85</v>
      </c>
      <c r="BT29" s="28">
        <v>3.72</v>
      </c>
      <c r="BU29" s="29">
        <v>2.9</v>
      </c>
      <c r="BV29" s="27">
        <v>4.1900000000000004</v>
      </c>
      <c r="BW29" s="28">
        <v>6.13</v>
      </c>
      <c r="BX29" s="28">
        <v>3.69</v>
      </c>
      <c r="BY29" s="28">
        <v>5.35</v>
      </c>
      <c r="BZ29" s="28">
        <v>5.49</v>
      </c>
      <c r="CA29" s="28">
        <v>1.85</v>
      </c>
      <c r="CB29" s="28">
        <v>3.72</v>
      </c>
      <c r="CC29" s="29">
        <v>2.9</v>
      </c>
      <c r="CE29" s="66"/>
      <c r="CF29" s="70" t="s">
        <v>28</v>
      </c>
      <c r="CG29" s="40" t="s">
        <v>24</v>
      </c>
      <c r="CH29" s="27">
        <v>2.99</v>
      </c>
      <c r="CI29" s="28">
        <v>4.1900000000000004</v>
      </c>
      <c r="CJ29" s="28">
        <v>5.3</v>
      </c>
      <c r="CK29" s="28">
        <v>5.73</v>
      </c>
      <c r="CL29" s="28">
        <v>4.24</v>
      </c>
      <c r="CM29" s="28">
        <v>4.45</v>
      </c>
      <c r="CN29" s="28">
        <v>1.61</v>
      </c>
      <c r="CO29" s="29">
        <v>2.42</v>
      </c>
      <c r="CP29" s="27">
        <v>2.99</v>
      </c>
      <c r="CQ29" s="28">
        <v>4.1900000000000004</v>
      </c>
      <c r="CR29" s="28">
        <v>5.3</v>
      </c>
      <c r="CS29" s="28">
        <v>5.73</v>
      </c>
      <c r="CT29" s="28">
        <v>4.24</v>
      </c>
      <c r="CU29" s="28">
        <v>4.45</v>
      </c>
      <c r="CV29" s="28">
        <v>1.61</v>
      </c>
      <c r="CW29" s="29">
        <v>2.42</v>
      </c>
      <c r="CY29" s="66"/>
      <c r="CZ29" s="70" t="s">
        <v>28</v>
      </c>
      <c r="DA29" s="40" t="s">
        <v>24</v>
      </c>
      <c r="DB29" s="27">
        <v>2.88</v>
      </c>
      <c r="DC29" s="28">
        <v>5.38</v>
      </c>
      <c r="DD29" s="28">
        <v>5.0999999999999996</v>
      </c>
      <c r="DE29" s="28">
        <v>6.21</v>
      </c>
      <c r="DF29" s="28">
        <v>5.33</v>
      </c>
      <c r="DG29" s="28">
        <v>3.71</v>
      </c>
      <c r="DH29" s="28">
        <v>2.87</v>
      </c>
      <c r="DI29" s="29">
        <v>3.05</v>
      </c>
      <c r="DJ29" s="27">
        <v>2.88</v>
      </c>
      <c r="DK29" s="28">
        <v>5.38</v>
      </c>
      <c r="DL29" s="28">
        <v>5.0999999999999996</v>
      </c>
      <c r="DM29" s="28">
        <v>6.21</v>
      </c>
      <c r="DN29" s="28">
        <v>5.33</v>
      </c>
      <c r="DO29" s="28">
        <v>3.71</v>
      </c>
      <c r="DP29" s="28">
        <v>2.87</v>
      </c>
      <c r="DQ29" s="29">
        <v>3.05</v>
      </c>
      <c r="DS29" s="66"/>
      <c r="DT29" s="70" t="s">
        <v>28</v>
      </c>
      <c r="DU29" s="40" t="s">
        <v>24</v>
      </c>
      <c r="DV29" s="27">
        <v>3.83</v>
      </c>
      <c r="DW29" s="28">
        <v>4.29</v>
      </c>
      <c r="DX29" s="28">
        <v>3.95</v>
      </c>
      <c r="DY29" s="28">
        <v>4.43</v>
      </c>
      <c r="DZ29" s="28">
        <v>3.64</v>
      </c>
      <c r="EA29" s="28">
        <v>3.23</v>
      </c>
      <c r="EB29" s="28">
        <v>1.7</v>
      </c>
      <c r="EC29" s="29">
        <v>1.1299999999999999</v>
      </c>
      <c r="ED29" s="27">
        <v>3.83</v>
      </c>
      <c r="EE29" s="28">
        <v>4.29</v>
      </c>
      <c r="EF29" s="28">
        <v>3.95</v>
      </c>
      <c r="EG29" s="28">
        <v>4.43</v>
      </c>
      <c r="EH29" s="28">
        <v>3.64</v>
      </c>
      <c r="EI29" s="28">
        <v>3.23</v>
      </c>
      <c r="EJ29" s="28">
        <v>1.7</v>
      </c>
      <c r="EK29" s="29">
        <v>1.1299999999999999</v>
      </c>
      <c r="EM29" s="66"/>
      <c r="EN29" s="70" t="s">
        <v>28</v>
      </c>
      <c r="EO29" s="40" t="s">
        <v>24</v>
      </c>
      <c r="EP29" s="27">
        <v>4.1900000000000004</v>
      </c>
      <c r="EQ29" s="28">
        <v>6.13</v>
      </c>
      <c r="ER29" s="28">
        <v>3.69</v>
      </c>
      <c r="ES29" s="28">
        <v>5.35</v>
      </c>
      <c r="ET29" s="28">
        <v>5.49</v>
      </c>
      <c r="EU29" s="28">
        <v>1.85</v>
      </c>
      <c r="EV29" s="28">
        <v>3.72</v>
      </c>
      <c r="EW29" s="29">
        <v>2.9</v>
      </c>
      <c r="EX29" s="27">
        <v>4.1900000000000004</v>
      </c>
      <c r="EY29" s="28">
        <v>6.13</v>
      </c>
      <c r="EZ29" s="28">
        <v>3.69</v>
      </c>
      <c r="FA29" s="28">
        <v>5.35</v>
      </c>
      <c r="FB29" s="28">
        <v>5.49</v>
      </c>
      <c r="FC29" s="28">
        <v>1.85</v>
      </c>
      <c r="FD29" s="28">
        <v>3.72</v>
      </c>
      <c r="FE29" s="29">
        <v>2.9</v>
      </c>
    </row>
    <row r="30" spans="3:161" x14ac:dyDescent="0.3">
      <c r="C30" s="66"/>
      <c r="D30" s="70"/>
      <c r="E30" s="39" t="s">
        <v>25</v>
      </c>
      <c r="F30" s="9">
        <v>-0.01</v>
      </c>
      <c r="G30" s="10">
        <v>-0.2</v>
      </c>
      <c r="H30" s="10">
        <v>0.02</v>
      </c>
      <c r="I30" s="10">
        <v>0.27</v>
      </c>
      <c r="J30" s="10">
        <v>-0.08</v>
      </c>
      <c r="K30" s="10">
        <v>-0.33</v>
      </c>
      <c r="L30" s="10">
        <v>-0.14000000000000001</v>
      </c>
      <c r="M30" s="11">
        <v>0.14000000000000001</v>
      </c>
      <c r="N30" s="9">
        <v>-5.4761904761897462E-3</v>
      </c>
      <c r="O30" s="10">
        <v>-0.19799999999998974</v>
      </c>
      <c r="P30" s="10">
        <v>4.3170731707319554E-2</v>
      </c>
      <c r="Q30" s="10">
        <v>0.31850000000001</v>
      </c>
      <c r="R30" s="10">
        <v>-6.9512195121950171E-2</v>
      </c>
      <c r="S30" s="10">
        <v>-0.20743589743588942</v>
      </c>
      <c r="T30" s="10">
        <v>-0.14153846153845984</v>
      </c>
      <c r="U30" s="11">
        <v>0.12648648648649008</v>
      </c>
      <c r="W30" s="66"/>
      <c r="X30" s="70"/>
      <c r="Y30" s="39" t="s">
        <v>25</v>
      </c>
      <c r="Z30" s="9">
        <v>3.6818181818190077E-2</v>
      </c>
      <c r="AA30" s="10">
        <v>-7.1323529411760234E-2</v>
      </c>
      <c r="AB30" s="10">
        <v>-7.9508196721310043E-2</v>
      </c>
      <c r="AC30" s="10">
        <v>0.38311475409837037</v>
      </c>
      <c r="AD30" s="10">
        <v>0.16083333333333982</v>
      </c>
      <c r="AE30" s="10">
        <v>-8.9230769230699281E-3</v>
      </c>
      <c r="AF30" s="10">
        <v>-0.18030769230768984</v>
      </c>
      <c r="AG30" s="11">
        <v>-0.34933333333333039</v>
      </c>
      <c r="AH30" s="9">
        <v>3.6829268292689843E-2</v>
      </c>
      <c r="AI30" s="10">
        <v>-7.1818181818169791E-2</v>
      </c>
      <c r="AJ30" s="10">
        <v>-7.6578947368420636E-2</v>
      </c>
      <c r="AK30" s="10">
        <v>0.45948717948717999</v>
      </c>
      <c r="AL30" s="10">
        <v>0.17499999999999982</v>
      </c>
      <c r="AM30" s="10">
        <v>1.6666666666700358E-3</v>
      </c>
      <c r="AN30" s="10">
        <v>-0.18538461538460993</v>
      </c>
      <c r="AO30" s="11">
        <v>-0.36351351351351013</v>
      </c>
      <c r="AQ30" s="66"/>
      <c r="AR30" s="70"/>
      <c r="AS30" s="39" t="s">
        <v>25</v>
      </c>
      <c r="AT30" s="9">
        <v>-8.5201612903219814E-2</v>
      </c>
      <c r="AU30" s="10">
        <v>3.8354430379760274E-2</v>
      </c>
      <c r="AV30" s="10">
        <v>-0.20336065573769968</v>
      </c>
      <c r="AW30" s="10">
        <v>0.13092369477912946</v>
      </c>
      <c r="AX30" s="10">
        <v>5.365957446808034E-2</v>
      </c>
      <c r="AY30" s="10">
        <v>0.10460000000000003</v>
      </c>
      <c r="AZ30" s="10">
        <v>7.14000000000099E-2</v>
      </c>
      <c r="BA30" s="11">
        <v>-0.11960629921259014</v>
      </c>
      <c r="BB30" s="9">
        <v>-8.9787234042550068E-2</v>
      </c>
      <c r="BC30" s="10">
        <v>2.238095238095994E-2</v>
      </c>
      <c r="BD30" s="10">
        <v>-0.20913043478260018</v>
      </c>
      <c r="BE30" s="10">
        <v>0.12782608695652975</v>
      </c>
      <c r="BF30" s="10">
        <v>3.8809523809530067E-2</v>
      </c>
      <c r="BG30" s="10">
        <v>0.10795918367346991</v>
      </c>
      <c r="BH30" s="10">
        <v>7.2127659574469982E-2</v>
      </c>
      <c r="BI30" s="11">
        <v>-0.1167346938775502</v>
      </c>
      <c r="BK30" s="66"/>
      <c r="BL30" s="70"/>
      <c r="BM30" s="39" t="s">
        <v>25</v>
      </c>
      <c r="BN30" s="9">
        <v>4.0535714285720559E-2</v>
      </c>
      <c r="BO30" s="10">
        <v>3.2385321100919739E-2</v>
      </c>
      <c r="BP30" s="10">
        <v>-7.7368421052620207E-2</v>
      </c>
      <c r="BQ30" s="10">
        <v>0.22219047619047938</v>
      </c>
      <c r="BR30" s="10">
        <v>0.17129629629630028</v>
      </c>
      <c r="BS30" s="10">
        <v>3.8135593220400832E-3</v>
      </c>
      <c r="BT30" s="10">
        <v>-3.0608695652169615E-2</v>
      </c>
      <c r="BU30" s="11">
        <v>-0.24697674418603999</v>
      </c>
      <c r="BV30" s="9">
        <v>4.5000000000010587E-2</v>
      </c>
      <c r="BW30" s="10">
        <v>3.0681818181819587E-2</v>
      </c>
      <c r="BX30" s="10">
        <v>-7.7608695652170212E-2</v>
      </c>
      <c r="BY30" s="10">
        <v>0.21465116279069996</v>
      </c>
      <c r="BZ30" s="10">
        <v>0.19023255813953988</v>
      </c>
      <c r="CA30" s="10">
        <v>2.7272727272800168E-3</v>
      </c>
      <c r="CB30" s="10">
        <v>-3.7755102040809785E-2</v>
      </c>
      <c r="CC30" s="11">
        <v>-0.2324242424242402</v>
      </c>
      <c r="CE30" s="66"/>
      <c r="CF30" s="70"/>
      <c r="CG30" s="39" t="s">
        <v>25</v>
      </c>
      <c r="CH30" s="9">
        <v>0.6402040816326604</v>
      </c>
      <c r="CI30" s="10">
        <v>3.0286486486486504</v>
      </c>
      <c r="CJ30" s="10">
        <v>2.74454545454546</v>
      </c>
      <c r="CK30" s="10">
        <v>2.4280357142857203</v>
      </c>
      <c r="CL30" s="10">
        <v>2.82928571428572</v>
      </c>
      <c r="CM30" s="10">
        <v>3.1104255319148999</v>
      </c>
      <c r="CN30" s="10">
        <v>0.38545454545455016</v>
      </c>
      <c r="CO30" s="11">
        <v>-0.56071428571428017</v>
      </c>
      <c r="CP30" s="9">
        <v>0.63078431372549026</v>
      </c>
      <c r="CQ30" s="10">
        <v>3.0200000000000005</v>
      </c>
      <c r="CR30" s="10">
        <v>2.7430434782608697</v>
      </c>
      <c r="CS30" s="10">
        <v>2.3973684210526303</v>
      </c>
      <c r="CT30" s="10">
        <v>2.83</v>
      </c>
      <c r="CU30" s="10">
        <v>2.9880851063829801</v>
      </c>
      <c r="CV30" s="10">
        <v>0.39217391304348004</v>
      </c>
      <c r="CW30" s="11">
        <v>-0.52857142857142003</v>
      </c>
      <c r="CY30" s="66"/>
      <c r="CZ30" s="70"/>
      <c r="DA30" s="39" t="s">
        <v>25</v>
      </c>
      <c r="DB30" s="9">
        <v>2.3266</v>
      </c>
      <c r="DC30" s="10">
        <v>1.2063414634146303</v>
      </c>
      <c r="DD30" s="10">
        <v>4.7713793103448277</v>
      </c>
      <c r="DE30" s="10">
        <v>4.6039215686274595</v>
      </c>
      <c r="DF30" s="10">
        <v>2.9938775510204101</v>
      </c>
      <c r="DG30" s="10">
        <v>1.8701818181818199</v>
      </c>
      <c r="DH30" s="10">
        <v>2.1863157894736851</v>
      </c>
      <c r="DI30" s="11">
        <v>1.8486274509803999</v>
      </c>
      <c r="DJ30" s="9">
        <v>2.3242857142857147</v>
      </c>
      <c r="DK30" s="10">
        <v>1.1711764705882395</v>
      </c>
      <c r="DL30" s="10">
        <v>4.7728571428571422</v>
      </c>
      <c r="DM30" s="10">
        <v>4.6046511627906996</v>
      </c>
      <c r="DN30" s="10">
        <v>2.9665000000000101</v>
      </c>
      <c r="DO30" s="10">
        <v>1.8668085106382999</v>
      </c>
      <c r="DP30" s="10">
        <v>2.1881250000000003</v>
      </c>
      <c r="DQ30" s="11">
        <v>1.8520930232558199</v>
      </c>
      <c r="DS30" s="66"/>
      <c r="DT30" s="70"/>
      <c r="DU30" s="39" t="s">
        <v>25</v>
      </c>
      <c r="DV30" s="9">
        <v>-9.6126086956520993</v>
      </c>
      <c r="DW30" s="10">
        <v>2.9321212121212201</v>
      </c>
      <c r="DX30" s="10">
        <v>2.5678947368421099</v>
      </c>
      <c r="DY30" s="10">
        <v>0.91952380952380963</v>
      </c>
      <c r="DZ30" s="10">
        <v>1.87</v>
      </c>
      <c r="EA30" s="10">
        <v>0.77404761904761976</v>
      </c>
      <c r="EB30" s="10">
        <v>1.471428571428572</v>
      </c>
      <c r="EC30" s="11">
        <v>0.89627906976744187</v>
      </c>
      <c r="ED30" s="9">
        <v>-8.4556521739130002</v>
      </c>
      <c r="EE30" s="10">
        <v>2.9342857142857199</v>
      </c>
      <c r="EF30" s="10">
        <v>2.6272916666666699</v>
      </c>
      <c r="EG30" s="10">
        <v>0.92032258064515959</v>
      </c>
      <c r="EH30" s="10">
        <v>1.8797560975609802</v>
      </c>
      <c r="EI30" s="10">
        <v>0.79833333333334</v>
      </c>
      <c r="EJ30" s="10">
        <v>1.4705263157894739</v>
      </c>
      <c r="EK30" s="11">
        <v>0.90028571428571491</v>
      </c>
      <c r="EM30" s="66"/>
      <c r="EN30" s="70"/>
      <c r="EO30" s="39" t="s">
        <v>25</v>
      </c>
      <c r="EP30" s="9">
        <v>3.3400000000000003</v>
      </c>
      <c r="EQ30" s="10">
        <v>5.5622222222222231</v>
      </c>
      <c r="ER30" s="10">
        <v>3.5411111111111118</v>
      </c>
      <c r="ES30" s="10">
        <v>3.7732608695652194</v>
      </c>
      <c r="ET30" s="10">
        <v>3.4702222222222301</v>
      </c>
      <c r="EU30" s="10">
        <v>1.157142857142857</v>
      </c>
      <c r="EV30" s="10">
        <v>3.418571428571429</v>
      </c>
      <c r="EW30" s="11">
        <v>0.65795918367347994</v>
      </c>
      <c r="EX30" s="9">
        <v>3.3400000000000003</v>
      </c>
      <c r="EY30" s="10">
        <v>5.5774545454545459</v>
      </c>
      <c r="EZ30" s="10">
        <v>3.5410909090909088</v>
      </c>
      <c r="FA30" s="10">
        <v>3.7957777777777797</v>
      </c>
      <c r="FB30" s="10">
        <v>3.4561702127659601</v>
      </c>
      <c r="FC30" s="10">
        <v>1.1490909090909089</v>
      </c>
      <c r="FD30" s="10">
        <v>3.418571428571429</v>
      </c>
      <c r="FE30" s="11">
        <v>0.67312500000000997</v>
      </c>
    </row>
    <row r="31" spans="3:161" ht="15" thickBot="1" x14ac:dyDescent="0.35">
      <c r="C31" s="66"/>
      <c r="D31" s="74"/>
      <c r="E31" s="41" t="s">
        <v>26</v>
      </c>
      <c r="F31" s="12">
        <v>-0.34</v>
      </c>
      <c r="G31" s="13">
        <v>-4.45</v>
      </c>
      <c r="H31" s="13">
        <v>0.44</v>
      </c>
      <c r="I31" s="13">
        <v>4.99</v>
      </c>
      <c r="J31" s="13">
        <v>-1.92</v>
      </c>
      <c r="K31" s="13">
        <v>-6.97</v>
      </c>
      <c r="L31" s="13">
        <v>-7.96</v>
      </c>
      <c r="M31" s="14">
        <v>6.37</v>
      </c>
      <c r="N31" s="12">
        <v>-0.18281535648992084</v>
      </c>
      <c r="O31" s="13">
        <v>-4.5123062898812707</v>
      </c>
      <c r="P31" s="13">
        <v>0.82123138310216792</v>
      </c>
      <c r="Q31" s="13">
        <v>5.8856139702487393</v>
      </c>
      <c r="R31" s="13">
        <v>-1.6129945101590115</v>
      </c>
      <c r="S31" s="13">
        <v>-4.4538647874915771</v>
      </c>
      <c r="T31" s="13">
        <v>-8.0808080808079907</v>
      </c>
      <c r="U31" s="14">
        <v>5.5149658260666277</v>
      </c>
      <c r="W31" s="66"/>
      <c r="X31" s="74"/>
      <c r="Y31" s="41" t="s">
        <v>26</v>
      </c>
      <c r="Z31" s="12">
        <v>1.2949640287772728</v>
      </c>
      <c r="AA31" s="13">
        <v>-1.308370875933988</v>
      </c>
      <c r="AB31" s="13">
        <v>-1.5350530147174914</v>
      </c>
      <c r="AC31" s="13">
        <v>6.574949358541704</v>
      </c>
      <c r="AD31" s="13">
        <v>3.1113977107852331</v>
      </c>
      <c r="AE31" s="13">
        <v>-0.23993711992700384</v>
      </c>
      <c r="AF31" s="13">
        <v>-5.9111312856205416</v>
      </c>
      <c r="AG31" s="14">
        <v>-10.276524808785959</v>
      </c>
      <c r="AH31" s="12">
        <v>1.2953590117528415</v>
      </c>
      <c r="AI31" s="13">
        <v>-1.3173253293311147</v>
      </c>
      <c r="AJ31" s="13">
        <v>-1.4793350617660437</v>
      </c>
      <c r="AK31" s="13">
        <v>7.9903687519507827</v>
      </c>
      <c r="AL31" s="13">
        <v>3.3947623666343318</v>
      </c>
      <c r="AM31" s="13">
        <v>4.4943820224809999E-2</v>
      </c>
      <c r="AN31" s="13">
        <v>-6.0674723061428324</v>
      </c>
      <c r="AO31" s="14">
        <v>-10.649247822644409</v>
      </c>
      <c r="AQ31" s="66"/>
      <c r="AR31" s="74"/>
      <c r="AS31" s="41" t="s">
        <v>26</v>
      </c>
      <c r="AT31" s="12">
        <v>-2.1761743411226449</v>
      </c>
      <c r="AU31" s="13">
        <v>0.90210789567734639</v>
      </c>
      <c r="AV31" s="13">
        <v>-4.8962917645200195</v>
      </c>
      <c r="AW31" s="13">
        <v>3.0453912767292248</v>
      </c>
      <c r="AX31" s="13">
        <v>1.4962208853924301</v>
      </c>
      <c r="AY31" s="13">
        <v>3.346771613233507</v>
      </c>
      <c r="AZ31" s="13">
        <v>4.3841336116916576</v>
      </c>
      <c r="BA31" s="14">
        <v>-9.5715185885312213</v>
      </c>
      <c r="BB31" s="12">
        <v>-2.2906149921293255</v>
      </c>
      <c r="BC31" s="13">
        <v>0.52443650970783262</v>
      </c>
      <c r="BD31" s="13">
        <v>-5.0282249634118896</v>
      </c>
      <c r="BE31" s="13">
        <v>2.9711975745327841</v>
      </c>
      <c r="BF31" s="13">
        <v>1.0776859504133989</v>
      </c>
      <c r="BG31" s="13">
        <v>3.4579683618773864</v>
      </c>
      <c r="BH31" s="13">
        <v>4.4307933603451746</v>
      </c>
      <c r="BI31" s="14">
        <v>-9.363234571942975</v>
      </c>
      <c r="BK31" s="66"/>
      <c r="BL31" s="74"/>
      <c r="BM31" s="41" t="s">
        <v>26</v>
      </c>
      <c r="BN31" s="12">
        <v>0.97689030425629575</v>
      </c>
      <c r="BO31" s="13">
        <v>0.53111458834861769</v>
      </c>
      <c r="BP31" s="13">
        <v>-2.0536462699074995</v>
      </c>
      <c r="BQ31" s="13">
        <v>4.3330485494595949</v>
      </c>
      <c r="BR31" s="13">
        <v>3.2206399498625471</v>
      </c>
      <c r="BS31" s="13">
        <v>0.2065641496445863</v>
      </c>
      <c r="BT31" s="13">
        <v>-0.81609941574689537</v>
      </c>
      <c r="BU31" s="14">
        <v>-7.8480638486548484</v>
      </c>
      <c r="BV31" s="12">
        <v>1.0856453558506804</v>
      </c>
      <c r="BW31" s="13">
        <v>0.50303685210718863</v>
      </c>
      <c r="BX31" s="13">
        <v>-2.0598926778603852</v>
      </c>
      <c r="BY31" s="13">
        <v>4.1798750113214851</v>
      </c>
      <c r="BZ31" s="13">
        <v>3.5894510509457294</v>
      </c>
      <c r="CA31" s="13">
        <v>0.14763779527598575</v>
      </c>
      <c r="CB31" s="13">
        <v>-1.0047249226088537</v>
      </c>
      <c r="CC31" s="14">
        <v>-7.4199477604720245</v>
      </c>
      <c r="CE31" s="66"/>
      <c r="CF31" s="74"/>
      <c r="CG31" s="41" t="s">
        <v>26</v>
      </c>
      <c r="CH31" s="12">
        <v>27.245092930346061</v>
      </c>
      <c r="CI31" s="13">
        <v>260.78659529904627</v>
      </c>
      <c r="CJ31" s="13">
        <v>107.39950195659954</v>
      </c>
      <c r="CK31" s="13">
        <v>73.533070142231665</v>
      </c>
      <c r="CL31" s="13">
        <v>200.55696202531769</v>
      </c>
      <c r="CM31" s="13">
        <v>232.19504447268261</v>
      </c>
      <c r="CN31" s="13">
        <v>31.477357089829756</v>
      </c>
      <c r="CO31" s="14">
        <v>-18.8114066618738</v>
      </c>
      <c r="CP31" s="12">
        <v>26.737034574468087</v>
      </c>
      <c r="CQ31" s="13">
        <v>258.1196581196582</v>
      </c>
      <c r="CR31" s="13">
        <v>107.27767386498897</v>
      </c>
      <c r="CS31" s="13">
        <v>71.936197094124992</v>
      </c>
      <c r="CT31" s="13">
        <v>200.70921985815608</v>
      </c>
      <c r="CU31" s="13">
        <v>204.39528452918086</v>
      </c>
      <c r="CV31" s="13">
        <v>32.202784719743136</v>
      </c>
      <c r="CW31" s="14">
        <v>-17.926356589147048</v>
      </c>
      <c r="CY31" s="66"/>
      <c r="CZ31" s="74"/>
      <c r="DA31" s="41" t="s">
        <v>26</v>
      </c>
      <c r="DB31" s="12">
        <v>420.41922659920488</v>
      </c>
      <c r="DC31" s="13">
        <v>28.903693314632889</v>
      </c>
      <c r="DD31" s="13">
        <v>1451.9412381951749</v>
      </c>
      <c r="DE31" s="13">
        <v>286.65608594799386</v>
      </c>
      <c r="DF31" s="13">
        <v>128.15584869398114</v>
      </c>
      <c r="DG31" s="13">
        <v>101.65036070758001</v>
      </c>
      <c r="DH31" s="13">
        <v>319.78444957659786</v>
      </c>
      <c r="DI31" s="14">
        <v>153.87628529459937</v>
      </c>
      <c r="DJ31" s="12">
        <v>418.25192802056614</v>
      </c>
      <c r="DK31" s="13">
        <v>27.826694619147581</v>
      </c>
      <c r="DL31" s="13">
        <v>1458.9519650655027</v>
      </c>
      <c r="DM31" s="13">
        <v>286.83181225554159</v>
      </c>
      <c r="DN31" s="13">
        <v>125.51301036598362</v>
      </c>
      <c r="DO31" s="13">
        <v>101.28131132402191</v>
      </c>
      <c r="DP31" s="13">
        <v>320.89825847846021</v>
      </c>
      <c r="DQ31" s="14">
        <v>154.61075519316768</v>
      </c>
      <c r="DS31" s="66"/>
      <c r="DT31" s="74"/>
      <c r="DU31" s="41" t="s">
        <v>26</v>
      </c>
      <c r="DV31" s="12">
        <v>-71.508506371692704</v>
      </c>
      <c r="DW31" s="13">
        <v>215.93394331622591</v>
      </c>
      <c r="DX31" s="13">
        <v>185.79588728103676</v>
      </c>
      <c r="DY31" s="13">
        <v>26.193705914270215</v>
      </c>
      <c r="DZ31" s="13">
        <v>105.6497175141243</v>
      </c>
      <c r="EA31" s="13">
        <v>31.517207949588016</v>
      </c>
      <c r="EB31" s="13">
        <v>643.75000000000182</v>
      </c>
      <c r="EC31" s="14">
        <v>383.48258706467686</v>
      </c>
      <c r="ED31" s="12">
        <v>-68.825423788795575</v>
      </c>
      <c r="EE31" s="13">
        <v>216.43835616438486</v>
      </c>
      <c r="EF31" s="13">
        <v>198.62970546542837</v>
      </c>
      <c r="EG31" s="13">
        <v>26.222426470588179</v>
      </c>
      <c r="EH31" s="13">
        <v>106.78952473326919</v>
      </c>
      <c r="EI31" s="13">
        <v>32.830705962988709</v>
      </c>
      <c r="EJ31" s="13">
        <v>640.82568807339544</v>
      </c>
      <c r="EK31" s="14">
        <v>391.91542288557361</v>
      </c>
      <c r="EM31" s="66"/>
      <c r="EN31" s="74"/>
      <c r="EO31" s="41" t="s">
        <v>26</v>
      </c>
      <c r="EP31" s="12">
        <v>392.94117647058829</v>
      </c>
      <c r="EQ31" s="13">
        <v>979.6477495107647</v>
      </c>
      <c r="ER31" s="13">
        <v>2378.3582089552388</v>
      </c>
      <c r="ES31" s="13">
        <v>239.30787260444006</v>
      </c>
      <c r="ET31" s="13">
        <v>171.81208053691378</v>
      </c>
      <c r="EU31" s="13">
        <v>167.01030927835049</v>
      </c>
      <c r="EV31" s="13">
        <v>1134.1232227488169</v>
      </c>
      <c r="EW31" s="14">
        <v>29.346440924814011</v>
      </c>
      <c r="EX31" s="12">
        <v>392.94117647058829</v>
      </c>
      <c r="EY31" s="13">
        <v>1009.4109904573884</v>
      </c>
      <c r="EZ31" s="13">
        <v>2378.0219780219768</v>
      </c>
      <c r="FA31" s="13">
        <v>244.22362024592553</v>
      </c>
      <c r="FB31" s="13">
        <v>169.9340935244276</v>
      </c>
      <c r="FC31" s="13">
        <v>163.94293125810631</v>
      </c>
      <c r="FD31" s="13">
        <v>1134.1232227488169</v>
      </c>
      <c r="FE31" s="14">
        <v>30.227336514174034</v>
      </c>
    </row>
    <row r="32" spans="3:161" x14ac:dyDescent="0.3">
      <c r="C32" s="65">
        <v>3</v>
      </c>
      <c r="D32" s="71" t="s">
        <v>20</v>
      </c>
      <c r="E32" s="72"/>
      <c r="F32" s="21">
        <v>2.9465294117647001</v>
      </c>
      <c r="G32" s="22">
        <v>4.2850318471337498</v>
      </c>
      <c r="H32" s="22">
        <v>5.1081764705882202</v>
      </c>
      <c r="I32" s="22">
        <v>5.1088235294117599</v>
      </c>
      <c r="J32" s="22">
        <v>4.1863905325443804</v>
      </c>
      <c r="K32" s="22">
        <v>4.5047647058823497</v>
      </c>
      <c r="L32" s="22">
        <v>1.7452976190476199</v>
      </c>
      <c r="M32" s="23">
        <v>2.2166272189349101</v>
      </c>
      <c r="N32" s="21">
        <v>2.9107500000000002</v>
      </c>
      <c r="O32" s="22">
        <v>4.3447058823529403</v>
      </c>
      <c r="P32" s="22">
        <v>5.3002500000000001</v>
      </c>
      <c r="Q32" s="22">
        <v>5.0959999999999903</v>
      </c>
      <c r="R32" s="22">
        <v>4.2545000000000002</v>
      </c>
      <c r="S32" s="22">
        <v>4.5</v>
      </c>
      <c r="T32" s="22">
        <v>1.7476923076923001</v>
      </c>
      <c r="U32" s="23">
        <v>2.2570000000000001</v>
      </c>
      <c r="W32" s="65">
        <v>3</v>
      </c>
      <c r="X32" s="71" t="s">
        <v>20</v>
      </c>
      <c r="Y32" s="72"/>
      <c r="Z32" s="21">
        <v>2.78887323943662</v>
      </c>
      <c r="AA32" s="22">
        <v>5.0550704225352003</v>
      </c>
      <c r="AB32" s="22">
        <v>5.0347761194029799</v>
      </c>
      <c r="AC32" s="22">
        <v>5.0567142857142802</v>
      </c>
      <c r="AD32" s="22">
        <v>5.1949999999999896</v>
      </c>
      <c r="AE32" s="22">
        <v>3.43366197183098</v>
      </c>
      <c r="AF32" s="22">
        <v>2.8695714285714198</v>
      </c>
      <c r="AG32" s="23">
        <v>3.34432835820895</v>
      </c>
      <c r="AH32" s="21">
        <v>2.8245454545454498</v>
      </c>
      <c r="AI32" s="22">
        <v>4.9396363636363603</v>
      </c>
      <c r="AJ32" s="22">
        <v>4.9624074074074001</v>
      </c>
      <c r="AK32" s="22">
        <v>5.1333333333333302</v>
      </c>
      <c r="AL32" s="22">
        <v>5.1974999999999998</v>
      </c>
      <c r="AM32" s="22">
        <v>3.5218181818181802</v>
      </c>
      <c r="AN32" s="22">
        <v>2.8787037037037</v>
      </c>
      <c r="AO32" s="23">
        <v>3.3957407407407398</v>
      </c>
      <c r="AQ32" s="65">
        <v>3</v>
      </c>
      <c r="AR32" s="71" t="s">
        <v>20</v>
      </c>
      <c r="AS32" s="72"/>
      <c r="AT32" s="21">
        <v>3.75220077220076</v>
      </c>
      <c r="AU32" s="22">
        <v>4.1292664092663998</v>
      </c>
      <c r="AV32" s="22">
        <v>3.9294594594594501</v>
      </c>
      <c r="AW32" s="22">
        <v>4.1550972762645797</v>
      </c>
      <c r="AX32" s="22">
        <v>3.4329457364341098</v>
      </c>
      <c r="AY32" s="22">
        <v>3.07220077220077</v>
      </c>
      <c r="AZ32" s="22">
        <v>1.61297297297297</v>
      </c>
      <c r="BA32" s="23">
        <v>1.2348249027237299</v>
      </c>
      <c r="BB32" s="21">
        <v>3.7908888888888801</v>
      </c>
      <c r="BC32" s="22">
        <v>4.1906666666666599</v>
      </c>
      <c r="BD32" s="22">
        <v>3.8635555555555499</v>
      </c>
      <c r="BE32" s="22">
        <v>4.07522727272727</v>
      </c>
      <c r="BF32" s="22">
        <v>3.5629545454545402</v>
      </c>
      <c r="BG32" s="22">
        <v>3.0693333333333301</v>
      </c>
      <c r="BH32" s="22">
        <v>1.59622222222222</v>
      </c>
      <c r="BI32" s="23">
        <v>1.2393333333333301</v>
      </c>
      <c r="BK32" s="65">
        <v>3</v>
      </c>
      <c r="BL32" s="71" t="s">
        <v>20</v>
      </c>
      <c r="BM32" s="72"/>
      <c r="BN32" s="21">
        <v>3.9943636363636301</v>
      </c>
      <c r="BO32" s="22">
        <v>5.6325714285714197</v>
      </c>
      <c r="BP32" s="22">
        <v>3.71472727272727</v>
      </c>
      <c r="BQ32" s="22">
        <v>4.7845454545454498</v>
      </c>
      <c r="BR32" s="22">
        <v>5.1445454545454501</v>
      </c>
      <c r="BS32" s="22">
        <v>1.8173636363636301</v>
      </c>
      <c r="BT32" s="22">
        <v>3.5009090909090901</v>
      </c>
      <c r="BU32" s="23">
        <v>3.1810256410256401</v>
      </c>
      <c r="BV32" s="21">
        <v>3.9607999999999999</v>
      </c>
      <c r="BW32" s="22">
        <v>5.6050000000000004</v>
      </c>
      <c r="BX32" s="22">
        <v>3.4921999999999902</v>
      </c>
      <c r="BY32" s="22">
        <v>4.8220000000000001</v>
      </c>
      <c r="BZ32" s="22">
        <v>5.0455999999999896</v>
      </c>
      <c r="CA32" s="22">
        <v>1.8188</v>
      </c>
      <c r="CB32" s="22">
        <v>3.4992000000000001</v>
      </c>
      <c r="CC32" s="23">
        <v>3.19</v>
      </c>
      <c r="CE32" s="65">
        <v>3</v>
      </c>
      <c r="CF32" s="71" t="s">
        <v>20</v>
      </c>
      <c r="CG32" s="72"/>
      <c r="CH32" s="21">
        <v>2.52</v>
      </c>
      <c r="CI32" s="22">
        <v>1.2765</v>
      </c>
      <c r="CJ32" s="22">
        <v>3.0252941176470598</v>
      </c>
      <c r="CK32" s="22">
        <v>4.6628813559321998</v>
      </c>
      <c r="CL32" s="22">
        <v>1.5981355932203301</v>
      </c>
      <c r="CM32" s="22">
        <v>7.8286274509803899</v>
      </c>
      <c r="CN32" s="22">
        <v>1.06915254237288</v>
      </c>
      <c r="CO32" s="23">
        <v>2.89263157894736</v>
      </c>
      <c r="CP32" s="21">
        <v>2.5569387755102002</v>
      </c>
      <c r="CQ32" s="22">
        <v>1.32325</v>
      </c>
      <c r="CR32" s="22">
        <v>3.1364705882352899</v>
      </c>
      <c r="CS32" s="22">
        <v>4.7919999999999998</v>
      </c>
      <c r="CT32" s="22">
        <v>1.48983333333333</v>
      </c>
      <c r="CU32" s="22">
        <v>9.5643137254901998</v>
      </c>
      <c r="CV32" s="22">
        <v>1.0623728813559301</v>
      </c>
      <c r="CW32" s="23">
        <v>3.1775000000000002</v>
      </c>
      <c r="CY32" s="65">
        <v>3</v>
      </c>
      <c r="CZ32" s="71" t="s">
        <v>20</v>
      </c>
      <c r="DA32" s="72"/>
      <c r="DB32" s="21">
        <v>0.605593220338983</v>
      </c>
      <c r="DC32" s="22">
        <v>3.06694915254237</v>
      </c>
      <c r="DD32" s="22">
        <v>0.51305084745762697</v>
      </c>
      <c r="DE32" s="22">
        <v>1.76847457627118</v>
      </c>
      <c r="DF32" s="22">
        <v>4.3098305084745698</v>
      </c>
      <c r="DG32" s="22">
        <v>2.5411864406779601</v>
      </c>
      <c r="DH32" s="22">
        <v>0.67271186440677899</v>
      </c>
      <c r="DI32" s="23">
        <v>1.36690909090909</v>
      </c>
      <c r="DJ32" s="21">
        <v>0.60716666666666697</v>
      </c>
      <c r="DK32" s="22">
        <v>2.9540000000000002</v>
      </c>
      <c r="DL32" s="22">
        <v>0.51566666666666605</v>
      </c>
      <c r="DM32" s="22">
        <v>1.7936666666666601</v>
      </c>
      <c r="DN32" s="22">
        <v>4.3856666666666602</v>
      </c>
      <c r="DO32" s="22">
        <v>2.6581666666666601</v>
      </c>
      <c r="DP32" s="22">
        <v>0.67183333333333295</v>
      </c>
      <c r="DQ32" s="23">
        <v>1.37053571428571</v>
      </c>
      <c r="DS32" s="65">
        <v>3</v>
      </c>
      <c r="DT32" s="71" t="s">
        <v>20</v>
      </c>
      <c r="DU32" s="72"/>
      <c r="DV32" s="21">
        <v>12.457627118644</v>
      </c>
      <c r="DW32" s="22">
        <v>1.3692452830188599</v>
      </c>
      <c r="DX32" s="22">
        <v>1.97966101694915</v>
      </c>
      <c r="DY32" s="22">
        <v>2.99634615384615</v>
      </c>
      <c r="DZ32" s="22">
        <v>1.6859322033898301</v>
      </c>
      <c r="EA32" s="22">
        <v>2.6350847457627098</v>
      </c>
      <c r="EB32" s="22">
        <v>0.22561403508771899</v>
      </c>
      <c r="EC32" s="23">
        <v>0.29677966101694903</v>
      </c>
      <c r="ED32" s="21">
        <v>12.372999999999999</v>
      </c>
      <c r="EE32" s="22">
        <v>1.3788888888888799</v>
      </c>
      <c r="EF32" s="22">
        <v>1.8291666666666599</v>
      </c>
      <c r="EG32" s="22">
        <v>2.9844230769230702</v>
      </c>
      <c r="EH32" s="22">
        <v>1.68533333333333</v>
      </c>
      <c r="EI32" s="22">
        <v>2.5891666666666602</v>
      </c>
      <c r="EJ32" s="22">
        <v>0.22566666666666599</v>
      </c>
      <c r="EK32" s="23">
        <v>0.30883333333333302</v>
      </c>
      <c r="EM32" s="65">
        <v>3</v>
      </c>
      <c r="EN32" s="71" t="s">
        <v>20</v>
      </c>
      <c r="EO32" s="72"/>
      <c r="EP32" s="21">
        <v>0.81081632653061197</v>
      </c>
      <c r="EQ32" s="22">
        <v>0.93559322033898296</v>
      </c>
      <c r="ER32" s="22">
        <v>0.146779661016949</v>
      </c>
      <c r="ES32" s="22">
        <v>2.0262222222222199</v>
      </c>
      <c r="ET32" s="22">
        <v>1.9522222222222201</v>
      </c>
      <c r="EU32" s="22">
        <v>0.61084745762711801</v>
      </c>
      <c r="EV32" s="22">
        <v>0.329322033898305</v>
      </c>
      <c r="EW32" s="23">
        <v>2.4113559322033802</v>
      </c>
      <c r="EX32" s="21">
        <v>0.81571428571428595</v>
      </c>
      <c r="EY32" s="22">
        <v>0.93854545454545502</v>
      </c>
      <c r="EZ32" s="22">
        <v>0.14872727272727199</v>
      </c>
      <c r="FA32" s="22">
        <v>2.02714285714285</v>
      </c>
      <c r="FB32" s="22">
        <v>1.9284313725490101</v>
      </c>
      <c r="FC32" s="22">
        <v>0.62654545454545396</v>
      </c>
      <c r="FD32" s="22">
        <v>0.32581818181818101</v>
      </c>
      <c r="FE32" s="23">
        <v>2.4072727272727201</v>
      </c>
    </row>
    <row r="33" spans="3:161" ht="15" customHeight="1" x14ac:dyDescent="0.3">
      <c r="C33" s="66"/>
      <c r="D33" s="68" t="s">
        <v>21</v>
      </c>
      <c r="E33" s="69"/>
      <c r="F33" s="24">
        <v>0.31924775878287498</v>
      </c>
      <c r="G33" s="25">
        <v>0.49759629123361998</v>
      </c>
      <c r="H33" s="25">
        <v>0.80827024712502005</v>
      </c>
      <c r="I33" s="25">
        <v>1.2714608659191999</v>
      </c>
      <c r="J33" s="25">
        <v>0.56256228175830703</v>
      </c>
      <c r="K33" s="25">
        <v>0.89300431653075496</v>
      </c>
      <c r="L33" s="25">
        <v>8.2965322612738798E-2</v>
      </c>
      <c r="M33" s="26">
        <v>0.41587561803179901</v>
      </c>
      <c r="N33" s="24">
        <v>0.41518903827052001</v>
      </c>
      <c r="O33" s="25">
        <v>0.245323739218652</v>
      </c>
      <c r="P33" s="25">
        <v>2.1152718501412499E-2</v>
      </c>
      <c r="Q33" s="25">
        <v>1.2988433315839101</v>
      </c>
      <c r="R33" s="25">
        <v>0.43491349714627098</v>
      </c>
      <c r="S33" s="25">
        <v>0.96028641560734296</v>
      </c>
      <c r="T33" s="25">
        <v>1.9008977428564701E-2</v>
      </c>
      <c r="U33" s="26">
        <v>0.48999081624046797</v>
      </c>
      <c r="W33" s="66"/>
      <c r="X33" s="68" t="s">
        <v>21</v>
      </c>
      <c r="Y33" s="69"/>
      <c r="Z33" s="24">
        <v>0.27792768993601102</v>
      </c>
      <c r="AA33" s="25">
        <v>1.16022566192528</v>
      </c>
      <c r="AB33" s="25">
        <v>0.70111927192138102</v>
      </c>
      <c r="AC33" s="25">
        <v>1.71907925640324</v>
      </c>
      <c r="AD33" s="25">
        <v>0.122576506721312</v>
      </c>
      <c r="AE33" s="25">
        <v>0.75372920649452801</v>
      </c>
      <c r="AF33" s="25">
        <v>0.63209727034980401</v>
      </c>
      <c r="AG33" s="26">
        <v>0.49095771128523702</v>
      </c>
      <c r="AH33" s="24">
        <v>0.10897569673711099</v>
      </c>
      <c r="AI33" s="25">
        <v>1.2954788004108899</v>
      </c>
      <c r="AJ33" s="25">
        <v>0.87536856827024601</v>
      </c>
      <c r="AK33" s="25">
        <v>1.6494813999827</v>
      </c>
      <c r="AL33" s="25">
        <v>0.12080459428349501</v>
      </c>
      <c r="AM33" s="25">
        <v>0.653427580766059</v>
      </c>
      <c r="AN33" s="25">
        <v>0.64373633404062203</v>
      </c>
      <c r="AO33" s="26">
        <v>0.40499017752995897</v>
      </c>
      <c r="AQ33" s="66"/>
      <c r="AR33" s="68" t="s">
        <v>21</v>
      </c>
      <c r="AS33" s="69"/>
      <c r="AT33" s="24">
        <v>0.60904649054418702</v>
      </c>
      <c r="AU33" s="25">
        <v>0.59572142636402703</v>
      </c>
      <c r="AV33" s="25">
        <v>0.78968916304150305</v>
      </c>
      <c r="AW33" s="25">
        <v>0.65321182699521996</v>
      </c>
      <c r="AX33" s="25">
        <v>0.62036361318128597</v>
      </c>
      <c r="AY33" s="25">
        <v>0.310768418414055</v>
      </c>
      <c r="AZ33" s="25">
        <v>0.122521935799943</v>
      </c>
      <c r="BA33" s="26">
        <v>0.101460485122696</v>
      </c>
      <c r="BB33" s="24">
        <v>0.473534333952775</v>
      </c>
      <c r="BC33" s="25">
        <v>0.48724805455400899</v>
      </c>
      <c r="BD33" s="25">
        <v>0.92024913427604005</v>
      </c>
      <c r="BE33" s="25">
        <v>0.80220573374677195</v>
      </c>
      <c r="BF33" s="25">
        <v>0.25008707161392701</v>
      </c>
      <c r="BG33" s="25">
        <v>0.25085099605587002</v>
      </c>
      <c r="BH33" s="25">
        <v>0.19166276968663101</v>
      </c>
      <c r="BI33" s="26">
        <v>9.6411156569720199E-2</v>
      </c>
      <c r="BK33" s="66"/>
      <c r="BL33" s="68" t="s">
        <v>21</v>
      </c>
      <c r="BM33" s="69"/>
      <c r="BN33" s="24">
        <v>0.63468320984527604</v>
      </c>
      <c r="BO33" s="25">
        <v>1.15113279906726</v>
      </c>
      <c r="BP33" s="25">
        <v>0.30373944902261502</v>
      </c>
      <c r="BQ33" s="25">
        <v>1.0957850123945001</v>
      </c>
      <c r="BR33" s="25">
        <v>1.03769730773445</v>
      </c>
      <c r="BS33" s="25">
        <v>0.16853204320477699</v>
      </c>
      <c r="BT33" s="25">
        <v>0.75774851363585904</v>
      </c>
      <c r="BU33" s="26">
        <v>0.174734888885476</v>
      </c>
      <c r="BV33" s="24">
        <v>0.70228153898561196</v>
      </c>
      <c r="BW33" s="25">
        <v>1.3289861423907501</v>
      </c>
      <c r="BX33" s="25">
        <v>0.81910021364909802</v>
      </c>
      <c r="BY33" s="25">
        <v>0.95407337244050505</v>
      </c>
      <c r="BZ33" s="25">
        <v>1.2463709881090701</v>
      </c>
      <c r="CA33" s="25">
        <v>0.16745912934205701</v>
      </c>
      <c r="CB33" s="25">
        <v>0.72528019413189504</v>
      </c>
      <c r="CC33" s="26">
        <v>0.21138995786393</v>
      </c>
      <c r="CE33" s="66"/>
      <c r="CF33" s="68" t="s">
        <v>21</v>
      </c>
      <c r="CG33" s="69"/>
      <c r="CH33" s="24">
        <v>2.2301831016009999</v>
      </c>
      <c r="CI33" s="25">
        <v>0.46784906754208599</v>
      </c>
      <c r="CJ33" s="25">
        <v>1.7271946572645001</v>
      </c>
      <c r="CK33" s="25">
        <v>3.9001264868004202</v>
      </c>
      <c r="CL33" s="25">
        <v>1.0788246501087499</v>
      </c>
      <c r="CM33" s="25">
        <v>21.767332964573701</v>
      </c>
      <c r="CN33" s="25">
        <v>0.39284398997520298</v>
      </c>
      <c r="CO33" s="26">
        <v>2.1241935735591801</v>
      </c>
      <c r="CP33" s="24">
        <v>2.1941129062177098</v>
      </c>
      <c r="CQ33" s="25">
        <v>0.54236697677863799</v>
      </c>
      <c r="CR33" s="25">
        <v>1.8493049288106</v>
      </c>
      <c r="CS33" s="25">
        <v>4.0992104117744397</v>
      </c>
      <c r="CT33" s="25">
        <v>0.689861076997068</v>
      </c>
      <c r="CU33" s="25">
        <v>24.2269648228792</v>
      </c>
      <c r="CV33" s="25">
        <v>0.38930332813691298</v>
      </c>
      <c r="CW33" s="26">
        <v>2.18874136206176</v>
      </c>
      <c r="CY33" s="66"/>
      <c r="CZ33" s="68" t="s">
        <v>21</v>
      </c>
      <c r="DA33" s="69"/>
      <c r="DB33" s="24">
        <v>0.20731758317378399</v>
      </c>
      <c r="DC33" s="25">
        <v>1.80955866352449</v>
      </c>
      <c r="DD33" s="25">
        <v>0.82246272232723305</v>
      </c>
      <c r="DE33" s="25">
        <v>0.523695517563732</v>
      </c>
      <c r="DF33" s="25">
        <v>5.2840965398503998</v>
      </c>
      <c r="DG33" s="25">
        <v>2.03994523418159</v>
      </c>
      <c r="DH33" s="25">
        <v>8.04822437196622E-2</v>
      </c>
      <c r="DI33" s="26">
        <v>0.679676053123899</v>
      </c>
      <c r="DJ33" s="24">
        <v>0.20483401139025201</v>
      </c>
      <c r="DK33" s="25">
        <v>1.83219558635716</v>
      </c>
      <c r="DL33" s="25">
        <v>0.814420789409395</v>
      </c>
      <c r="DM33" s="25">
        <v>0.56808146911825497</v>
      </c>
      <c r="DN33" s="25">
        <v>5.2801386871516502</v>
      </c>
      <c r="DO33" s="25">
        <v>2.1956771860989801</v>
      </c>
      <c r="DP33" s="25">
        <v>8.0093521724433001E-2</v>
      </c>
      <c r="DQ33" s="26">
        <v>0.67305651334271999</v>
      </c>
      <c r="DS33" s="66"/>
      <c r="DT33" s="68" t="s">
        <v>21</v>
      </c>
      <c r="DU33" s="69"/>
      <c r="DV33" s="24">
        <v>2.5275514640323999</v>
      </c>
      <c r="DW33" s="25">
        <v>0.263215594656173</v>
      </c>
      <c r="DX33" s="25">
        <v>2.2511089290645598</v>
      </c>
      <c r="DY33" s="25">
        <v>0.88595239680712101</v>
      </c>
      <c r="DZ33" s="25">
        <v>0.20774102721097301</v>
      </c>
      <c r="EA33" s="25">
        <v>0.55739823235127395</v>
      </c>
      <c r="EB33" s="25">
        <v>2.7531006052165598E-2</v>
      </c>
      <c r="EC33" s="26">
        <v>0.14245356874203799</v>
      </c>
      <c r="ED33" s="24">
        <v>2.54768214919627</v>
      </c>
      <c r="EE33" s="25">
        <v>0.250825796613732</v>
      </c>
      <c r="EF33" s="25">
        <v>1.9118518872781101</v>
      </c>
      <c r="EG33" s="25">
        <v>0.87403444189648505</v>
      </c>
      <c r="EH33" s="25">
        <v>0.21141954077667899</v>
      </c>
      <c r="EI33" s="25">
        <v>0.58505638379751201</v>
      </c>
      <c r="EJ33" s="25">
        <v>2.7164110309172401E-2</v>
      </c>
      <c r="EK33" s="26">
        <v>0.15981334598698399</v>
      </c>
      <c r="EM33" s="66"/>
      <c r="EN33" s="68" t="s">
        <v>21</v>
      </c>
      <c r="EO33" s="69"/>
      <c r="EP33" s="24">
        <v>5.6273266741597001E-2</v>
      </c>
      <c r="EQ33" s="25">
        <v>1.46874357834752</v>
      </c>
      <c r="ER33" s="25">
        <v>2.8608442393046701E-2</v>
      </c>
      <c r="ES33" s="25">
        <v>1.79053472942692</v>
      </c>
      <c r="ET33" s="25">
        <v>0.36504016352677399</v>
      </c>
      <c r="EU33" s="25">
        <v>0.16488607402928401</v>
      </c>
      <c r="EV33" s="25">
        <v>7.4444027586643105E-2</v>
      </c>
      <c r="EW33" s="26">
        <v>0.54449932725400396</v>
      </c>
      <c r="EX33" s="24">
        <v>5.4210474174315099E-2</v>
      </c>
      <c r="EY33" s="25">
        <v>1.51575893763645</v>
      </c>
      <c r="EZ33" s="25">
        <v>2.87973828011912E-2</v>
      </c>
      <c r="FA33" s="25">
        <v>1.8436509918072399</v>
      </c>
      <c r="FB33" s="25">
        <v>0.39921183402740901</v>
      </c>
      <c r="FC33" s="25">
        <v>0.15825431985277999</v>
      </c>
      <c r="FD33" s="25">
        <v>7.4093084184469901E-2</v>
      </c>
      <c r="FE33" s="26">
        <v>0.53630199954013202</v>
      </c>
    </row>
    <row r="34" spans="3:161" ht="15" customHeight="1" x14ac:dyDescent="0.3">
      <c r="C34" s="66"/>
      <c r="D34" s="68" t="s">
        <v>22</v>
      </c>
      <c r="E34" s="69"/>
      <c r="F34" s="33">
        <v>2.9992121212121199</v>
      </c>
      <c r="G34" s="34">
        <v>4.3873333333333298</v>
      </c>
      <c r="H34" s="34">
        <v>5.29199999999999</v>
      </c>
      <c r="I34" s="34">
        <v>5.5046052631578899</v>
      </c>
      <c r="J34" s="34">
        <v>4.3247770700636901</v>
      </c>
      <c r="K34" s="34">
        <v>4.7989999999999897</v>
      </c>
      <c r="L34" s="34">
        <v>1.7510240963855399</v>
      </c>
      <c r="M34" s="35">
        <v>2.2564189189189201</v>
      </c>
      <c r="N34" s="33">
        <v>2.9973684210526299</v>
      </c>
      <c r="O34" s="34">
        <v>4.3872727272727197</v>
      </c>
      <c r="P34" s="34">
        <v>5.2975757575757498</v>
      </c>
      <c r="Q34" s="34">
        <v>5.4936111111111101</v>
      </c>
      <c r="R34" s="34">
        <v>4.3241025641025601</v>
      </c>
      <c r="S34" s="34">
        <v>4.7966666666666598</v>
      </c>
      <c r="T34" s="34">
        <v>1.7490322580645099</v>
      </c>
      <c r="U34" s="35">
        <v>2.2533333333333299</v>
      </c>
      <c r="W34" s="66"/>
      <c r="X34" s="68" t="s">
        <v>22</v>
      </c>
      <c r="Y34" s="69"/>
      <c r="Z34" s="33">
        <v>2.8361764705882302</v>
      </c>
      <c r="AA34" s="34">
        <v>5.4117187499999897</v>
      </c>
      <c r="AB34" s="34">
        <v>5.1732812499999898</v>
      </c>
      <c r="AC34" s="34">
        <v>5.6793333333333296</v>
      </c>
      <c r="AD34" s="34">
        <v>5.125</v>
      </c>
      <c r="AE34" s="34">
        <v>3.7091803278688502</v>
      </c>
      <c r="AF34" s="34">
        <v>3.0579687500000001</v>
      </c>
      <c r="AG34" s="35">
        <v>3.4299999999999899</v>
      </c>
      <c r="AH34" s="33">
        <v>2.8390740740740701</v>
      </c>
      <c r="AI34" s="34">
        <v>5.3644897959183604</v>
      </c>
      <c r="AJ34" s="34">
        <v>5.1723529411764604</v>
      </c>
      <c r="AK34" s="34">
        <v>5.7343478260869496</v>
      </c>
      <c r="AL34" s="34">
        <v>5.1283333333333303</v>
      </c>
      <c r="AM34" s="34">
        <v>3.7056</v>
      </c>
      <c r="AN34" s="34">
        <v>3.0577999999999999</v>
      </c>
      <c r="AO34" s="35">
        <v>3.4423404255319099</v>
      </c>
      <c r="AQ34" s="66"/>
      <c r="AR34" s="68" t="s">
        <v>22</v>
      </c>
      <c r="AS34" s="69"/>
      <c r="AT34" s="33">
        <v>3.9107949790794798</v>
      </c>
      <c r="AU34" s="34">
        <v>4.2657613168724096</v>
      </c>
      <c r="AV34" s="34">
        <v>4.1490756302520904</v>
      </c>
      <c r="AW34" s="34">
        <v>4.2944262295081899</v>
      </c>
      <c r="AX34" s="34">
        <v>3.5901244813278002</v>
      </c>
      <c r="AY34" s="34">
        <v>3.1287951807228902</v>
      </c>
      <c r="AZ34" s="34">
        <v>1.63</v>
      </c>
      <c r="BA34" s="35">
        <v>1.2459756097560899</v>
      </c>
      <c r="BB34" s="33">
        <v>3.90880952380952</v>
      </c>
      <c r="BC34" s="34">
        <v>4.2760465116279001</v>
      </c>
      <c r="BD34" s="34">
        <v>4.1424390243902396</v>
      </c>
      <c r="BE34" s="34">
        <v>4.3089999999999904</v>
      </c>
      <c r="BF34" s="34">
        <v>3.6006976744185999</v>
      </c>
      <c r="BG34" s="34">
        <v>3.1316666666666602</v>
      </c>
      <c r="BH34" s="34">
        <v>1.63186046511627</v>
      </c>
      <c r="BI34" s="35">
        <v>1.24857142857142</v>
      </c>
      <c r="BK34" s="66"/>
      <c r="BL34" s="68" t="s">
        <v>22</v>
      </c>
      <c r="BM34" s="69"/>
      <c r="BN34" s="33">
        <v>4.1445631067961104</v>
      </c>
      <c r="BO34" s="34">
        <v>6.0908988764044896</v>
      </c>
      <c r="BP34" s="34">
        <v>3.77207547169811</v>
      </c>
      <c r="BQ34" s="34">
        <v>5.0873737373737304</v>
      </c>
      <c r="BR34" s="34">
        <v>5.4321782178217797</v>
      </c>
      <c r="BS34" s="34">
        <v>1.8451401869158801</v>
      </c>
      <c r="BT34" s="34">
        <v>3.7474489795918302</v>
      </c>
      <c r="BU34" s="35">
        <v>3.15287671232876</v>
      </c>
      <c r="BV34" s="33">
        <v>4.1447826086956496</v>
      </c>
      <c r="BW34" s="34">
        <v>6.0802380952380899</v>
      </c>
      <c r="BX34" s="34">
        <v>3.7702272727272699</v>
      </c>
      <c r="BY34" s="34">
        <v>5.12</v>
      </c>
      <c r="BZ34" s="34">
        <v>5.4043478260869504</v>
      </c>
      <c r="CA34" s="34">
        <v>1.84265306122449</v>
      </c>
      <c r="CB34" s="34">
        <v>3.7420454545454498</v>
      </c>
      <c r="CC34" s="35">
        <v>3.1459375000000001</v>
      </c>
      <c r="CE34" s="66"/>
      <c r="CF34" s="68" t="s">
        <v>22</v>
      </c>
      <c r="CG34" s="69"/>
      <c r="CH34" s="33">
        <v>2.2027659574467999</v>
      </c>
      <c r="CI34" s="34">
        <v>1.17</v>
      </c>
      <c r="CJ34" s="34">
        <v>2.5253191489361702</v>
      </c>
      <c r="CK34" s="34">
        <v>3.3624528301886798</v>
      </c>
      <c r="CL34" s="34">
        <v>1.39807017543859</v>
      </c>
      <c r="CM34" s="34">
        <v>1.50021276595744</v>
      </c>
      <c r="CN34" s="34">
        <v>1.2633333333333301</v>
      </c>
      <c r="CO34" s="35">
        <v>1.8719999999999899</v>
      </c>
      <c r="CP34" s="33">
        <v>2.2470833333333302</v>
      </c>
      <c r="CQ34" s="34">
        <v>1.17</v>
      </c>
      <c r="CR34" s="34">
        <v>2.5321739130434699</v>
      </c>
      <c r="CS34" s="34">
        <v>3.3160377358490498</v>
      </c>
      <c r="CT34" s="34">
        <v>1.4011864406779599</v>
      </c>
      <c r="CU34" s="34">
        <v>1.60239130434782</v>
      </c>
      <c r="CV34" s="34">
        <v>1.25444444444444</v>
      </c>
      <c r="CW34" s="35">
        <v>2.2833333333333301</v>
      </c>
      <c r="CY34" s="66"/>
      <c r="CZ34" s="68" t="s">
        <v>22</v>
      </c>
      <c r="DA34" s="69"/>
      <c r="DB34" s="33">
        <v>0.53792452830188697</v>
      </c>
      <c r="DC34" s="34">
        <v>4.18</v>
      </c>
      <c r="DD34" s="34">
        <v>0.359473684210526</v>
      </c>
      <c r="DE34" s="34">
        <v>1.61222222222222</v>
      </c>
      <c r="DF34" s="34">
        <v>2.4198076923076899</v>
      </c>
      <c r="DG34" s="34">
        <v>1.85981132075471</v>
      </c>
      <c r="DH34" s="34">
        <v>0.686785714285714</v>
      </c>
      <c r="DI34" s="35">
        <v>1.20461538461538</v>
      </c>
      <c r="DJ34" s="33">
        <v>0.54092592592592603</v>
      </c>
      <c r="DK34" s="34">
        <v>4.18</v>
      </c>
      <c r="DL34" s="34">
        <v>0.36482758620689598</v>
      </c>
      <c r="DM34" s="34">
        <v>1.6070370370370299</v>
      </c>
      <c r="DN34" s="34">
        <v>2.5413207547169798</v>
      </c>
      <c r="DO34" s="34">
        <v>1.86584905660377</v>
      </c>
      <c r="DP34" s="34">
        <v>0.68561403508771901</v>
      </c>
      <c r="DQ34" s="35">
        <v>1.2115094339622601</v>
      </c>
      <c r="DS34" s="66"/>
      <c r="DT34" s="68" t="s">
        <v>22</v>
      </c>
      <c r="DU34" s="69"/>
      <c r="DV34" s="33">
        <v>13.308</v>
      </c>
      <c r="DW34" s="34">
        <v>1.4642222222222201</v>
      </c>
      <c r="DX34" s="34">
        <v>1.3938181818181801</v>
      </c>
      <c r="DY34" s="34">
        <v>3.5096774193548401</v>
      </c>
      <c r="DZ34" s="34">
        <v>1.75857142857142</v>
      </c>
      <c r="EA34" s="34">
        <v>2.5231249999999998</v>
      </c>
      <c r="EB34" s="34">
        <v>0.22916666666666599</v>
      </c>
      <c r="EC34" s="35">
        <v>0.21636363636363601</v>
      </c>
      <c r="ED34" s="33">
        <v>13.270799999999999</v>
      </c>
      <c r="EE34" s="34">
        <v>1.46021276595744</v>
      </c>
      <c r="EF34" s="34">
        <v>1.4112280701754301</v>
      </c>
      <c r="EG34" s="34">
        <v>3.51125</v>
      </c>
      <c r="EH34" s="34">
        <v>1.76428571428571</v>
      </c>
      <c r="EI34" s="34">
        <v>2.5244897959183601</v>
      </c>
      <c r="EJ34" s="34">
        <v>0.22901960784313699</v>
      </c>
      <c r="EK34" s="35">
        <v>0.23749999999999899</v>
      </c>
      <c r="EM34" s="66"/>
      <c r="EN34" s="68" t="s">
        <v>22</v>
      </c>
      <c r="EO34" s="69"/>
      <c r="EP34" s="33">
        <v>0.85</v>
      </c>
      <c r="EQ34" s="34">
        <v>0.60499999999999998</v>
      </c>
      <c r="ER34" s="34">
        <v>0.1472</v>
      </c>
      <c r="ES34" s="34">
        <v>1.5636585365853599</v>
      </c>
      <c r="ET34" s="34">
        <v>2.0403999999999902</v>
      </c>
      <c r="EU34" s="34">
        <v>0.69304347826086998</v>
      </c>
      <c r="EV34" s="34">
        <v>0.32050000000000001</v>
      </c>
      <c r="EW34" s="35">
        <v>2.1512765957446698</v>
      </c>
      <c r="EX34" s="33">
        <v>0.85</v>
      </c>
      <c r="EY34" s="34">
        <v>0.58269230769230695</v>
      </c>
      <c r="EZ34" s="34">
        <v>0.147916666666666</v>
      </c>
      <c r="FA34" s="34">
        <v>1.5281578947368399</v>
      </c>
      <c r="FB34" s="34">
        <v>2.04565217391304</v>
      </c>
      <c r="FC34" s="34">
        <v>0.69666666666666699</v>
      </c>
      <c r="FD34" s="34">
        <v>0.31783783783783698</v>
      </c>
      <c r="FE34" s="35">
        <v>2.1545454545454499</v>
      </c>
    </row>
    <row r="35" spans="3:161" ht="28.8" x14ac:dyDescent="0.3">
      <c r="C35" s="66"/>
      <c r="D35" s="73" t="s">
        <v>23</v>
      </c>
      <c r="E35" s="38" t="s">
        <v>24</v>
      </c>
      <c r="F35" s="30">
        <v>3.04</v>
      </c>
      <c r="G35" s="31">
        <v>4.01</v>
      </c>
      <c r="H35" s="31">
        <v>5.24</v>
      </c>
      <c r="I35" s="31">
        <v>5.77</v>
      </c>
      <c r="J35" s="31">
        <v>4.1900000000000004</v>
      </c>
      <c r="K35" s="31">
        <v>4.38</v>
      </c>
      <c r="L35" s="31">
        <v>1.55</v>
      </c>
      <c r="M35" s="32">
        <v>2.41</v>
      </c>
      <c r="N35" s="30">
        <v>3.04</v>
      </c>
      <c r="O35" s="31">
        <v>4.01</v>
      </c>
      <c r="P35" s="31">
        <v>5.24</v>
      </c>
      <c r="Q35" s="31">
        <v>5.77</v>
      </c>
      <c r="R35" s="31">
        <v>4.1900000000000004</v>
      </c>
      <c r="S35" s="31">
        <v>4.38</v>
      </c>
      <c r="T35" s="31">
        <v>1.55</v>
      </c>
      <c r="U35" s="32">
        <v>2.41</v>
      </c>
      <c r="W35" s="66"/>
      <c r="X35" s="73" t="s">
        <v>23</v>
      </c>
      <c r="Y35" s="38" t="s">
        <v>24</v>
      </c>
      <c r="Z35" s="30">
        <v>2.88</v>
      </c>
      <c r="AA35" s="31">
        <v>5.31</v>
      </c>
      <c r="AB35" s="31">
        <v>5.04</v>
      </c>
      <c r="AC35" s="31">
        <v>6.21</v>
      </c>
      <c r="AD35" s="31">
        <v>5.29</v>
      </c>
      <c r="AE35" s="31">
        <v>3.65</v>
      </c>
      <c r="AF35" s="31">
        <v>2.85</v>
      </c>
      <c r="AG35" s="32">
        <v>3.06</v>
      </c>
      <c r="AH35" s="30">
        <v>2.88</v>
      </c>
      <c r="AI35" s="31">
        <v>5.31</v>
      </c>
      <c r="AJ35" s="31">
        <v>5.04</v>
      </c>
      <c r="AK35" s="31">
        <v>6.21</v>
      </c>
      <c r="AL35" s="31">
        <v>5.29</v>
      </c>
      <c r="AM35" s="31">
        <v>3.65</v>
      </c>
      <c r="AN35" s="31">
        <v>2.85</v>
      </c>
      <c r="AO35" s="32">
        <v>3.06</v>
      </c>
      <c r="AQ35" s="66"/>
      <c r="AR35" s="73" t="s">
        <v>23</v>
      </c>
      <c r="AS35" s="38" t="s">
        <v>24</v>
      </c>
      <c r="AT35" s="30">
        <v>3.88</v>
      </c>
      <c r="AU35" s="31">
        <v>4.2300000000000004</v>
      </c>
      <c r="AV35" s="31">
        <v>3.88</v>
      </c>
      <c r="AW35" s="31">
        <v>4.43</v>
      </c>
      <c r="AX35" s="31">
        <v>3.58</v>
      </c>
      <c r="AY35" s="31">
        <v>3.17</v>
      </c>
      <c r="AZ35" s="31">
        <v>1.72</v>
      </c>
      <c r="BA35" s="32">
        <v>1.1399999999999999</v>
      </c>
      <c r="BB35" s="30">
        <v>3.88</v>
      </c>
      <c r="BC35" s="31">
        <v>4.2300000000000004</v>
      </c>
      <c r="BD35" s="31">
        <v>3.88</v>
      </c>
      <c r="BE35" s="31">
        <v>4.43</v>
      </c>
      <c r="BF35" s="31">
        <v>3.58</v>
      </c>
      <c r="BG35" s="31">
        <v>3.17</v>
      </c>
      <c r="BH35" s="31">
        <v>1.72</v>
      </c>
      <c r="BI35" s="32">
        <v>1.1399999999999999</v>
      </c>
      <c r="BK35" s="66"/>
      <c r="BL35" s="73" t="s">
        <v>23</v>
      </c>
      <c r="BM35" s="38" t="s">
        <v>24</v>
      </c>
      <c r="BN35" s="30">
        <v>4.2</v>
      </c>
      <c r="BO35" s="31">
        <v>6.08</v>
      </c>
      <c r="BP35" s="31">
        <v>3.62</v>
      </c>
      <c r="BQ35" s="31">
        <v>5.36</v>
      </c>
      <c r="BR35" s="31">
        <v>5.44</v>
      </c>
      <c r="BS35" s="31">
        <v>1.82</v>
      </c>
      <c r="BT35" s="31">
        <v>3.76</v>
      </c>
      <c r="BU35" s="32">
        <v>2.87</v>
      </c>
      <c r="BV35" s="30">
        <v>4.2</v>
      </c>
      <c r="BW35" s="31">
        <v>6.08</v>
      </c>
      <c r="BX35" s="31">
        <v>3.62</v>
      </c>
      <c r="BY35" s="31">
        <v>5.36</v>
      </c>
      <c r="BZ35" s="31">
        <v>5.44</v>
      </c>
      <c r="CA35" s="31">
        <v>1.82</v>
      </c>
      <c r="CB35" s="31">
        <v>3.76</v>
      </c>
      <c r="CC35" s="32">
        <v>2.87</v>
      </c>
      <c r="CE35" s="66"/>
      <c r="CF35" s="73" t="s">
        <v>23</v>
      </c>
      <c r="CG35" s="38" t="s">
        <v>24</v>
      </c>
      <c r="CH35" s="30">
        <v>3.04</v>
      </c>
      <c r="CI35" s="31">
        <v>4.01</v>
      </c>
      <c r="CJ35" s="31">
        <v>5.24</v>
      </c>
      <c r="CK35" s="31">
        <v>5.77</v>
      </c>
      <c r="CL35" s="31">
        <v>4.1900000000000004</v>
      </c>
      <c r="CM35" s="31">
        <v>4.38</v>
      </c>
      <c r="CN35" s="31">
        <v>1.55</v>
      </c>
      <c r="CO35" s="32">
        <v>2.41</v>
      </c>
      <c r="CP35" s="30">
        <v>3.04</v>
      </c>
      <c r="CQ35" s="31">
        <v>4.01</v>
      </c>
      <c r="CR35" s="31">
        <v>5.24</v>
      </c>
      <c r="CS35" s="31">
        <v>5.77</v>
      </c>
      <c r="CT35" s="31">
        <v>4.1900000000000004</v>
      </c>
      <c r="CU35" s="31">
        <v>4.38</v>
      </c>
      <c r="CV35" s="31">
        <v>1.55</v>
      </c>
      <c r="CW35" s="32">
        <v>2.41</v>
      </c>
      <c r="CY35" s="66"/>
      <c r="CZ35" s="73" t="s">
        <v>23</v>
      </c>
      <c r="DA35" s="38" t="s">
        <v>24</v>
      </c>
      <c r="DB35" s="30">
        <v>2.88</v>
      </c>
      <c r="DC35" s="31">
        <v>5.31</v>
      </c>
      <c r="DD35" s="31">
        <v>5.04</v>
      </c>
      <c r="DE35" s="31">
        <v>6.21</v>
      </c>
      <c r="DF35" s="31">
        <v>5.29</v>
      </c>
      <c r="DG35" s="31">
        <v>3.65</v>
      </c>
      <c r="DH35" s="31">
        <v>2.85</v>
      </c>
      <c r="DI35" s="32">
        <v>3.06</v>
      </c>
      <c r="DJ35" s="30">
        <v>2.88</v>
      </c>
      <c r="DK35" s="31">
        <v>5.31</v>
      </c>
      <c r="DL35" s="31">
        <v>5.04</v>
      </c>
      <c r="DM35" s="31">
        <v>6.21</v>
      </c>
      <c r="DN35" s="31">
        <v>5.29</v>
      </c>
      <c r="DO35" s="31">
        <v>3.65</v>
      </c>
      <c r="DP35" s="31">
        <v>2.85</v>
      </c>
      <c r="DQ35" s="32">
        <v>3.06</v>
      </c>
      <c r="DS35" s="66"/>
      <c r="DT35" s="73" t="s">
        <v>23</v>
      </c>
      <c r="DU35" s="38" t="s">
        <v>24</v>
      </c>
      <c r="DV35" s="30">
        <v>3.88</v>
      </c>
      <c r="DW35" s="31">
        <v>4.2300000000000004</v>
      </c>
      <c r="DX35" s="31">
        <v>3.88</v>
      </c>
      <c r="DY35" s="31">
        <v>4.43</v>
      </c>
      <c r="DZ35" s="31">
        <v>3.58</v>
      </c>
      <c r="EA35" s="31">
        <v>3.17</v>
      </c>
      <c r="EB35" s="31">
        <v>1.72</v>
      </c>
      <c r="EC35" s="32">
        <v>1.1399999999999999</v>
      </c>
      <c r="ED35" s="30">
        <v>3.88</v>
      </c>
      <c r="EE35" s="31">
        <v>4.2300000000000004</v>
      </c>
      <c r="EF35" s="31">
        <v>3.88</v>
      </c>
      <c r="EG35" s="31">
        <v>4.43</v>
      </c>
      <c r="EH35" s="31">
        <v>3.58</v>
      </c>
      <c r="EI35" s="31">
        <v>3.17</v>
      </c>
      <c r="EJ35" s="31">
        <v>1.72</v>
      </c>
      <c r="EK35" s="32">
        <v>1.1399999999999999</v>
      </c>
      <c r="EM35" s="66"/>
      <c r="EN35" s="73" t="s">
        <v>23</v>
      </c>
      <c r="EO35" s="38" t="s">
        <v>24</v>
      </c>
      <c r="EP35" s="30">
        <v>4.2</v>
      </c>
      <c r="EQ35" s="31">
        <v>6.08</v>
      </c>
      <c r="ER35" s="31">
        <v>3.62</v>
      </c>
      <c r="ES35" s="31">
        <v>5.36</v>
      </c>
      <c r="ET35" s="31">
        <v>5.44</v>
      </c>
      <c r="EU35" s="31">
        <v>1.82</v>
      </c>
      <c r="EV35" s="31">
        <v>3.76</v>
      </c>
      <c r="EW35" s="32">
        <v>2.87</v>
      </c>
      <c r="EX35" s="30">
        <v>4.2</v>
      </c>
      <c r="EY35" s="31">
        <v>6.08</v>
      </c>
      <c r="EZ35" s="31">
        <v>3.62</v>
      </c>
      <c r="FA35" s="31">
        <v>5.36</v>
      </c>
      <c r="FB35" s="31">
        <v>5.44</v>
      </c>
      <c r="FC35" s="31">
        <v>1.82</v>
      </c>
      <c r="FD35" s="31">
        <v>3.76</v>
      </c>
      <c r="FE35" s="32">
        <v>2.87</v>
      </c>
    </row>
    <row r="36" spans="3:161" x14ac:dyDescent="0.3">
      <c r="C36" s="66"/>
      <c r="D36" s="70"/>
      <c r="E36" s="39" t="s">
        <v>25</v>
      </c>
      <c r="F36" s="15">
        <v>4.078787878788015E-2</v>
      </c>
      <c r="G36" s="16">
        <v>-0.37733333333332997</v>
      </c>
      <c r="H36" s="16">
        <v>-5.1999999999989832E-2</v>
      </c>
      <c r="I36" s="16">
        <v>0.26539473684210968</v>
      </c>
      <c r="J36" s="16">
        <v>-0.13477707006368966</v>
      </c>
      <c r="K36" s="16">
        <v>-0.41899999999998983</v>
      </c>
      <c r="L36" s="16">
        <v>-0.20102409638553986</v>
      </c>
      <c r="M36" s="17">
        <v>0.15358108108108004</v>
      </c>
      <c r="N36" s="15">
        <v>4.263157894737013E-2</v>
      </c>
      <c r="O36" s="16">
        <v>-0.37727272727271988</v>
      </c>
      <c r="P36" s="16">
        <v>-5.757575757574962E-2</v>
      </c>
      <c r="Q36" s="16">
        <v>0.27638888888888946</v>
      </c>
      <c r="R36" s="16">
        <v>-0.13410256410255972</v>
      </c>
      <c r="S36" s="16">
        <v>-0.41666666666665986</v>
      </c>
      <c r="T36" s="16">
        <v>-0.19903225806450986</v>
      </c>
      <c r="U36" s="17">
        <v>0.15666666666667028</v>
      </c>
      <c r="W36" s="66"/>
      <c r="X36" s="70"/>
      <c r="Y36" s="39" t="s">
        <v>25</v>
      </c>
      <c r="Z36" s="15">
        <v>4.3823529411769702E-2</v>
      </c>
      <c r="AA36" s="16">
        <v>-0.10171874999999009</v>
      </c>
      <c r="AB36" s="16">
        <v>-0.1332812499999898</v>
      </c>
      <c r="AC36" s="16">
        <v>0.53066666666667039</v>
      </c>
      <c r="AD36" s="16">
        <v>0.16500000000000004</v>
      </c>
      <c r="AE36" s="16">
        <v>-5.9180327868850302E-2</v>
      </c>
      <c r="AF36" s="16">
        <v>-0.20796875000000004</v>
      </c>
      <c r="AG36" s="17">
        <v>-0.36999999999998989</v>
      </c>
      <c r="AH36" s="15">
        <v>4.0925925925929807E-2</v>
      </c>
      <c r="AI36" s="16">
        <v>-5.4489795918360784E-2</v>
      </c>
      <c r="AJ36" s="16">
        <v>-0.13235294117646035</v>
      </c>
      <c r="AK36" s="16">
        <v>0.47565217391305037</v>
      </c>
      <c r="AL36" s="16">
        <v>0.16166666666666973</v>
      </c>
      <c r="AM36" s="16">
        <v>-5.5600000000000094E-2</v>
      </c>
      <c r="AN36" s="16">
        <v>-0.20779999999999976</v>
      </c>
      <c r="AO36" s="17">
        <v>-0.38234042553190983</v>
      </c>
      <c r="AQ36" s="66"/>
      <c r="AR36" s="70"/>
      <c r="AS36" s="39" t="s">
        <v>25</v>
      </c>
      <c r="AT36" s="15">
        <v>-3.0794979079479923E-2</v>
      </c>
      <c r="AU36" s="16">
        <v>-3.5761316872409132E-2</v>
      </c>
      <c r="AV36" s="16">
        <v>-0.26907563025209047</v>
      </c>
      <c r="AW36" s="16">
        <v>0.13557377049180985</v>
      </c>
      <c r="AX36" s="16">
        <v>-1.0124481327800083E-2</v>
      </c>
      <c r="AY36" s="16">
        <v>4.1204819277109728E-2</v>
      </c>
      <c r="AZ36" s="16">
        <v>9.000000000000008E-2</v>
      </c>
      <c r="BA36" s="17">
        <v>-0.10597560975608999</v>
      </c>
      <c r="BB36" s="15">
        <v>-2.8809523809520066E-2</v>
      </c>
      <c r="BC36" s="16">
        <v>-4.6046511627899633E-2</v>
      </c>
      <c r="BD36" s="16">
        <v>-0.26243902439023969</v>
      </c>
      <c r="BE36" s="16">
        <v>0.12100000000000932</v>
      </c>
      <c r="BF36" s="16">
        <v>-2.0697674418599821E-2</v>
      </c>
      <c r="BG36" s="16">
        <v>3.833333333333977E-2</v>
      </c>
      <c r="BH36" s="16">
        <v>8.8139534883729942E-2</v>
      </c>
      <c r="BI36" s="17">
        <v>-0.1085714285714201</v>
      </c>
      <c r="BK36" s="66"/>
      <c r="BL36" s="70"/>
      <c r="BM36" s="39" t="s">
        <v>25</v>
      </c>
      <c r="BN36" s="15">
        <v>5.5436893203889781E-2</v>
      </c>
      <c r="BO36" s="16">
        <v>-1.0898876404489499E-2</v>
      </c>
      <c r="BP36" s="16">
        <v>-0.15207547169810987</v>
      </c>
      <c r="BQ36" s="16">
        <v>0.27262626262626988</v>
      </c>
      <c r="BR36" s="16">
        <v>7.8217821782207153E-3</v>
      </c>
      <c r="BS36" s="16">
        <v>-2.5140186915880047E-2</v>
      </c>
      <c r="BT36" s="16">
        <v>1.2551020408169578E-2</v>
      </c>
      <c r="BU36" s="17">
        <v>-0.28287671232875988</v>
      </c>
      <c r="BV36" s="15">
        <v>5.5217391304350549E-2</v>
      </c>
      <c r="BW36" s="16">
        <v>-2.3809523808981936E-4</v>
      </c>
      <c r="BX36" s="16">
        <v>-0.15022727272726977</v>
      </c>
      <c r="BY36" s="16">
        <v>0.24000000000000021</v>
      </c>
      <c r="BZ36" s="16">
        <v>3.5652173913049978E-2</v>
      </c>
      <c r="CA36" s="16">
        <v>-2.2653061224489957E-2</v>
      </c>
      <c r="CB36" s="16">
        <v>1.7954545454549997E-2</v>
      </c>
      <c r="CC36" s="17">
        <v>-0.27593749999999995</v>
      </c>
      <c r="CE36" s="66"/>
      <c r="CF36" s="70"/>
      <c r="CG36" s="39" t="s">
        <v>25</v>
      </c>
      <c r="CH36" s="15">
        <v>0.83723404255320011</v>
      </c>
      <c r="CI36" s="16">
        <v>2.84</v>
      </c>
      <c r="CJ36" s="16">
        <v>2.7146808510638301</v>
      </c>
      <c r="CK36" s="16">
        <v>2.4075471698113198</v>
      </c>
      <c r="CL36" s="16">
        <v>2.7919298245614104</v>
      </c>
      <c r="CM36" s="16">
        <v>2.8797872340425599</v>
      </c>
      <c r="CN36" s="16">
        <v>0.28666666666666996</v>
      </c>
      <c r="CO36" s="17">
        <v>0.53800000000001025</v>
      </c>
      <c r="CP36" s="15">
        <v>0.79291666666666982</v>
      </c>
      <c r="CQ36" s="16">
        <v>2.84</v>
      </c>
      <c r="CR36" s="16">
        <v>2.7078260869565303</v>
      </c>
      <c r="CS36" s="16">
        <v>2.4539622641509498</v>
      </c>
      <c r="CT36" s="16">
        <v>2.7888135593220404</v>
      </c>
      <c r="CU36" s="16">
        <v>2.7776086956521802</v>
      </c>
      <c r="CV36" s="16">
        <v>0.29555555555556001</v>
      </c>
      <c r="CW36" s="17">
        <v>0.12666666666667004</v>
      </c>
      <c r="CY36" s="66"/>
      <c r="CZ36" s="70"/>
      <c r="DA36" s="39" t="s">
        <v>25</v>
      </c>
      <c r="DB36" s="15">
        <v>2.3420754716981129</v>
      </c>
      <c r="DC36" s="16">
        <v>1.1299999999999999</v>
      </c>
      <c r="DD36" s="16">
        <v>4.6805263157894741</v>
      </c>
      <c r="DE36" s="16">
        <v>4.5977777777777797</v>
      </c>
      <c r="DF36" s="16">
        <v>2.8701923076923102</v>
      </c>
      <c r="DG36" s="16">
        <v>1.7901886792452899</v>
      </c>
      <c r="DH36" s="16">
        <v>2.163214285714286</v>
      </c>
      <c r="DI36" s="17">
        <v>1.8553846153846201</v>
      </c>
      <c r="DJ36" s="15">
        <v>2.3390740740740741</v>
      </c>
      <c r="DK36" s="16">
        <v>1.1299999999999999</v>
      </c>
      <c r="DL36" s="16">
        <v>4.6751724137931037</v>
      </c>
      <c r="DM36" s="16">
        <v>4.6029629629629696</v>
      </c>
      <c r="DN36" s="16">
        <v>2.7486792452830202</v>
      </c>
      <c r="DO36" s="16">
        <v>1.7841509433962299</v>
      </c>
      <c r="DP36" s="16">
        <v>2.164385964912281</v>
      </c>
      <c r="DQ36" s="17">
        <v>1.84849056603774</v>
      </c>
      <c r="DS36" s="66"/>
      <c r="DT36" s="70"/>
      <c r="DU36" s="39" t="s">
        <v>25</v>
      </c>
      <c r="DV36" s="15">
        <v>-9.4280000000000008</v>
      </c>
      <c r="DW36" s="16">
        <v>2.7657777777777803</v>
      </c>
      <c r="DX36" s="16">
        <v>2.4861818181818198</v>
      </c>
      <c r="DY36" s="16">
        <v>0.92032258064515959</v>
      </c>
      <c r="DZ36" s="16">
        <v>1.8214285714285801</v>
      </c>
      <c r="EA36" s="16">
        <v>0.64687500000000009</v>
      </c>
      <c r="EB36" s="16">
        <v>1.4908333333333339</v>
      </c>
      <c r="EC36" s="17">
        <v>0.92363636363636392</v>
      </c>
      <c r="ED36" s="15">
        <v>-9.3907999999999987</v>
      </c>
      <c r="EE36" s="16">
        <v>2.7697872340425604</v>
      </c>
      <c r="EF36" s="16">
        <v>2.4687719298245696</v>
      </c>
      <c r="EG36" s="16">
        <v>0.91874999999999973</v>
      </c>
      <c r="EH36" s="16">
        <v>1.8157142857142901</v>
      </c>
      <c r="EI36" s="16">
        <v>0.64551020408163984</v>
      </c>
      <c r="EJ36" s="16">
        <v>1.490980392156863</v>
      </c>
      <c r="EK36" s="17">
        <v>0.90250000000000097</v>
      </c>
      <c r="EM36" s="66"/>
      <c r="EN36" s="70"/>
      <c r="EO36" s="39" t="s">
        <v>25</v>
      </c>
      <c r="EP36" s="15">
        <v>3.35</v>
      </c>
      <c r="EQ36" s="16">
        <v>5.4749999999999996</v>
      </c>
      <c r="ER36" s="16">
        <v>3.4728000000000003</v>
      </c>
      <c r="ES36" s="16">
        <v>3.7963414634146404</v>
      </c>
      <c r="ET36" s="16">
        <v>3.3996000000000102</v>
      </c>
      <c r="EU36" s="16">
        <v>1.12695652173913</v>
      </c>
      <c r="EV36" s="16">
        <v>3.4394999999999998</v>
      </c>
      <c r="EW36" s="17">
        <v>0.71872340425533032</v>
      </c>
      <c r="EX36" s="15">
        <v>3.35</v>
      </c>
      <c r="EY36" s="16">
        <v>5.4973076923076931</v>
      </c>
      <c r="EZ36" s="16">
        <v>3.4720833333333343</v>
      </c>
      <c r="FA36" s="16">
        <v>3.8318421052631604</v>
      </c>
      <c r="FB36" s="16">
        <v>3.3943478260869604</v>
      </c>
      <c r="FC36" s="16">
        <v>1.1233333333333331</v>
      </c>
      <c r="FD36" s="16">
        <v>3.442162162162163</v>
      </c>
      <c r="FE36" s="17">
        <v>0.71545454545455023</v>
      </c>
    </row>
    <row r="37" spans="3:161" x14ac:dyDescent="0.3">
      <c r="C37" s="66"/>
      <c r="D37" s="70"/>
      <c r="E37" s="39" t="s">
        <v>26</v>
      </c>
      <c r="F37" s="15">
        <v>1.3599531190009957</v>
      </c>
      <c r="G37" s="16">
        <v>-8.6005166388086227</v>
      </c>
      <c r="H37" s="16">
        <v>-0.98261526832936386</v>
      </c>
      <c r="I37" s="16">
        <v>4.8213218596869494</v>
      </c>
      <c r="J37" s="16">
        <v>-3.1163934667667119</v>
      </c>
      <c r="K37" s="16">
        <v>-8.7309856220043898</v>
      </c>
      <c r="L37" s="16">
        <v>-11.480372931502963</v>
      </c>
      <c r="M37" s="17">
        <v>6.8064081449318259</v>
      </c>
      <c r="N37" s="15">
        <v>1.4223002633889954</v>
      </c>
      <c r="O37" s="16">
        <v>-8.5992540406131912</v>
      </c>
      <c r="P37" s="16">
        <v>-1.0868321702320902</v>
      </c>
      <c r="Q37" s="16">
        <v>5.0310967285230435</v>
      </c>
      <c r="R37" s="16">
        <v>-3.1012808349145127</v>
      </c>
      <c r="S37" s="16">
        <v>-8.6865879082695017</v>
      </c>
      <c r="T37" s="16">
        <v>-11.379564736259365</v>
      </c>
      <c r="U37" s="17">
        <v>6.9526627218936623</v>
      </c>
      <c r="W37" s="66"/>
      <c r="X37" s="70"/>
      <c r="Y37" s="39" t="s">
        <v>26</v>
      </c>
      <c r="Z37" s="15">
        <v>1.5451622938921212</v>
      </c>
      <c r="AA37" s="16">
        <v>-1.8796015591163211</v>
      </c>
      <c r="AB37" s="16">
        <v>-2.5763387598536238</v>
      </c>
      <c r="AC37" s="16">
        <v>9.3438196971476248</v>
      </c>
      <c r="AD37" s="16">
        <v>3.2195121951219519</v>
      </c>
      <c r="AE37" s="16">
        <v>-1.595509590736264</v>
      </c>
      <c r="AF37" s="16">
        <v>-6.8008788513617091</v>
      </c>
      <c r="AG37" s="17">
        <v>-10.787172011661545</v>
      </c>
      <c r="AH37" s="15">
        <v>1.4415237101299412</v>
      </c>
      <c r="AI37" s="16">
        <v>-1.0157498288060876</v>
      </c>
      <c r="AJ37" s="16">
        <v>-2.5588536335719665</v>
      </c>
      <c r="AK37" s="16">
        <v>8.29479111380709</v>
      </c>
      <c r="AL37" s="16">
        <v>3.1524211894703251</v>
      </c>
      <c r="AM37" s="16">
        <v>-1.5004317789291908</v>
      </c>
      <c r="AN37" s="16">
        <v>-6.7957354961083061</v>
      </c>
      <c r="AO37" s="17">
        <v>-11.106990543296735</v>
      </c>
      <c r="AQ37" s="66"/>
      <c r="AR37" s="70"/>
      <c r="AS37" s="39" t="s">
        <v>26</v>
      </c>
      <c r="AT37" s="15">
        <v>-0.78743527196428031</v>
      </c>
      <c r="AU37" s="16">
        <v>-0.83833375137427479</v>
      </c>
      <c r="AV37" s="16">
        <v>-6.485194636853171</v>
      </c>
      <c r="AW37" s="16">
        <v>3.1569705298520443</v>
      </c>
      <c r="AX37" s="16">
        <v>-0.28200919997224067</v>
      </c>
      <c r="AY37" s="16">
        <v>1.316954830759794</v>
      </c>
      <c r="AZ37" s="16">
        <v>5.5214723926380422</v>
      </c>
      <c r="BA37" s="17">
        <v>-8.5054321229318131</v>
      </c>
      <c r="BB37" s="15">
        <v>-0.73704087226645798</v>
      </c>
      <c r="BC37" s="16">
        <v>-1.0768477728828452</v>
      </c>
      <c r="BD37" s="16">
        <v>-6.335374470089401</v>
      </c>
      <c r="BE37" s="16">
        <v>2.8080761197495847</v>
      </c>
      <c r="BF37" s="16">
        <v>-0.57482400051656235</v>
      </c>
      <c r="BG37" s="16">
        <v>1.2240553485898835</v>
      </c>
      <c r="BH37" s="16">
        <v>5.4011685905663516</v>
      </c>
      <c r="BI37" s="17">
        <v>-8.6956521739124248</v>
      </c>
      <c r="BK37" s="66"/>
      <c r="BL37" s="70"/>
      <c r="BM37" s="39" t="s">
        <v>26</v>
      </c>
      <c r="BN37" s="15">
        <v>1.3375811098879467</v>
      </c>
      <c r="BO37" s="16">
        <v>-0.17893707686907454</v>
      </c>
      <c r="BP37" s="16">
        <v>-4.0316126450579377</v>
      </c>
      <c r="BQ37" s="16">
        <v>5.3588801747246606</v>
      </c>
      <c r="BR37" s="16">
        <v>0.14398979312864169</v>
      </c>
      <c r="BS37" s="16">
        <v>-1.3625082307649174</v>
      </c>
      <c r="BT37" s="16">
        <v>0.33492171545285793</v>
      </c>
      <c r="BU37" s="17">
        <v>-8.9720194647199847</v>
      </c>
      <c r="BV37" s="15">
        <v>1.3322144130914335</v>
      </c>
      <c r="BW37" s="16">
        <v>-3.9158867524659996E-3</v>
      </c>
      <c r="BX37" s="16">
        <v>-3.9845680872866809</v>
      </c>
      <c r="BY37" s="16">
        <v>4.6875000000000044</v>
      </c>
      <c r="BZ37" s="16">
        <v>0.65969428801299312</v>
      </c>
      <c r="CA37" s="16">
        <v>-1.2293720234799066</v>
      </c>
      <c r="CB37" s="16">
        <v>0.4798056483450962</v>
      </c>
      <c r="CC37" s="17">
        <v>-8.7712327406377266</v>
      </c>
      <c r="CE37" s="66"/>
      <c r="CF37" s="70"/>
      <c r="CG37" s="39" t="s">
        <v>26</v>
      </c>
      <c r="CH37" s="15">
        <v>38.008306770984795</v>
      </c>
      <c r="CI37" s="16">
        <v>242.73504273504273</v>
      </c>
      <c r="CJ37" s="16">
        <v>107.49852557081473</v>
      </c>
      <c r="CK37" s="16">
        <v>71.600920262611496</v>
      </c>
      <c r="CL37" s="16">
        <v>199.69883297779035</v>
      </c>
      <c r="CM37" s="16">
        <v>191.9585874344078</v>
      </c>
      <c r="CN37" s="16">
        <v>22.691292875989767</v>
      </c>
      <c r="CO37" s="17">
        <v>28.739316239316942</v>
      </c>
      <c r="CP37" s="15">
        <v>35.28648247728556</v>
      </c>
      <c r="CQ37" s="16">
        <v>242.73504273504273</v>
      </c>
      <c r="CR37" s="16">
        <v>106.93681318681388</v>
      </c>
      <c r="CS37" s="16">
        <v>74.002844950213714</v>
      </c>
      <c r="CT37" s="16">
        <v>199.03229708479631</v>
      </c>
      <c r="CU37" s="16">
        <v>173.3414733414744</v>
      </c>
      <c r="CV37" s="16">
        <v>23.560673162090783</v>
      </c>
      <c r="CW37" s="17">
        <v>5.5474452554746083</v>
      </c>
      <c r="CY37" s="66"/>
      <c r="CZ37" s="70"/>
      <c r="DA37" s="39" t="s">
        <v>26</v>
      </c>
      <c r="DB37" s="15">
        <v>435.39109084531719</v>
      </c>
      <c r="DC37" s="16">
        <v>27.033492822966505</v>
      </c>
      <c r="DD37" s="16">
        <v>1302.0497803806747</v>
      </c>
      <c r="DE37" s="16">
        <v>285.18263266712665</v>
      </c>
      <c r="DF37" s="16">
        <v>118.61241357386973</v>
      </c>
      <c r="DG37" s="16">
        <v>96.256467485036751</v>
      </c>
      <c r="DH37" s="16">
        <v>314.97659906396274</v>
      </c>
      <c r="DI37" s="17">
        <v>154.02298850574812</v>
      </c>
      <c r="DJ37" s="15">
        <v>432.42040397124259</v>
      </c>
      <c r="DK37" s="16">
        <v>27.033492822966505</v>
      </c>
      <c r="DL37" s="16">
        <v>1281.4744801512309</v>
      </c>
      <c r="DM37" s="16">
        <v>286.42544365061241</v>
      </c>
      <c r="DN37" s="16">
        <v>108.15947731828655</v>
      </c>
      <c r="DO37" s="16">
        <v>95.621397512387873</v>
      </c>
      <c r="DP37" s="16">
        <v>315.68577277379751</v>
      </c>
      <c r="DQ37" s="17">
        <v>152.57748014328072</v>
      </c>
      <c r="DS37" s="66"/>
      <c r="DT37" s="70"/>
      <c r="DU37" s="39" t="s">
        <v>26</v>
      </c>
      <c r="DV37" s="15">
        <v>-70.844604749023148</v>
      </c>
      <c r="DW37" s="16">
        <v>188.89057520109318</v>
      </c>
      <c r="DX37" s="16">
        <v>178.37203235063953</v>
      </c>
      <c r="DY37" s="16">
        <v>26.222426470588179</v>
      </c>
      <c r="DZ37" s="16">
        <v>103.57432981316104</v>
      </c>
      <c r="EA37" s="16">
        <v>25.637849888531093</v>
      </c>
      <c r="EB37" s="16">
        <v>650.54545454545666</v>
      </c>
      <c r="EC37" s="17">
        <v>426.89075630252182</v>
      </c>
      <c r="ED37" s="15">
        <v>-70.762877897338512</v>
      </c>
      <c r="EE37" s="16">
        <v>189.68381174413659</v>
      </c>
      <c r="EF37" s="16">
        <v>174.9378418697182</v>
      </c>
      <c r="EG37" s="16">
        <v>26.16589533641865</v>
      </c>
      <c r="EH37" s="16">
        <v>102.91497975708552</v>
      </c>
      <c r="EI37" s="16">
        <v>25.569927243330998</v>
      </c>
      <c r="EJ37" s="16">
        <v>651.02739726027482</v>
      </c>
      <c r="EK37" s="17">
        <v>380.00000000000205</v>
      </c>
      <c r="EM37" s="66"/>
      <c r="EN37" s="70"/>
      <c r="EO37" s="39" t="s">
        <v>26</v>
      </c>
      <c r="EP37" s="15">
        <v>394.11764705882354</v>
      </c>
      <c r="EQ37" s="16">
        <v>904.95867768595042</v>
      </c>
      <c r="ER37" s="16">
        <v>2359.239130434783</v>
      </c>
      <c r="ES37" s="16">
        <v>242.78583684292755</v>
      </c>
      <c r="ET37" s="16">
        <v>166.61438933542573</v>
      </c>
      <c r="EU37" s="16">
        <v>162.60978670012531</v>
      </c>
      <c r="EV37" s="16">
        <v>1073.1669266770671</v>
      </c>
      <c r="EW37" s="17">
        <v>33.409158342400062</v>
      </c>
      <c r="EX37" s="15">
        <v>394.11764705882354</v>
      </c>
      <c r="EY37" s="16">
        <v>943.43234323432489</v>
      </c>
      <c r="EZ37" s="16">
        <v>2347.3239436619833</v>
      </c>
      <c r="FA37" s="16">
        <v>250.74909591871929</v>
      </c>
      <c r="FB37" s="16">
        <v>165.92986184909716</v>
      </c>
      <c r="FC37" s="16">
        <v>161.24401913875587</v>
      </c>
      <c r="FD37" s="16">
        <v>1082.9931972789147</v>
      </c>
      <c r="FE37" s="17">
        <v>33.20675105485261</v>
      </c>
    </row>
    <row r="38" spans="3:161" ht="28.8" x14ac:dyDescent="0.3">
      <c r="C38" s="66"/>
      <c r="D38" s="70" t="s">
        <v>27</v>
      </c>
      <c r="E38" s="40" t="s">
        <v>24</v>
      </c>
      <c r="F38" s="30">
        <v>2.99</v>
      </c>
      <c r="G38" s="31">
        <v>4.18</v>
      </c>
      <c r="H38" s="31">
        <v>5.28</v>
      </c>
      <c r="I38" s="31">
        <v>5.69</v>
      </c>
      <c r="J38" s="31">
        <v>4.22</v>
      </c>
      <c r="K38" s="31">
        <v>4.3899999999999997</v>
      </c>
      <c r="L38" s="31">
        <v>1.62</v>
      </c>
      <c r="M38" s="32">
        <v>2.44</v>
      </c>
      <c r="N38" s="30">
        <v>2.99</v>
      </c>
      <c r="O38" s="31">
        <v>4.18</v>
      </c>
      <c r="P38" s="31">
        <v>5.28</v>
      </c>
      <c r="Q38" s="31">
        <v>5.69</v>
      </c>
      <c r="R38" s="31">
        <v>4.22</v>
      </c>
      <c r="S38" s="31">
        <v>4.3899999999999997</v>
      </c>
      <c r="T38" s="31">
        <v>1.62</v>
      </c>
      <c r="U38" s="32">
        <v>2.44</v>
      </c>
      <c r="W38" s="66"/>
      <c r="X38" s="70" t="s">
        <v>27</v>
      </c>
      <c r="Y38" s="40" t="s">
        <v>24</v>
      </c>
      <c r="Z38" s="30">
        <v>2.84</v>
      </c>
      <c r="AA38" s="31">
        <v>5.41</v>
      </c>
      <c r="AB38" s="31">
        <v>5.0999999999999996</v>
      </c>
      <c r="AC38" s="31">
        <v>6.17</v>
      </c>
      <c r="AD38" s="31">
        <v>5.33</v>
      </c>
      <c r="AE38" s="31">
        <v>3.65</v>
      </c>
      <c r="AF38" s="31">
        <v>2.94</v>
      </c>
      <c r="AG38" s="32">
        <v>3.12</v>
      </c>
      <c r="AH38" s="30">
        <v>2.84</v>
      </c>
      <c r="AI38" s="31">
        <v>5.41</v>
      </c>
      <c r="AJ38" s="31">
        <v>5.0999999999999996</v>
      </c>
      <c r="AK38" s="31">
        <v>6.17</v>
      </c>
      <c r="AL38" s="31">
        <v>5.33</v>
      </c>
      <c r="AM38" s="31">
        <v>3.65</v>
      </c>
      <c r="AN38" s="31">
        <v>2.94</v>
      </c>
      <c r="AO38" s="32">
        <v>3.12</v>
      </c>
      <c r="AQ38" s="66"/>
      <c r="AR38" s="70" t="s">
        <v>27</v>
      </c>
      <c r="AS38" s="40" t="s">
        <v>24</v>
      </c>
      <c r="AT38" s="30">
        <v>3.86</v>
      </c>
      <c r="AU38" s="31">
        <v>4.24</v>
      </c>
      <c r="AV38" s="31">
        <v>3.37</v>
      </c>
      <c r="AW38" s="31">
        <v>4.38</v>
      </c>
      <c r="AX38" s="31">
        <v>3.57</v>
      </c>
      <c r="AY38" s="31">
        <v>3.19</v>
      </c>
      <c r="AZ38" s="31">
        <v>1.74</v>
      </c>
      <c r="BA38" s="32">
        <v>1.1200000000000001</v>
      </c>
      <c r="BB38" s="30">
        <v>3.86</v>
      </c>
      <c r="BC38" s="31">
        <v>4.24</v>
      </c>
      <c r="BD38" s="31">
        <v>3.37</v>
      </c>
      <c r="BE38" s="31">
        <v>4.38</v>
      </c>
      <c r="BF38" s="31">
        <v>3.57</v>
      </c>
      <c r="BG38" s="31">
        <v>3.19</v>
      </c>
      <c r="BH38" s="31">
        <v>1.74</v>
      </c>
      <c r="BI38" s="32">
        <v>1.1200000000000001</v>
      </c>
      <c r="BK38" s="66"/>
      <c r="BL38" s="70" t="s">
        <v>27</v>
      </c>
      <c r="BM38" s="40" t="s">
        <v>24</v>
      </c>
      <c r="BN38" s="30">
        <v>4.1399999999999997</v>
      </c>
      <c r="BO38" s="31">
        <v>6.08</v>
      </c>
      <c r="BP38" s="31">
        <v>3.66</v>
      </c>
      <c r="BQ38" s="31">
        <v>5.32</v>
      </c>
      <c r="BR38" s="31">
        <v>5.44</v>
      </c>
      <c r="BS38" s="31">
        <v>1.83</v>
      </c>
      <c r="BT38" s="31">
        <v>3.76</v>
      </c>
      <c r="BU38" s="32">
        <v>2.91</v>
      </c>
      <c r="BV38" s="30">
        <v>4.1399999999999997</v>
      </c>
      <c r="BW38" s="31">
        <v>6.08</v>
      </c>
      <c r="BX38" s="31">
        <v>3.66</v>
      </c>
      <c r="BY38" s="31">
        <v>5.32</v>
      </c>
      <c r="BZ38" s="31">
        <v>5.44</v>
      </c>
      <c r="CA38" s="31">
        <v>1.83</v>
      </c>
      <c r="CB38" s="31">
        <v>3.76</v>
      </c>
      <c r="CC38" s="32">
        <v>2.91</v>
      </c>
      <c r="CE38" s="66"/>
      <c r="CF38" s="70" t="s">
        <v>27</v>
      </c>
      <c r="CG38" s="40" t="s">
        <v>24</v>
      </c>
      <c r="CH38" s="30">
        <v>2.99</v>
      </c>
      <c r="CI38" s="31">
        <v>4.18</v>
      </c>
      <c r="CJ38" s="31">
        <v>5.28</v>
      </c>
      <c r="CK38" s="31">
        <v>5.69</v>
      </c>
      <c r="CL38" s="31">
        <v>4.22</v>
      </c>
      <c r="CM38" s="31">
        <v>4.3899999999999997</v>
      </c>
      <c r="CN38" s="31">
        <v>1.62</v>
      </c>
      <c r="CO38" s="32">
        <v>2.44</v>
      </c>
      <c r="CP38" s="30">
        <v>2.99</v>
      </c>
      <c r="CQ38" s="31">
        <v>4.18</v>
      </c>
      <c r="CR38" s="31">
        <v>5.28</v>
      </c>
      <c r="CS38" s="31">
        <v>5.69</v>
      </c>
      <c r="CT38" s="31">
        <v>4.22</v>
      </c>
      <c r="CU38" s="31">
        <v>4.3899999999999997</v>
      </c>
      <c r="CV38" s="31">
        <v>1.62</v>
      </c>
      <c r="CW38" s="32">
        <v>2.44</v>
      </c>
      <c r="CY38" s="66"/>
      <c r="CZ38" s="70" t="s">
        <v>27</v>
      </c>
      <c r="DA38" s="40" t="s">
        <v>24</v>
      </c>
      <c r="DB38" s="30">
        <v>2.84</v>
      </c>
      <c r="DC38" s="31">
        <v>5.41</v>
      </c>
      <c r="DD38" s="31">
        <v>5.0999999999999996</v>
      </c>
      <c r="DE38" s="31">
        <v>6.17</v>
      </c>
      <c r="DF38" s="31">
        <v>5.33</v>
      </c>
      <c r="DG38" s="31">
        <v>3.65</v>
      </c>
      <c r="DH38" s="31">
        <v>2.94</v>
      </c>
      <c r="DI38" s="32">
        <v>3.12</v>
      </c>
      <c r="DJ38" s="30">
        <v>2.84</v>
      </c>
      <c r="DK38" s="31">
        <v>5.41</v>
      </c>
      <c r="DL38" s="31">
        <v>5.0999999999999996</v>
      </c>
      <c r="DM38" s="31">
        <v>6.17</v>
      </c>
      <c r="DN38" s="31">
        <v>5.33</v>
      </c>
      <c r="DO38" s="31">
        <v>3.65</v>
      </c>
      <c r="DP38" s="31">
        <v>2.94</v>
      </c>
      <c r="DQ38" s="32">
        <v>3.12</v>
      </c>
      <c r="DS38" s="66"/>
      <c r="DT38" s="70" t="s">
        <v>27</v>
      </c>
      <c r="DU38" s="40" t="s">
        <v>24</v>
      </c>
      <c r="DV38" s="30">
        <v>3.86</v>
      </c>
      <c r="DW38" s="31">
        <v>4.24</v>
      </c>
      <c r="DX38" s="31">
        <v>3.37</v>
      </c>
      <c r="DY38" s="31">
        <v>4.38</v>
      </c>
      <c r="DZ38" s="31">
        <v>3.57</v>
      </c>
      <c r="EA38" s="31">
        <v>3.19</v>
      </c>
      <c r="EB38" s="31">
        <v>1.74</v>
      </c>
      <c r="EC38" s="32">
        <v>1.1200000000000001</v>
      </c>
      <c r="ED38" s="30">
        <v>3.86</v>
      </c>
      <c r="EE38" s="31">
        <v>4.24</v>
      </c>
      <c r="EF38" s="31">
        <v>3.37</v>
      </c>
      <c r="EG38" s="31">
        <v>4.38</v>
      </c>
      <c r="EH38" s="31">
        <v>3.57</v>
      </c>
      <c r="EI38" s="31">
        <v>3.19</v>
      </c>
      <c r="EJ38" s="31">
        <v>1.74</v>
      </c>
      <c r="EK38" s="32">
        <v>1.1200000000000001</v>
      </c>
      <c r="EM38" s="66"/>
      <c r="EN38" s="70" t="s">
        <v>27</v>
      </c>
      <c r="EO38" s="40" t="s">
        <v>24</v>
      </c>
      <c r="EP38" s="30">
        <v>4.1399999999999997</v>
      </c>
      <c r="EQ38" s="31">
        <v>6.08</v>
      </c>
      <c r="ER38" s="31">
        <v>3.66</v>
      </c>
      <c r="ES38" s="31">
        <v>5.32</v>
      </c>
      <c r="ET38" s="31">
        <v>5.44</v>
      </c>
      <c r="EU38" s="31">
        <v>1.83</v>
      </c>
      <c r="EV38" s="31">
        <v>3.76</v>
      </c>
      <c r="EW38" s="32">
        <v>2.91</v>
      </c>
      <c r="EX38" s="30">
        <v>4.1399999999999997</v>
      </c>
      <c r="EY38" s="31">
        <v>6.08</v>
      </c>
      <c r="EZ38" s="31">
        <v>3.66</v>
      </c>
      <c r="FA38" s="31">
        <v>5.32</v>
      </c>
      <c r="FB38" s="31">
        <v>5.44</v>
      </c>
      <c r="FC38" s="31">
        <v>1.83</v>
      </c>
      <c r="FD38" s="31">
        <v>3.76</v>
      </c>
      <c r="FE38" s="32">
        <v>2.91</v>
      </c>
    </row>
    <row r="39" spans="3:161" x14ac:dyDescent="0.3">
      <c r="C39" s="66"/>
      <c r="D39" s="70"/>
      <c r="E39" s="39" t="s">
        <v>25</v>
      </c>
      <c r="F39" s="15">
        <v>-9.2121212121196727E-3</v>
      </c>
      <c r="G39" s="16">
        <v>-0.20733333333333004</v>
      </c>
      <c r="H39" s="16">
        <v>-1.1999999999989797E-2</v>
      </c>
      <c r="I39" s="16">
        <v>0.1853947368421105</v>
      </c>
      <c r="J39" s="16">
        <v>-0.1047770700636903</v>
      </c>
      <c r="K39" s="16">
        <v>-0.40899999999999004</v>
      </c>
      <c r="L39" s="16">
        <v>-0.1310240963855398</v>
      </c>
      <c r="M39" s="17">
        <v>0.18358108108107984</v>
      </c>
      <c r="N39" s="15">
        <v>-7.3684210526296923E-3</v>
      </c>
      <c r="O39" s="16">
        <v>-0.20727272727271995</v>
      </c>
      <c r="P39" s="16">
        <v>-1.7575757575749584E-2</v>
      </c>
      <c r="Q39" s="16">
        <v>0.19638888888889028</v>
      </c>
      <c r="R39" s="16">
        <v>-0.10410256410256036</v>
      </c>
      <c r="S39" s="16">
        <v>-0.40666666666666007</v>
      </c>
      <c r="T39" s="16">
        <v>-0.1290322580645098</v>
      </c>
      <c r="U39" s="17">
        <v>0.18666666666667009</v>
      </c>
      <c r="W39" s="66"/>
      <c r="X39" s="70"/>
      <c r="Y39" s="39" t="s">
        <v>25</v>
      </c>
      <c r="Z39" s="15">
        <v>3.8235294117696661E-3</v>
      </c>
      <c r="AA39" s="16">
        <v>-1.718749999989555E-3</v>
      </c>
      <c r="AB39" s="16">
        <v>-7.3281249999990195E-2</v>
      </c>
      <c r="AC39" s="16">
        <v>0.49066666666667036</v>
      </c>
      <c r="AD39" s="16">
        <v>0.20500000000000007</v>
      </c>
      <c r="AE39" s="16">
        <v>-5.9180327868850302E-2</v>
      </c>
      <c r="AF39" s="16">
        <v>-0.11796875000000018</v>
      </c>
      <c r="AG39" s="17">
        <v>-0.30999999999998984</v>
      </c>
      <c r="AH39" s="15">
        <v>9.2592592592977141E-4</v>
      </c>
      <c r="AI39" s="16">
        <v>4.5510204081639749E-2</v>
      </c>
      <c r="AJ39" s="16">
        <v>-7.2352941176460739E-2</v>
      </c>
      <c r="AK39" s="16">
        <v>0.43565217391305033</v>
      </c>
      <c r="AL39" s="16">
        <v>0.20166666666666977</v>
      </c>
      <c r="AM39" s="16">
        <v>-5.5600000000000094E-2</v>
      </c>
      <c r="AN39" s="16">
        <v>-0.1177999999999999</v>
      </c>
      <c r="AO39" s="17">
        <v>-0.32234042553190978</v>
      </c>
      <c r="AQ39" s="66"/>
      <c r="AR39" s="70"/>
      <c r="AS39" s="39" t="s">
        <v>25</v>
      </c>
      <c r="AT39" s="15">
        <v>-5.0794979079479941E-2</v>
      </c>
      <c r="AU39" s="16">
        <v>-2.5761316872409346E-2</v>
      </c>
      <c r="AV39" s="16">
        <v>-0.77907563025209026</v>
      </c>
      <c r="AW39" s="16">
        <v>8.5573770491810031E-2</v>
      </c>
      <c r="AX39" s="16">
        <v>-2.0124481327800314E-2</v>
      </c>
      <c r="AY39" s="16">
        <v>6.1204819277109745E-2</v>
      </c>
      <c r="AZ39" s="16">
        <v>0.1100000000000001</v>
      </c>
      <c r="BA39" s="17">
        <v>-0.12597560975608979</v>
      </c>
      <c r="BB39" s="15">
        <v>-4.8809523809520083E-2</v>
      </c>
      <c r="BC39" s="16">
        <v>-3.6046511627899847E-2</v>
      </c>
      <c r="BD39" s="16">
        <v>-0.77243902439023948</v>
      </c>
      <c r="BE39" s="16">
        <v>7.10000000000095E-2</v>
      </c>
      <c r="BF39" s="16">
        <v>-3.0697674418600052E-2</v>
      </c>
      <c r="BG39" s="16">
        <v>5.8333333333339787E-2</v>
      </c>
      <c r="BH39" s="16">
        <v>0.10813953488372996</v>
      </c>
      <c r="BI39" s="17">
        <v>-0.1285714285714199</v>
      </c>
      <c r="BK39" s="66"/>
      <c r="BL39" s="70"/>
      <c r="BM39" s="39" t="s">
        <v>25</v>
      </c>
      <c r="BN39" s="15">
        <v>-4.5631067961107163E-3</v>
      </c>
      <c r="BO39" s="16">
        <v>-1.0898876404489499E-2</v>
      </c>
      <c r="BP39" s="16">
        <v>-0.11207547169810983</v>
      </c>
      <c r="BQ39" s="16">
        <v>0.23262626262626984</v>
      </c>
      <c r="BR39" s="16">
        <v>7.8217821782207153E-3</v>
      </c>
      <c r="BS39" s="16">
        <v>-1.5140186915880038E-2</v>
      </c>
      <c r="BT39" s="16">
        <v>1.2551020408169578E-2</v>
      </c>
      <c r="BU39" s="17">
        <v>-0.24287671232875985</v>
      </c>
      <c r="BV39" s="15">
        <v>-4.7826086956499481E-3</v>
      </c>
      <c r="BW39" s="16">
        <v>-2.3809523808981936E-4</v>
      </c>
      <c r="BX39" s="16">
        <v>-0.11022727272726973</v>
      </c>
      <c r="BY39" s="16">
        <v>0.20000000000000018</v>
      </c>
      <c r="BZ39" s="16">
        <v>3.5652173913049978E-2</v>
      </c>
      <c r="CA39" s="16">
        <v>-1.2653061224489948E-2</v>
      </c>
      <c r="CB39" s="16">
        <v>1.7954545454549997E-2</v>
      </c>
      <c r="CC39" s="17">
        <v>-0.23593749999999991</v>
      </c>
      <c r="CE39" s="66"/>
      <c r="CF39" s="70"/>
      <c r="CG39" s="39" t="s">
        <v>25</v>
      </c>
      <c r="CH39" s="15">
        <v>0.78723404255320029</v>
      </c>
      <c r="CI39" s="16">
        <v>3.01</v>
      </c>
      <c r="CJ39" s="16">
        <v>2.7546808510638301</v>
      </c>
      <c r="CK39" s="16">
        <v>2.3275471698113206</v>
      </c>
      <c r="CL39" s="16">
        <v>2.8219298245614097</v>
      </c>
      <c r="CM39" s="16">
        <v>2.8897872340425597</v>
      </c>
      <c r="CN39" s="16">
        <v>0.35666666666667002</v>
      </c>
      <c r="CO39" s="17">
        <v>0.56800000000001005</v>
      </c>
      <c r="CP39" s="15">
        <v>0.74291666666667</v>
      </c>
      <c r="CQ39" s="16">
        <v>3.01</v>
      </c>
      <c r="CR39" s="16">
        <v>2.7478260869565303</v>
      </c>
      <c r="CS39" s="16">
        <v>2.3739622641509506</v>
      </c>
      <c r="CT39" s="16">
        <v>2.8188135593220398</v>
      </c>
      <c r="CU39" s="16">
        <v>2.7876086956521799</v>
      </c>
      <c r="CV39" s="16">
        <v>0.36555555555556007</v>
      </c>
      <c r="CW39" s="17">
        <v>0.15666666666666984</v>
      </c>
      <c r="CY39" s="66"/>
      <c r="CZ39" s="70"/>
      <c r="DA39" s="39" t="s">
        <v>25</v>
      </c>
      <c r="DB39" s="15">
        <v>2.3020754716981129</v>
      </c>
      <c r="DC39" s="16">
        <v>1.2300000000000004</v>
      </c>
      <c r="DD39" s="16">
        <v>4.7405263157894737</v>
      </c>
      <c r="DE39" s="16">
        <v>4.5577777777777797</v>
      </c>
      <c r="DF39" s="16">
        <v>2.9101923076923102</v>
      </c>
      <c r="DG39" s="16">
        <v>1.7901886792452899</v>
      </c>
      <c r="DH39" s="16">
        <v>2.2532142857142858</v>
      </c>
      <c r="DI39" s="17">
        <v>1.9153846153846201</v>
      </c>
      <c r="DJ39" s="15">
        <v>2.299074074074074</v>
      </c>
      <c r="DK39" s="16">
        <v>1.2300000000000004</v>
      </c>
      <c r="DL39" s="16">
        <v>4.7351724137931033</v>
      </c>
      <c r="DM39" s="16">
        <v>4.5629629629629704</v>
      </c>
      <c r="DN39" s="16">
        <v>2.7886792452830202</v>
      </c>
      <c r="DO39" s="16">
        <v>1.7841509433962299</v>
      </c>
      <c r="DP39" s="16">
        <v>2.2543859649122808</v>
      </c>
      <c r="DQ39" s="17">
        <v>1.90849056603774</v>
      </c>
      <c r="DS39" s="66"/>
      <c r="DT39" s="70"/>
      <c r="DU39" s="39" t="s">
        <v>25</v>
      </c>
      <c r="DV39" s="15">
        <v>-9.4480000000000004</v>
      </c>
      <c r="DW39" s="16">
        <v>2.7757777777777801</v>
      </c>
      <c r="DX39" s="16">
        <v>1.97618181818182</v>
      </c>
      <c r="DY39" s="16">
        <v>0.87032258064515977</v>
      </c>
      <c r="DZ39" s="16">
        <v>1.8114285714285798</v>
      </c>
      <c r="EA39" s="16">
        <v>0.66687500000000011</v>
      </c>
      <c r="EB39" s="16">
        <v>1.5108333333333339</v>
      </c>
      <c r="EC39" s="17">
        <v>0.90363636363636413</v>
      </c>
      <c r="ED39" s="15">
        <v>-9.4108000000000001</v>
      </c>
      <c r="EE39" s="16">
        <v>2.7797872340425602</v>
      </c>
      <c r="EF39" s="16">
        <v>1.95877192982457</v>
      </c>
      <c r="EG39" s="16">
        <v>0.86874999999999991</v>
      </c>
      <c r="EH39" s="16">
        <v>1.8057142857142898</v>
      </c>
      <c r="EI39" s="16">
        <v>0.66551020408163986</v>
      </c>
      <c r="EJ39" s="16">
        <v>1.510980392156863</v>
      </c>
      <c r="EK39" s="17">
        <v>0.88250000000000117</v>
      </c>
      <c r="EM39" s="66"/>
      <c r="EN39" s="70"/>
      <c r="EO39" s="39" t="s">
        <v>25</v>
      </c>
      <c r="EP39" s="15">
        <v>3.2899999999999996</v>
      </c>
      <c r="EQ39" s="16">
        <v>5.4749999999999996</v>
      </c>
      <c r="ER39" s="16">
        <v>3.5128000000000004</v>
      </c>
      <c r="ES39" s="16">
        <v>3.7563414634146404</v>
      </c>
      <c r="ET39" s="16">
        <v>3.3996000000000102</v>
      </c>
      <c r="EU39" s="16">
        <v>1.1369565217391302</v>
      </c>
      <c r="EV39" s="16">
        <v>3.4394999999999998</v>
      </c>
      <c r="EW39" s="17">
        <v>0.75872340425533036</v>
      </c>
      <c r="EX39" s="15">
        <v>3.2899999999999996</v>
      </c>
      <c r="EY39" s="16">
        <v>5.4973076923076931</v>
      </c>
      <c r="EZ39" s="16">
        <v>3.5120833333333343</v>
      </c>
      <c r="FA39" s="16">
        <v>3.7918421052631603</v>
      </c>
      <c r="FB39" s="16">
        <v>3.3943478260869604</v>
      </c>
      <c r="FC39" s="16">
        <v>1.1333333333333331</v>
      </c>
      <c r="FD39" s="16">
        <v>3.442162162162163</v>
      </c>
      <c r="FE39" s="17">
        <v>0.75545454545455026</v>
      </c>
    </row>
    <row r="40" spans="3:161" x14ac:dyDescent="0.3">
      <c r="C40" s="66"/>
      <c r="D40" s="70"/>
      <c r="E40" s="39" t="s">
        <v>26</v>
      </c>
      <c r="F40" s="15">
        <v>-0.30715137308783047</v>
      </c>
      <c r="G40" s="16">
        <v>-4.7257255736209594</v>
      </c>
      <c r="H40" s="16">
        <v>-0.22675736961432011</v>
      </c>
      <c r="I40" s="16">
        <v>3.3679933070396579</v>
      </c>
      <c r="J40" s="16">
        <v>-2.4227160930204263</v>
      </c>
      <c r="K40" s="16">
        <v>-8.5226088768491532</v>
      </c>
      <c r="L40" s="16">
        <v>-7.4827123542159963</v>
      </c>
      <c r="M40" s="17">
        <v>8.1359484952836674</v>
      </c>
      <c r="N40" s="15">
        <v>-0.24582967515358076</v>
      </c>
      <c r="O40" s="16">
        <v>-4.7244094488187383</v>
      </c>
      <c r="P40" s="16">
        <v>-0.33176982038653308</v>
      </c>
      <c r="Q40" s="16">
        <v>3.5748596854932755</v>
      </c>
      <c r="R40" s="16">
        <v>-2.4074952561668987</v>
      </c>
      <c r="S40" s="16">
        <v>-8.478109798471035</v>
      </c>
      <c r="T40" s="16">
        <v>-7.377351530800107</v>
      </c>
      <c r="U40" s="17">
        <v>8.2840236686392181</v>
      </c>
      <c r="W40" s="66"/>
      <c r="X40" s="70"/>
      <c r="Y40" s="39" t="s">
        <v>26</v>
      </c>
      <c r="Z40" s="15">
        <v>0.13481281758806271</v>
      </c>
      <c r="AA40" s="16">
        <v>-3.1759780568595852E-2</v>
      </c>
      <c r="AB40" s="16">
        <v>-1.4165332688995083</v>
      </c>
      <c r="AC40" s="16">
        <v>8.6395116797746923</v>
      </c>
      <c r="AD40" s="16">
        <v>4.0000000000000018</v>
      </c>
      <c r="AE40" s="16">
        <v>-1.595509590736264</v>
      </c>
      <c r="AF40" s="16">
        <v>-3.8577487098257679</v>
      </c>
      <c r="AG40" s="17">
        <v>-9.0379008746352998</v>
      </c>
      <c r="AH40" s="15">
        <v>3.2613658600357268E-2</v>
      </c>
      <c r="AI40" s="16">
        <v>0.84836034390943871</v>
      </c>
      <c r="AJ40" s="16">
        <v>-1.3988399863525931</v>
      </c>
      <c r="AK40" s="16">
        <v>7.5972401243461745</v>
      </c>
      <c r="AL40" s="16">
        <v>3.9324016899578136</v>
      </c>
      <c r="AM40" s="16">
        <v>-1.5004317789291908</v>
      </c>
      <c r="AN40" s="16">
        <v>-3.8524429328275205</v>
      </c>
      <c r="AO40" s="17">
        <v>-9.3639903578711792</v>
      </c>
      <c r="AQ40" s="66"/>
      <c r="AR40" s="70"/>
      <c r="AS40" s="39" t="s">
        <v>26</v>
      </c>
      <c r="AT40" s="15">
        <v>-1.2988402447892071</v>
      </c>
      <c r="AU40" s="16">
        <v>-0.60390900846972717</v>
      </c>
      <c r="AV40" s="16">
        <v>-18.777089156235867</v>
      </c>
      <c r="AW40" s="16">
        <v>1.9926706367385936</v>
      </c>
      <c r="AX40" s="16">
        <v>-0.56055107371534141</v>
      </c>
      <c r="AY40" s="16">
        <v>1.9561785205437678</v>
      </c>
      <c r="AZ40" s="16">
        <v>6.7484662576687189</v>
      </c>
      <c r="BA40" s="17">
        <v>-10.110599980424221</v>
      </c>
      <c r="BB40" s="15">
        <v>-1.2487056100382807</v>
      </c>
      <c r="BC40" s="16">
        <v>-0.84298689291330609</v>
      </c>
      <c r="BD40" s="16">
        <v>-18.646961846443624</v>
      </c>
      <c r="BE40" s="16">
        <v>1.647714086795304</v>
      </c>
      <c r="BF40" s="16">
        <v>-0.8525479558223884</v>
      </c>
      <c r="BG40" s="16">
        <v>1.8626929217671073</v>
      </c>
      <c r="BH40" s="16">
        <v>6.6267635741775885</v>
      </c>
      <c r="BI40" s="17">
        <v>-10.29748283752798</v>
      </c>
      <c r="BK40" s="66"/>
      <c r="BL40" s="70"/>
      <c r="BM40" s="39" t="s">
        <v>26</v>
      </c>
      <c r="BN40" s="15">
        <v>-0.11009862025332157</v>
      </c>
      <c r="BO40" s="16">
        <v>-0.17893707686907454</v>
      </c>
      <c r="BP40" s="16">
        <v>-2.9711884753900688</v>
      </c>
      <c r="BQ40" s="16">
        <v>4.5726198749132818</v>
      </c>
      <c r="BR40" s="16">
        <v>0.14398979312864169</v>
      </c>
      <c r="BS40" s="16">
        <v>-0.82054399027461422</v>
      </c>
      <c r="BT40" s="16">
        <v>0.33492171545285793</v>
      </c>
      <c r="BU40" s="17">
        <v>-7.7033368091760117</v>
      </c>
      <c r="BV40" s="15">
        <v>-0.11538864995274192</v>
      </c>
      <c r="BW40" s="16">
        <v>-3.9158867524659996E-3</v>
      </c>
      <c r="BX40" s="16">
        <v>-2.9236240882511737</v>
      </c>
      <c r="BY40" s="16">
        <v>3.9062500000000036</v>
      </c>
      <c r="BZ40" s="16">
        <v>0.65969428801299312</v>
      </c>
      <c r="CA40" s="16">
        <v>-0.68667626536715842</v>
      </c>
      <c r="CB40" s="16">
        <v>0.4798056483450962</v>
      </c>
      <c r="CC40" s="17">
        <v>-7.4997516638521873</v>
      </c>
      <c r="CE40" s="66"/>
      <c r="CF40" s="70"/>
      <c r="CG40" s="39" t="s">
        <v>26</v>
      </c>
      <c r="CH40" s="15">
        <v>35.738433304356768</v>
      </c>
      <c r="CI40" s="16">
        <v>257.26495726495727</v>
      </c>
      <c r="CJ40" s="16">
        <v>109.08248378127898</v>
      </c>
      <c r="CK40" s="16">
        <v>69.221704730374256</v>
      </c>
      <c r="CL40" s="16">
        <v>201.84464801104417</v>
      </c>
      <c r="CM40" s="16">
        <v>192.62515955183792</v>
      </c>
      <c r="CN40" s="16">
        <v>28.232189973615114</v>
      </c>
      <c r="CO40" s="17">
        <v>30.341880341881044</v>
      </c>
      <c r="CP40" s="15">
        <v>33.061375857593376</v>
      </c>
      <c r="CQ40" s="16">
        <v>257.26495726495727</v>
      </c>
      <c r="CR40" s="16">
        <v>108.51648351648421</v>
      </c>
      <c r="CS40" s="16">
        <v>71.5903271692749</v>
      </c>
      <c r="CT40" s="16">
        <v>201.17333978468741</v>
      </c>
      <c r="CU40" s="16">
        <v>173.96554063220836</v>
      </c>
      <c r="CV40" s="16">
        <v>29.140832595217468</v>
      </c>
      <c r="CW40" s="17">
        <v>6.861313868613288</v>
      </c>
      <c r="CY40" s="66"/>
      <c r="CZ40" s="70"/>
      <c r="DA40" s="39" t="s">
        <v>26</v>
      </c>
      <c r="DB40" s="15">
        <v>427.95510347246557</v>
      </c>
      <c r="DC40" s="16">
        <v>29.425837320574178</v>
      </c>
      <c r="DD40" s="16">
        <v>1318.7408491947303</v>
      </c>
      <c r="DE40" s="16">
        <v>282.70158511371517</v>
      </c>
      <c r="DF40" s="16">
        <v>120.2654374950332</v>
      </c>
      <c r="DG40" s="16">
        <v>96.256467485036751</v>
      </c>
      <c r="DH40" s="16">
        <v>328.08112324492998</v>
      </c>
      <c r="DI40" s="17">
        <v>159.00383141762552</v>
      </c>
      <c r="DJ40" s="15">
        <v>425.02567613830877</v>
      </c>
      <c r="DK40" s="16">
        <v>29.425837320574178</v>
      </c>
      <c r="DL40" s="16">
        <v>1297.9206049149359</v>
      </c>
      <c r="DM40" s="16">
        <v>283.93639087347486</v>
      </c>
      <c r="DN40" s="16">
        <v>109.73346202390685</v>
      </c>
      <c r="DO40" s="16">
        <v>95.621397512387873</v>
      </c>
      <c r="DP40" s="16">
        <v>328.81269191402265</v>
      </c>
      <c r="DQ40" s="17">
        <v>157.52997975393328</v>
      </c>
      <c r="DS40" s="66"/>
      <c r="DT40" s="70"/>
      <c r="DU40" s="39" t="s">
        <v>26</v>
      </c>
      <c r="DV40" s="15">
        <v>-70.994890291553958</v>
      </c>
      <c r="DW40" s="16">
        <v>189.57353164364895</v>
      </c>
      <c r="DX40" s="16">
        <v>141.78189407774619</v>
      </c>
      <c r="DY40" s="16">
        <v>24.797794117647008</v>
      </c>
      <c r="DZ40" s="16">
        <v>103.00568643379464</v>
      </c>
      <c r="EA40" s="16">
        <v>26.430517711171671</v>
      </c>
      <c r="EB40" s="16">
        <v>659.27272727272953</v>
      </c>
      <c r="EC40" s="17">
        <v>417.6470588235303</v>
      </c>
      <c r="ED40" s="15">
        <v>-70.91358471230069</v>
      </c>
      <c r="EE40" s="16">
        <v>190.36864345038751</v>
      </c>
      <c r="EF40" s="16">
        <v>138.79910492292538</v>
      </c>
      <c r="EG40" s="16">
        <v>24.741901032395869</v>
      </c>
      <c r="EH40" s="16">
        <v>102.34817813765231</v>
      </c>
      <c r="EI40" s="16">
        <v>26.362166531932456</v>
      </c>
      <c r="EJ40" s="16">
        <v>659.76027397260361</v>
      </c>
      <c r="EK40" s="17">
        <v>371.57894736842314</v>
      </c>
      <c r="EM40" s="66"/>
      <c r="EN40" s="70"/>
      <c r="EO40" s="39" t="s">
        <v>26</v>
      </c>
      <c r="EP40" s="15">
        <v>387.05882352941171</v>
      </c>
      <c r="EQ40" s="16">
        <v>904.95867768595042</v>
      </c>
      <c r="ER40" s="16">
        <v>2386.4130434782614</v>
      </c>
      <c r="ES40" s="16">
        <v>240.22773358290567</v>
      </c>
      <c r="ET40" s="16">
        <v>166.61438933542573</v>
      </c>
      <c r="EU40" s="16">
        <v>164.0526976160601</v>
      </c>
      <c r="EV40" s="16">
        <v>1073.1669266770671</v>
      </c>
      <c r="EW40" s="17">
        <v>35.268519434280201</v>
      </c>
      <c r="EX40" s="15">
        <v>387.05882352941171</v>
      </c>
      <c r="EY40" s="16">
        <v>943.43234323432489</v>
      </c>
      <c r="EZ40" s="16">
        <v>2374.3661971831098</v>
      </c>
      <c r="FA40" s="16">
        <v>248.13156535216169</v>
      </c>
      <c r="FB40" s="16">
        <v>165.92986184909716</v>
      </c>
      <c r="FC40" s="16">
        <v>162.67942583732048</v>
      </c>
      <c r="FD40" s="16">
        <v>1082.9931972789147</v>
      </c>
      <c r="FE40" s="17">
        <v>35.063291139240803</v>
      </c>
    </row>
    <row r="41" spans="3:161" ht="28.8" x14ac:dyDescent="0.3">
      <c r="C41" s="66"/>
      <c r="D41" s="70" t="s">
        <v>28</v>
      </c>
      <c r="E41" s="40" t="s">
        <v>24</v>
      </c>
      <c r="F41" s="30">
        <v>2.99</v>
      </c>
      <c r="G41" s="31">
        <v>4.1900000000000004</v>
      </c>
      <c r="H41" s="31">
        <v>5.3</v>
      </c>
      <c r="I41" s="31">
        <v>5.73</v>
      </c>
      <c r="J41" s="31">
        <v>4.24</v>
      </c>
      <c r="K41" s="31">
        <v>4.45</v>
      </c>
      <c r="L41" s="31">
        <v>1.61</v>
      </c>
      <c r="M41" s="32">
        <v>2.42</v>
      </c>
      <c r="N41" s="30">
        <v>2.99</v>
      </c>
      <c r="O41" s="31">
        <v>4.1900000000000004</v>
      </c>
      <c r="P41" s="31">
        <v>5.3</v>
      </c>
      <c r="Q41" s="31">
        <v>5.73</v>
      </c>
      <c r="R41" s="31">
        <v>4.24</v>
      </c>
      <c r="S41" s="31">
        <v>4.45</v>
      </c>
      <c r="T41" s="31">
        <v>1.61</v>
      </c>
      <c r="U41" s="32">
        <v>2.42</v>
      </c>
      <c r="W41" s="66"/>
      <c r="X41" s="70" t="s">
        <v>28</v>
      </c>
      <c r="Y41" s="40" t="s">
        <v>24</v>
      </c>
      <c r="Z41" s="30">
        <v>2.88</v>
      </c>
      <c r="AA41" s="31">
        <v>5.38</v>
      </c>
      <c r="AB41" s="31">
        <v>5.0999999999999996</v>
      </c>
      <c r="AC41" s="31">
        <v>6.21</v>
      </c>
      <c r="AD41" s="31">
        <v>5.33</v>
      </c>
      <c r="AE41" s="31">
        <v>3.71</v>
      </c>
      <c r="AF41" s="31">
        <v>2.87</v>
      </c>
      <c r="AG41" s="32">
        <v>3.05</v>
      </c>
      <c r="AH41" s="30">
        <v>2.88</v>
      </c>
      <c r="AI41" s="31">
        <v>5.38</v>
      </c>
      <c r="AJ41" s="31">
        <v>5.0999999999999996</v>
      </c>
      <c r="AK41" s="31">
        <v>6.21</v>
      </c>
      <c r="AL41" s="31">
        <v>5.33</v>
      </c>
      <c r="AM41" s="31">
        <v>3.71</v>
      </c>
      <c r="AN41" s="31">
        <v>2.87</v>
      </c>
      <c r="AO41" s="32">
        <v>3.05</v>
      </c>
      <c r="AQ41" s="66"/>
      <c r="AR41" s="70" t="s">
        <v>28</v>
      </c>
      <c r="AS41" s="40" t="s">
        <v>24</v>
      </c>
      <c r="AT41" s="30">
        <v>3.83</v>
      </c>
      <c r="AU41" s="31">
        <v>4.29</v>
      </c>
      <c r="AV41" s="31">
        <v>3.95</v>
      </c>
      <c r="AW41" s="31">
        <v>4.43</v>
      </c>
      <c r="AX41" s="31">
        <v>3.64</v>
      </c>
      <c r="AY41" s="31">
        <v>3.23</v>
      </c>
      <c r="AZ41" s="31">
        <v>1.7</v>
      </c>
      <c r="BA41" s="32">
        <v>1.1299999999999999</v>
      </c>
      <c r="BB41" s="30">
        <v>3.83</v>
      </c>
      <c r="BC41" s="31">
        <v>4.29</v>
      </c>
      <c r="BD41" s="31">
        <v>3.95</v>
      </c>
      <c r="BE41" s="31">
        <v>4.43</v>
      </c>
      <c r="BF41" s="31">
        <v>3.64</v>
      </c>
      <c r="BG41" s="31">
        <v>3.23</v>
      </c>
      <c r="BH41" s="31">
        <v>1.7</v>
      </c>
      <c r="BI41" s="32">
        <v>1.1299999999999999</v>
      </c>
      <c r="BK41" s="66"/>
      <c r="BL41" s="70" t="s">
        <v>28</v>
      </c>
      <c r="BM41" s="40" t="s">
        <v>24</v>
      </c>
      <c r="BN41" s="30">
        <v>4.1900000000000004</v>
      </c>
      <c r="BO41" s="31">
        <v>6.13</v>
      </c>
      <c r="BP41" s="31">
        <v>3.69</v>
      </c>
      <c r="BQ41" s="31">
        <v>5.35</v>
      </c>
      <c r="BR41" s="31">
        <v>5.49</v>
      </c>
      <c r="BS41" s="31">
        <v>1.85</v>
      </c>
      <c r="BT41" s="31">
        <v>3.72</v>
      </c>
      <c r="BU41" s="32">
        <v>2.9</v>
      </c>
      <c r="BV41" s="30">
        <v>4.1900000000000004</v>
      </c>
      <c r="BW41" s="31">
        <v>6.13</v>
      </c>
      <c r="BX41" s="31">
        <v>3.69</v>
      </c>
      <c r="BY41" s="31">
        <v>5.35</v>
      </c>
      <c r="BZ41" s="31">
        <v>5.49</v>
      </c>
      <c r="CA41" s="31">
        <v>1.85</v>
      </c>
      <c r="CB41" s="31">
        <v>3.72</v>
      </c>
      <c r="CC41" s="32">
        <v>2.9</v>
      </c>
      <c r="CE41" s="66"/>
      <c r="CF41" s="70" t="s">
        <v>28</v>
      </c>
      <c r="CG41" s="40" t="s">
        <v>24</v>
      </c>
      <c r="CH41" s="30">
        <v>2.99</v>
      </c>
      <c r="CI41" s="31">
        <v>4.1900000000000004</v>
      </c>
      <c r="CJ41" s="31">
        <v>5.3</v>
      </c>
      <c r="CK41" s="31">
        <v>5.73</v>
      </c>
      <c r="CL41" s="31">
        <v>4.24</v>
      </c>
      <c r="CM41" s="31">
        <v>4.45</v>
      </c>
      <c r="CN41" s="31">
        <v>1.61</v>
      </c>
      <c r="CO41" s="32">
        <v>2.42</v>
      </c>
      <c r="CP41" s="30">
        <v>2.99</v>
      </c>
      <c r="CQ41" s="31">
        <v>4.1900000000000004</v>
      </c>
      <c r="CR41" s="31">
        <v>5.3</v>
      </c>
      <c r="CS41" s="31">
        <v>5.73</v>
      </c>
      <c r="CT41" s="31">
        <v>4.24</v>
      </c>
      <c r="CU41" s="31">
        <v>4.45</v>
      </c>
      <c r="CV41" s="31">
        <v>1.61</v>
      </c>
      <c r="CW41" s="32">
        <v>2.42</v>
      </c>
      <c r="CY41" s="66"/>
      <c r="CZ41" s="70" t="s">
        <v>28</v>
      </c>
      <c r="DA41" s="40" t="s">
        <v>24</v>
      </c>
      <c r="DB41" s="30">
        <v>2.88</v>
      </c>
      <c r="DC41" s="31">
        <v>5.38</v>
      </c>
      <c r="DD41" s="31">
        <v>5.0999999999999996</v>
      </c>
      <c r="DE41" s="31">
        <v>6.21</v>
      </c>
      <c r="DF41" s="31">
        <v>5.33</v>
      </c>
      <c r="DG41" s="31">
        <v>3.71</v>
      </c>
      <c r="DH41" s="31">
        <v>2.87</v>
      </c>
      <c r="DI41" s="32">
        <v>3.05</v>
      </c>
      <c r="DJ41" s="30">
        <v>2.88</v>
      </c>
      <c r="DK41" s="31">
        <v>5.38</v>
      </c>
      <c r="DL41" s="31">
        <v>5.0999999999999996</v>
      </c>
      <c r="DM41" s="31">
        <v>6.21</v>
      </c>
      <c r="DN41" s="31">
        <v>5.33</v>
      </c>
      <c r="DO41" s="31">
        <v>3.71</v>
      </c>
      <c r="DP41" s="31">
        <v>2.87</v>
      </c>
      <c r="DQ41" s="32">
        <v>3.05</v>
      </c>
      <c r="DS41" s="66"/>
      <c r="DT41" s="70" t="s">
        <v>28</v>
      </c>
      <c r="DU41" s="40" t="s">
        <v>24</v>
      </c>
      <c r="DV41" s="30">
        <v>3.83</v>
      </c>
      <c r="DW41" s="31">
        <v>4.29</v>
      </c>
      <c r="DX41" s="31">
        <v>3.95</v>
      </c>
      <c r="DY41" s="31">
        <v>4.43</v>
      </c>
      <c r="DZ41" s="31">
        <v>3.64</v>
      </c>
      <c r="EA41" s="31">
        <v>3.23</v>
      </c>
      <c r="EB41" s="31">
        <v>1.7</v>
      </c>
      <c r="EC41" s="32">
        <v>1.1299999999999999</v>
      </c>
      <c r="ED41" s="30">
        <v>3.83</v>
      </c>
      <c r="EE41" s="31">
        <v>4.29</v>
      </c>
      <c r="EF41" s="31">
        <v>3.95</v>
      </c>
      <c r="EG41" s="31">
        <v>4.43</v>
      </c>
      <c r="EH41" s="31">
        <v>3.64</v>
      </c>
      <c r="EI41" s="31">
        <v>3.23</v>
      </c>
      <c r="EJ41" s="31">
        <v>1.7</v>
      </c>
      <c r="EK41" s="32">
        <v>1.1299999999999999</v>
      </c>
      <c r="EM41" s="66"/>
      <c r="EN41" s="70" t="s">
        <v>28</v>
      </c>
      <c r="EO41" s="40" t="s">
        <v>24</v>
      </c>
      <c r="EP41" s="30">
        <v>4.1900000000000004</v>
      </c>
      <c r="EQ41" s="31">
        <v>6.13</v>
      </c>
      <c r="ER41" s="31">
        <v>3.69</v>
      </c>
      <c r="ES41" s="31">
        <v>5.35</v>
      </c>
      <c r="ET41" s="31">
        <v>5.49</v>
      </c>
      <c r="EU41" s="31">
        <v>1.85</v>
      </c>
      <c r="EV41" s="31">
        <v>3.72</v>
      </c>
      <c r="EW41" s="32">
        <v>2.9</v>
      </c>
      <c r="EX41" s="30">
        <v>4.1900000000000004</v>
      </c>
      <c r="EY41" s="31">
        <v>6.13</v>
      </c>
      <c r="EZ41" s="31">
        <v>3.69</v>
      </c>
      <c r="FA41" s="31">
        <v>5.35</v>
      </c>
      <c r="FB41" s="31">
        <v>5.49</v>
      </c>
      <c r="FC41" s="31">
        <v>1.85</v>
      </c>
      <c r="FD41" s="31">
        <v>3.72</v>
      </c>
      <c r="FE41" s="32">
        <v>2.9</v>
      </c>
    </row>
    <row r="42" spans="3:161" x14ac:dyDescent="0.3">
      <c r="C42" s="66"/>
      <c r="D42" s="70"/>
      <c r="E42" s="39" t="s">
        <v>25</v>
      </c>
      <c r="F42" s="15">
        <v>-9.2121212121196727E-3</v>
      </c>
      <c r="G42" s="16">
        <v>-0.19733333333332936</v>
      </c>
      <c r="H42" s="16">
        <v>8.0000000000097771E-3</v>
      </c>
      <c r="I42" s="16">
        <v>0.22539473684211053</v>
      </c>
      <c r="J42" s="16">
        <v>-8.4777070063689841E-2</v>
      </c>
      <c r="K42" s="16">
        <v>-0.34899999999998954</v>
      </c>
      <c r="L42" s="16">
        <v>-0.14102409638553981</v>
      </c>
      <c r="M42" s="17">
        <v>0.16358108108107983</v>
      </c>
      <c r="N42" s="15">
        <v>-7.3684210526296923E-3</v>
      </c>
      <c r="O42" s="16">
        <v>-0.19727272727271927</v>
      </c>
      <c r="P42" s="16">
        <v>2.4242424242499894E-3</v>
      </c>
      <c r="Q42" s="16">
        <v>0.23638888888889031</v>
      </c>
      <c r="R42" s="16">
        <v>-8.4102564102559896E-2</v>
      </c>
      <c r="S42" s="16">
        <v>-0.34666666666665957</v>
      </c>
      <c r="T42" s="16">
        <v>-0.13903225806450981</v>
      </c>
      <c r="U42" s="17">
        <v>0.16666666666667007</v>
      </c>
      <c r="W42" s="66"/>
      <c r="X42" s="70"/>
      <c r="Y42" s="39" t="s">
        <v>25</v>
      </c>
      <c r="Z42" s="15">
        <v>4.3823529411769702E-2</v>
      </c>
      <c r="AA42" s="16">
        <v>-3.1718749999989804E-2</v>
      </c>
      <c r="AB42" s="16">
        <v>-7.3281249999990195E-2</v>
      </c>
      <c r="AC42" s="16">
        <v>0.53066666666667039</v>
      </c>
      <c r="AD42" s="16">
        <v>0.20500000000000007</v>
      </c>
      <c r="AE42" s="16">
        <v>8.1967213114975124E-4</v>
      </c>
      <c r="AF42" s="16">
        <v>-0.18796875000000002</v>
      </c>
      <c r="AG42" s="17">
        <v>-0.37999999999999012</v>
      </c>
      <c r="AH42" s="15">
        <v>4.0925925925929807E-2</v>
      </c>
      <c r="AI42" s="16">
        <v>1.55102040816395E-2</v>
      </c>
      <c r="AJ42" s="16">
        <v>-7.2352941176460739E-2</v>
      </c>
      <c r="AK42" s="16">
        <v>0.47565217391305037</v>
      </c>
      <c r="AL42" s="16">
        <v>0.20166666666666977</v>
      </c>
      <c r="AM42" s="16">
        <v>4.3999999999999595E-3</v>
      </c>
      <c r="AN42" s="16">
        <v>-0.18779999999999974</v>
      </c>
      <c r="AO42" s="17">
        <v>-0.39234042553191006</v>
      </c>
      <c r="AQ42" s="66"/>
      <c r="AR42" s="70"/>
      <c r="AS42" s="39" t="s">
        <v>25</v>
      </c>
      <c r="AT42" s="15">
        <v>-8.0794979079479745E-2</v>
      </c>
      <c r="AU42" s="16">
        <v>2.4238683127590477E-2</v>
      </c>
      <c r="AV42" s="16">
        <v>-0.19907563025209019</v>
      </c>
      <c r="AW42" s="16">
        <v>0.13557377049180985</v>
      </c>
      <c r="AX42" s="16">
        <v>4.987551867219997E-2</v>
      </c>
      <c r="AY42" s="16">
        <v>0.10120481927710978</v>
      </c>
      <c r="AZ42" s="16">
        <v>7.0000000000000062E-2</v>
      </c>
      <c r="BA42" s="17">
        <v>-0.11597560975609</v>
      </c>
      <c r="BB42" s="15">
        <v>-7.8809523809519888E-2</v>
      </c>
      <c r="BC42" s="16">
        <v>1.3953488372099976E-2</v>
      </c>
      <c r="BD42" s="16">
        <v>-0.19243902439023941</v>
      </c>
      <c r="BE42" s="16">
        <v>0.12100000000000932</v>
      </c>
      <c r="BF42" s="16">
        <v>3.9302325581400233E-2</v>
      </c>
      <c r="BG42" s="16">
        <v>9.8333333333339823E-2</v>
      </c>
      <c r="BH42" s="16">
        <v>6.8139534883729924E-2</v>
      </c>
      <c r="BI42" s="17">
        <v>-0.11857142857142011</v>
      </c>
      <c r="BK42" s="66"/>
      <c r="BL42" s="70"/>
      <c r="BM42" s="39" t="s">
        <v>25</v>
      </c>
      <c r="BN42" s="15">
        <v>4.5436893203889994E-2</v>
      </c>
      <c r="BO42" s="16">
        <v>3.9101123595510323E-2</v>
      </c>
      <c r="BP42" s="16">
        <v>-8.2075471698110025E-2</v>
      </c>
      <c r="BQ42" s="16">
        <v>0.2626262626262692</v>
      </c>
      <c r="BR42" s="16">
        <v>5.7821782178220538E-2</v>
      </c>
      <c r="BS42" s="16">
        <v>4.8598130841199794E-3</v>
      </c>
      <c r="BT42" s="16">
        <v>-2.7448979591830014E-2</v>
      </c>
      <c r="BU42" s="17">
        <v>-0.25287671232876008</v>
      </c>
      <c r="BV42" s="15">
        <v>4.5217391304350762E-2</v>
      </c>
      <c r="BW42" s="16">
        <v>4.9761904761910003E-2</v>
      </c>
      <c r="BX42" s="16">
        <v>-8.0227272727269927E-2</v>
      </c>
      <c r="BY42" s="16">
        <v>0.22999999999999954</v>
      </c>
      <c r="BZ42" s="16">
        <v>8.5652173913049801E-2</v>
      </c>
      <c r="CA42" s="16">
        <v>7.3469387755100701E-3</v>
      </c>
      <c r="CB42" s="16">
        <v>-2.2045454545449594E-2</v>
      </c>
      <c r="CC42" s="17">
        <v>-0.24593750000000014</v>
      </c>
      <c r="CE42" s="66"/>
      <c r="CF42" s="70"/>
      <c r="CG42" s="39" t="s">
        <v>25</v>
      </c>
      <c r="CH42" s="15">
        <v>0.78723404255320029</v>
      </c>
      <c r="CI42" s="16">
        <v>3.0200000000000005</v>
      </c>
      <c r="CJ42" s="16">
        <v>2.7746808510638297</v>
      </c>
      <c r="CK42" s="16">
        <v>2.3675471698113206</v>
      </c>
      <c r="CL42" s="16">
        <v>2.8419298245614102</v>
      </c>
      <c r="CM42" s="16">
        <v>2.9497872340425602</v>
      </c>
      <c r="CN42" s="16">
        <v>0.34666666666667001</v>
      </c>
      <c r="CO42" s="17">
        <v>0.54800000000001003</v>
      </c>
      <c r="CP42" s="15">
        <v>0.74291666666667</v>
      </c>
      <c r="CQ42" s="16">
        <v>3.0200000000000005</v>
      </c>
      <c r="CR42" s="16">
        <v>2.7678260869565299</v>
      </c>
      <c r="CS42" s="16">
        <v>2.4139622641509506</v>
      </c>
      <c r="CT42" s="16">
        <v>2.8388135593220403</v>
      </c>
      <c r="CU42" s="16">
        <v>2.8476086956521804</v>
      </c>
      <c r="CV42" s="16">
        <v>0.35555555555556007</v>
      </c>
      <c r="CW42" s="17">
        <v>0.13666666666666982</v>
      </c>
      <c r="CY42" s="66"/>
      <c r="CZ42" s="70"/>
      <c r="DA42" s="39" t="s">
        <v>25</v>
      </c>
      <c r="DB42" s="15">
        <v>2.3420754716981129</v>
      </c>
      <c r="DC42" s="16">
        <v>1.2000000000000002</v>
      </c>
      <c r="DD42" s="16">
        <v>4.7405263157894737</v>
      </c>
      <c r="DE42" s="16">
        <v>4.5977777777777797</v>
      </c>
      <c r="DF42" s="16">
        <v>2.9101923076923102</v>
      </c>
      <c r="DG42" s="16">
        <v>1.85018867924529</v>
      </c>
      <c r="DH42" s="16">
        <v>2.183214285714286</v>
      </c>
      <c r="DI42" s="17">
        <v>1.8453846153846198</v>
      </c>
      <c r="DJ42" s="15">
        <v>2.3390740740740741</v>
      </c>
      <c r="DK42" s="16">
        <v>1.2000000000000002</v>
      </c>
      <c r="DL42" s="16">
        <v>4.7351724137931033</v>
      </c>
      <c r="DM42" s="16">
        <v>4.6029629629629696</v>
      </c>
      <c r="DN42" s="16">
        <v>2.7886792452830202</v>
      </c>
      <c r="DO42" s="16">
        <v>1.84415094339623</v>
      </c>
      <c r="DP42" s="16">
        <v>2.184385964912281</v>
      </c>
      <c r="DQ42" s="17">
        <v>1.8384905660377397</v>
      </c>
      <c r="DS42" s="66"/>
      <c r="DT42" s="70"/>
      <c r="DU42" s="39" t="s">
        <v>25</v>
      </c>
      <c r="DV42" s="15">
        <v>-9.4779999999999998</v>
      </c>
      <c r="DW42" s="16">
        <v>2.8257777777777799</v>
      </c>
      <c r="DX42" s="16">
        <v>2.5561818181818201</v>
      </c>
      <c r="DY42" s="16">
        <v>0.92032258064515959</v>
      </c>
      <c r="DZ42" s="16">
        <v>1.8814285714285801</v>
      </c>
      <c r="EA42" s="16">
        <v>0.70687500000000014</v>
      </c>
      <c r="EB42" s="16">
        <v>1.4708333333333339</v>
      </c>
      <c r="EC42" s="17">
        <v>0.91363636363636391</v>
      </c>
      <c r="ED42" s="15">
        <v>-9.4407999999999994</v>
      </c>
      <c r="EE42" s="16">
        <v>2.8297872340425601</v>
      </c>
      <c r="EF42" s="16">
        <v>2.5387719298245699</v>
      </c>
      <c r="EG42" s="16">
        <v>0.91874999999999973</v>
      </c>
      <c r="EH42" s="16">
        <v>1.8757142857142901</v>
      </c>
      <c r="EI42" s="16">
        <v>0.70551020408163989</v>
      </c>
      <c r="EJ42" s="16">
        <v>1.4709803921568629</v>
      </c>
      <c r="EK42" s="17">
        <v>0.89250000000000096</v>
      </c>
      <c r="EM42" s="66"/>
      <c r="EN42" s="70"/>
      <c r="EO42" s="39" t="s">
        <v>25</v>
      </c>
      <c r="EP42" s="15">
        <v>3.3400000000000003</v>
      </c>
      <c r="EQ42" s="16">
        <v>5.5250000000000004</v>
      </c>
      <c r="ER42" s="16">
        <v>3.5427999999999997</v>
      </c>
      <c r="ES42" s="16">
        <v>3.7863414634146397</v>
      </c>
      <c r="ET42" s="16">
        <v>3.44960000000001</v>
      </c>
      <c r="EU42" s="16">
        <v>1.1569565217391302</v>
      </c>
      <c r="EV42" s="16">
        <v>3.3995000000000002</v>
      </c>
      <c r="EW42" s="17">
        <v>0.74872340425533013</v>
      </c>
      <c r="EX42" s="15">
        <v>3.3400000000000003</v>
      </c>
      <c r="EY42" s="16">
        <v>5.5473076923076929</v>
      </c>
      <c r="EZ42" s="16">
        <v>3.5420833333333341</v>
      </c>
      <c r="FA42" s="16">
        <v>3.8218421052631597</v>
      </c>
      <c r="FB42" s="16">
        <v>3.4443478260869602</v>
      </c>
      <c r="FC42" s="16">
        <v>1.1533333333333331</v>
      </c>
      <c r="FD42" s="16">
        <v>3.4021621621621634</v>
      </c>
      <c r="FE42" s="17">
        <v>0.74545454545455003</v>
      </c>
    </row>
    <row r="43" spans="3:161" ht="15" thickBot="1" x14ac:dyDescent="0.35">
      <c r="C43" s="67"/>
      <c r="D43" s="74"/>
      <c r="E43" s="41" t="s">
        <v>26</v>
      </c>
      <c r="F43" s="18">
        <v>-0.30715137308783047</v>
      </c>
      <c r="G43" s="19">
        <v>-4.4977966874334339</v>
      </c>
      <c r="H43" s="19">
        <v>0.15117157974319334</v>
      </c>
      <c r="I43" s="19">
        <v>4.0946575833633121</v>
      </c>
      <c r="J43" s="19">
        <v>-1.960264510522882</v>
      </c>
      <c r="K43" s="19">
        <v>-7.2723484059176977</v>
      </c>
      <c r="L43" s="19">
        <v>-8.0538067223998482</v>
      </c>
      <c r="M43" s="20">
        <v>7.2495882617157665</v>
      </c>
      <c r="N43" s="18">
        <v>-0.24582967515358076</v>
      </c>
      <c r="O43" s="19">
        <v>-4.496477414007285</v>
      </c>
      <c r="P43" s="19">
        <v>4.5761354536237135E-2</v>
      </c>
      <c r="Q43" s="19">
        <v>4.3029782070081675</v>
      </c>
      <c r="R43" s="19">
        <v>-1.9449715370018019</v>
      </c>
      <c r="S43" s="19">
        <v>-7.2272411396801957</v>
      </c>
      <c r="T43" s="19">
        <v>-7.9490962744371441</v>
      </c>
      <c r="U43" s="20">
        <v>7.3964497041421744</v>
      </c>
      <c r="W43" s="67"/>
      <c r="X43" s="74"/>
      <c r="Y43" s="41" t="s">
        <v>26</v>
      </c>
      <c r="Z43" s="18">
        <v>1.5451622938921212</v>
      </c>
      <c r="AA43" s="19">
        <v>-0.58611231413291509</v>
      </c>
      <c r="AB43" s="19">
        <v>-1.4165332688995083</v>
      </c>
      <c r="AC43" s="19">
        <v>9.3438196971476248</v>
      </c>
      <c r="AD43" s="19">
        <v>4.0000000000000018</v>
      </c>
      <c r="AE43" s="19">
        <v>2.2098470785881223E-2</v>
      </c>
      <c r="AF43" s="19">
        <v>-6.1468499310203883</v>
      </c>
      <c r="AG43" s="20">
        <v>-11.078717201165924</v>
      </c>
      <c r="AH43" s="18">
        <v>1.4415237101299412</v>
      </c>
      <c r="AI43" s="19">
        <v>0.28912729209477916</v>
      </c>
      <c r="AJ43" s="19">
        <v>-1.3988399863525931</v>
      </c>
      <c r="AK43" s="19">
        <v>8.29479111380709</v>
      </c>
      <c r="AL43" s="19">
        <v>3.9324016899578136</v>
      </c>
      <c r="AM43" s="19">
        <v>0.11873920552676918</v>
      </c>
      <c r="AN43" s="19">
        <v>-6.1416704820459067</v>
      </c>
      <c r="AO43" s="20">
        <v>-11.397490574201001</v>
      </c>
      <c r="AQ43" s="67"/>
      <c r="AR43" s="74"/>
      <c r="AS43" s="41" t="s">
        <v>26</v>
      </c>
      <c r="AT43" s="18">
        <v>-2.0659477040265917</v>
      </c>
      <c r="AU43" s="19">
        <v>0.56821470605303126</v>
      </c>
      <c r="AV43" s="19">
        <v>-4.7980718596829899</v>
      </c>
      <c r="AW43" s="19">
        <v>3.1569705298520443</v>
      </c>
      <c r="AX43" s="19">
        <v>1.3892420424863265</v>
      </c>
      <c r="AY43" s="19">
        <v>3.2346259001117166</v>
      </c>
      <c r="AZ43" s="19">
        <v>4.2944785276073665</v>
      </c>
      <c r="BA43" s="20">
        <v>-9.3080160516780257</v>
      </c>
      <c r="BB43" s="18">
        <v>-2.0162027166960095</v>
      </c>
      <c r="BC43" s="19">
        <v>0.32631750693441014</v>
      </c>
      <c r="BD43" s="19">
        <v>-4.6455487517662641</v>
      </c>
      <c r="BE43" s="19">
        <v>2.8080761197495847</v>
      </c>
      <c r="BF43" s="19">
        <v>1.0915197313183571</v>
      </c>
      <c r="BG43" s="19">
        <v>3.1399680681215547</v>
      </c>
      <c r="BH43" s="19">
        <v>4.1755736069551128</v>
      </c>
      <c r="BI43" s="20">
        <v>-9.4965675057202112</v>
      </c>
      <c r="BK43" s="67"/>
      <c r="BL43" s="74"/>
      <c r="BM43" s="41" t="s">
        <v>26</v>
      </c>
      <c r="BN43" s="18">
        <v>1.0963011548644093</v>
      </c>
      <c r="BO43" s="19">
        <v>0.64195982216982816</v>
      </c>
      <c r="BP43" s="19">
        <v>-2.1758703481391732</v>
      </c>
      <c r="BQ43" s="19">
        <v>5.1623150997718037</v>
      </c>
      <c r="BR43" s="19">
        <v>1.0644308757860705</v>
      </c>
      <c r="BS43" s="19">
        <v>0.26338449070599201</v>
      </c>
      <c r="BT43" s="19">
        <v>-0.73247106875407653</v>
      </c>
      <c r="BU43" s="20">
        <v>-8.0205074730620129</v>
      </c>
      <c r="BV43" s="18">
        <v>1.0909472359174113</v>
      </c>
      <c r="BW43" s="19">
        <v>0.81842033128410618</v>
      </c>
      <c r="BX43" s="19">
        <v>-2.127916088974549</v>
      </c>
      <c r="BY43" s="19">
        <v>4.4921874999999911</v>
      </c>
      <c r="BZ43" s="19">
        <v>1.5848753016895798</v>
      </c>
      <c r="CA43" s="19">
        <v>0.39871525085833803</v>
      </c>
      <c r="CB43" s="19">
        <v>-0.58912845429686211</v>
      </c>
      <c r="CC43" s="20">
        <v>-7.8176219330485779</v>
      </c>
      <c r="CE43" s="67"/>
      <c r="CF43" s="74"/>
      <c r="CG43" s="41" t="s">
        <v>26</v>
      </c>
      <c r="CH43" s="18">
        <v>35.738433304356768</v>
      </c>
      <c r="CI43" s="19">
        <v>258.1196581196582</v>
      </c>
      <c r="CJ43" s="19">
        <v>109.87446288651108</v>
      </c>
      <c r="CK43" s="19">
        <v>70.411312496492883</v>
      </c>
      <c r="CL43" s="19">
        <v>203.27519136654678</v>
      </c>
      <c r="CM43" s="19">
        <v>196.62459225641888</v>
      </c>
      <c r="CN43" s="19">
        <v>27.440633245382923</v>
      </c>
      <c r="CO43" s="20">
        <v>29.273504273504969</v>
      </c>
      <c r="CP43" s="18">
        <v>33.061375857593376</v>
      </c>
      <c r="CQ43" s="19">
        <v>258.1196581196582</v>
      </c>
      <c r="CR43" s="19">
        <v>109.30631868131937</v>
      </c>
      <c r="CS43" s="19">
        <v>72.796586059744314</v>
      </c>
      <c r="CT43" s="19">
        <v>202.60070158461488</v>
      </c>
      <c r="CU43" s="19">
        <v>177.70994437661213</v>
      </c>
      <c r="CV43" s="19">
        <v>28.343666961913655</v>
      </c>
      <c r="CW43" s="20">
        <v>5.9854014598541614</v>
      </c>
      <c r="CY43" s="67"/>
      <c r="CZ43" s="74"/>
      <c r="DA43" s="41" t="s">
        <v>26</v>
      </c>
      <c r="DB43" s="18">
        <v>435.39109084531719</v>
      </c>
      <c r="DC43" s="19">
        <v>28.708133971291872</v>
      </c>
      <c r="DD43" s="19">
        <v>1318.7408491947303</v>
      </c>
      <c r="DE43" s="19">
        <v>285.18263266712665</v>
      </c>
      <c r="DF43" s="19">
        <v>120.2654374950332</v>
      </c>
      <c r="DG43" s="19">
        <v>99.48260119711955</v>
      </c>
      <c r="DH43" s="19">
        <v>317.88871554862214</v>
      </c>
      <c r="DI43" s="20">
        <v>153.19284802043518</v>
      </c>
      <c r="DJ43" s="18">
        <v>432.42040397124259</v>
      </c>
      <c r="DK43" s="19">
        <v>28.708133971291872</v>
      </c>
      <c r="DL43" s="19">
        <v>1297.9206049149359</v>
      </c>
      <c r="DM43" s="19">
        <v>286.42544365061241</v>
      </c>
      <c r="DN43" s="19">
        <v>109.73346202390685</v>
      </c>
      <c r="DO43" s="19">
        <v>98.837091718070965</v>
      </c>
      <c r="DP43" s="19">
        <v>318.60286591606979</v>
      </c>
      <c r="DQ43" s="20">
        <v>151.75206354150527</v>
      </c>
      <c r="DS43" s="67"/>
      <c r="DT43" s="74"/>
      <c r="DU43" s="41" t="s">
        <v>26</v>
      </c>
      <c r="DV43" s="18">
        <v>-71.220318605350158</v>
      </c>
      <c r="DW43" s="19">
        <v>192.98831385642779</v>
      </c>
      <c r="DX43" s="19">
        <v>183.39420819201706</v>
      </c>
      <c r="DY43" s="19">
        <v>26.222426470588179</v>
      </c>
      <c r="DZ43" s="19">
        <v>106.98619008935925</v>
      </c>
      <c r="EA43" s="19">
        <v>28.015853356452819</v>
      </c>
      <c r="EB43" s="19">
        <v>641.81818181818392</v>
      </c>
      <c r="EC43" s="20">
        <v>422.268907563026</v>
      </c>
      <c r="ED43" s="18">
        <v>-71.139644934743956</v>
      </c>
      <c r="EE43" s="19">
        <v>193.79280198164207</v>
      </c>
      <c r="EF43" s="19">
        <v>179.89806066633685</v>
      </c>
      <c r="EG43" s="19">
        <v>26.16589533641865</v>
      </c>
      <c r="EH43" s="19">
        <v>106.31578947368472</v>
      </c>
      <c r="EI43" s="19">
        <v>27.946645109135371</v>
      </c>
      <c r="EJ43" s="19">
        <v>642.29452054794604</v>
      </c>
      <c r="EK43" s="20">
        <v>375.78947368421257</v>
      </c>
      <c r="EM43" s="67"/>
      <c r="EN43" s="74"/>
      <c r="EO43" s="41" t="s">
        <v>26</v>
      </c>
      <c r="EP43" s="18">
        <v>392.94117647058829</v>
      </c>
      <c r="EQ43" s="19">
        <v>913.22314049586794</v>
      </c>
      <c r="ER43" s="19">
        <v>2406.7934782608695</v>
      </c>
      <c r="ES43" s="19">
        <v>242.14631102792205</v>
      </c>
      <c r="ET43" s="19">
        <v>169.06488923740574</v>
      </c>
      <c r="EU43" s="19">
        <v>166.93851944792962</v>
      </c>
      <c r="EV43" s="19">
        <v>1060.6864274570983</v>
      </c>
      <c r="EW43" s="20">
        <v>34.80367916131015</v>
      </c>
      <c r="EX43" s="18">
        <v>392.94117647058829</v>
      </c>
      <c r="EY43" s="19">
        <v>952.01320132013336</v>
      </c>
      <c r="EZ43" s="19">
        <v>2394.6478873239548</v>
      </c>
      <c r="FA43" s="19">
        <v>250.09471327707985</v>
      </c>
      <c r="FB43" s="19">
        <v>168.37407013815138</v>
      </c>
      <c r="FC43" s="19">
        <v>165.55023923444963</v>
      </c>
      <c r="FD43" s="19">
        <v>1070.4081632653094</v>
      </c>
      <c r="FE43" s="20">
        <v>34.599156118143746</v>
      </c>
    </row>
    <row r="46" spans="3:161" ht="15" thickBot="1" x14ac:dyDescent="0.35"/>
    <row r="47" spans="3:161" ht="15" thickBot="1" x14ac:dyDescent="0.35">
      <c r="C47" s="77" t="s">
        <v>29</v>
      </c>
      <c r="D47" s="77"/>
      <c r="E47" s="78"/>
      <c r="F47" s="79" t="s">
        <v>1</v>
      </c>
      <c r="G47" s="80"/>
      <c r="H47" s="80"/>
      <c r="I47" s="80"/>
      <c r="J47" s="80"/>
      <c r="K47" s="80"/>
      <c r="L47" s="80"/>
      <c r="M47" s="81"/>
      <c r="N47" s="75" t="s">
        <v>2</v>
      </c>
      <c r="O47" s="75"/>
      <c r="P47" s="75"/>
      <c r="Q47" s="75"/>
      <c r="R47" s="75"/>
      <c r="S47" s="75"/>
      <c r="T47" s="75"/>
      <c r="U47" s="76"/>
      <c r="W47" s="77" t="s">
        <v>30</v>
      </c>
      <c r="X47" s="77"/>
      <c r="Y47" s="78"/>
      <c r="Z47" s="79" t="s">
        <v>1</v>
      </c>
      <c r="AA47" s="80"/>
      <c r="AB47" s="80"/>
      <c r="AC47" s="80"/>
      <c r="AD47" s="80"/>
      <c r="AE47" s="80"/>
      <c r="AF47" s="80"/>
      <c r="AG47" s="81"/>
      <c r="AH47" s="75" t="s">
        <v>2</v>
      </c>
      <c r="AI47" s="75"/>
      <c r="AJ47" s="75"/>
      <c r="AK47" s="75"/>
      <c r="AL47" s="75"/>
      <c r="AM47" s="75"/>
      <c r="AN47" s="75"/>
      <c r="AO47" s="76"/>
      <c r="AQ47" s="77" t="s">
        <v>31</v>
      </c>
      <c r="AR47" s="77"/>
      <c r="AS47" s="78"/>
      <c r="AT47" s="79" t="s">
        <v>1</v>
      </c>
      <c r="AU47" s="80"/>
      <c r="AV47" s="80"/>
      <c r="AW47" s="80"/>
      <c r="AX47" s="80"/>
      <c r="AY47" s="80"/>
      <c r="AZ47" s="80"/>
      <c r="BA47" s="81"/>
      <c r="BB47" s="75" t="s">
        <v>2</v>
      </c>
      <c r="BC47" s="75"/>
      <c r="BD47" s="75"/>
      <c r="BE47" s="75"/>
      <c r="BF47" s="75"/>
      <c r="BG47" s="75"/>
      <c r="BH47" s="75"/>
      <c r="BI47" s="76"/>
      <c r="BK47" s="77" t="s">
        <v>32</v>
      </c>
      <c r="BL47" s="77"/>
      <c r="BM47" s="78"/>
      <c r="BN47" s="79" t="s">
        <v>1</v>
      </c>
      <c r="BO47" s="80"/>
      <c r="BP47" s="80"/>
      <c r="BQ47" s="80"/>
      <c r="BR47" s="80"/>
      <c r="BS47" s="80"/>
      <c r="BT47" s="80"/>
      <c r="BU47" s="81"/>
      <c r="BV47" s="75" t="s">
        <v>2</v>
      </c>
      <c r="BW47" s="75"/>
      <c r="BX47" s="75"/>
      <c r="BY47" s="75"/>
      <c r="BZ47" s="75"/>
      <c r="CA47" s="75"/>
      <c r="CB47" s="75"/>
      <c r="CC47" s="76"/>
      <c r="CE47" s="77" t="s">
        <v>33</v>
      </c>
      <c r="CF47" s="77"/>
      <c r="CG47" s="78"/>
      <c r="CH47" s="79" t="s">
        <v>1</v>
      </c>
      <c r="CI47" s="80"/>
      <c r="CJ47" s="80"/>
      <c r="CK47" s="80"/>
      <c r="CL47" s="80"/>
      <c r="CM47" s="80"/>
      <c r="CN47" s="80"/>
      <c r="CO47" s="81"/>
      <c r="CP47" s="75" t="s">
        <v>2</v>
      </c>
      <c r="CQ47" s="75"/>
      <c r="CR47" s="75"/>
      <c r="CS47" s="75"/>
      <c r="CT47" s="75"/>
      <c r="CU47" s="75"/>
      <c r="CV47" s="75"/>
      <c r="CW47" s="76"/>
      <c r="CY47" s="77" t="s">
        <v>34</v>
      </c>
      <c r="CZ47" s="77"/>
      <c r="DA47" s="78"/>
      <c r="DB47" s="79" t="s">
        <v>1</v>
      </c>
      <c r="DC47" s="80"/>
      <c r="DD47" s="80"/>
      <c r="DE47" s="80"/>
      <c r="DF47" s="80"/>
      <c r="DG47" s="80"/>
      <c r="DH47" s="80"/>
      <c r="DI47" s="81"/>
      <c r="DJ47" s="75" t="s">
        <v>2</v>
      </c>
      <c r="DK47" s="75"/>
      <c r="DL47" s="75"/>
      <c r="DM47" s="75"/>
      <c r="DN47" s="75"/>
      <c r="DO47" s="75"/>
      <c r="DP47" s="75"/>
      <c r="DQ47" s="76"/>
      <c r="DS47" s="77" t="s">
        <v>35</v>
      </c>
      <c r="DT47" s="77"/>
      <c r="DU47" s="78"/>
      <c r="DV47" s="79" t="s">
        <v>1</v>
      </c>
      <c r="DW47" s="80"/>
      <c r="DX47" s="80"/>
      <c r="DY47" s="80"/>
      <c r="DZ47" s="80"/>
      <c r="EA47" s="80"/>
      <c r="EB47" s="80"/>
      <c r="EC47" s="81"/>
      <c r="ED47" s="75" t="s">
        <v>2</v>
      </c>
      <c r="EE47" s="75"/>
      <c r="EF47" s="75"/>
      <c r="EG47" s="75"/>
      <c r="EH47" s="75"/>
      <c r="EI47" s="75"/>
      <c r="EJ47" s="75"/>
      <c r="EK47" s="76"/>
      <c r="EM47" s="77" t="s">
        <v>36</v>
      </c>
      <c r="EN47" s="77"/>
      <c r="EO47" s="78"/>
      <c r="EP47" s="79" t="s">
        <v>1</v>
      </c>
      <c r="EQ47" s="80"/>
      <c r="ER47" s="80"/>
      <c r="ES47" s="80"/>
      <c r="ET47" s="80"/>
      <c r="EU47" s="80"/>
      <c r="EV47" s="80"/>
      <c r="EW47" s="81"/>
      <c r="EX47" s="75" t="s">
        <v>2</v>
      </c>
      <c r="EY47" s="75"/>
      <c r="EZ47" s="75"/>
      <c r="FA47" s="75"/>
      <c r="FB47" s="75"/>
      <c r="FC47" s="75"/>
      <c r="FD47" s="75"/>
      <c r="FE47" s="76"/>
    </row>
    <row r="48" spans="3:161" ht="43.8" thickBot="1" x14ac:dyDescent="0.35">
      <c r="C48" s="5" t="s">
        <v>10</v>
      </c>
      <c r="D48" s="4" t="s">
        <v>11</v>
      </c>
      <c r="E48" s="3"/>
      <c r="F48" s="6" t="s">
        <v>12</v>
      </c>
      <c r="G48" s="7" t="s">
        <v>13</v>
      </c>
      <c r="H48" s="7" t="s">
        <v>14</v>
      </c>
      <c r="I48" s="7" t="s">
        <v>15</v>
      </c>
      <c r="J48" s="7" t="s">
        <v>16</v>
      </c>
      <c r="K48" s="7" t="s">
        <v>17</v>
      </c>
      <c r="L48" s="7" t="s">
        <v>18</v>
      </c>
      <c r="M48" s="8" t="s">
        <v>19</v>
      </c>
      <c r="N48" s="6" t="s">
        <v>12</v>
      </c>
      <c r="O48" s="7" t="s">
        <v>13</v>
      </c>
      <c r="P48" s="7" t="s">
        <v>14</v>
      </c>
      <c r="Q48" s="7" t="s">
        <v>15</v>
      </c>
      <c r="R48" s="7" t="s">
        <v>16</v>
      </c>
      <c r="S48" s="7" t="s">
        <v>17</v>
      </c>
      <c r="T48" s="7" t="s">
        <v>18</v>
      </c>
      <c r="U48" s="8" t="s">
        <v>19</v>
      </c>
      <c r="V48" s="2"/>
      <c r="W48" s="5" t="s">
        <v>10</v>
      </c>
      <c r="X48" s="4" t="s">
        <v>11</v>
      </c>
      <c r="Y48" s="3"/>
      <c r="Z48" s="6" t="s">
        <v>12</v>
      </c>
      <c r="AA48" s="7" t="s">
        <v>13</v>
      </c>
      <c r="AB48" s="7" t="s">
        <v>14</v>
      </c>
      <c r="AC48" s="7" t="s">
        <v>15</v>
      </c>
      <c r="AD48" s="7" t="s">
        <v>16</v>
      </c>
      <c r="AE48" s="7" t="s">
        <v>17</v>
      </c>
      <c r="AF48" s="7" t="s">
        <v>18</v>
      </c>
      <c r="AG48" s="8" t="s">
        <v>19</v>
      </c>
      <c r="AH48" s="6" t="s">
        <v>12</v>
      </c>
      <c r="AI48" s="7" t="s">
        <v>13</v>
      </c>
      <c r="AJ48" s="7" t="s">
        <v>14</v>
      </c>
      <c r="AK48" s="7" t="s">
        <v>15</v>
      </c>
      <c r="AL48" s="7" t="s">
        <v>16</v>
      </c>
      <c r="AM48" s="7" t="s">
        <v>17</v>
      </c>
      <c r="AN48" s="7" t="s">
        <v>18</v>
      </c>
      <c r="AO48" s="8" t="s">
        <v>19</v>
      </c>
      <c r="AP48" s="2"/>
      <c r="AQ48" s="5" t="s">
        <v>10</v>
      </c>
      <c r="AR48" s="4" t="s">
        <v>11</v>
      </c>
      <c r="AS48" s="3"/>
      <c r="AT48" s="6" t="s">
        <v>12</v>
      </c>
      <c r="AU48" s="7" t="s">
        <v>13</v>
      </c>
      <c r="AV48" s="7" t="s">
        <v>14</v>
      </c>
      <c r="AW48" s="7" t="s">
        <v>15</v>
      </c>
      <c r="AX48" s="7" t="s">
        <v>16</v>
      </c>
      <c r="AY48" s="7" t="s">
        <v>17</v>
      </c>
      <c r="AZ48" s="7" t="s">
        <v>18</v>
      </c>
      <c r="BA48" s="8" t="s">
        <v>19</v>
      </c>
      <c r="BB48" s="6" t="s">
        <v>12</v>
      </c>
      <c r="BC48" s="7" t="s">
        <v>13</v>
      </c>
      <c r="BD48" s="7" t="s">
        <v>14</v>
      </c>
      <c r="BE48" s="7" t="s">
        <v>15</v>
      </c>
      <c r="BF48" s="7" t="s">
        <v>16</v>
      </c>
      <c r="BG48" s="7" t="s">
        <v>17</v>
      </c>
      <c r="BH48" s="7" t="s">
        <v>18</v>
      </c>
      <c r="BI48" s="8" t="s">
        <v>19</v>
      </c>
      <c r="BJ48" s="2"/>
      <c r="BK48" s="5" t="s">
        <v>10</v>
      </c>
      <c r="BL48" s="4" t="s">
        <v>11</v>
      </c>
      <c r="BM48" s="3"/>
      <c r="BN48" s="6" t="s">
        <v>12</v>
      </c>
      <c r="BO48" s="7" t="s">
        <v>13</v>
      </c>
      <c r="BP48" s="7" t="s">
        <v>14</v>
      </c>
      <c r="BQ48" s="7" t="s">
        <v>15</v>
      </c>
      <c r="BR48" s="7" t="s">
        <v>16</v>
      </c>
      <c r="BS48" s="7" t="s">
        <v>17</v>
      </c>
      <c r="BT48" s="7" t="s">
        <v>18</v>
      </c>
      <c r="BU48" s="8" t="s">
        <v>19</v>
      </c>
      <c r="BV48" s="6" t="s">
        <v>12</v>
      </c>
      <c r="BW48" s="7" t="s">
        <v>13</v>
      </c>
      <c r="BX48" s="7" t="s">
        <v>14</v>
      </c>
      <c r="BY48" s="7" t="s">
        <v>15</v>
      </c>
      <c r="BZ48" s="7" t="s">
        <v>16</v>
      </c>
      <c r="CA48" s="7" t="s">
        <v>17</v>
      </c>
      <c r="CB48" s="7" t="s">
        <v>18</v>
      </c>
      <c r="CC48" s="8" t="s">
        <v>19</v>
      </c>
      <c r="CD48" s="2"/>
      <c r="CE48" s="5" t="s">
        <v>10</v>
      </c>
      <c r="CF48" s="4" t="s">
        <v>11</v>
      </c>
      <c r="CG48" s="3"/>
      <c r="CH48" s="6" t="s">
        <v>12</v>
      </c>
      <c r="CI48" s="7" t="s">
        <v>13</v>
      </c>
      <c r="CJ48" s="7" t="s">
        <v>14</v>
      </c>
      <c r="CK48" s="7" t="s">
        <v>15</v>
      </c>
      <c r="CL48" s="7" t="s">
        <v>16</v>
      </c>
      <c r="CM48" s="7" t="s">
        <v>17</v>
      </c>
      <c r="CN48" s="7" t="s">
        <v>18</v>
      </c>
      <c r="CO48" s="8" t="s">
        <v>19</v>
      </c>
      <c r="CP48" s="6" t="s">
        <v>12</v>
      </c>
      <c r="CQ48" s="7" t="s">
        <v>13</v>
      </c>
      <c r="CR48" s="7" t="s">
        <v>14</v>
      </c>
      <c r="CS48" s="7" t="s">
        <v>15</v>
      </c>
      <c r="CT48" s="7" t="s">
        <v>16</v>
      </c>
      <c r="CU48" s="7" t="s">
        <v>17</v>
      </c>
      <c r="CV48" s="7" t="s">
        <v>18</v>
      </c>
      <c r="CW48" s="8" t="s">
        <v>19</v>
      </c>
      <c r="CX48" s="2"/>
      <c r="CY48" s="5" t="s">
        <v>10</v>
      </c>
      <c r="CZ48" s="4" t="s">
        <v>11</v>
      </c>
      <c r="DA48" s="3"/>
      <c r="DB48" s="6" t="s">
        <v>12</v>
      </c>
      <c r="DC48" s="7" t="s">
        <v>13</v>
      </c>
      <c r="DD48" s="7" t="s">
        <v>14</v>
      </c>
      <c r="DE48" s="7" t="s">
        <v>15</v>
      </c>
      <c r="DF48" s="7" t="s">
        <v>16</v>
      </c>
      <c r="DG48" s="7" t="s">
        <v>17</v>
      </c>
      <c r="DH48" s="7" t="s">
        <v>18</v>
      </c>
      <c r="DI48" s="8" t="s">
        <v>19</v>
      </c>
      <c r="DJ48" s="6" t="s">
        <v>12</v>
      </c>
      <c r="DK48" s="7" t="s">
        <v>13</v>
      </c>
      <c r="DL48" s="7" t="s">
        <v>14</v>
      </c>
      <c r="DM48" s="7" t="s">
        <v>15</v>
      </c>
      <c r="DN48" s="7" t="s">
        <v>16</v>
      </c>
      <c r="DO48" s="7" t="s">
        <v>17</v>
      </c>
      <c r="DP48" s="7" t="s">
        <v>18</v>
      </c>
      <c r="DQ48" s="8" t="s">
        <v>19</v>
      </c>
      <c r="DR48" s="2"/>
      <c r="DS48" s="5" t="s">
        <v>10</v>
      </c>
      <c r="DT48" s="4" t="s">
        <v>11</v>
      </c>
      <c r="DU48" s="3"/>
      <c r="DV48" s="6" t="s">
        <v>12</v>
      </c>
      <c r="DW48" s="7" t="s">
        <v>13</v>
      </c>
      <c r="DX48" s="7" t="s">
        <v>14</v>
      </c>
      <c r="DY48" s="7" t="s">
        <v>15</v>
      </c>
      <c r="DZ48" s="7" t="s">
        <v>16</v>
      </c>
      <c r="EA48" s="7" t="s">
        <v>17</v>
      </c>
      <c r="EB48" s="7" t="s">
        <v>18</v>
      </c>
      <c r="EC48" s="8" t="s">
        <v>19</v>
      </c>
      <c r="ED48" s="6" t="s">
        <v>12</v>
      </c>
      <c r="EE48" s="7" t="s">
        <v>13</v>
      </c>
      <c r="EF48" s="7" t="s">
        <v>14</v>
      </c>
      <c r="EG48" s="7" t="s">
        <v>15</v>
      </c>
      <c r="EH48" s="7" t="s">
        <v>16</v>
      </c>
      <c r="EI48" s="7" t="s">
        <v>17</v>
      </c>
      <c r="EJ48" s="7" t="s">
        <v>18</v>
      </c>
      <c r="EK48" s="8" t="s">
        <v>19</v>
      </c>
      <c r="EL48" s="2"/>
      <c r="EM48" s="5" t="s">
        <v>10</v>
      </c>
      <c r="EN48" s="4" t="s">
        <v>11</v>
      </c>
      <c r="EO48" s="3"/>
      <c r="EP48" s="6" t="s">
        <v>12</v>
      </c>
      <c r="EQ48" s="7" t="s">
        <v>13</v>
      </c>
      <c r="ER48" s="7" t="s">
        <v>14</v>
      </c>
      <c r="ES48" s="7" t="s">
        <v>15</v>
      </c>
      <c r="ET48" s="7" t="s">
        <v>16</v>
      </c>
      <c r="EU48" s="7" t="s">
        <v>17</v>
      </c>
      <c r="EV48" s="7" t="s">
        <v>18</v>
      </c>
      <c r="EW48" s="8" t="s">
        <v>19</v>
      </c>
      <c r="EX48" s="6" t="s">
        <v>12</v>
      </c>
      <c r="EY48" s="7" t="s">
        <v>13</v>
      </c>
      <c r="EZ48" s="7" t="s">
        <v>14</v>
      </c>
      <c r="FA48" s="7" t="s">
        <v>15</v>
      </c>
      <c r="FB48" s="7" t="s">
        <v>16</v>
      </c>
      <c r="FC48" s="7" t="s">
        <v>17</v>
      </c>
      <c r="FD48" s="7" t="s">
        <v>18</v>
      </c>
      <c r="FE48" s="8" t="s">
        <v>19</v>
      </c>
    </row>
    <row r="49" spans="3:161" x14ac:dyDescent="0.3">
      <c r="C49" s="65">
        <v>1</v>
      </c>
      <c r="D49" s="71" t="s">
        <v>20</v>
      </c>
      <c r="E49" s="72"/>
      <c r="F49" s="21">
        <v>5.3723529411764703</v>
      </c>
      <c r="G49" s="22">
        <v>5.5708823529411697</v>
      </c>
      <c r="H49" s="22">
        <v>2.3058823529411701</v>
      </c>
      <c r="I49" s="22">
        <v>3.6777941176470601</v>
      </c>
      <c r="J49" s="22">
        <v>4.4222388059701503</v>
      </c>
      <c r="K49" s="22">
        <v>1.2285294117647001</v>
      </c>
      <c r="L49" s="22">
        <v>3.72238805970149</v>
      </c>
      <c r="M49" s="23"/>
      <c r="N49" s="21">
        <v>5.3217777777777702</v>
      </c>
      <c r="O49" s="22">
        <v>5.7068888888888898</v>
      </c>
      <c r="P49" s="22">
        <v>2.31355555555555</v>
      </c>
      <c r="Q49" s="22">
        <v>3.6784444444444402</v>
      </c>
      <c r="R49" s="22">
        <v>4.5511111111111102</v>
      </c>
      <c r="S49" s="22">
        <v>1.24444444444444</v>
      </c>
      <c r="T49" s="22">
        <v>3.7161363636363598</v>
      </c>
      <c r="U49" s="23"/>
      <c r="V49" s="2"/>
      <c r="W49" s="65">
        <v>1</v>
      </c>
      <c r="X49" s="71" t="s">
        <v>20</v>
      </c>
      <c r="Y49" s="72"/>
      <c r="Z49" s="21">
        <v>5.9598039215686196</v>
      </c>
      <c r="AA49" s="22">
        <v>4.8902614379085003</v>
      </c>
      <c r="AB49" s="22">
        <v>2.1849999999999898</v>
      </c>
      <c r="AC49" s="22">
        <v>2.4537012987012901</v>
      </c>
      <c r="AD49" s="22">
        <v>3.6361688311688298</v>
      </c>
      <c r="AE49" s="22">
        <v>2.9421428571428501</v>
      </c>
      <c r="AF49" s="22">
        <v>3.7513636363636298</v>
      </c>
      <c r="AG49" s="23">
        <v>2.5822794117646999</v>
      </c>
      <c r="AH49" s="21">
        <v>5.9942222222222199</v>
      </c>
      <c r="AI49" s="22">
        <v>4.82522727272727</v>
      </c>
      <c r="AJ49" s="22">
        <v>2.1626666666666599</v>
      </c>
      <c r="AK49" s="22">
        <v>2.3937777777777698</v>
      </c>
      <c r="AL49" s="22">
        <v>3.5757777777777702</v>
      </c>
      <c r="AM49" s="22">
        <v>2.8497777777777702</v>
      </c>
      <c r="AN49" s="22">
        <v>3.71533333333333</v>
      </c>
      <c r="AO49" s="23">
        <v>2.6197368421052598</v>
      </c>
      <c r="AP49" s="2"/>
      <c r="AQ49" s="65">
        <v>1</v>
      </c>
      <c r="AR49" s="71" t="s">
        <v>20</v>
      </c>
      <c r="AS49" s="72"/>
      <c r="AT49" s="21">
        <v>5.8569230769230698</v>
      </c>
      <c r="AU49" s="22">
        <v>3.676408839779</v>
      </c>
      <c r="AV49" s="22">
        <v>3.1860555555555501</v>
      </c>
      <c r="AW49" s="22">
        <v>2.3239010989011</v>
      </c>
      <c r="AX49" s="22">
        <v>2.15401098901099</v>
      </c>
      <c r="AY49" s="22">
        <v>3.7545303867403201</v>
      </c>
      <c r="AZ49" s="22">
        <v>2.43576923076923</v>
      </c>
      <c r="BA49" s="23">
        <v>1.31110465116279</v>
      </c>
      <c r="BB49" s="21">
        <v>5.6939999999999902</v>
      </c>
      <c r="BC49" s="22">
        <v>3.5701999999999998</v>
      </c>
      <c r="BD49" s="22">
        <v>3.1453061224489698</v>
      </c>
      <c r="BE49" s="22">
        <v>2.3435999999999901</v>
      </c>
      <c r="BF49" s="22">
        <v>2.1761999999999899</v>
      </c>
      <c r="BG49" s="22">
        <v>3.6222448979591801</v>
      </c>
      <c r="BH49" s="22">
        <v>2.4395999999999902</v>
      </c>
      <c r="BI49" s="23">
        <v>1.3202127659574401</v>
      </c>
      <c r="BJ49" s="2"/>
      <c r="BK49" s="65">
        <v>1</v>
      </c>
      <c r="BL49" s="71" t="s">
        <v>20</v>
      </c>
      <c r="BM49" s="72"/>
      <c r="BN49" s="21">
        <v>6.7310416666666697</v>
      </c>
      <c r="BO49" s="22">
        <v>3.56614583333333</v>
      </c>
      <c r="BP49" s="22">
        <v>4.4568449197861</v>
      </c>
      <c r="BQ49" s="22">
        <v>2.5788541666666598</v>
      </c>
      <c r="BR49" s="22">
        <v>1.9115625000000001</v>
      </c>
      <c r="BS49" s="22">
        <v>4.9951041666666596</v>
      </c>
      <c r="BT49" s="22">
        <v>3.0993193717277499</v>
      </c>
      <c r="BU49" s="23">
        <v>2.09989583333333</v>
      </c>
      <c r="BV49" s="21">
        <v>6.5986666666666602</v>
      </c>
      <c r="BW49" s="22">
        <v>3.6282222222222198</v>
      </c>
      <c r="BX49" s="22">
        <v>4.4807142857142797</v>
      </c>
      <c r="BY49" s="22">
        <v>2.60977777777777</v>
      </c>
      <c r="BZ49" s="22">
        <v>1.9355555555555499</v>
      </c>
      <c r="CA49" s="22">
        <v>4.944</v>
      </c>
      <c r="CB49" s="22">
        <v>3.1168181818181799</v>
      </c>
      <c r="CC49" s="23">
        <v>2.0586666666666602</v>
      </c>
      <c r="CD49" s="2"/>
      <c r="CE49" s="65">
        <v>1</v>
      </c>
      <c r="CF49" s="71" t="s">
        <v>20</v>
      </c>
      <c r="CG49" s="72"/>
      <c r="CH49" s="21">
        <v>4.9374576271186399</v>
      </c>
      <c r="CI49" s="22">
        <v>1.0272413793103401</v>
      </c>
      <c r="CJ49" s="22">
        <v>1.0898305084745701</v>
      </c>
      <c r="CK49" s="22">
        <v>6.9752542372881399</v>
      </c>
      <c r="CL49" s="22">
        <v>0.67661016949152497</v>
      </c>
      <c r="CM49" s="22">
        <v>0.14338983050847401</v>
      </c>
      <c r="CN49" s="22">
        <v>3.8229090909090799</v>
      </c>
      <c r="CO49" s="23">
        <v>1.2715254237288101</v>
      </c>
      <c r="CP49" s="21">
        <v>5.1406666666666601</v>
      </c>
      <c r="CQ49" s="22">
        <v>1.0653333333333299</v>
      </c>
      <c r="CR49" s="22">
        <v>1.21733333333333</v>
      </c>
      <c r="CS49" s="22">
        <v>7.0293333333333301</v>
      </c>
      <c r="CT49" s="22">
        <v>0.69599999999999995</v>
      </c>
      <c r="CU49" s="22">
        <v>0.139333333333333</v>
      </c>
      <c r="CV49" s="22">
        <v>3.6585714285714199</v>
      </c>
      <c r="CW49" s="23">
        <v>1.2893333333333299</v>
      </c>
      <c r="CX49" s="2"/>
      <c r="CY49" s="65">
        <v>1</v>
      </c>
      <c r="CZ49" s="71" t="s">
        <v>20</v>
      </c>
      <c r="DA49" s="72"/>
      <c r="DB49" s="21">
        <v>1.17487804878048</v>
      </c>
      <c r="DC49" s="22">
        <v>0.25862745098039203</v>
      </c>
      <c r="DD49" s="22">
        <v>0.37084745762711802</v>
      </c>
      <c r="DE49" s="22">
        <v>1.3054716981132</v>
      </c>
      <c r="DF49" s="22">
        <v>0.35254237288135498</v>
      </c>
      <c r="DG49" s="22">
        <v>0.79084745762711794</v>
      </c>
      <c r="DH49" s="22">
        <v>0.87555555555555498</v>
      </c>
      <c r="DI49" s="23">
        <v>0.82067796610169497</v>
      </c>
      <c r="DJ49" s="21">
        <v>1.17</v>
      </c>
      <c r="DK49" s="22">
        <v>0.55399999999999905</v>
      </c>
      <c r="DL49" s="22">
        <v>0.28599999999999998</v>
      </c>
      <c r="DM49" s="22">
        <v>1.73999999999999</v>
      </c>
      <c r="DN49" s="22">
        <v>0.37</v>
      </c>
      <c r="DO49" s="22">
        <v>0.63200000000000001</v>
      </c>
      <c r="DP49" s="22">
        <v>1.1479999999999999</v>
      </c>
      <c r="DQ49" s="23">
        <v>0.77</v>
      </c>
      <c r="DR49" s="2"/>
      <c r="DS49" s="65">
        <v>1</v>
      </c>
      <c r="DT49" s="71" t="s">
        <v>20</v>
      </c>
      <c r="DU49" s="72"/>
      <c r="DV49" s="21">
        <v>5.6893220338982999</v>
      </c>
      <c r="DW49" s="22">
        <v>3.1752083333333299</v>
      </c>
      <c r="DX49" s="22">
        <v>1.1969491525423701</v>
      </c>
      <c r="DY49" s="22">
        <v>1.4989655172413701</v>
      </c>
      <c r="DZ49" s="22">
        <v>0.616206896551724</v>
      </c>
      <c r="EA49" s="22">
        <v>0.67</v>
      </c>
      <c r="EB49" s="22">
        <v>0.331525423728813</v>
      </c>
      <c r="EC49" s="23">
        <v>0.27372881355932199</v>
      </c>
      <c r="ED49" s="21">
        <v>6.6260000000000003</v>
      </c>
      <c r="EE49" s="22">
        <v>2.4833333333333298</v>
      </c>
      <c r="EF49" s="22">
        <v>1.1339999999999999</v>
      </c>
      <c r="EG49" s="22">
        <v>1.5620000000000001</v>
      </c>
      <c r="EH49" s="22">
        <v>0.56599999999999995</v>
      </c>
      <c r="EI49" s="22">
        <v>0.80399999999999905</v>
      </c>
      <c r="EJ49" s="22">
        <v>0.33400000000000002</v>
      </c>
      <c r="EK49" s="23">
        <v>0.29799999999999999</v>
      </c>
      <c r="EL49" s="2"/>
      <c r="EM49" s="65">
        <v>1</v>
      </c>
      <c r="EN49" s="71" t="s">
        <v>20</v>
      </c>
      <c r="EO49" s="72"/>
      <c r="EP49" s="21">
        <v>6.8555932203389798</v>
      </c>
      <c r="EQ49" s="22">
        <v>0.677966101694915</v>
      </c>
      <c r="ER49" s="22">
        <v>0.79538461538461502</v>
      </c>
      <c r="ES49" s="22">
        <v>2.2392682926829202</v>
      </c>
      <c r="ET49" s="22">
        <v>0.207966101694915</v>
      </c>
      <c r="EU49" s="22">
        <v>2.5265306122448998</v>
      </c>
      <c r="EV49" s="22">
        <v>0.61470588235294099</v>
      </c>
      <c r="EW49" s="23">
        <v>0.63981481481481495</v>
      </c>
      <c r="EX49" s="21">
        <v>6.9868333333333297</v>
      </c>
      <c r="EY49" s="22">
        <v>0.67333333333333301</v>
      </c>
      <c r="EZ49" s="22">
        <v>0.77899999999999903</v>
      </c>
      <c r="FA49" s="22">
        <v>2.28833333333333</v>
      </c>
      <c r="FB49" s="22">
        <v>0.21099999999999899</v>
      </c>
      <c r="FC49" s="22">
        <v>2.492</v>
      </c>
      <c r="FD49" s="22">
        <v>0.61210526315789404</v>
      </c>
      <c r="FE49" s="23">
        <v>0.63910714285714298</v>
      </c>
    </row>
    <row r="50" spans="3:161" ht="15" customHeight="1" x14ac:dyDescent="0.3">
      <c r="C50" s="66"/>
      <c r="D50" s="68" t="s">
        <v>21</v>
      </c>
      <c r="E50" s="69"/>
      <c r="F50" s="24">
        <v>0.46084678341664298</v>
      </c>
      <c r="G50" s="25">
        <v>0.98035668073068505</v>
      </c>
      <c r="H50" s="25">
        <v>0.51924502686484597</v>
      </c>
      <c r="I50" s="25">
        <v>0.56695742549007899</v>
      </c>
      <c r="J50" s="25">
        <v>0.82722485328783502</v>
      </c>
      <c r="K50" s="25">
        <v>0.13925499997235599</v>
      </c>
      <c r="L50" s="25">
        <v>0.85075750188970201</v>
      </c>
      <c r="M50" s="26"/>
      <c r="N50" s="24">
        <v>0.55962403605313005</v>
      </c>
      <c r="O50" s="25">
        <v>0.75279574394304705</v>
      </c>
      <c r="P50" s="25">
        <v>0.496571156613276</v>
      </c>
      <c r="Q50" s="25">
        <v>0.55826698334341596</v>
      </c>
      <c r="R50" s="25">
        <v>0.659205657413095</v>
      </c>
      <c r="S50" s="25">
        <v>9.3608061275738702E-2</v>
      </c>
      <c r="T50" s="25">
        <v>0.87597534188284998</v>
      </c>
      <c r="U50" s="26"/>
      <c r="V50" s="2"/>
      <c r="W50" s="66"/>
      <c r="X50" s="68" t="s">
        <v>21</v>
      </c>
      <c r="Y50" s="69"/>
      <c r="Z50" s="24">
        <v>1.19431412788388</v>
      </c>
      <c r="AA50" s="25">
        <v>1.18337666184823</v>
      </c>
      <c r="AB50" s="25">
        <v>0.28477434675796998</v>
      </c>
      <c r="AC50" s="25">
        <v>0.32798073925611598</v>
      </c>
      <c r="AD50" s="25">
        <v>0.55258683051830804</v>
      </c>
      <c r="AE50" s="25">
        <v>0.52752419072458501</v>
      </c>
      <c r="AF50" s="25">
        <v>0.61515183236295701</v>
      </c>
      <c r="AG50" s="26">
        <v>0.55470310939828404</v>
      </c>
      <c r="AH50" s="24">
        <v>1.0783804500554099</v>
      </c>
      <c r="AI50" s="25">
        <v>1.2872512798354501</v>
      </c>
      <c r="AJ50" s="25">
        <v>0.30407162898822898</v>
      </c>
      <c r="AK50" s="25">
        <v>0.49491767615719601</v>
      </c>
      <c r="AL50" s="25">
        <v>0.69786177838336605</v>
      </c>
      <c r="AM50" s="25">
        <v>0.69959826214411203</v>
      </c>
      <c r="AN50" s="25">
        <v>0.59062528071715803</v>
      </c>
      <c r="AO50" s="26">
        <v>0.65375629952527003</v>
      </c>
      <c r="AP50" s="2"/>
      <c r="AQ50" s="66"/>
      <c r="AR50" s="68" t="s">
        <v>21</v>
      </c>
      <c r="AS50" s="69"/>
      <c r="AT50" s="24">
        <v>1.1428494293906999</v>
      </c>
      <c r="AU50" s="25">
        <v>0.67790123690230897</v>
      </c>
      <c r="AV50" s="25">
        <v>0.50587163196278395</v>
      </c>
      <c r="AW50" s="25">
        <v>0.49230747461239299</v>
      </c>
      <c r="AX50" s="25">
        <v>0.32289531507072999</v>
      </c>
      <c r="AY50" s="25">
        <v>0.65057766546385698</v>
      </c>
      <c r="AZ50" s="25">
        <v>0.33284027707335101</v>
      </c>
      <c r="BA50" s="26">
        <v>0.13859951752237901</v>
      </c>
      <c r="BB50" s="24">
        <v>1.3653219400566301</v>
      </c>
      <c r="BC50" s="25">
        <v>0.89613724395317895</v>
      </c>
      <c r="BD50" s="25">
        <v>0.58652244608235904</v>
      </c>
      <c r="BE50" s="25">
        <v>0.46671944463456799</v>
      </c>
      <c r="BF50" s="25">
        <v>0.26121171489808798</v>
      </c>
      <c r="BG50" s="25">
        <v>0.92819391294329701</v>
      </c>
      <c r="BH50" s="25">
        <v>0.29442798780007301</v>
      </c>
      <c r="BI50" s="26">
        <v>0.100244156442458</v>
      </c>
      <c r="BJ50" s="2"/>
      <c r="BK50" s="66"/>
      <c r="BL50" s="68" t="s">
        <v>21</v>
      </c>
      <c r="BM50" s="69"/>
      <c r="BN50" s="24">
        <v>1.0396198014645599</v>
      </c>
      <c r="BO50" s="25">
        <v>0.64791471563211001</v>
      </c>
      <c r="BP50" s="25">
        <v>0.67933452220715596</v>
      </c>
      <c r="BQ50" s="25">
        <v>0.39604389958602498</v>
      </c>
      <c r="BR50" s="25">
        <v>0.15328233838383501</v>
      </c>
      <c r="BS50" s="25">
        <v>0.94493716148181295</v>
      </c>
      <c r="BT50" s="25">
        <v>0.42344641525001298</v>
      </c>
      <c r="BU50" s="26">
        <v>0.69129557533853703</v>
      </c>
      <c r="BV50" s="24">
        <v>1.0951095328271401</v>
      </c>
      <c r="BW50" s="25">
        <v>0.53177392393087397</v>
      </c>
      <c r="BX50" s="25">
        <v>0.74176877688896203</v>
      </c>
      <c r="BY50" s="25">
        <v>0.38773696060252399</v>
      </c>
      <c r="BZ50" s="25">
        <v>4.3079025861035902E-2</v>
      </c>
      <c r="CA50" s="25">
        <v>1.10334521645161</v>
      </c>
      <c r="CB50" s="25">
        <v>0.336497823356952</v>
      </c>
      <c r="CC50" s="26">
        <v>0.649955895939614</v>
      </c>
      <c r="CD50" s="2"/>
      <c r="CE50" s="66"/>
      <c r="CF50" s="68" t="s">
        <v>21</v>
      </c>
      <c r="CG50" s="69"/>
      <c r="CH50" s="24">
        <v>1.1092165401535901</v>
      </c>
      <c r="CI50" s="25">
        <v>0.47944217983505999</v>
      </c>
      <c r="CJ50" s="25">
        <v>0.48386330723271598</v>
      </c>
      <c r="CK50" s="25">
        <v>1.1680323247387401</v>
      </c>
      <c r="CL50" s="25">
        <v>8.3597302881874197E-2</v>
      </c>
      <c r="CM50" s="25">
        <v>1.5580318907500199E-2</v>
      </c>
      <c r="CN50" s="25">
        <v>1.7142638735326501</v>
      </c>
      <c r="CO50" s="26">
        <v>1.2311752874130799</v>
      </c>
      <c r="CP50" s="24">
        <v>0.86623681647816198</v>
      </c>
      <c r="CQ50" s="25">
        <v>0.55318311213878801</v>
      </c>
      <c r="CR50" s="25">
        <v>0.40537170870970002</v>
      </c>
      <c r="CS50" s="25">
        <v>0.51297130090830101</v>
      </c>
      <c r="CT50" s="25">
        <v>7.0597450378891105E-2</v>
      </c>
      <c r="CU50" s="25">
        <v>1.7688665548562101E-2</v>
      </c>
      <c r="CV50" s="25">
        <v>1.59436891743973</v>
      </c>
      <c r="CW50" s="26">
        <v>1.2838352265337201</v>
      </c>
      <c r="CX50" s="2"/>
      <c r="CY50" s="66"/>
      <c r="CZ50" s="68" t="s">
        <v>21</v>
      </c>
      <c r="DA50" s="69"/>
      <c r="DB50" s="24">
        <v>3.0851489367496401E-2</v>
      </c>
      <c r="DC50" s="25">
        <v>0.30954121400552198</v>
      </c>
      <c r="DD50" s="25">
        <v>0.184669086871838</v>
      </c>
      <c r="DE50" s="25">
        <v>0.78642627558777001</v>
      </c>
      <c r="DF50" s="25">
        <v>8.6643497518082896E-2</v>
      </c>
      <c r="DG50" s="25">
        <v>0.90329957891786705</v>
      </c>
      <c r="DH50" s="25">
        <v>0.57272469847817198</v>
      </c>
      <c r="DI50" s="26">
        <v>0.48032074173226702</v>
      </c>
      <c r="DJ50" s="24">
        <v>0</v>
      </c>
      <c r="DK50" s="25">
        <v>0.50301491031578704</v>
      </c>
      <c r="DL50" s="25">
        <v>0.12737346662472501</v>
      </c>
      <c r="DM50" s="25">
        <v>1.1323603666677799</v>
      </c>
      <c r="DN50" s="25">
        <v>0.08</v>
      </c>
      <c r="DO50" s="25">
        <v>0.62929802160820403</v>
      </c>
      <c r="DP50" s="25">
        <v>0.94727820623088299</v>
      </c>
      <c r="DQ50" s="26">
        <v>0.159999999999999</v>
      </c>
      <c r="DR50" s="2"/>
      <c r="DS50" s="66"/>
      <c r="DT50" s="68" t="s">
        <v>21</v>
      </c>
      <c r="DU50" s="69"/>
      <c r="DV50" s="24">
        <v>2.82876259969738</v>
      </c>
      <c r="DW50" s="25">
        <v>1.8924410928561399</v>
      </c>
      <c r="DX50" s="25">
        <v>0.44817616934690702</v>
      </c>
      <c r="DY50" s="25">
        <v>0.18450950498992999</v>
      </c>
      <c r="DZ50" s="25">
        <v>0.27358304284393697</v>
      </c>
      <c r="EA50" s="25">
        <v>0.215768620427011</v>
      </c>
      <c r="EB50" s="25">
        <v>6.7241370420351304E-2</v>
      </c>
      <c r="EC50" s="26">
        <v>7.5641848006105697E-2</v>
      </c>
      <c r="ED50" s="24">
        <v>2.508</v>
      </c>
      <c r="EE50" s="25">
        <v>1.1742893832252499</v>
      </c>
      <c r="EF50" s="25">
        <v>0.37997894678521299</v>
      </c>
      <c r="EG50" s="25">
        <v>9.5999999999999905E-2</v>
      </c>
      <c r="EH50" s="25">
        <v>4.4090815370097097E-2</v>
      </c>
      <c r="EI50" s="25">
        <v>9.1999999999999998E-2</v>
      </c>
      <c r="EJ50" s="25">
        <v>6.2161081071680203E-2</v>
      </c>
      <c r="EK50" s="26">
        <v>6.4000000000000001E-2</v>
      </c>
      <c r="EL50" s="2"/>
      <c r="EM50" s="66"/>
      <c r="EN50" s="68" t="s">
        <v>21</v>
      </c>
      <c r="EO50" s="69"/>
      <c r="EP50" s="24">
        <v>2.3172874785531299</v>
      </c>
      <c r="EQ50" s="25">
        <v>0.15997647773087101</v>
      </c>
      <c r="ER50" s="25">
        <v>7.4277585874297294E-2</v>
      </c>
      <c r="ES50" s="25">
        <v>1.9576222389567499</v>
      </c>
      <c r="ET50" s="25">
        <v>8.7309689621211994E-2</v>
      </c>
      <c r="EU50" s="25">
        <v>0.79346965020571703</v>
      </c>
      <c r="EV50" s="25">
        <v>0.274743038172437</v>
      </c>
      <c r="EW50" s="26">
        <v>0.77509017573522498</v>
      </c>
      <c r="EX50" s="24">
        <v>2.2311510420010099</v>
      </c>
      <c r="EY50" s="25">
        <v>0.158815056660954</v>
      </c>
      <c r="EZ50" s="25">
        <v>7.7517739905133901E-2</v>
      </c>
      <c r="FA50" s="25">
        <v>1.9544892362464299</v>
      </c>
      <c r="FB50" s="25">
        <v>8.9660470665728603E-2</v>
      </c>
      <c r="FC50" s="25">
        <v>0.79800250626172797</v>
      </c>
      <c r="FD50" s="25">
        <v>0.27333378375297801</v>
      </c>
      <c r="FE50" s="26">
        <v>0.76237241739593498</v>
      </c>
    </row>
    <row r="51" spans="3:161" ht="15" customHeight="1" x14ac:dyDescent="0.3">
      <c r="C51" s="66"/>
      <c r="D51" s="68" t="s">
        <v>22</v>
      </c>
      <c r="E51" s="69"/>
      <c r="F51" s="33">
        <v>5.4692307692307702</v>
      </c>
      <c r="G51" s="34">
        <v>5.8483870967741902</v>
      </c>
      <c r="H51" s="34">
        <v>2.4645161290322499</v>
      </c>
      <c r="I51" s="34">
        <v>3.7959999999999998</v>
      </c>
      <c r="J51" s="34">
        <v>4.6433870967741901</v>
      </c>
      <c r="K51" s="34">
        <v>1.2570769230769201</v>
      </c>
      <c r="L51" s="34">
        <v>4.04568965517241</v>
      </c>
      <c r="M51" s="35"/>
      <c r="N51" s="33">
        <v>5.4680952380952297</v>
      </c>
      <c r="O51" s="34">
        <v>5.8506976744186003</v>
      </c>
      <c r="P51" s="34">
        <v>2.4660975609756002</v>
      </c>
      <c r="Q51" s="34">
        <v>3.7934883720930199</v>
      </c>
      <c r="R51" s="34">
        <v>4.6499999999999897</v>
      </c>
      <c r="S51" s="34">
        <v>1.2584090909090899</v>
      </c>
      <c r="T51" s="34">
        <v>4.0502631578947303</v>
      </c>
      <c r="U51" s="35"/>
      <c r="V51" s="36"/>
      <c r="W51" s="66"/>
      <c r="X51" s="68" t="s">
        <v>22</v>
      </c>
      <c r="Y51" s="69"/>
      <c r="Z51" s="33">
        <v>6.2723943661971804</v>
      </c>
      <c r="AA51" s="34">
        <v>5.27470588235294</v>
      </c>
      <c r="AB51" s="34">
        <v>2.2524999999999902</v>
      </c>
      <c r="AC51" s="34">
        <v>2.5243835616438299</v>
      </c>
      <c r="AD51" s="34">
        <v>3.77566433566433</v>
      </c>
      <c r="AE51" s="34">
        <v>3.0917857142857099</v>
      </c>
      <c r="AF51" s="34">
        <v>3.9306474820143902</v>
      </c>
      <c r="AG51" s="35">
        <v>2.5888695652173901</v>
      </c>
      <c r="AH51" s="33">
        <v>6.2435714285714301</v>
      </c>
      <c r="AI51" s="34">
        <v>5.2955263157894699</v>
      </c>
      <c r="AJ51" s="34">
        <v>2.2546341463414601</v>
      </c>
      <c r="AK51" s="34">
        <v>2.5238095238095202</v>
      </c>
      <c r="AL51" s="34">
        <v>3.7836585365853601</v>
      </c>
      <c r="AM51" s="34">
        <v>3.0750000000000002</v>
      </c>
      <c r="AN51" s="34">
        <v>3.9274358974358901</v>
      </c>
      <c r="AO51" s="35">
        <v>2.62333333333333</v>
      </c>
      <c r="AP51" s="36"/>
      <c r="AQ51" s="66"/>
      <c r="AR51" s="68" t="s">
        <v>22</v>
      </c>
      <c r="AS51" s="69"/>
      <c r="AT51" s="33">
        <v>6.1704790419161597</v>
      </c>
      <c r="AU51" s="34">
        <v>3.8646385542168602</v>
      </c>
      <c r="AV51" s="34">
        <v>3.3170059880239502</v>
      </c>
      <c r="AW51" s="34">
        <v>2.4619161676646701</v>
      </c>
      <c r="AX51" s="34">
        <v>2.22372093023256</v>
      </c>
      <c r="AY51" s="34">
        <v>3.9161077844311301</v>
      </c>
      <c r="AZ51" s="34">
        <v>2.5021387283236902</v>
      </c>
      <c r="BA51" s="35">
        <v>1.28335714285714</v>
      </c>
      <c r="BB51" s="33">
        <v>6.1715909090908996</v>
      </c>
      <c r="BC51" s="34">
        <v>3.8622222222222198</v>
      </c>
      <c r="BD51" s="34">
        <v>3.3035555555555498</v>
      </c>
      <c r="BE51" s="34">
        <v>2.46804347826086</v>
      </c>
      <c r="BF51" s="34">
        <v>2.2245833333333298</v>
      </c>
      <c r="BG51" s="34">
        <v>3.8944444444444399</v>
      </c>
      <c r="BH51" s="34">
        <v>2.5042553191489301</v>
      </c>
      <c r="BI51" s="35">
        <v>1.29066666666666</v>
      </c>
      <c r="BJ51" s="36"/>
      <c r="BK51" s="66"/>
      <c r="BL51" s="68" t="s">
        <v>22</v>
      </c>
      <c r="BM51" s="69"/>
      <c r="BN51" s="33">
        <v>7.0181976744186096</v>
      </c>
      <c r="BO51" s="34">
        <v>3.7383050847457602</v>
      </c>
      <c r="BP51" s="34">
        <v>4.6097159090909097</v>
      </c>
      <c r="BQ51" s="34">
        <v>2.69234285714285</v>
      </c>
      <c r="BR51" s="34">
        <v>1.9325945945945899</v>
      </c>
      <c r="BS51" s="34">
        <v>5.2550285714285598</v>
      </c>
      <c r="BT51" s="34">
        <v>3.1847802197802202</v>
      </c>
      <c r="BU51" s="35">
        <v>2.32326530612244</v>
      </c>
      <c r="BV51" s="33">
        <v>6.8629268292682903</v>
      </c>
      <c r="BW51" s="34">
        <v>3.7464285714285701</v>
      </c>
      <c r="BX51" s="34">
        <v>4.6307499999999999</v>
      </c>
      <c r="BY51" s="34">
        <v>2.6927906976744098</v>
      </c>
      <c r="BZ51" s="34">
        <v>1.93607142857142</v>
      </c>
      <c r="CA51" s="34">
        <v>5.2680487804878</v>
      </c>
      <c r="CB51" s="34">
        <v>3.1883333333333299</v>
      </c>
      <c r="CC51" s="35">
        <v>2.33088235294117</v>
      </c>
      <c r="CD51" s="36"/>
      <c r="CE51" s="66"/>
      <c r="CF51" s="68" t="s">
        <v>22</v>
      </c>
      <c r="CG51" s="69"/>
      <c r="CH51" s="33">
        <v>5.3980434782608597</v>
      </c>
      <c r="CI51" s="34">
        <v>0.92563636363636403</v>
      </c>
      <c r="CJ51" s="34">
        <v>1.35181818181818</v>
      </c>
      <c r="CK51" s="34">
        <v>7.1677192982456104</v>
      </c>
      <c r="CL51" s="34">
        <v>0.71804347826086901</v>
      </c>
      <c r="CM51" s="34">
        <v>0.14568627450980401</v>
      </c>
      <c r="CN51" s="34">
        <v>4.6932499999999902</v>
      </c>
      <c r="CO51" s="35">
        <v>0.787450980392157</v>
      </c>
      <c r="CP51" s="33">
        <v>5.5274999999999999</v>
      </c>
      <c r="CQ51" s="34">
        <v>0.92428571428571404</v>
      </c>
      <c r="CR51" s="34">
        <v>1.37307692307692</v>
      </c>
      <c r="CS51" s="34">
        <v>6.72</v>
      </c>
      <c r="CT51" s="34">
        <v>0.73</v>
      </c>
      <c r="CU51" s="34">
        <v>0.14454545454545401</v>
      </c>
      <c r="CV51" s="34">
        <v>4.4245454545454503</v>
      </c>
      <c r="CW51" s="35">
        <v>0.78999999999999904</v>
      </c>
      <c r="CX51" s="36"/>
      <c r="CY51" s="66"/>
      <c r="CZ51" s="68" t="s">
        <v>22</v>
      </c>
      <c r="DA51" s="69"/>
      <c r="DB51" s="33">
        <v>1.17</v>
      </c>
      <c r="DC51" s="34">
        <v>0.13818181818181799</v>
      </c>
      <c r="DD51" s="34">
        <v>0.38866666666666599</v>
      </c>
      <c r="DE51" s="34">
        <v>0.846923076923077</v>
      </c>
      <c r="DF51" s="34">
        <v>0.31333333333333302</v>
      </c>
      <c r="DG51" s="34">
        <v>0.35914893617021199</v>
      </c>
      <c r="DH51" s="34">
        <v>0.73803921568627395</v>
      </c>
      <c r="DI51" s="35">
        <v>0.71785714285714297</v>
      </c>
      <c r="DJ51" s="33">
        <v>1.17</v>
      </c>
      <c r="DK51" s="34">
        <v>0.14333333333333301</v>
      </c>
      <c r="DL51" s="34">
        <v>0.38999999999999901</v>
      </c>
      <c r="DM51" s="34">
        <v>1.2849999999999999</v>
      </c>
      <c r="DN51" s="34">
        <v>0.33</v>
      </c>
      <c r="DO51" s="34">
        <v>0.3175</v>
      </c>
      <c r="DP51" s="34">
        <v>0.67500000000000004</v>
      </c>
      <c r="DQ51" s="35">
        <v>0.85</v>
      </c>
      <c r="DR51" s="36"/>
      <c r="DS51" s="66"/>
      <c r="DT51" s="68" t="s">
        <v>22</v>
      </c>
      <c r="DU51" s="69"/>
      <c r="DV51" s="33">
        <v>7.61899999999999</v>
      </c>
      <c r="DW51" s="34">
        <v>3.2302439024390202</v>
      </c>
      <c r="DX51" s="34">
        <v>1.3790909090909</v>
      </c>
      <c r="DY51" s="34">
        <v>1.5939999999999901</v>
      </c>
      <c r="DZ51" s="34">
        <v>0.58157894736842097</v>
      </c>
      <c r="EA51" s="34">
        <v>0.83720000000000006</v>
      </c>
      <c r="EB51" s="34">
        <v>0.30688888888888799</v>
      </c>
      <c r="EC51" s="35">
        <v>0.309</v>
      </c>
      <c r="ED51" s="33">
        <v>7.88</v>
      </c>
      <c r="EE51" s="34">
        <v>3.3</v>
      </c>
      <c r="EF51" s="34">
        <v>1.32</v>
      </c>
      <c r="EG51" s="34">
        <v>1.61</v>
      </c>
      <c r="EH51" s="34">
        <v>0.53</v>
      </c>
      <c r="EI51" s="34">
        <v>0.85</v>
      </c>
      <c r="EJ51" s="34">
        <v>0.30499999999999999</v>
      </c>
      <c r="EK51" s="35">
        <v>0.33</v>
      </c>
      <c r="EL51" s="36"/>
      <c r="EM51" s="66"/>
      <c r="EN51" s="68" t="s">
        <v>22</v>
      </c>
      <c r="EO51" s="69"/>
      <c r="EP51" s="33">
        <v>6.6167999999999996</v>
      </c>
      <c r="EQ51" s="34">
        <v>0.63854545454545397</v>
      </c>
      <c r="ER51" s="34">
        <v>0.80999999999999905</v>
      </c>
      <c r="ES51" s="34">
        <v>1.73722222222222</v>
      </c>
      <c r="ET51" s="34">
        <v>0.17419999999999999</v>
      </c>
      <c r="EU51" s="34">
        <v>2.83642857142857</v>
      </c>
      <c r="EV51" s="34">
        <v>0.78555555555555501</v>
      </c>
      <c r="EW51" s="35">
        <v>0.45588235294117602</v>
      </c>
      <c r="EX51" s="33">
        <v>6.6380392156862698</v>
      </c>
      <c r="EY51" s="34">
        <v>0.63428571428571401</v>
      </c>
      <c r="EZ51" s="34">
        <v>0.79666666666666597</v>
      </c>
      <c r="FA51" s="34">
        <v>1.80648648648648</v>
      </c>
      <c r="FB51" s="34">
        <v>0.17419999999999999</v>
      </c>
      <c r="FC51" s="34">
        <v>2.8257142857142798</v>
      </c>
      <c r="FD51" s="34">
        <v>0.79199999999999904</v>
      </c>
      <c r="FE51" s="35">
        <v>0.46207547169811303</v>
      </c>
    </row>
    <row r="52" spans="3:161" ht="28.8" x14ac:dyDescent="0.3">
      <c r="C52" s="66"/>
      <c r="D52" s="73" t="s">
        <v>23</v>
      </c>
      <c r="E52" s="38" t="s">
        <v>24</v>
      </c>
      <c r="F52" s="27">
        <v>5.47</v>
      </c>
      <c r="G52" s="28">
        <v>5.98</v>
      </c>
      <c r="H52" s="28">
        <v>2.41</v>
      </c>
      <c r="I52" s="28">
        <v>3.91</v>
      </c>
      <c r="J52" s="28">
        <v>4.76</v>
      </c>
      <c r="K52" s="28">
        <v>1.37</v>
      </c>
      <c r="L52" s="28">
        <v>3.98</v>
      </c>
      <c r="M52" s="29"/>
      <c r="N52" s="27">
        <v>5.47</v>
      </c>
      <c r="O52" s="28">
        <v>5.98</v>
      </c>
      <c r="P52" s="28">
        <v>2.41</v>
      </c>
      <c r="Q52" s="28">
        <v>3.91</v>
      </c>
      <c r="R52" s="28">
        <v>4.76</v>
      </c>
      <c r="S52" s="28">
        <v>1.37</v>
      </c>
      <c r="T52" s="28">
        <v>3.98</v>
      </c>
      <c r="U52" s="29"/>
      <c r="V52" s="2"/>
      <c r="W52" s="66"/>
      <c r="X52" s="73" t="s">
        <v>23</v>
      </c>
      <c r="Y52" s="38" t="s">
        <v>24</v>
      </c>
      <c r="Z52" s="27">
        <v>6.21</v>
      </c>
      <c r="AA52" s="28">
        <v>5.41</v>
      </c>
      <c r="AB52" s="28">
        <v>2.44</v>
      </c>
      <c r="AC52" s="28">
        <v>2.67</v>
      </c>
      <c r="AD52" s="28">
        <v>3.8</v>
      </c>
      <c r="AE52" s="28">
        <v>2.61</v>
      </c>
      <c r="AF52" s="28">
        <v>3.86</v>
      </c>
      <c r="AG52" s="29">
        <v>2.19</v>
      </c>
      <c r="AH52" s="27">
        <v>6.21</v>
      </c>
      <c r="AI52" s="28">
        <v>5.41</v>
      </c>
      <c r="AJ52" s="28">
        <v>2.44</v>
      </c>
      <c r="AK52" s="28">
        <v>2.67</v>
      </c>
      <c r="AL52" s="28">
        <v>3.8</v>
      </c>
      <c r="AM52" s="28">
        <v>2.61</v>
      </c>
      <c r="AN52" s="28">
        <v>3.86</v>
      </c>
      <c r="AO52" s="29">
        <v>2.19</v>
      </c>
      <c r="AP52" s="2"/>
      <c r="AQ52" s="66"/>
      <c r="AR52" s="73" t="s">
        <v>23</v>
      </c>
      <c r="AS52" s="38" t="s">
        <v>24</v>
      </c>
      <c r="AT52" s="27">
        <v>5.71</v>
      </c>
      <c r="AU52" s="28">
        <v>3.97</v>
      </c>
      <c r="AV52" s="28">
        <v>3.55</v>
      </c>
      <c r="AW52" s="28">
        <v>2.71</v>
      </c>
      <c r="AX52" s="28">
        <v>2.2999999999999998</v>
      </c>
      <c r="AY52" s="28">
        <v>4.01</v>
      </c>
      <c r="AZ52" s="28">
        <v>2.54</v>
      </c>
      <c r="BA52" s="29">
        <v>1.22</v>
      </c>
      <c r="BB52" s="27">
        <v>5.71</v>
      </c>
      <c r="BC52" s="28">
        <v>3.97</v>
      </c>
      <c r="BD52" s="28">
        <v>3.55</v>
      </c>
      <c r="BE52" s="28">
        <v>2.71</v>
      </c>
      <c r="BF52" s="28">
        <v>2.2999999999999998</v>
      </c>
      <c r="BG52" s="28">
        <v>4.01</v>
      </c>
      <c r="BH52" s="28">
        <v>2.54</v>
      </c>
      <c r="BI52" s="29">
        <v>1.22</v>
      </c>
      <c r="BJ52" s="2"/>
      <c r="BK52" s="66"/>
      <c r="BL52" s="73" t="s">
        <v>23</v>
      </c>
      <c r="BM52" s="38" t="s">
        <v>24</v>
      </c>
      <c r="BN52" s="27">
        <v>6.5</v>
      </c>
      <c r="BO52" s="28">
        <v>3.73</v>
      </c>
      <c r="BP52" s="28">
        <v>4.4400000000000004</v>
      </c>
      <c r="BQ52" s="28">
        <v>2.73</v>
      </c>
      <c r="BR52" s="28">
        <v>1.77</v>
      </c>
      <c r="BS52" s="28">
        <v>5.1100000000000003</v>
      </c>
      <c r="BT52" s="28">
        <v>3.05</v>
      </c>
      <c r="BU52" s="29">
        <v>2.21</v>
      </c>
      <c r="BV52" s="27">
        <v>6.5</v>
      </c>
      <c r="BW52" s="28">
        <v>3.73</v>
      </c>
      <c r="BX52" s="28">
        <v>4.4400000000000004</v>
      </c>
      <c r="BY52" s="28">
        <v>2.73</v>
      </c>
      <c r="BZ52" s="28">
        <v>1.77</v>
      </c>
      <c r="CA52" s="28">
        <v>5.1100000000000003</v>
      </c>
      <c r="CB52" s="28">
        <v>3.05</v>
      </c>
      <c r="CC52" s="29">
        <v>2.21</v>
      </c>
      <c r="CD52" s="2"/>
      <c r="CE52" s="66"/>
      <c r="CF52" s="73" t="s">
        <v>23</v>
      </c>
      <c r="CG52" s="38" t="s">
        <v>24</v>
      </c>
      <c r="CH52" s="27">
        <v>5.47</v>
      </c>
      <c r="CI52" s="28">
        <v>5.98</v>
      </c>
      <c r="CJ52" s="28">
        <v>2.41</v>
      </c>
      <c r="CK52" s="28">
        <v>3.91</v>
      </c>
      <c r="CL52" s="28">
        <v>4.76</v>
      </c>
      <c r="CM52" s="28">
        <v>1.37</v>
      </c>
      <c r="CN52" s="28">
        <v>3.98</v>
      </c>
      <c r="CO52" s="29">
        <v>2.46</v>
      </c>
      <c r="CP52" s="27">
        <v>5.47</v>
      </c>
      <c r="CQ52" s="28">
        <v>5.98</v>
      </c>
      <c r="CR52" s="28">
        <v>2.41</v>
      </c>
      <c r="CS52" s="28">
        <v>3.91</v>
      </c>
      <c r="CT52" s="28">
        <v>4.76</v>
      </c>
      <c r="CU52" s="28">
        <v>1.37</v>
      </c>
      <c r="CV52" s="28">
        <v>3.98</v>
      </c>
      <c r="CW52" s="29">
        <v>2.46</v>
      </c>
      <c r="CX52" s="2"/>
      <c r="CY52" s="66"/>
      <c r="CZ52" s="73" t="s">
        <v>23</v>
      </c>
      <c r="DA52" s="38" t="s">
        <v>24</v>
      </c>
      <c r="DB52" s="27">
        <v>6.21</v>
      </c>
      <c r="DC52" s="28">
        <v>5.41</v>
      </c>
      <c r="DD52" s="28">
        <v>2.44</v>
      </c>
      <c r="DE52" s="28">
        <v>2.67</v>
      </c>
      <c r="DF52" s="28">
        <v>3.8</v>
      </c>
      <c r="DG52" s="28">
        <v>2.61</v>
      </c>
      <c r="DH52" s="28">
        <v>3.86</v>
      </c>
      <c r="DI52" s="29">
        <v>2.19</v>
      </c>
      <c r="DJ52" s="27">
        <v>6.21</v>
      </c>
      <c r="DK52" s="28">
        <v>5.41</v>
      </c>
      <c r="DL52" s="28">
        <v>2.44</v>
      </c>
      <c r="DM52" s="28">
        <v>2.67</v>
      </c>
      <c r="DN52" s="28">
        <v>3.8</v>
      </c>
      <c r="DO52" s="28">
        <v>2.61</v>
      </c>
      <c r="DP52" s="28">
        <v>3.86</v>
      </c>
      <c r="DQ52" s="29">
        <v>2.19</v>
      </c>
      <c r="DR52" s="2"/>
      <c r="DS52" s="66"/>
      <c r="DT52" s="73" t="s">
        <v>23</v>
      </c>
      <c r="DU52" s="38" t="s">
        <v>24</v>
      </c>
      <c r="DV52" s="27">
        <v>5.71</v>
      </c>
      <c r="DW52" s="28">
        <v>3.97</v>
      </c>
      <c r="DX52" s="28">
        <v>3.55</v>
      </c>
      <c r="DY52" s="28">
        <v>2.71</v>
      </c>
      <c r="DZ52" s="28">
        <v>2.2999999999999998</v>
      </c>
      <c r="EA52" s="28">
        <v>4.01</v>
      </c>
      <c r="EB52" s="28">
        <v>2.54</v>
      </c>
      <c r="EC52" s="29">
        <v>1.22</v>
      </c>
      <c r="ED52" s="27">
        <v>5.71</v>
      </c>
      <c r="EE52" s="28">
        <v>3.97</v>
      </c>
      <c r="EF52" s="28">
        <v>3.55</v>
      </c>
      <c r="EG52" s="28">
        <v>2.71</v>
      </c>
      <c r="EH52" s="28">
        <v>2.2999999999999998</v>
      </c>
      <c r="EI52" s="28">
        <v>4.01</v>
      </c>
      <c r="EJ52" s="28">
        <v>2.54</v>
      </c>
      <c r="EK52" s="29">
        <v>1.22</v>
      </c>
      <c r="EL52" s="2"/>
      <c r="EM52" s="66"/>
      <c r="EN52" s="73" t="s">
        <v>23</v>
      </c>
      <c r="EO52" s="38" t="s">
        <v>24</v>
      </c>
      <c r="EP52" s="27">
        <v>6.5</v>
      </c>
      <c r="EQ52" s="28">
        <v>3.73</v>
      </c>
      <c r="ER52" s="28">
        <v>4.4400000000000004</v>
      </c>
      <c r="ES52" s="28">
        <v>2.73</v>
      </c>
      <c r="ET52" s="28">
        <v>1.77</v>
      </c>
      <c r="EU52" s="28">
        <v>5.1100000000000003</v>
      </c>
      <c r="EV52" s="28">
        <v>3.05</v>
      </c>
      <c r="EW52" s="29">
        <v>2.21</v>
      </c>
      <c r="EX52" s="27">
        <v>6.5</v>
      </c>
      <c r="EY52" s="28">
        <v>3.73</v>
      </c>
      <c r="EZ52" s="28">
        <v>4.4400000000000004</v>
      </c>
      <c r="FA52" s="28">
        <v>2.73</v>
      </c>
      <c r="FB52" s="28">
        <v>1.77</v>
      </c>
      <c r="FC52" s="28">
        <v>5.1100000000000003</v>
      </c>
      <c r="FD52" s="28">
        <v>3.05</v>
      </c>
      <c r="FE52" s="29">
        <v>2.21</v>
      </c>
    </row>
    <row r="53" spans="3:161" x14ac:dyDescent="0.3">
      <c r="C53" s="66"/>
      <c r="D53" s="70"/>
      <c r="E53" s="39" t="s">
        <v>25</v>
      </c>
      <c r="F53" s="9">
        <v>7.6923076922952305E-4</v>
      </c>
      <c r="G53" s="10">
        <v>0.13161290322581021</v>
      </c>
      <c r="H53" s="10">
        <v>-5.4516129032249783E-2</v>
      </c>
      <c r="I53" s="10">
        <v>0.11400000000000032</v>
      </c>
      <c r="J53" s="10">
        <v>0.11661290322580964</v>
      </c>
      <c r="K53" s="10">
        <v>0.11292307692308001</v>
      </c>
      <c r="L53" s="10">
        <v>-6.5689655172409989E-2</v>
      </c>
      <c r="M53" s="11"/>
      <c r="N53" s="9">
        <v>1.9047619047700692E-3</v>
      </c>
      <c r="O53" s="10">
        <v>0.12930232558140009</v>
      </c>
      <c r="P53" s="10">
        <v>-5.6097560975600036E-2</v>
      </c>
      <c r="Q53" s="10">
        <v>0.11651162790698022</v>
      </c>
      <c r="R53" s="10">
        <v>0.11000000000001009</v>
      </c>
      <c r="S53" s="10">
        <v>0.11159090909091018</v>
      </c>
      <c r="T53" s="10">
        <v>-7.0263157894730366E-2</v>
      </c>
      <c r="U53" s="11"/>
      <c r="W53" s="66"/>
      <c r="X53" s="70"/>
      <c r="Y53" s="39" t="s">
        <v>25</v>
      </c>
      <c r="Z53" s="9">
        <v>-6.2394366197180418E-2</v>
      </c>
      <c r="AA53" s="10">
        <v>0.13529411764706012</v>
      </c>
      <c r="AB53" s="10">
        <v>0.18750000000000977</v>
      </c>
      <c r="AC53" s="10">
        <v>0.14561643835617</v>
      </c>
      <c r="AD53" s="10">
        <v>2.4335664335669804E-2</v>
      </c>
      <c r="AE53" s="10">
        <v>-0.48178571428571004</v>
      </c>
      <c r="AF53" s="10">
        <v>-7.0647482014390306E-2</v>
      </c>
      <c r="AG53" s="11">
        <v>-0.39886956521739014</v>
      </c>
      <c r="AH53" s="9">
        <v>-3.357142857143014E-2</v>
      </c>
      <c r="AI53" s="10">
        <v>0.11447368421053028</v>
      </c>
      <c r="AJ53" s="10">
        <v>0.18536585365853986</v>
      </c>
      <c r="AK53" s="10">
        <v>0.14619047619047976</v>
      </c>
      <c r="AL53" s="10">
        <v>1.6341463414639712E-2</v>
      </c>
      <c r="AM53" s="10">
        <v>-0.4650000000000003</v>
      </c>
      <c r="AN53" s="10">
        <v>-6.743589743589018E-2</v>
      </c>
      <c r="AO53" s="11">
        <v>-0.43333333333333002</v>
      </c>
      <c r="AQ53" s="66"/>
      <c r="AR53" s="70"/>
      <c r="AS53" s="39" t="s">
        <v>25</v>
      </c>
      <c r="AT53" s="9">
        <v>-0.46047904191615974</v>
      </c>
      <c r="AU53" s="10">
        <v>0.10536144578314</v>
      </c>
      <c r="AV53" s="10">
        <v>0.23299401197604963</v>
      </c>
      <c r="AW53" s="10">
        <v>0.24808383233532982</v>
      </c>
      <c r="AX53" s="10">
        <v>7.6279069767439811E-2</v>
      </c>
      <c r="AY53" s="10">
        <v>9.389221556886973E-2</v>
      </c>
      <c r="AZ53" s="10">
        <v>3.7861271676309816E-2</v>
      </c>
      <c r="BA53" s="11">
        <v>-6.3357142857140003E-2</v>
      </c>
      <c r="BB53" s="9">
        <v>-0.46159090909089961</v>
      </c>
      <c r="BC53" s="10">
        <v>0.10777777777778041</v>
      </c>
      <c r="BD53" s="10">
        <v>0.24644444444445002</v>
      </c>
      <c r="BE53" s="10">
        <v>0.24195652173913995</v>
      </c>
      <c r="BF53" s="10">
        <v>7.5416666666670018E-2</v>
      </c>
      <c r="BG53" s="10">
        <v>0.11555555555555985</v>
      </c>
      <c r="BH53" s="10">
        <v>3.5744680851069965E-2</v>
      </c>
      <c r="BI53" s="11">
        <v>-7.0666666666659994E-2</v>
      </c>
      <c r="BK53" s="66"/>
      <c r="BL53" s="70"/>
      <c r="BM53" s="39" t="s">
        <v>25</v>
      </c>
      <c r="BN53" s="9">
        <v>-0.51819767441860964</v>
      </c>
      <c r="BO53" s="10">
        <v>-8.305084745760194E-3</v>
      </c>
      <c r="BP53" s="10">
        <v>-0.16971590909090928</v>
      </c>
      <c r="BQ53" s="10">
        <v>3.7657142857149939E-2</v>
      </c>
      <c r="BR53" s="10">
        <v>-0.16259459459458991</v>
      </c>
      <c r="BS53" s="10">
        <v>-0.14502857142855952</v>
      </c>
      <c r="BT53" s="10">
        <v>-0.13478021978022037</v>
      </c>
      <c r="BU53" s="11">
        <v>-0.11326530612244001</v>
      </c>
      <c r="BV53" s="9">
        <v>-0.36292682926829034</v>
      </c>
      <c r="BW53" s="10">
        <v>-1.6428571428570127E-2</v>
      </c>
      <c r="BX53" s="10">
        <v>-0.19074999999999953</v>
      </c>
      <c r="BY53" s="10">
        <v>3.7209302325590166E-2</v>
      </c>
      <c r="BZ53" s="10">
        <v>-0.16607142857141999</v>
      </c>
      <c r="CA53" s="10">
        <v>-0.15804878048779969</v>
      </c>
      <c r="CB53" s="10">
        <v>-0.13833333333333009</v>
      </c>
      <c r="CC53" s="11">
        <v>-0.12088235294117</v>
      </c>
      <c r="CE53" s="66"/>
      <c r="CF53" s="70"/>
      <c r="CG53" s="39" t="s">
        <v>25</v>
      </c>
      <c r="CH53" s="9">
        <v>7.1956521739140022E-2</v>
      </c>
      <c r="CI53" s="10">
        <v>5.0543636363636359</v>
      </c>
      <c r="CJ53" s="10">
        <v>1.0581818181818201</v>
      </c>
      <c r="CK53" s="10">
        <v>-3.2577192982456102</v>
      </c>
      <c r="CL53" s="10">
        <v>4.0419565217391309</v>
      </c>
      <c r="CM53" s="10">
        <v>1.2243137254901961</v>
      </c>
      <c r="CN53" s="10">
        <v>-0.71324999999999017</v>
      </c>
      <c r="CO53" s="11">
        <v>1.672549019607843</v>
      </c>
      <c r="CP53" s="9">
        <v>-5.7500000000000107E-2</v>
      </c>
      <c r="CQ53" s="10">
        <v>5.055714285714286</v>
      </c>
      <c r="CR53" s="10">
        <v>1.0369230769230802</v>
      </c>
      <c r="CS53" s="10">
        <v>-2.8099999999999996</v>
      </c>
      <c r="CT53" s="10">
        <v>4.0299999999999994</v>
      </c>
      <c r="CU53" s="10">
        <v>1.225454545454546</v>
      </c>
      <c r="CV53" s="10">
        <v>-0.44454545454545036</v>
      </c>
      <c r="CW53" s="11">
        <v>1.6700000000000008</v>
      </c>
      <c r="CY53" s="66"/>
      <c r="CZ53" s="70"/>
      <c r="DA53" s="39" t="s">
        <v>25</v>
      </c>
      <c r="DB53" s="9">
        <v>5.04</v>
      </c>
      <c r="DC53" s="10">
        <v>5.2718181818181824</v>
      </c>
      <c r="DD53" s="10">
        <v>2.0513333333333339</v>
      </c>
      <c r="DE53" s="10">
        <v>1.8230769230769228</v>
      </c>
      <c r="DF53" s="10">
        <v>3.4866666666666668</v>
      </c>
      <c r="DG53" s="10">
        <v>2.2508510638297881</v>
      </c>
      <c r="DH53" s="10">
        <v>3.121960784313726</v>
      </c>
      <c r="DI53" s="11">
        <v>1.472142857142857</v>
      </c>
      <c r="DJ53" s="9">
        <v>5.04</v>
      </c>
      <c r="DK53" s="10">
        <v>5.2666666666666675</v>
      </c>
      <c r="DL53" s="10">
        <v>2.0500000000000007</v>
      </c>
      <c r="DM53" s="10">
        <v>1.385</v>
      </c>
      <c r="DN53" s="10">
        <v>3.4699999999999998</v>
      </c>
      <c r="DO53" s="10">
        <v>2.2925</v>
      </c>
      <c r="DP53" s="10">
        <v>3.1849999999999996</v>
      </c>
      <c r="DQ53" s="11">
        <v>1.3399999999999999</v>
      </c>
      <c r="DS53" s="66"/>
      <c r="DT53" s="70"/>
      <c r="DU53" s="39" t="s">
        <v>25</v>
      </c>
      <c r="DV53" s="9">
        <v>-1.90899999999999</v>
      </c>
      <c r="DW53" s="10">
        <v>0.73975609756098004</v>
      </c>
      <c r="DX53" s="10">
        <v>2.1709090909090998</v>
      </c>
      <c r="DY53" s="10">
        <v>1.1160000000000099</v>
      </c>
      <c r="DZ53" s="10">
        <v>1.7184210526315788</v>
      </c>
      <c r="EA53" s="10">
        <v>3.1727999999999996</v>
      </c>
      <c r="EB53" s="10">
        <v>2.2331111111111119</v>
      </c>
      <c r="EC53" s="11">
        <v>0.91100000000000003</v>
      </c>
      <c r="ED53" s="9">
        <v>-2.17</v>
      </c>
      <c r="EE53" s="10">
        <v>0.67000000000000037</v>
      </c>
      <c r="EF53" s="10">
        <v>2.2299999999999995</v>
      </c>
      <c r="EG53" s="10">
        <v>1.0999999999999999</v>
      </c>
      <c r="EH53" s="10">
        <v>1.7699999999999998</v>
      </c>
      <c r="EI53" s="10">
        <v>3.1599999999999997</v>
      </c>
      <c r="EJ53" s="10">
        <v>2.2349999999999999</v>
      </c>
      <c r="EK53" s="11">
        <v>0.8899999999999999</v>
      </c>
      <c r="EM53" s="66"/>
      <c r="EN53" s="70"/>
      <c r="EO53" s="39" t="s">
        <v>25</v>
      </c>
      <c r="EP53" s="9">
        <v>-0.11679999999999957</v>
      </c>
      <c r="EQ53" s="10">
        <v>3.0914545454545461</v>
      </c>
      <c r="ER53" s="10">
        <v>3.6300000000000012</v>
      </c>
      <c r="ES53" s="10">
        <v>0.99277777777777998</v>
      </c>
      <c r="ET53" s="10">
        <v>1.5958000000000001</v>
      </c>
      <c r="EU53" s="10">
        <v>2.2735714285714304</v>
      </c>
      <c r="EV53" s="10">
        <v>2.2644444444444449</v>
      </c>
      <c r="EW53" s="11">
        <v>1.754117647058824</v>
      </c>
      <c r="EX53" s="9">
        <v>-0.13803921568626976</v>
      </c>
      <c r="EY53" s="10">
        <v>3.0957142857142861</v>
      </c>
      <c r="EZ53" s="10">
        <v>3.6433333333333344</v>
      </c>
      <c r="FA53" s="10">
        <v>0.92351351351351996</v>
      </c>
      <c r="FB53" s="10">
        <v>1.5958000000000001</v>
      </c>
      <c r="FC53" s="10">
        <v>2.2842857142857205</v>
      </c>
      <c r="FD53" s="10">
        <v>2.2580000000000009</v>
      </c>
      <c r="FE53" s="11">
        <v>1.7479245283018869</v>
      </c>
    </row>
    <row r="54" spans="3:161" x14ac:dyDescent="0.3">
      <c r="C54" s="66"/>
      <c r="D54" s="70"/>
      <c r="E54" s="39" t="s">
        <v>26</v>
      </c>
      <c r="F54" s="9">
        <v>1.406469760897862E-2</v>
      </c>
      <c r="G54" s="10">
        <v>2.250413678985173</v>
      </c>
      <c r="H54" s="10">
        <v>-2.2120418848164252</v>
      </c>
      <c r="I54" s="10">
        <v>3.0031612223393132</v>
      </c>
      <c r="J54" s="10">
        <v>2.5113758727292379</v>
      </c>
      <c r="K54" s="10">
        <v>8.9829886182844429</v>
      </c>
      <c r="L54" s="10">
        <v>-1.6236948646920022</v>
      </c>
      <c r="M54" s="11"/>
      <c r="N54" s="9">
        <v>3.4834102586581484E-2</v>
      </c>
      <c r="O54" s="10">
        <v>2.2100325940059657</v>
      </c>
      <c r="P54" s="10">
        <v>-2.2747502719806256</v>
      </c>
      <c r="Q54" s="10">
        <v>3.0713585090731694</v>
      </c>
      <c r="R54" s="10">
        <v>2.3655913978496845</v>
      </c>
      <c r="S54" s="10">
        <v>8.86761784359771</v>
      </c>
      <c r="T54" s="10">
        <v>-1.7347800662723396</v>
      </c>
      <c r="U54" s="11"/>
      <c r="W54" s="66"/>
      <c r="X54" s="70"/>
      <c r="Y54" s="39" t="s">
        <v>26</v>
      </c>
      <c r="Z54" s="9">
        <v>-0.9947455876408613</v>
      </c>
      <c r="AA54" s="10">
        <v>2.5649604103936907</v>
      </c>
      <c r="AB54" s="10">
        <v>8.3240843507218898</v>
      </c>
      <c r="AC54" s="10">
        <v>5.7683959192535452</v>
      </c>
      <c r="AD54" s="10">
        <v>0.64453993184190017</v>
      </c>
      <c r="AE54" s="10">
        <v>-15.582765392168071</v>
      </c>
      <c r="AF54" s="10">
        <v>-1.7973497327769692</v>
      </c>
      <c r="AG54" s="11">
        <v>-15.407093913744422</v>
      </c>
      <c r="AH54" s="9">
        <v>-0.53769591579913267</v>
      </c>
      <c r="AI54" s="10">
        <v>2.1617055111067702</v>
      </c>
      <c r="AJ54" s="10">
        <v>8.2215491129382805</v>
      </c>
      <c r="AK54" s="10">
        <v>5.7924528301888287</v>
      </c>
      <c r="AL54" s="10">
        <v>0.43189582930460207</v>
      </c>
      <c r="AM54" s="10">
        <v>-15.121951219512203</v>
      </c>
      <c r="AN54" s="10">
        <v>-1.7170464190113743</v>
      </c>
      <c r="AO54" s="11">
        <v>-16.518424396442079</v>
      </c>
      <c r="AQ54" s="66"/>
      <c r="AR54" s="70"/>
      <c r="AS54" s="39" t="s">
        <v>26</v>
      </c>
      <c r="AT54" s="9">
        <v>-7.4626141469425384</v>
      </c>
      <c r="AU54" s="10">
        <v>2.7262949511326471</v>
      </c>
      <c r="AV54" s="10">
        <v>7.0242264505181629</v>
      </c>
      <c r="AW54" s="10">
        <v>10.076859463929583</v>
      </c>
      <c r="AX54" s="10">
        <v>3.4302447186780056</v>
      </c>
      <c r="AY54" s="10">
        <v>2.3975901772200303</v>
      </c>
      <c r="AZ54" s="10">
        <v>1.5131563748935297</v>
      </c>
      <c r="BA54" s="11">
        <v>-4.9368286302663886</v>
      </c>
      <c r="BB54" s="9">
        <v>-7.4792855827654634</v>
      </c>
      <c r="BC54" s="10">
        <v>2.7905638665133035</v>
      </c>
      <c r="BD54" s="10">
        <v>7.4599757836676108</v>
      </c>
      <c r="BE54" s="10">
        <v>9.8035761472742724</v>
      </c>
      <c r="BF54" s="10">
        <v>3.3901479677843858</v>
      </c>
      <c r="BG54" s="10">
        <v>2.9671897289587443</v>
      </c>
      <c r="BH54" s="10">
        <v>1.4273576890401807</v>
      </c>
      <c r="BI54" s="11">
        <v>-5.4752066115697593</v>
      </c>
      <c r="BK54" s="66"/>
      <c r="BL54" s="70"/>
      <c r="BM54" s="39" t="s">
        <v>26</v>
      </c>
      <c r="BN54" s="9">
        <v>-7.3836289380597613</v>
      </c>
      <c r="BO54" s="10">
        <v>-0.22216177003983123</v>
      </c>
      <c r="BP54" s="10">
        <v>-3.6816999667204926</v>
      </c>
      <c r="BQ54" s="10">
        <v>1.3986756091351678</v>
      </c>
      <c r="BR54" s="10">
        <v>-8.4132800044749274</v>
      </c>
      <c r="BS54" s="10">
        <v>-2.7598055739806195</v>
      </c>
      <c r="BT54" s="10">
        <v>-4.2320100753929415</v>
      </c>
      <c r="BU54" s="11">
        <v>-4.8752635277578902</v>
      </c>
      <c r="BV54" s="9">
        <v>-5.2882223327883677</v>
      </c>
      <c r="BW54" s="10">
        <v>-0.43851286939939349</v>
      </c>
      <c r="BX54" s="10">
        <v>-4.1192031528370032</v>
      </c>
      <c r="BY54" s="10">
        <v>1.3818119008553262</v>
      </c>
      <c r="BZ54" s="10">
        <v>-8.5777531820693245</v>
      </c>
      <c r="CA54" s="10">
        <v>-3.0001388953191324</v>
      </c>
      <c r="CB54" s="10">
        <v>-4.3387349712492496</v>
      </c>
      <c r="CC54" s="11">
        <v>-5.1861198738167715</v>
      </c>
      <c r="CE54" s="66"/>
      <c r="CF54" s="70"/>
      <c r="CG54" s="39" t="s">
        <v>26</v>
      </c>
      <c r="CH54" s="9">
        <v>1.3330111554107555</v>
      </c>
      <c r="CI54" s="10">
        <v>546.04203496366108</v>
      </c>
      <c r="CJ54" s="10">
        <v>78.278412911903402</v>
      </c>
      <c r="CK54" s="10">
        <v>-45.449872723712517</v>
      </c>
      <c r="CL54" s="10">
        <v>562.91250378443897</v>
      </c>
      <c r="CM54" s="10">
        <v>840.37685060565218</v>
      </c>
      <c r="CN54" s="10">
        <v>-15.197357907633124</v>
      </c>
      <c r="CO54" s="11">
        <v>212.40039840637445</v>
      </c>
      <c r="CP54" s="9">
        <v>-1.0402532790592511</v>
      </c>
      <c r="CQ54" s="10">
        <v>546.9860896445133</v>
      </c>
      <c r="CR54" s="10">
        <v>75.518207282913579</v>
      </c>
      <c r="CS54" s="10">
        <v>-41.81547619047619</v>
      </c>
      <c r="CT54" s="10">
        <v>552.05479452054783</v>
      </c>
      <c r="CU54" s="10">
        <v>847.79874213836843</v>
      </c>
      <c r="CV54" s="10">
        <v>-10.047257037189148</v>
      </c>
      <c r="CW54" s="11">
        <v>211.39240506329151</v>
      </c>
      <c r="CY54" s="66"/>
      <c r="CZ54" s="70"/>
      <c r="DA54" s="39" t="s">
        <v>26</v>
      </c>
      <c r="DB54" s="9">
        <v>430.76923076923083</v>
      </c>
      <c r="DC54" s="10">
        <v>3815.1315789473742</v>
      </c>
      <c r="DD54" s="10">
        <v>527.78730703259112</v>
      </c>
      <c r="DE54" s="10">
        <v>215.25885558583101</v>
      </c>
      <c r="DF54" s="10">
        <v>1112.7659574468098</v>
      </c>
      <c r="DG54" s="10">
        <v>626.71800947867462</v>
      </c>
      <c r="DH54" s="10">
        <v>423.00743889479315</v>
      </c>
      <c r="DI54" s="11">
        <v>205.07462686567158</v>
      </c>
      <c r="DJ54" s="9">
        <v>430.76923076923083</v>
      </c>
      <c r="DK54" s="10">
        <v>3674.4186046511713</v>
      </c>
      <c r="DL54" s="10">
        <v>525.64102564102711</v>
      </c>
      <c r="DM54" s="10">
        <v>107.78210116731519</v>
      </c>
      <c r="DN54" s="10">
        <v>1051.5151515151513</v>
      </c>
      <c r="DO54" s="10">
        <v>722.04724409448818</v>
      </c>
      <c r="DP54" s="10">
        <v>471.85185185185173</v>
      </c>
      <c r="DQ54" s="11">
        <v>157.64705882352942</v>
      </c>
      <c r="DS54" s="66"/>
      <c r="DT54" s="70"/>
      <c r="DU54" s="39" t="s">
        <v>26</v>
      </c>
      <c r="DV54" s="9">
        <v>-25.055781598634891</v>
      </c>
      <c r="DW54" s="10">
        <v>22.900936273029462</v>
      </c>
      <c r="DX54" s="10">
        <v>157.41595253790544</v>
      </c>
      <c r="DY54" s="10">
        <v>70.01254705144396</v>
      </c>
      <c r="DZ54" s="10">
        <v>295.47511312217193</v>
      </c>
      <c r="EA54" s="10">
        <v>378.97754419493543</v>
      </c>
      <c r="EB54" s="10">
        <v>727.66111513396334</v>
      </c>
      <c r="EC54" s="11">
        <v>294.82200647249192</v>
      </c>
      <c r="ED54" s="9">
        <v>-27.53807106598985</v>
      </c>
      <c r="EE54" s="10">
        <v>20.303030303030315</v>
      </c>
      <c r="EF54" s="10">
        <v>168.93939393939391</v>
      </c>
      <c r="EG54" s="10">
        <v>68.322981366459615</v>
      </c>
      <c r="EH54" s="10">
        <v>333.96226415094333</v>
      </c>
      <c r="EI54" s="10">
        <v>371.76470588235293</v>
      </c>
      <c r="EJ54" s="10">
        <v>732.78688524590154</v>
      </c>
      <c r="EK54" s="11">
        <v>269.69696969696963</v>
      </c>
      <c r="EM54" s="66"/>
      <c r="EN54" s="70"/>
      <c r="EO54" s="39" t="s">
        <v>26</v>
      </c>
      <c r="EP54" s="9">
        <v>-1.7652037238544249</v>
      </c>
      <c r="EQ54" s="10">
        <v>484.14009111617366</v>
      </c>
      <c r="ER54" s="10">
        <v>448.14814814814883</v>
      </c>
      <c r="ES54" s="10">
        <v>57.147425647585749</v>
      </c>
      <c r="ET54" s="10">
        <v>916.0734787600461</v>
      </c>
      <c r="EU54" s="10">
        <v>80.156131956686067</v>
      </c>
      <c r="EV54" s="10">
        <v>288.2602545968885</v>
      </c>
      <c r="EW54" s="11">
        <v>384.77419354838759</v>
      </c>
      <c r="EX54" s="9">
        <v>-2.079517929934354</v>
      </c>
      <c r="EY54" s="10">
        <v>488.06306306306328</v>
      </c>
      <c r="EZ54" s="10">
        <v>457.32217573221811</v>
      </c>
      <c r="FA54" s="10">
        <v>51.122082585278818</v>
      </c>
      <c r="FB54" s="10">
        <v>916.0734787600461</v>
      </c>
      <c r="FC54" s="10">
        <v>80.839231547017576</v>
      </c>
      <c r="FD54" s="10">
        <v>285.10101010101056</v>
      </c>
      <c r="FE54" s="11">
        <v>378.27684769293609</v>
      </c>
    </row>
    <row r="55" spans="3:161" ht="28.8" x14ac:dyDescent="0.3">
      <c r="C55" s="66"/>
      <c r="D55" s="70" t="s">
        <v>27</v>
      </c>
      <c r="E55" s="40" t="s">
        <v>24</v>
      </c>
      <c r="F55" s="27">
        <v>5.41</v>
      </c>
      <c r="G55" s="28">
        <v>5.96</v>
      </c>
      <c r="H55" s="28">
        <v>2.4300000000000002</v>
      </c>
      <c r="I55" s="28">
        <v>3.89</v>
      </c>
      <c r="J55" s="28">
        <v>4.78</v>
      </c>
      <c r="K55" s="28">
        <v>1.38</v>
      </c>
      <c r="L55" s="28">
        <v>4.01</v>
      </c>
      <c r="M55" s="29"/>
      <c r="N55" s="27">
        <v>5.41</v>
      </c>
      <c r="O55" s="28">
        <v>5.96</v>
      </c>
      <c r="P55" s="28">
        <v>2.4300000000000002</v>
      </c>
      <c r="Q55" s="28">
        <v>3.89</v>
      </c>
      <c r="R55" s="28">
        <v>4.78</v>
      </c>
      <c r="S55" s="28">
        <v>1.38</v>
      </c>
      <c r="T55" s="28">
        <v>4.01</v>
      </c>
      <c r="U55" s="29"/>
      <c r="W55" s="66"/>
      <c r="X55" s="70" t="s">
        <v>27</v>
      </c>
      <c r="Y55" s="40" t="s">
        <v>24</v>
      </c>
      <c r="Z55" s="27">
        <v>6.14</v>
      </c>
      <c r="AA55" s="28">
        <v>5.42</v>
      </c>
      <c r="AB55" s="28">
        <v>2.41</v>
      </c>
      <c r="AC55" s="28">
        <v>2.64</v>
      </c>
      <c r="AD55" s="28">
        <v>3.8</v>
      </c>
      <c r="AE55" s="28">
        <v>2.75</v>
      </c>
      <c r="AF55" s="28">
        <v>3.89</v>
      </c>
      <c r="AG55" s="29">
        <v>2.1800000000000002</v>
      </c>
      <c r="AH55" s="27">
        <v>6.14</v>
      </c>
      <c r="AI55" s="28">
        <v>5.42</v>
      </c>
      <c r="AJ55" s="28">
        <v>2.41</v>
      </c>
      <c r="AK55" s="28">
        <v>2.64</v>
      </c>
      <c r="AL55" s="28">
        <v>3.8</v>
      </c>
      <c r="AM55" s="28">
        <v>2.75</v>
      </c>
      <c r="AN55" s="28">
        <v>3.89</v>
      </c>
      <c r="AO55" s="29">
        <v>2.1800000000000002</v>
      </c>
      <c r="AQ55" s="66"/>
      <c r="AR55" s="70" t="s">
        <v>27</v>
      </c>
      <c r="AS55" s="40" t="s">
        <v>24</v>
      </c>
      <c r="AT55" s="27">
        <v>5.65</v>
      </c>
      <c r="AU55" s="28">
        <v>3.95</v>
      </c>
      <c r="AV55" s="28">
        <v>3.55</v>
      </c>
      <c r="AW55" s="28">
        <v>2.66</v>
      </c>
      <c r="AX55" s="28">
        <v>2.29</v>
      </c>
      <c r="AY55" s="28">
        <v>3.96</v>
      </c>
      <c r="AZ55" s="28">
        <v>2.58</v>
      </c>
      <c r="BA55" s="29">
        <v>1.25</v>
      </c>
      <c r="BB55" s="27">
        <v>5.65</v>
      </c>
      <c r="BC55" s="28">
        <v>3.95</v>
      </c>
      <c r="BD55" s="28">
        <v>3.55</v>
      </c>
      <c r="BE55" s="28">
        <v>2.66</v>
      </c>
      <c r="BF55" s="28">
        <v>2.29</v>
      </c>
      <c r="BG55" s="28">
        <v>3.96</v>
      </c>
      <c r="BH55" s="28">
        <v>2.58</v>
      </c>
      <c r="BI55" s="29">
        <v>1.25</v>
      </c>
      <c r="BK55" s="66"/>
      <c r="BL55" s="70" t="s">
        <v>27</v>
      </c>
      <c r="BM55" s="40" t="s">
        <v>24</v>
      </c>
      <c r="BN55" s="27">
        <v>6.46</v>
      </c>
      <c r="BO55" s="28">
        <v>3.71</v>
      </c>
      <c r="BP55" s="28">
        <v>4.43</v>
      </c>
      <c r="BQ55" s="28">
        <v>2.7</v>
      </c>
      <c r="BR55" s="28">
        <v>1.8</v>
      </c>
      <c r="BS55" s="28">
        <v>5.15</v>
      </c>
      <c r="BT55" s="28">
        <v>3.09</v>
      </c>
      <c r="BU55" s="29">
        <v>2.33</v>
      </c>
      <c r="BV55" s="27">
        <v>6.46</v>
      </c>
      <c r="BW55" s="28">
        <v>3.71</v>
      </c>
      <c r="BX55" s="28">
        <v>4.43</v>
      </c>
      <c r="BY55" s="28">
        <v>2.7</v>
      </c>
      <c r="BZ55" s="28">
        <v>1.8</v>
      </c>
      <c r="CA55" s="28">
        <v>5.15</v>
      </c>
      <c r="CB55" s="28">
        <v>3.09</v>
      </c>
      <c r="CC55" s="29">
        <v>2.33</v>
      </c>
      <c r="CE55" s="66"/>
      <c r="CF55" s="70" t="s">
        <v>27</v>
      </c>
      <c r="CG55" s="40" t="s">
        <v>24</v>
      </c>
      <c r="CH55" s="27">
        <v>5.41</v>
      </c>
      <c r="CI55" s="28">
        <v>5.96</v>
      </c>
      <c r="CJ55" s="28">
        <v>2.4300000000000002</v>
      </c>
      <c r="CK55" s="28">
        <v>3.89</v>
      </c>
      <c r="CL55" s="28">
        <v>4.78</v>
      </c>
      <c r="CM55" s="28">
        <v>1.38</v>
      </c>
      <c r="CN55" s="28">
        <v>4.01</v>
      </c>
      <c r="CO55" s="29">
        <v>2.48</v>
      </c>
      <c r="CP55" s="27">
        <v>5.41</v>
      </c>
      <c r="CQ55" s="28">
        <v>5.96</v>
      </c>
      <c r="CR55" s="28">
        <v>2.4300000000000002</v>
      </c>
      <c r="CS55" s="28">
        <v>3.89</v>
      </c>
      <c r="CT55" s="28">
        <v>4.78</v>
      </c>
      <c r="CU55" s="28">
        <v>1.38</v>
      </c>
      <c r="CV55" s="28">
        <v>4.01</v>
      </c>
      <c r="CW55" s="29">
        <v>2.48</v>
      </c>
      <c r="CY55" s="66"/>
      <c r="CZ55" s="70" t="s">
        <v>27</v>
      </c>
      <c r="DA55" s="40" t="s">
        <v>24</v>
      </c>
      <c r="DB55" s="27">
        <v>6.14</v>
      </c>
      <c r="DC55" s="28">
        <v>5.42</v>
      </c>
      <c r="DD55" s="28">
        <v>2.41</v>
      </c>
      <c r="DE55" s="28">
        <v>2.64</v>
      </c>
      <c r="DF55" s="28">
        <v>3.8</v>
      </c>
      <c r="DG55" s="28">
        <v>2.75</v>
      </c>
      <c r="DH55" s="28">
        <v>3.89</v>
      </c>
      <c r="DI55" s="29">
        <v>2.1800000000000002</v>
      </c>
      <c r="DJ55" s="27">
        <v>6.14</v>
      </c>
      <c r="DK55" s="28">
        <v>5.42</v>
      </c>
      <c r="DL55" s="28">
        <v>2.41</v>
      </c>
      <c r="DM55" s="28">
        <v>2.64</v>
      </c>
      <c r="DN55" s="28">
        <v>3.8</v>
      </c>
      <c r="DO55" s="28">
        <v>2.75</v>
      </c>
      <c r="DP55" s="28">
        <v>3.89</v>
      </c>
      <c r="DQ55" s="29">
        <v>2.1800000000000002</v>
      </c>
      <c r="DS55" s="66"/>
      <c r="DT55" s="70" t="s">
        <v>27</v>
      </c>
      <c r="DU55" s="40" t="s">
        <v>24</v>
      </c>
      <c r="DV55" s="27">
        <v>5.65</v>
      </c>
      <c r="DW55" s="28">
        <v>3.95</v>
      </c>
      <c r="DX55" s="28">
        <v>3.55</v>
      </c>
      <c r="DY55" s="28">
        <v>2.66</v>
      </c>
      <c r="DZ55" s="28">
        <v>2.29</v>
      </c>
      <c r="EA55" s="28">
        <v>3.96</v>
      </c>
      <c r="EB55" s="28">
        <v>2.58</v>
      </c>
      <c r="EC55" s="29">
        <v>1.25</v>
      </c>
      <c r="ED55" s="27">
        <v>5.65</v>
      </c>
      <c r="EE55" s="28">
        <v>3.95</v>
      </c>
      <c r="EF55" s="28">
        <v>3.55</v>
      </c>
      <c r="EG55" s="28">
        <v>2.66</v>
      </c>
      <c r="EH55" s="28">
        <v>2.29</v>
      </c>
      <c r="EI55" s="28">
        <v>3.96</v>
      </c>
      <c r="EJ55" s="28">
        <v>2.58</v>
      </c>
      <c r="EK55" s="29">
        <v>1.25</v>
      </c>
      <c r="EM55" s="66"/>
      <c r="EN55" s="70" t="s">
        <v>27</v>
      </c>
      <c r="EO55" s="40" t="s">
        <v>24</v>
      </c>
      <c r="EP55" s="27">
        <v>6.46</v>
      </c>
      <c r="EQ55" s="28">
        <v>3.71</v>
      </c>
      <c r="ER55" s="28">
        <v>4.43</v>
      </c>
      <c r="ES55" s="28">
        <v>2.7</v>
      </c>
      <c r="ET55" s="28">
        <v>1.8</v>
      </c>
      <c r="EU55" s="28">
        <v>5.15</v>
      </c>
      <c r="EV55" s="28">
        <v>3.09</v>
      </c>
      <c r="EW55" s="29">
        <v>2.33</v>
      </c>
      <c r="EX55" s="27">
        <v>6.46</v>
      </c>
      <c r="EY55" s="28">
        <v>3.71</v>
      </c>
      <c r="EZ55" s="28">
        <v>4.43</v>
      </c>
      <c r="FA55" s="28">
        <v>2.7</v>
      </c>
      <c r="FB55" s="28">
        <v>1.8</v>
      </c>
      <c r="FC55" s="28">
        <v>5.15</v>
      </c>
      <c r="FD55" s="28">
        <v>3.09</v>
      </c>
      <c r="FE55" s="29">
        <v>2.33</v>
      </c>
    </row>
    <row r="56" spans="3:161" x14ac:dyDescent="0.3">
      <c r="C56" s="66"/>
      <c r="D56" s="70"/>
      <c r="E56" s="39" t="s">
        <v>25</v>
      </c>
      <c r="F56" s="9">
        <v>-5.9230769230770086E-2</v>
      </c>
      <c r="G56" s="10">
        <v>0.11161290322580975</v>
      </c>
      <c r="H56" s="10">
        <v>-3.4516129032249765E-2</v>
      </c>
      <c r="I56" s="10">
        <v>9.4000000000000306E-2</v>
      </c>
      <c r="J56" s="10">
        <v>0.1366129032258101</v>
      </c>
      <c r="K56" s="10">
        <v>0.1229230769230798</v>
      </c>
      <c r="L56" s="10">
        <v>-3.5689655172410184E-2</v>
      </c>
      <c r="M56" s="11"/>
      <c r="N56" s="9">
        <v>-5.809523809522954E-2</v>
      </c>
      <c r="O56" s="10">
        <v>0.10930232558139963</v>
      </c>
      <c r="P56" s="10">
        <v>-3.6097560975600018E-2</v>
      </c>
      <c r="Q56" s="10">
        <v>9.6511627906980202E-2</v>
      </c>
      <c r="R56" s="10">
        <v>0.13000000000001055</v>
      </c>
      <c r="S56" s="10">
        <v>0.12159090909090997</v>
      </c>
      <c r="T56" s="10">
        <v>-4.0263157894730561E-2</v>
      </c>
      <c r="U56" s="11"/>
      <c r="W56" s="66"/>
      <c r="X56" s="70"/>
      <c r="Y56" s="39" t="s">
        <v>25</v>
      </c>
      <c r="Z56" s="9">
        <v>-0.1323943661971807</v>
      </c>
      <c r="AA56" s="10">
        <v>0.14529411764705991</v>
      </c>
      <c r="AB56" s="10">
        <v>0.15750000000000997</v>
      </c>
      <c r="AC56" s="10">
        <v>0.11561643835617019</v>
      </c>
      <c r="AD56" s="10">
        <v>2.4335664335669804E-2</v>
      </c>
      <c r="AE56" s="10">
        <v>-0.34178571428570992</v>
      </c>
      <c r="AF56" s="10">
        <v>-4.0647482014390057E-2</v>
      </c>
      <c r="AG56" s="11">
        <v>-0.40886956521738993</v>
      </c>
      <c r="AH56" s="9">
        <v>-0.10357142857143042</v>
      </c>
      <c r="AI56" s="10">
        <v>0.12447368421053007</v>
      </c>
      <c r="AJ56" s="10">
        <v>0.15536585365854005</v>
      </c>
      <c r="AK56" s="10">
        <v>0.11619047619047995</v>
      </c>
      <c r="AL56" s="10">
        <v>1.6341463414639712E-2</v>
      </c>
      <c r="AM56" s="10">
        <v>-0.32500000000000018</v>
      </c>
      <c r="AN56" s="10">
        <v>-3.7435897435889931E-2</v>
      </c>
      <c r="AO56" s="11">
        <v>-0.4433333333333298</v>
      </c>
      <c r="AQ56" s="66"/>
      <c r="AR56" s="70"/>
      <c r="AS56" s="39" t="s">
        <v>25</v>
      </c>
      <c r="AT56" s="9">
        <v>-0.52047904191615935</v>
      </c>
      <c r="AU56" s="10">
        <v>8.5361445783139978E-2</v>
      </c>
      <c r="AV56" s="10">
        <v>0.23299401197604963</v>
      </c>
      <c r="AW56" s="10">
        <v>0.19808383233533</v>
      </c>
      <c r="AX56" s="10">
        <v>6.6279069767440024E-2</v>
      </c>
      <c r="AY56" s="10">
        <v>4.3892215568869908E-2</v>
      </c>
      <c r="AZ56" s="10">
        <v>7.7861271676309851E-2</v>
      </c>
      <c r="BA56" s="11">
        <v>-3.3357142857139976E-2</v>
      </c>
      <c r="BB56" s="9">
        <v>-0.52159090909089922</v>
      </c>
      <c r="BC56" s="10">
        <v>8.7777777777780397E-2</v>
      </c>
      <c r="BD56" s="10">
        <v>0.24644444444445002</v>
      </c>
      <c r="BE56" s="10">
        <v>0.19195652173914013</v>
      </c>
      <c r="BF56" s="10">
        <v>6.5416666666670231E-2</v>
      </c>
      <c r="BG56" s="10">
        <v>6.555555555556003E-2</v>
      </c>
      <c r="BH56" s="10">
        <v>7.5744680851070001E-2</v>
      </c>
      <c r="BI56" s="11">
        <v>-4.0666666666659967E-2</v>
      </c>
      <c r="BK56" s="66"/>
      <c r="BL56" s="70"/>
      <c r="BM56" s="39" t="s">
        <v>25</v>
      </c>
      <c r="BN56" s="9">
        <v>-0.55819767441860968</v>
      </c>
      <c r="BO56" s="10">
        <v>-2.8305084745760212E-2</v>
      </c>
      <c r="BP56" s="10">
        <v>-0.17971590909090995</v>
      </c>
      <c r="BQ56" s="10">
        <v>7.6571428571501343E-3</v>
      </c>
      <c r="BR56" s="10">
        <v>-0.13259459459458989</v>
      </c>
      <c r="BS56" s="10">
        <v>-0.10502857142855948</v>
      </c>
      <c r="BT56" s="10">
        <v>-9.4780219780220332E-2</v>
      </c>
      <c r="BU56" s="11">
        <v>6.734693877560094E-3</v>
      </c>
      <c r="BV56" s="9">
        <v>-0.40292682926829038</v>
      </c>
      <c r="BW56" s="10">
        <v>-3.6428571428570145E-2</v>
      </c>
      <c r="BX56" s="10">
        <v>-0.20075000000000021</v>
      </c>
      <c r="BY56" s="10">
        <v>7.209302325590361E-3</v>
      </c>
      <c r="BZ56" s="10">
        <v>-0.13607142857141996</v>
      </c>
      <c r="CA56" s="10">
        <v>-0.11804878048779965</v>
      </c>
      <c r="CB56" s="10">
        <v>-9.8333333333330053E-2</v>
      </c>
      <c r="CC56" s="11">
        <v>-8.8235294116989493E-4</v>
      </c>
      <c r="CE56" s="66"/>
      <c r="CF56" s="70"/>
      <c r="CG56" s="39" t="s">
        <v>25</v>
      </c>
      <c r="CH56" s="9">
        <v>1.1956521739140413E-2</v>
      </c>
      <c r="CI56" s="10">
        <v>5.0343636363636364</v>
      </c>
      <c r="CJ56" s="10">
        <v>1.0781818181818201</v>
      </c>
      <c r="CK56" s="10">
        <v>-3.2777192982456103</v>
      </c>
      <c r="CL56" s="10">
        <v>4.0619565217391314</v>
      </c>
      <c r="CM56" s="10">
        <v>1.2343137254901959</v>
      </c>
      <c r="CN56" s="10">
        <v>-0.68324999999999037</v>
      </c>
      <c r="CO56" s="11">
        <v>1.692549019607843</v>
      </c>
      <c r="CP56" s="9">
        <v>-0.11749999999999972</v>
      </c>
      <c r="CQ56" s="10">
        <v>5.0357142857142856</v>
      </c>
      <c r="CR56" s="10">
        <v>1.0569230769230802</v>
      </c>
      <c r="CS56" s="10">
        <v>-2.8299999999999996</v>
      </c>
      <c r="CT56" s="10">
        <v>4.0500000000000007</v>
      </c>
      <c r="CU56" s="10">
        <v>1.2354545454545458</v>
      </c>
      <c r="CV56" s="10">
        <v>-0.41454545454545055</v>
      </c>
      <c r="CW56" s="11">
        <v>1.6900000000000008</v>
      </c>
      <c r="CY56" s="66"/>
      <c r="CZ56" s="70"/>
      <c r="DA56" s="39" t="s">
        <v>25</v>
      </c>
      <c r="DB56" s="9">
        <v>4.97</v>
      </c>
      <c r="DC56" s="10">
        <v>5.2818181818181822</v>
      </c>
      <c r="DD56" s="10">
        <v>2.0213333333333341</v>
      </c>
      <c r="DE56" s="10">
        <v>1.793076923076923</v>
      </c>
      <c r="DF56" s="10">
        <v>3.4866666666666668</v>
      </c>
      <c r="DG56" s="10">
        <v>2.3908510638297882</v>
      </c>
      <c r="DH56" s="10">
        <v>3.1519607843137263</v>
      </c>
      <c r="DI56" s="11">
        <v>1.4621428571428572</v>
      </c>
      <c r="DJ56" s="9">
        <v>4.97</v>
      </c>
      <c r="DK56" s="10">
        <v>5.2766666666666673</v>
      </c>
      <c r="DL56" s="10">
        <v>2.0200000000000014</v>
      </c>
      <c r="DM56" s="10">
        <v>1.3550000000000002</v>
      </c>
      <c r="DN56" s="10">
        <v>3.4699999999999998</v>
      </c>
      <c r="DO56" s="10">
        <v>2.4325000000000001</v>
      </c>
      <c r="DP56" s="10">
        <v>3.2149999999999999</v>
      </c>
      <c r="DQ56" s="11">
        <v>1.33</v>
      </c>
      <c r="DS56" s="66"/>
      <c r="DT56" s="70"/>
      <c r="DU56" s="39" t="s">
        <v>25</v>
      </c>
      <c r="DV56" s="9">
        <v>-1.9689999999999896</v>
      </c>
      <c r="DW56" s="10">
        <v>0.71975609756098002</v>
      </c>
      <c r="DX56" s="10">
        <v>2.1709090909090998</v>
      </c>
      <c r="DY56" s="10">
        <v>1.0660000000000101</v>
      </c>
      <c r="DZ56" s="10">
        <v>1.7084210526315791</v>
      </c>
      <c r="EA56" s="10">
        <v>3.1227999999999998</v>
      </c>
      <c r="EB56" s="10">
        <v>2.273111111111112</v>
      </c>
      <c r="EC56" s="11">
        <v>0.94100000000000006</v>
      </c>
      <c r="ED56" s="9">
        <v>-2.2299999999999995</v>
      </c>
      <c r="EE56" s="10">
        <v>0.65000000000000036</v>
      </c>
      <c r="EF56" s="10">
        <v>2.2299999999999995</v>
      </c>
      <c r="EG56" s="10">
        <v>1.05</v>
      </c>
      <c r="EH56" s="10">
        <v>1.76</v>
      </c>
      <c r="EI56" s="10">
        <v>3.11</v>
      </c>
      <c r="EJ56" s="10">
        <v>2.2749999999999999</v>
      </c>
      <c r="EK56" s="11">
        <v>0.91999999999999993</v>
      </c>
      <c r="EM56" s="66"/>
      <c r="EN56" s="70"/>
      <c r="EO56" s="39" t="s">
        <v>25</v>
      </c>
      <c r="EP56" s="9">
        <v>-0.15679999999999961</v>
      </c>
      <c r="EQ56" s="10">
        <v>3.0714545454545461</v>
      </c>
      <c r="ER56" s="10">
        <v>3.6200000000000006</v>
      </c>
      <c r="ES56" s="10">
        <v>0.96277777777778017</v>
      </c>
      <c r="ET56" s="10">
        <v>1.6258000000000001</v>
      </c>
      <c r="EU56" s="10">
        <v>2.3135714285714304</v>
      </c>
      <c r="EV56" s="10">
        <v>2.304444444444445</v>
      </c>
      <c r="EW56" s="11">
        <v>1.8741176470588241</v>
      </c>
      <c r="EX56" s="9">
        <v>-0.17803921568626979</v>
      </c>
      <c r="EY56" s="10">
        <v>3.0757142857142861</v>
      </c>
      <c r="EZ56" s="10">
        <v>3.6333333333333337</v>
      </c>
      <c r="FA56" s="10">
        <v>0.89351351351352015</v>
      </c>
      <c r="FB56" s="10">
        <v>1.6258000000000001</v>
      </c>
      <c r="FC56" s="10">
        <v>2.3242857142857205</v>
      </c>
      <c r="FD56" s="10">
        <v>2.2980000000000009</v>
      </c>
      <c r="FE56" s="11">
        <v>1.867924528301887</v>
      </c>
    </row>
    <row r="57" spans="3:161" x14ac:dyDescent="0.3">
      <c r="C57" s="66"/>
      <c r="D57" s="70"/>
      <c r="E57" s="39" t="s">
        <v>26</v>
      </c>
      <c r="F57" s="9">
        <v>-1.0829817158931239</v>
      </c>
      <c r="G57" s="10">
        <v>1.9084390512962517</v>
      </c>
      <c r="H57" s="10">
        <v>-1.400523560209092</v>
      </c>
      <c r="I57" s="10">
        <v>2.4762908324552244</v>
      </c>
      <c r="J57" s="10">
        <v>2.9420959394213875</v>
      </c>
      <c r="K57" s="10">
        <v>9.7784848855711726</v>
      </c>
      <c r="L57" s="10">
        <v>-0.88216492648616773</v>
      </c>
      <c r="M57" s="11"/>
      <c r="N57" s="9">
        <v>-1.0624401288860246</v>
      </c>
      <c r="O57" s="10">
        <v>1.8681930201129613</v>
      </c>
      <c r="P57" s="10">
        <v>-1.4637523489265221</v>
      </c>
      <c r="Q57" s="10">
        <v>2.5441392839628199</v>
      </c>
      <c r="R57" s="10">
        <v>2.7956989247314161</v>
      </c>
      <c r="S57" s="10">
        <v>9.6622719884414714</v>
      </c>
      <c r="T57" s="10">
        <v>-0.99408745370655816</v>
      </c>
      <c r="U57" s="11"/>
      <c r="W57" s="66"/>
      <c r="X57" s="70"/>
      <c r="Y57" s="39" t="s">
        <v>26</v>
      </c>
      <c r="Z57" s="9">
        <v>-2.1107468451070721</v>
      </c>
      <c r="AA57" s="10">
        <v>2.7545444407271318</v>
      </c>
      <c r="AB57" s="10">
        <v>6.9922308546064667</v>
      </c>
      <c r="AC57" s="10">
        <v>4.5799869763405923</v>
      </c>
      <c r="AD57" s="10">
        <v>0.64453993184190017</v>
      </c>
      <c r="AE57" s="10">
        <v>-11.054637865311182</v>
      </c>
      <c r="AF57" s="10">
        <v>-1.034116699612017</v>
      </c>
      <c r="AG57" s="11">
        <v>-15.793362891307222</v>
      </c>
      <c r="AH57" s="9">
        <v>-1.6588491019334466</v>
      </c>
      <c r="AI57" s="10">
        <v>2.3505441534563167</v>
      </c>
      <c r="AJ57" s="10">
        <v>6.8909562959759318</v>
      </c>
      <c r="AK57" s="10">
        <v>4.6037735849058157</v>
      </c>
      <c r="AL57" s="10">
        <v>0.43189582930460207</v>
      </c>
      <c r="AM57" s="10">
        <v>-10.569105691056915</v>
      </c>
      <c r="AN57" s="10">
        <v>-0.95318926682751859</v>
      </c>
      <c r="AO57" s="11">
        <v>-16.899618805590737</v>
      </c>
      <c r="AQ57" s="66"/>
      <c r="AR57" s="70"/>
      <c r="AS57" s="39" t="s">
        <v>26</v>
      </c>
      <c r="AT57" s="9">
        <v>-8.4349859772723832</v>
      </c>
      <c r="AU57" s="10">
        <v>2.2087821302201398</v>
      </c>
      <c r="AV57" s="10">
        <v>7.0242264505181629</v>
      </c>
      <c r="AW57" s="10">
        <v>8.045921097436425</v>
      </c>
      <c r="AX57" s="10">
        <v>2.9805480025098503</v>
      </c>
      <c r="AY57" s="10">
        <v>1.1208122448357452</v>
      </c>
      <c r="AZ57" s="10">
        <v>3.1117887587501221</v>
      </c>
      <c r="BA57" s="11">
        <v>-2.5992096621581831</v>
      </c>
      <c r="BB57" s="9">
        <v>-8.4514822316330704</v>
      </c>
      <c r="BC57" s="10">
        <v>2.2727272727273418</v>
      </c>
      <c r="BD57" s="10">
        <v>7.4599757836676108</v>
      </c>
      <c r="BE57" s="10">
        <v>7.7776799083946804</v>
      </c>
      <c r="BF57" s="10">
        <v>2.9406255853157672</v>
      </c>
      <c r="BG57" s="10">
        <v>1.6833095577747246</v>
      </c>
      <c r="BH57" s="10">
        <v>3.0246389124896336</v>
      </c>
      <c r="BI57" s="11">
        <v>-3.1508264462804894</v>
      </c>
      <c r="BK57" s="66"/>
      <c r="BL57" s="70"/>
      <c r="BM57" s="39" t="s">
        <v>26</v>
      </c>
      <c r="BN57" s="9">
        <v>-7.9535758369024716</v>
      </c>
      <c r="BO57" s="10">
        <v>-0.75716358360530178</v>
      </c>
      <c r="BP57" s="10">
        <v>-3.8986330749035694</v>
      </c>
      <c r="BQ57" s="10">
        <v>0.28440444859522818</v>
      </c>
      <c r="BR57" s="10">
        <v>-6.8609627164151785</v>
      </c>
      <c r="BS57" s="10">
        <v>-1.9986298837573753</v>
      </c>
      <c r="BT57" s="10">
        <v>-2.9760364370374375</v>
      </c>
      <c r="BU57" s="11">
        <v>0.28988053408331504</v>
      </c>
      <c r="BV57" s="9">
        <v>-5.8710640415096709</v>
      </c>
      <c r="BW57" s="10">
        <v>-0.97235462345087176</v>
      </c>
      <c r="BX57" s="10">
        <v>-4.3351508934837817</v>
      </c>
      <c r="BY57" s="10">
        <v>0.26772605579098929</v>
      </c>
      <c r="BZ57" s="10">
        <v>-7.0282235749857511</v>
      </c>
      <c r="CA57" s="10">
        <v>-2.2408444835408075</v>
      </c>
      <c r="CB57" s="10">
        <v>-3.0841610036590748</v>
      </c>
      <c r="CC57" s="11">
        <v>-3.785488958962336E-2</v>
      </c>
      <c r="CE57" s="66"/>
      <c r="CF57" s="70"/>
      <c r="CG57" s="39" t="s">
        <v>26</v>
      </c>
      <c r="CH57" s="9">
        <v>0.22149732189620233</v>
      </c>
      <c r="CI57" s="10">
        <v>543.8813592614415</v>
      </c>
      <c r="CJ57" s="10">
        <v>79.757901815736631</v>
      </c>
      <c r="CK57" s="10">
        <v>-45.728901507734456</v>
      </c>
      <c r="CL57" s="10">
        <v>565.69785043899537</v>
      </c>
      <c r="CM57" s="10">
        <v>847.24091520861316</v>
      </c>
      <c r="CN57" s="10">
        <v>-14.558142012464534</v>
      </c>
      <c r="CO57" s="11">
        <v>214.94023904382465</v>
      </c>
      <c r="CP57" s="9">
        <v>-2.1257349615558518</v>
      </c>
      <c r="CQ57" s="10">
        <v>544.82225656877915</v>
      </c>
      <c r="CR57" s="10">
        <v>76.974789915966795</v>
      </c>
      <c r="CS57" s="10">
        <v>-42.113095238095234</v>
      </c>
      <c r="CT57" s="10">
        <v>554.79452054794535</v>
      </c>
      <c r="CU57" s="10">
        <v>854.7169811320789</v>
      </c>
      <c r="CV57" s="10">
        <v>-9.3692212862131914</v>
      </c>
      <c r="CW57" s="11">
        <v>213.92405063291179</v>
      </c>
      <c r="CY57" s="66"/>
      <c r="CZ57" s="70"/>
      <c r="DA57" s="39" t="s">
        <v>26</v>
      </c>
      <c r="DB57" s="9">
        <v>424.78632478632477</v>
      </c>
      <c r="DC57" s="10">
        <v>3822.3684210526371</v>
      </c>
      <c r="DD57" s="10">
        <v>520.06861063464942</v>
      </c>
      <c r="DE57" s="10">
        <v>211.71662125340598</v>
      </c>
      <c r="DF57" s="10">
        <v>1112.7659574468098</v>
      </c>
      <c r="DG57" s="10">
        <v>665.69905213270317</v>
      </c>
      <c r="DH57" s="10">
        <v>427.07226354941599</v>
      </c>
      <c r="DI57" s="11">
        <v>203.68159203980096</v>
      </c>
      <c r="DJ57" s="9">
        <v>424.78632478632477</v>
      </c>
      <c r="DK57" s="10">
        <v>3681.3953488372176</v>
      </c>
      <c r="DL57" s="10">
        <v>517.9487179487196</v>
      </c>
      <c r="DM57" s="10">
        <v>105.44747081712065</v>
      </c>
      <c r="DN57" s="10">
        <v>1051.5151515151513</v>
      </c>
      <c r="DO57" s="10">
        <v>766.14173228346465</v>
      </c>
      <c r="DP57" s="10">
        <v>476.29629629629625</v>
      </c>
      <c r="DQ57" s="11">
        <v>156.47058823529414</v>
      </c>
      <c r="DS57" s="66"/>
      <c r="DT57" s="70"/>
      <c r="DU57" s="39" t="s">
        <v>26</v>
      </c>
      <c r="DV57" s="9">
        <v>-25.843286520540655</v>
      </c>
      <c r="DW57" s="10">
        <v>22.281787979462564</v>
      </c>
      <c r="DX57" s="10">
        <v>157.41595253790544</v>
      </c>
      <c r="DY57" s="10">
        <v>66.875784190716232</v>
      </c>
      <c r="DZ57" s="10">
        <v>293.75565610859735</v>
      </c>
      <c r="EA57" s="10">
        <v>373.00525561395125</v>
      </c>
      <c r="EB57" s="10">
        <v>740.69514844315961</v>
      </c>
      <c r="EC57" s="11">
        <v>304.53074433656957</v>
      </c>
      <c r="ED57" s="9">
        <v>-28.299492385786795</v>
      </c>
      <c r="EE57" s="10">
        <v>19.69696969696971</v>
      </c>
      <c r="EF57" s="10">
        <v>168.93939393939391</v>
      </c>
      <c r="EG57" s="10">
        <v>65.217391304347828</v>
      </c>
      <c r="EH57" s="10">
        <v>332.07547169811318</v>
      </c>
      <c r="EI57" s="10">
        <v>365.88235294117646</v>
      </c>
      <c r="EJ57" s="10">
        <v>745.90163934426221</v>
      </c>
      <c r="EK57" s="11">
        <v>278.78787878787875</v>
      </c>
      <c r="EM57" s="66"/>
      <c r="EN57" s="70"/>
      <c r="EO57" s="39" t="s">
        <v>26</v>
      </c>
      <c r="EP57" s="9">
        <v>-2.3697255470922443</v>
      </c>
      <c r="EQ57" s="10">
        <v>481.00797266514854</v>
      </c>
      <c r="ER57" s="10">
        <v>446.91358024691414</v>
      </c>
      <c r="ES57" s="10">
        <v>55.420530860249649</v>
      </c>
      <c r="ET57" s="10">
        <v>933.29506314580954</v>
      </c>
      <c r="EU57" s="10">
        <v>81.566356081591636</v>
      </c>
      <c r="EV57" s="10">
        <v>293.35219236209366</v>
      </c>
      <c r="EW57" s="11">
        <v>411.09677419354898</v>
      </c>
      <c r="EX57" s="9">
        <v>-2.6821055119039894</v>
      </c>
      <c r="EY57" s="10">
        <v>484.9099099099102</v>
      </c>
      <c r="EZ57" s="10">
        <v>456.06694560669501</v>
      </c>
      <c r="FA57" s="10">
        <v>49.461400359066971</v>
      </c>
      <c r="FB57" s="10">
        <v>933.29506314580954</v>
      </c>
      <c r="FC57" s="10">
        <v>82.254802831142953</v>
      </c>
      <c r="FD57" s="10">
        <v>290.15151515151564</v>
      </c>
      <c r="FE57" s="11">
        <v>404.24663127807287</v>
      </c>
    </row>
    <row r="58" spans="3:161" ht="28.8" x14ac:dyDescent="0.3">
      <c r="C58" s="66"/>
      <c r="D58" s="70" t="s">
        <v>28</v>
      </c>
      <c r="E58" s="40" t="s">
        <v>24</v>
      </c>
      <c r="F58" s="27">
        <v>5.45</v>
      </c>
      <c r="G58" s="28">
        <v>6.03</v>
      </c>
      <c r="H58" s="28">
        <v>2.4500000000000002</v>
      </c>
      <c r="I58" s="28">
        <v>3.92</v>
      </c>
      <c r="J58" s="28">
        <v>4.83</v>
      </c>
      <c r="K58" s="28">
        <v>1.4</v>
      </c>
      <c r="L58" s="28">
        <v>3.97</v>
      </c>
      <c r="M58" s="29"/>
      <c r="N58" s="27">
        <v>5.45</v>
      </c>
      <c r="O58" s="28">
        <v>6.03</v>
      </c>
      <c r="P58" s="28">
        <v>2.4500000000000002</v>
      </c>
      <c r="Q58" s="28">
        <v>3.92</v>
      </c>
      <c r="R58" s="28">
        <v>4.83</v>
      </c>
      <c r="S58" s="28">
        <v>1.4</v>
      </c>
      <c r="T58" s="28">
        <v>3.97</v>
      </c>
      <c r="U58" s="29"/>
      <c r="W58" s="66"/>
      <c r="X58" s="70" t="s">
        <v>28</v>
      </c>
      <c r="Y58" s="40" t="s">
        <v>24</v>
      </c>
      <c r="Z58" s="27">
        <v>6.14</v>
      </c>
      <c r="AA58" s="28">
        <v>5.46</v>
      </c>
      <c r="AB58" s="28">
        <v>2.44</v>
      </c>
      <c r="AC58" s="28">
        <v>2.67</v>
      </c>
      <c r="AD58" s="28">
        <v>3.85</v>
      </c>
      <c r="AE58" s="28">
        <v>2.75</v>
      </c>
      <c r="AF58" s="28">
        <v>3.83</v>
      </c>
      <c r="AG58" s="29">
        <v>2.1800000000000002</v>
      </c>
      <c r="AH58" s="27">
        <v>6.14</v>
      </c>
      <c r="AI58" s="28">
        <v>5.46</v>
      </c>
      <c r="AJ58" s="28">
        <v>2.44</v>
      </c>
      <c r="AK58" s="28">
        <v>2.67</v>
      </c>
      <c r="AL58" s="28">
        <v>3.85</v>
      </c>
      <c r="AM58" s="28">
        <v>2.75</v>
      </c>
      <c r="AN58" s="28">
        <v>3.83</v>
      </c>
      <c r="AO58" s="29">
        <v>2.1800000000000002</v>
      </c>
      <c r="AQ58" s="66"/>
      <c r="AR58" s="70" t="s">
        <v>28</v>
      </c>
      <c r="AS58" s="40" t="s">
        <v>24</v>
      </c>
      <c r="AT58" s="27">
        <v>5.64</v>
      </c>
      <c r="AU58" s="28">
        <v>4.01</v>
      </c>
      <c r="AV58" s="28">
        <v>3.57</v>
      </c>
      <c r="AW58" s="28">
        <v>2.7</v>
      </c>
      <c r="AX58" s="28">
        <v>2.35</v>
      </c>
      <c r="AY58" s="28">
        <v>3.98</v>
      </c>
      <c r="AZ58" s="28">
        <v>2.5299999999999998</v>
      </c>
      <c r="BA58" s="29">
        <v>1.25</v>
      </c>
      <c r="BB58" s="27">
        <v>5.64</v>
      </c>
      <c r="BC58" s="28">
        <v>4.01</v>
      </c>
      <c r="BD58" s="28">
        <v>3.57</v>
      </c>
      <c r="BE58" s="28">
        <v>2.7</v>
      </c>
      <c r="BF58" s="28">
        <v>2.35</v>
      </c>
      <c r="BG58" s="28">
        <v>3.98</v>
      </c>
      <c r="BH58" s="28">
        <v>2.5299999999999998</v>
      </c>
      <c r="BI58" s="29">
        <v>1.25</v>
      </c>
      <c r="BK58" s="66"/>
      <c r="BL58" s="70" t="s">
        <v>28</v>
      </c>
      <c r="BM58" s="40" t="s">
        <v>24</v>
      </c>
      <c r="BN58" s="27">
        <v>6.44</v>
      </c>
      <c r="BO58" s="28">
        <v>3.76</v>
      </c>
      <c r="BP58" s="28">
        <v>4.45</v>
      </c>
      <c r="BQ58" s="28">
        <v>2.71</v>
      </c>
      <c r="BR58" s="28">
        <v>1.81</v>
      </c>
      <c r="BS58" s="28">
        <v>5.21</v>
      </c>
      <c r="BT58" s="28">
        <v>3.06</v>
      </c>
      <c r="BU58" s="29">
        <v>2.33</v>
      </c>
      <c r="BV58" s="27">
        <v>6.44</v>
      </c>
      <c r="BW58" s="28">
        <v>3.76</v>
      </c>
      <c r="BX58" s="28">
        <v>4.45</v>
      </c>
      <c r="BY58" s="28">
        <v>2.71</v>
      </c>
      <c r="BZ58" s="28">
        <v>1.81</v>
      </c>
      <c r="CA58" s="28">
        <v>5.21</v>
      </c>
      <c r="CB58" s="28">
        <v>3.06</v>
      </c>
      <c r="CC58" s="29">
        <v>2.33</v>
      </c>
      <c r="CE58" s="66"/>
      <c r="CF58" s="70" t="s">
        <v>28</v>
      </c>
      <c r="CG58" s="40" t="s">
        <v>24</v>
      </c>
      <c r="CH58" s="27">
        <v>5.45</v>
      </c>
      <c r="CI58" s="28">
        <v>6.03</v>
      </c>
      <c r="CJ58" s="28">
        <v>2.4500000000000002</v>
      </c>
      <c r="CK58" s="28">
        <v>3.92</v>
      </c>
      <c r="CL58" s="28">
        <v>4.83</v>
      </c>
      <c r="CM58" s="28">
        <v>1.4</v>
      </c>
      <c r="CN58" s="28">
        <v>3.97</v>
      </c>
      <c r="CO58" s="29">
        <v>2.4900000000000002</v>
      </c>
      <c r="CP58" s="27">
        <v>5.45</v>
      </c>
      <c r="CQ58" s="28">
        <v>6.03</v>
      </c>
      <c r="CR58" s="28">
        <v>2.4500000000000002</v>
      </c>
      <c r="CS58" s="28">
        <v>3.92</v>
      </c>
      <c r="CT58" s="28">
        <v>4.83</v>
      </c>
      <c r="CU58" s="28">
        <v>1.4</v>
      </c>
      <c r="CV58" s="28">
        <v>3.97</v>
      </c>
      <c r="CW58" s="29">
        <v>2.4900000000000002</v>
      </c>
      <c r="CY58" s="66"/>
      <c r="CZ58" s="70" t="s">
        <v>28</v>
      </c>
      <c r="DA58" s="40" t="s">
        <v>24</v>
      </c>
      <c r="DB58" s="27">
        <v>6.14</v>
      </c>
      <c r="DC58" s="28">
        <v>5.46</v>
      </c>
      <c r="DD58" s="28">
        <v>2.44</v>
      </c>
      <c r="DE58" s="28">
        <v>2.67</v>
      </c>
      <c r="DF58" s="28">
        <v>3.85</v>
      </c>
      <c r="DG58" s="28">
        <v>2.75</v>
      </c>
      <c r="DH58" s="28">
        <v>3.83</v>
      </c>
      <c r="DI58" s="29">
        <v>2.1800000000000002</v>
      </c>
      <c r="DJ58" s="27">
        <v>6.14</v>
      </c>
      <c r="DK58" s="28">
        <v>5.46</v>
      </c>
      <c r="DL58" s="28">
        <v>2.44</v>
      </c>
      <c r="DM58" s="28">
        <v>2.67</v>
      </c>
      <c r="DN58" s="28">
        <v>3.85</v>
      </c>
      <c r="DO58" s="28">
        <v>2.75</v>
      </c>
      <c r="DP58" s="28">
        <v>3.83</v>
      </c>
      <c r="DQ58" s="29">
        <v>2.1800000000000002</v>
      </c>
      <c r="DS58" s="66"/>
      <c r="DT58" s="70" t="s">
        <v>28</v>
      </c>
      <c r="DU58" s="40" t="s">
        <v>24</v>
      </c>
      <c r="DV58" s="27">
        <v>5.64</v>
      </c>
      <c r="DW58" s="28">
        <v>4.01</v>
      </c>
      <c r="DX58" s="28">
        <v>3.57</v>
      </c>
      <c r="DY58" s="28">
        <v>2.7</v>
      </c>
      <c r="DZ58" s="28">
        <v>2.35</v>
      </c>
      <c r="EA58" s="28">
        <v>3.98</v>
      </c>
      <c r="EB58" s="28">
        <v>2.5299999999999998</v>
      </c>
      <c r="EC58" s="29">
        <v>1.25</v>
      </c>
      <c r="ED58" s="27">
        <v>5.64</v>
      </c>
      <c r="EE58" s="28">
        <v>4.01</v>
      </c>
      <c r="EF58" s="28">
        <v>3.57</v>
      </c>
      <c r="EG58" s="28">
        <v>2.7</v>
      </c>
      <c r="EH58" s="28">
        <v>2.35</v>
      </c>
      <c r="EI58" s="28">
        <v>3.98</v>
      </c>
      <c r="EJ58" s="28">
        <v>2.5299999999999998</v>
      </c>
      <c r="EK58" s="29">
        <v>1.25</v>
      </c>
      <c r="EM58" s="66"/>
      <c r="EN58" s="70" t="s">
        <v>28</v>
      </c>
      <c r="EO58" s="40" t="s">
        <v>24</v>
      </c>
      <c r="EP58" s="27">
        <v>6.44</v>
      </c>
      <c r="EQ58" s="28">
        <v>3.76</v>
      </c>
      <c r="ER58" s="28">
        <v>4.45</v>
      </c>
      <c r="ES58" s="28">
        <v>2.71</v>
      </c>
      <c r="ET58" s="28">
        <v>1.81</v>
      </c>
      <c r="EU58" s="28">
        <v>5.21</v>
      </c>
      <c r="EV58" s="28">
        <v>3.06</v>
      </c>
      <c r="EW58" s="29">
        <v>2.33</v>
      </c>
      <c r="EX58" s="27">
        <v>6.44</v>
      </c>
      <c r="EY58" s="28">
        <v>3.76</v>
      </c>
      <c r="EZ58" s="28">
        <v>4.45</v>
      </c>
      <c r="FA58" s="28">
        <v>2.71</v>
      </c>
      <c r="FB58" s="28">
        <v>1.81</v>
      </c>
      <c r="FC58" s="28">
        <v>5.21</v>
      </c>
      <c r="FD58" s="28">
        <v>3.06</v>
      </c>
      <c r="FE58" s="29">
        <v>2.33</v>
      </c>
    </row>
    <row r="59" spans="3:161" x14ac:dyDescent="0.3">
      <c r="C59" s="66"/>
      <c r="D59" s="70"/>
      <c r="E59" s="39" t="s">
        <v>25</v>
      </c>
      <c r="F59" s="9">
        <v>-1.9230769230770051E-2</v>
      </c>
      <c r="G59" s="10">
        <v>0.18161290322581003</v>
      </c>
      <c r="H59" s="10">
        <v>-1.4516129032249747E-2</v>
      </c>
      <c r="I59" s="10">
        <v>0.12400000000000011</v>
      </c>
      <c r="J59" s="10">
        <v>0.18661290322580992</v>
      </c>
      <c r="K59" s="10">
        <v>0.14292307692307982</v>
      </c>
      <c r="L59" s="10">
        <v>-7.5689655172409775E-2</v>
      </c>
      <c r="M59" s="11"/>
      <c r="N59" s="9">
        <v>-1.8095238095229504E-2</v>
      </c>
      <c r="O59" s="10">
        <v>0.17930232558139991</v>
      </c>
      <c r="P59" s="10">
        <v>-1.60975609756E-2</v>
      </c>
      <c r="Q59" s="10">
        <v>0.12651162790698001</v>
      </c>
      <c r="R59" s="10">
        <v>0.18000000000001037</v>
      </c>
      <c r="S59" s="10">
        <v>0.14159090909090999</v>
      </c>
      <c r="T59" s="10">
        <v>-8.0263157894730153E-2</v>
      </c>
      <c r="U59" s="11"/>
      <c r="W59" s="66"/>
      <c r="X59" s="70"/>
      <c r="Y59" s="39" t="s">
        <v>25</v>
      </c>
      <c r="Z59" s="9">
        <v>-0.1323943661971807</v>
      </c>
      <c r="AA59" s="10">
        <v>0.18529411764705994</v>
      </c>
      <c r="AB59" s="10">
        <v>0.18750000000000977</v>
      </c>
      <c r="AC59" s="10">
        <v>0.14561643835617</v>
      </c>
      <c r="AD59" s="10">
        <v>7.4335664335670071E-2</v>
      </c>
      <c r="AE59" s="10">
        <v>-0.34178571428570992</v>
      </c>
      <c r="AF59" s="10">
        <v>-0.10064748201439011</v>
      </c>
      <c r="AG59" s="11">
        <v>-0.40886956521738993</v>
      </c>
      <c r="AH59" s="9">
        <v>-0.10357142857143042</v>
      </c>
      <c r="AI59" s="10">
        <v>0.1644736842105301</v>
      </c>
      <c r="AJ59" s="10">
        <v>0.18536585365853986</v>
      </c>
      <c r="AK59" s="10">
        <v>0.14619047619047976</v>
      </c>
      <c r="AL59" s="10">
        <v>6.6341463414639978E-2</v>
      </c>
      <c r="AM59" s="10">
        <v>-0.32500000000000018</v>
      </c>
      <c r="AN59" s="10">
        <v>-9.7435897435889984E-2</v>
      </c>
      <c r="AO59" s="11">
        <v>-0.4433333333333298</v>
      </c>
      <c r="AQ59" s="66"/>
      <c r="AR59" s="70"/>
      <c r="AS59" s="39" t="s">
        <v>25</v>
      </c>
      <c r="AT59" s="9">
        <v>-0.53047904191616002</v>
      </c>
      <c r="AU59" s="10">
        <v>0.14536144578313959</v>
      </c>
      <c r="AV59" s="10">
        <v>0.25299401197604965</v>
      </c>
      <c r="AW59" s="10">
        <v>0.23808383233533004</v>
      </c>
      <c r="AX59" s="10">
        <v>0.12627906976744008</v>
      </c>
      <c r="AY59" s="10">
        <v>6.3892215568869926E-2</v>
      </c>
      <c r="AZ59" s="10">
        <v>2.7861271676309585E-2</v>
      </c>
      <c r="BA59" s="11">
        <v>-3.3357142857139976E-2</v>
      </c>
      <c r="BB59" s="9">
        <v>-0.5315909090908999</v>
      </c>
      <c r="BC59" s="10">
        <v>0.14777777777778001</v>
      </c>
      <c r="BD59" s="10">
        <v>0.26644444444445003</v>
      </c>
      <c r="BE59" s="10">
        <v>0.23195652173914016</v>
      </c>
      <c r="BF59" s="10">
        <v>0.12541666666667028</v>
      </c>
      <c r="BG59" s="10">
        <v>8.5555555555560048E-2</v>
      </c>
      <c r="BH59" s="10">
        <v>2.5744680851069734E-2</v>
      </c>
      <c r="BI59" s="11">
        <v>-4.0666666666659967E-2</v>
      </c>
      <c r="BK59" s="66"/>
      <c r="BL59" s="70"/>
      <c r="BM59" s="39" t="s">
        <v>25</v>
      </c>
      <c r="BN59" s="9">
        <v>-0.57819767441860925</v>
      </c>
      <c r="BO59" s="10">
        <v>2.1694915254239611E-2</v>
      </c>
      <c r="BP59" s="10">
        <v>-0.15971590909090949</v>
      </c>
      <c r="BQ59" s="10">
        <v>1.7657142857149921E-2</v>
      </c>
      <c r="BR59" s="10">
        <v>-0.12259459459458988</v>
      </c>
      <c r="BS59" s="10">
        <v>-4.5028571428559871E-2</v>
      </c>
      <c r="BT59" s="10">
        <v>-0.12478021978022014</v>
      </c>
      <c r="BU59" s="11">
        <v>6.734693877560094E-3</v>
      </c>
      <c r="BV59" s="9">
        <v>-0.42292682926828995</v>
      </c>
      <c r="BW59" s="10">
        <v>1.3571428571429678E-2</v>
      </c>
      <c r="BX59" s="10">
        <v>-0.18074999999999974</v>
      </c>
      <c r="BY59" s="10">
        <v>1.7209302325590148E-2</v>
      </c>
      <c r="BZ59" s="10">
        <v>-0.12607142857141995</v>
      </c>
      <c r="CA59" s="10">
        <v>-5.8048780487800045E-2</v>
      </c>
      <c r="CB59" s="10">
        <v>-0.12833333333332986</v>
      </c>
      <c r="CC59" s="11">
        <v>-8.8235294116989493E-4</v>
      </c>
      <c r="CE59" s="66"/>
      <c r="CF59" s="70"/>
      <c r="CG59" s="39" t="s">
        <v>25</v>
      </c>
      <c r="CH59" s="9">
        <v>5.1956521739140449E-2</v>
      </c>
      <c r="CI59" s="10">
        <v>5.1043636363636367</v>
      </c>
      <c r="CJ59" s="10">
        <v>1.0981818181818201</v>
      </c>
      <c r="CK59" s="10">
        <v>-3.2477192982456105</v>
      </c>
      <c r="CL59" s="10">
        <v>4.1119565217391312</v>
      </c>
      <c r="CM59" s="10">
        <v>1.2543137254901959</v>
      </c>
      <c r="CN59" s="10">
        <v>-0.72324999999998996</v>
      </c>
      <c r="CO59" s="11">
        <v>1.7025490196078432</v>
      </c>
      <c r="CP59" s="9">
        <v>-7.749999999999968E-2</v>
      </c>
      <c r="CQ59" s="10">
        <v>5.1057142857142859</v>
      </c>
      <c r="CR59" s="10">
        <v>1.0769230769230802</v>
      </c>
      <c r="CS59" s="10">
        <v>-2.8</v>
      </c>
      <c r="CT59" s="10">
        <v>4.0999999999999996</v>
      </c>
      <c r="CU59" s="10">
        <v>1.2554545454545458</v>
      </c>
      <c r="CV59" s="10">
        <v>-0.45454545454545014</v>
      </c>
      <c r="CW59" s="11">
        <v>1.7000000000000011</v>
      </c>
      <c r="CY59" s="66"/>
      <c r="CZ59" s="70"/>
      <c r="DA59" s="39" t="s">
        <v>25</v>
      </c>
      <c r="DB59" s="9">
        <v>4.97</v>
      </c>
      <c r="DC59" s="10">
        <v>5.3218181818181822</v>
      </c>
      <c r="DD59" s="10">
        <v>2.0513333333333339</v>
      </c>
      <c r="DE59" s="10">
        <v>1.8230769230769228</v>
      </c>
      <c r="DF59" s="10">
        <v>3.5366666666666671</v>
      </c>
      <c r="DG59" s="10">
        <v>2.3908510638297882</v>
      </c>
      <c r="DH59" s="10">
        <v>3.0919607843137262</v>
      </c>
      <c r="DI59" s="11">
        <v>1.4621428571428572</v>
      </c>
      <c r="DJ59" s="9">
        <v>4.97</v>
      </c>
      <c r="DK59" s="10">
        <v>5.3166666666666673</v>
      </c>
      <c r="DL59" s="10">
        <v>2.0500000000000007</v>
      </c>
      <c r="DM59" s="10">
        <v>1.385</v>
      </c>
      <c r="DN59" s="10">
        <v>3.52</v>
      </c>
      <c r="DO59" s="10">
        <v>2.4325000000000001</v>
      </c>
      <c r="DP59" s="10">
        <v>3.1550000000000002</v>
      </c>
      <c r="DQ59" s="11">
        <v>1.33</v>
      </c>
      <c r="DS59" s="66"/>
      <c r="DT59" s="70"/>
      <c r="DU59" s="39" t="s">
        <v>25</v>
      </c>
      <c r="DV59" s="9">
        <v>-1.9789999999999903</v>
      </c>
      <c r="DW59" s="10">
        <v>0.77975609756097963</v>
      </c>
      <c r="DX59" s="10">
        <v>2.1909090909090998</v>
      </c>
      <c r="DY59" s="10">
        <v>1.1060000000000101</v>
      </c>
      <c r="DZ59" s="10">
        <v>1.7684210526315791</v>
      </c>
      <c r="EA59" s="10">
        <v>3.1427999999999998</v>
      </c>
      <c r="EB59" s="10">
        <v>2.2231111111111117</v>
      </c>
      <c r="EC59" s="11">
        <v>0.94100000000000006</v>
      </c>
      <c r="ED59" s="9">
        <v>-2.2400000000000002</v>
      </c>
      <c r="EE59" s="10">
        <v>0.71</v>
      </c>
      <c r="EF59" s="10">
        <v>2.25</v>
      </c>
      <c r="EG59" s="10">
        <v>1.0900000000000001</v>
      </c>
      <c r="EH59" s="10">
        <v>1.82</v>
      </c>
      <c r="EI59" s="10">
        <v>3.13</v>
      </c>
      <c r="EJ59" s="10">
        <v>2.2249999999999996</v>
      </c>
      <c r="EK59" s="11">
        <v>0.91999999999999993</v>
      </c>
      <c r="EM59" s="66"/>
      <c r="EN59" s="70"/>
      <c r="EO59" s="39" t="s">
        <v>25</v>
      </c>
      <c r="EP59" s="9">
        <v>-0.17679999999999918</v>
      </c>
      <c r="EQ59" s="10">
        <v>3.1214545454545459</v>
      </c>
      <c r="ER59" s="10">
        <v>3.640000000000001</v>
      </c>
      <c r="ES59" s="10">
        <v>0.97277777777777996</v>
      </c>
      <c r="ET59" s="10">
        <v>1.6358000000000001</v>
      </c>
      <c r="EU59" s="10">
        <v>2.37357142857143</v>
      </c>
      <c r="EV59" s="10">
        <v>2.2744444444444452</v>
      </c>
      <c r="EW59" s="11">
        <v>1.8741176470588241</v>
      </c>
      <c r="EX59" s="9">
        <v>-0.19803921568626937</v>
      </c>
      <c r="EY59" s="10">
        <v>3.1257142857142859</v>
      </c>
      <c r="EZ59" s="10">
        <v>3.6533333333333342</v>
      </c>
      <c r="FA59" s="10">
        <v>0.90351351351351994</v>
      </c>
      <c r="FB59" s="10">
        <v>1.6358000000000001</v>
      </c>
      <c r="FC59" s="10">
        <v>2.3842857142857201</v>
      </c>
      <c r="FD59" s="10">
        <v>2.2680000000000011</v>
      </c>
      <c r="FE59" s="11">
        <v>1.867924528301887</v>
      </c>
    </row>
    <row r="60" spans="3:161" ht="15" thickBot="1" x14ac:dyDescent="0.35">
      <c r="C60" s="66"/>
      <c r="D60" s="74"/>
      <c r="E60" s="41" t="s">
        <v>26</v>
      </c>
      <c r="F60" s="12">
        <v>-0.35161744022505009</v>
      </c>
      <c r="G60" s="13">
        <v>3.1053502482074542</v>
      </c>
      <c r="H60" s="13">
        <v>-0.58900523560175866</v>
      </c>
      <c r="I60" s="13">
        <v>3.266596417281352</v>
      </c>
      <c r="J60" s="13">
        <v>4.0188961061517325</v>
      </c>
      <c r="K60" s="13">
        <v>11.369477420144671</v>
      </c>
      <c r="L60" s="13">
        <v>-1.8708715107606098</v>
      </c>
      <c r="M60" s="14"/>
      <c r="N60" s="12">
        <v>-0.33092397457094852</v>
      </c>
      <c r="O60" s="13">
        <v>3.0646315287384538</v>
      </c>
      <c r="P60" s="13">
        <v>-0.65275442587241872</v>
      </c>
      <c r="Q60" s="13">
        <v>3.334968121628338</v>
      </c>
      <c r="R60" s="13">
        <v>3.8709677419357158</v>
      </c>
      <c r="S60" s="13">
        <v>11.251580278129031</v>
      </c>
      <c r="T60" s="13">
        <v>-1.9816776037942634</v>
      </c>
      <c r="U60" s="14"/>
      <c r="W60" s="66"/>
      <c r="X60" s="74"/>
      <c r="Y60" s="41" t="s">
        <v>26</v>
      </c>
      <c r="Z60" s="12">
        <v>-2.1107468451070721</v>
      </c>
      <c r="AA60" s="13">
        <v>3.512880562060912</v>
      </c>
      <c r="AB60" s="13">
        <v>8.3240843507218898</v>
      </c>
      <c r="AC60" s="13">
        <v>5.7683959192535452</v>
      </c>
      <c r="AD60" s="13">
        <v>1.9688101941029847</v>
      </c>
      <c r="AE60" s="13">
        <v>-11.054637865311182</v>
      </c>
      <c r="AF60" s="13">
        <v>-2.56058276594191</v>
      </c>
      <c r="AG60" s="14">
        <v>-15.793362891307222</v>
      </c>
      <c r="AH60" s="12">
        <v>-1.6588491019334466</v>
      </c>
      <c r="AI60" s="13">
        <v>3.1058987228545187</v>
      </c>
      <c r="AJ60" s="13">
        <v>8.2215491129382805</v>
      </c>
      <c r="AK60" s="13">
        <v>5.7924528301888287</v>
      </c>
      <c r="AL60" s="13">
        <v>1.7533681428480909</v>
      </c>
      <c r="AM60" s="13">
        <v>-10.569105691056915</v>
      </c>
      <c r="AN60" s="13">
        <v>-2.4809035711952188</v>
      </c>
      <c r="AO60" s="14">
        <v>-16.899618805590737</v>
      </c>
      <c r="AQ60" s="66"/>
      <c r="AR60" s="74"/>
      <c r="AS60" s="41" t="s">
        <v>26</v>
      </c>
      <c r="AT60" s="12">
        <v>-8.5970479489940352</v>
      </c>
      <c r="AU60" s="13">
        <v>3.761320592957651</v>
      </c>
      <c r="AV60" s="13">
        <v>7.6271798389717871</v>
      </c>
      <c r="AW60" s="13">
        <v>9.6706717906309603</v>
      </c>
      <c r="AX60" s="13">
        <v>5.6787282995188439</v>
      </c>
      <c r="AY60" s="13">
        <v>1.6315234177894613</v>
      </c>
      <c r="AZ60" s="13">
        <v>1.1134982789293728</v>
      </c>
      <c r="BA60" s="14">
        <v>-2.5992096621581831</v>
      </c>
      <c r="BB60" s="12">
        <v>-8.6135150064443504</v>
      </c>
      <c r="BC60" s="13">
        <v>3.8262370540852153</v>
      </c>
      <c r="BD60" s="13">
        <v>8.065384097941795</v>
      </c>
      <c r="BE60" s="13">
        <v>9.3983968994983602</v>
      </c>
      <c r="BF60" s="13">
        <v>5.6377598801275361</v>
      </c>
      <c r="BG60" s="13">
        <v>2.1968616262483347</v>
      </c>
      <c r="BH60" s="13">
        <v>1.0280373831778085</v>
      </c>
      <c r="BI60" s="14">
        <v>-3.1508264462804894</v>
      </c>
      <c r="BK60" s="66"/>
      <c r="BL60" s="74"/>
      <c r="BM60" s="41" t="s">
        <v>26</v>
      </c>
      <c r="BN60" s="12">
        <v>-8.2385492863238188</v>
      </c>
      <c r="BO60" s="13">
        <v>0.58034095030836863</v>
      </c>
      <c r="BP60" s="13">
        <v>-3.4647668585374354</v>
      </c>
      <c r="BQ60" s="13">
        <v>0.65582816877520256</v>
      </c>
      <c r="BR60" s="13">
        <v>-6.3435236203952625</v>
      </c>
      <c r="BS60" s="13">
        <v>-0.8568663484225173</v>
      </c>
      <c r="BT60" s="13">
        <v>-3.9180166658040583</v>
      </c>
      <c r="BU60" s="14">
        <v>0.28988053408331504</v>
      </c>
      <c r="BV60" s="12">
        <v>-6.1624848958703158</v>
      </c>
      <c r="BW60" s="13">
        <v>0.36224976167781803</v>
      </c>
      <c r="BX60" s="13">
        <v>-3.9032554121902443</v>
      </c>
      <c r="BY60" s="13">
        <v>0.63908800414576283</v>
      </c>
      <c r="BZ60" s="13">
        <v>-6.5117137059578942</v>
      </c>
      <c r="CA60" s="13">
        <v>-1.1019028658733294</v>
      </c>
      <c r="CB60" s="13">
        <v>-4.0250914793516985</v>
      </c>
      <c r="CC60" s="14">
        <v>-3.785488958962336E-2</v>
      </c>
      <c r="CE60" s="66"/>
      <c r="CF60" s="74"/>
      <c r="CG60" s="41" t="s">
        <v>26</v>
      </c>
      <c r="CH60" s="12">
        <v>0.9625065442392432</v>
      </c>
      <c r="CI60" s="13">
        <v>551.44372421921025</v>
      </c>
      <c r="CJ60" s="13">
        <v>81.237390719569859</v>
      </c>
      <c r="CK60" s="13">
        <v>-45.310358331701565</v>
      </c>
      <c r="CL60" s="13">
        <v>572.6612170753865</v>
      </c>
      <c r="CM60" s="13">
        <v>860.96904441453501</v>
      </c>
      <c r="CN60" s="13">
        <v>-15.410429872689319</v>
      </c>
      <c r="CO60" s="14">
        <v>216.2101593625498</v>
      </c>
      <c r="CP60" s="12">
        <v>-1.4020805065581128</v>
      </c>
      <c r="CQ60" s="13">
        <v>552.39567233384867</v>
      </c>
      <c r="CR60" s="13">
        <v>78.431372549020026</v>
      </c>
      <c r="CS60" s="13">
        <v>-41.666666666666664</v>
      </c>
      <c r="CT60" s="13">
        <v>561.64383561643831</v>
      </c>
      <c r="CU60" s="13">
        <v>868.5534591195003</v>
      </c>
      <c r="CV60" s="13">
        <v>-10.27326895418113</v>
      </c>
      <c r="CW60" s="14">
        <v>215.18987341772191</v>
      </c>
      <c r="CY60" s="66"/>
      <c r="CZ60" s="74"/>
      <c r="DA60" s="41" t="s">
        <v>26</v>
      </c>
      <c r="DB60" s="12">
        <v>424.78632478632477</v>
      </c>
      <c r="DC60" s="13">
        <v>3851.3157894736901</v>
      </c>
      <c r="DD60" s="13">
        <v>527.78730703259112</v>
      </c>
      <c r="DE60" s="13">
        <v>215.25885558583101</v>
      </c>
      <c r="DF60" s="13">
        <v>1128.7234042553202</v>
      </c>
      <c r="DG60" s="13">
        <v>665.69905213270317</v>
      </c>
      <c r="DH60" s="13">
        <v>418.94261424017049</v>
      </c>
      <c r="DI60" s="14">
        <v>203.68159203980096</v>
      </c>
      <c r="DJ60" s="12">
        <v>424.78632478632477</v>
      </c>
      <c r="DK60" s="13">
        <v>3709.3023255814037</v>
      </c>
      <c r="DL60" s="13">
        <v>525.64102564102711</v>
      </c>
      <c r="DM60" s="13">
        <v>107.78210116731519</v>
      </c>
      <c r="DN60" s="13">
        <v>1066.6666666666665</v>
      </c>
      <c r="DO60" s="13">
        <v>766.14173228346465</v>
      </c>
      <c r="DP60" s="13">
        <v>467.40740740740739</v>
      </c>
      <c r="DQ60" s="14">
        <v>156.47058823529414</v>
      </c>
      <c r="DS60" s="66"/>
      <c r="DT60" s="74"/>
      <c r="DU60" s="41" t="s">
        <v>26</v>
      </c>
      <c r="DV60" s="12">
        <v>-25.974537340858291</v>
      </c>
      <c r="DW60" s="13">
        <v>24.139232860163247</v>
      </c>
      <c r="DX60" s="13">
        <v>158.86618325642885</v>
      </c>
      <c r="DY60" s="13">
        <v>69.385194479298434</v>
      </c>
      <c r="DZ60" s="13">
        <v>304.07239819004531</v>
      </c>
      <c r="EA60" s="13">
        <v>375.39417104634492</v>
      </c>
      <c r="EB60" s="13">
        <v>724.40260680666415</v>
      </c>
      <c r="EC60" s="14">
        <v>304.53074433656957</v>
      </c>
      <c r="ED60" s="12">
        <v>-28.426395939086298</v>
      </c>
      <c r="EE60" s="13">
        <v>21.515151515151516</v>
      </c>
      <c r="EF60" s="13">
        <v>170.45454545454544</v>
      </c>
      <c r="EG60" s="13">
        <v>67.701863354037272</v>
      </c>
      <c r="EH60" s="13">
        <v>343.39622641509436</v>
      </c>
      <c r="EI60" s="13">
        <v>368.23529411764702</v>
      </c>
      <c r="EJ60" s="13">
        <v>729.50819672131138</v>
      </c>
      <c r="EK60" s="14">
        <v>278.78787878787875</v>
      </c>
      <c r="EM60" s="66"/>
      <c r="EN60" s="74"/>
      <c r="EO60" s="41" t="s">
        <v>26</v>
      </c>
      <c r="EP60" s="12">
        <v>-2.6719864587111473</v>
      </c>
      <c r="EQ60" s="13">
        <v>488.83826879271123</v>
      </c>
      <c r="ER60" s="13">
        <v>449.38271604938336</v>
      </c>
      <c r="ES60" s="13">
        <v>55.996162456028344</v>
      </c>
      <c r="ET60" s="13">
        <v>939.03559127439746</v>
      </c>
      <c r="EU60" s="13">
        <v>83.681692268949988</v>
      </c>
      <c r="EV60" s="13">
        <v>289.53323903818983</v>
      </c>
      <c r="EW60" s="14">
        <v>411.09677419354898</v>
      </c>
      <c r="EX60" s="12">
        <v>-2.9833993028888002</v>
      </c>
      <c r="EY60" s="13">
        <v>492.79279279279302</v>
      </c>
      <c r="EZ60" s="13">
        <v>458.5774058577411</v>
      </c>
      <c r="FA60" s="13">
        <v>50.01496110113758</v>
      </c>
      <c r="FB60" s="13">
        <v>939.03559127439746</v>
      </c>
      <c r="FC60" s="13">
        <v>84.378159757331019</v>
      </c>
      <c r="FD60" s="13">
        <v>286.36363636363689</v>
      </c>
      <c r="FE60" s="14">
        <v>404.24663127807287</v>
      </c>
    </row>
    <row r="61" spans="3:161" x14ac:dyDescent="0.3">
      <c r="C61" s="65">
        <v>2</v>
      </c>
      <c r="D61" s="71" t="s">
        <v>20</v>
      </c>
      <c r="E61" s="72"/>
      <c r="F61" s="21">
        <v>5.1957352941176396</v>
      </c>
      <c r="G61" s="22">
        <v>5.63279411764705</v>
      </c>
      <c r="H61" s="22">
        <v>2.3547761194029802</v>
      </c>
      <c r="I61" s="22">
        <v>3.5888235294117599</v>
      </c>
      <c r="J61" s="22">
        <v>4.4177941176470501</v>
      </c>
      <c r="K61" s="22">
        <v>1.23823529411764</v>
      </c>
      <c r="L61" s="22">
        <v>3.9960606060605999</v>
      </c>
      <c r="M61" s="23"/>
      <c r="N61" s="21">
        <v>5.2559999999999896</v>
      </c>
      <c r="O61" s="22">
        <v>5.6849999999999996</v>
      </c>
      <c r="P61" s="22">
        <v>2.3617999999999899</v>
      </c>
      <c r="Q61" s="22">
        <v>3.5783999999999998</v>
      </c>
      <c r="R61" s="22">
        <v>4.4161999999999999</v>
      </c>
      <c r="S61" s="22">
        <v>1.2374000000000001</v>
      </c>
      <c r="T61" s="22">
        <v>3.9785714285714202</v>
      </c>
      <c r="U61" s="23"/>
      <c r="W61" s="65">
        <v>2</v>
      </c>
      <c r="X61" s="71" t="s">
        <v>20</v>
      </c>
      <c r="Y61" s="72"/>
      <c r="Z61" s="21">
        <v>5.8868947368421001</v>
      </c>
      <c r="AA61" s="22">
        <v>4.8835263157894797</v>
      </c>
      <c r="AB61" s="22">
        <v>2.1654736842105198</v>
      </c>
      <c r="AC61" s="22">
        <v>2.4681052631578901</v>
      </c>
      <c r="AD61" s="22">
        <v>3.62142105263157</v>
      </c>
      <c r="AE61" s="22">
        <v>3.0032275132275101</v>
      </c>
      <c r="AF61" s="22">
        <v>3.6947593582887701</v>
      </c>
      <c r="AG61" s="23">
        <v>2.6962711864406699</v>
      </c>
      <c r="AH61" s="21">
        <v>5.7257499999999997</v>
      </c>
      <c r="AI61" s="22">
        <v>4.75</v>
      </c>
      <c r="AJ61" s="22">
        <v>2.2115</v>
      </c>
      <c r="AK61" s="22">
        <v>2.4772500000000002</v>
      </c>
      <c r="AL61" s="22">
        <v>3.6585000000000001</v>
      </c>
      <c r="AM61" s="22">
        <v>3.0137499999999999</v>
      </c>
      <c r="AN61" s="22">
        <v>3.6176923076923</v>
      </c>
      <c r="AO61" s="23">
        <v>2.5499999999999998</v>
      </c>
      <c r="AQ61" s="65">
        <v>2</v>
      </c>
      <c r="AR61" s="71" t="s">
        <v>20</v>
      </c>
      <c r="AS61" s="72"/>
      <c r="AT61" s="21">
        <v>5.8742978723404304</v>
      </c>
      <c r="AU61" s="22">
        <v>3.7190336134453701</v>
      </c>
      <c r="AV61" s="22">
        <v>3.1613025210084</v>
      </c>
      <c r="AW61" s="22">
        <v>2.3744117647058798</v>
      </c>
      <c r="AX61" s="22">
        <v>2.1765126050420198</v>
      </c>
      <c r="AY61" s="22">
        <v>3.7299999999999902</v>
      </c>
      <c r="AZ61" s="22">
        <v>2.41928571428571</v>
      </c>
      <c r="BA61" s="23">
        <v>1.37726086956521</v>
      </c>
      <c r="BB61" s="21">
        <v>5.7253061224489796</v>
      </c>
      <c r="BC61" s="22">
        <v>3.8248000000000002</v>
      </c>
      <c r="BD61" s="22">
        <v>3.0883999999999898</v>
      </c>
      <c r="BE61" s="22">
        <v>2.4073999999999902</v>
      </c>
      <c r="BF61" s="22">
        <v>2.1823999999999999</v>
      </c>
      <c r="BG61" s="22">
        <v>3.6897959183673401</v>
      </c>
      <c r="BH61" s="22">
        <v>2.4678</v>
      </c>
      <c r="BI61" s="23">
        <v>1.32375</v>
      </c>
      <c r="BK61" s="65">
        <v>2</v>
      </c>
      <c r="BL61" s="71" t="s">
        <v>20</v>
      </c>
      <c r="BM61" s="72"/>
      <c r="BN61" s="21">
        <v>6.5</v>
      </c>
      <c r="BO61" s="22">
        <v>3.73</v>
      </c>
      <c r="BP61" s="22">
        <v>4.4400000000000004</v>
      </c>
      <c r="BQ61" s="22">
        <v>2.73</v>
      </c>
      <c r="BR61" s="22">
        <v>1.77</v>
      </c>
      <c r="BS61" s="22">
        <v>5.1100000000000003</v>
      </c>
      <c r="BT61" s="22">
        <v>3.05</v>
      </c>
      <c r="BU61" s="23">
        <v>2.21</v>
      </c>
      <c r="BV61" s="21">
        <v>6.6372727272727197</v>
      </c>
      <c r="BW61" s="22">
        <v>3.7411111111111102</v>
      </c>
      <c r="BX61" s="22">
        <v>4.5255555555555498</v>
      </c>
      <c r="BY61" s="22">
        <v>2.5557777777777702</v>
      </c>
      <c r="BZ61" s="22">
        <v>1.87133333333333</v>
      </c>
      <c r="CA61" s="22">
        <v>5.04318181818181</v>
      </c>
      <c r="CB61" s="22">
        <v>3.1893333333333298</v>
      </c>
      <c r="CC61" s="23">
        <v>2.1379545454545399</v>
      </c>
      <c r="CE61" s="65">
        <v>2</v>
      </c>
      <c r="CF61" s="71" t="s">
        <v>20</v>
      </c>
      <c r="CG61" s="72"/>
      <c r="CH61" s="21">
        <v>5.2451666666666696</v>
      </c>
      <c r="CI61" s="22">
        <v>1.03745762711864</v>
      </c>
      <c r="CJ61" s="22">
        <v>1.1311864406779599</v>
      </c>
      <c r="CK61" s="22">
        <v>6.3241666666666703</v>
      </c>
      <c r="CL61" s="22">
        <v>0.67716666666666603</v>
      </c>
      <c r="CM61" s="22">
        <v>0.14599999999999999</v>
      </c>
      <c r="CN61" s="22">
        <v>4.1369811320754604</v>
      </c>
      <c r="CO61" s="23">
        <v>0.87830508474576297</v>
      </c>
      <c r="CP61" s="21">
        <v>5.35666666666667</v>
      </c>
      <c r="CQ61" s="22">
        <v>1.03949152542372</v>
      </c>
      <c r="CR61" s="22">
        <v>1.1277966101694901</v>
      </c>
      <c r="CS61" s="22">
        <v>6.45583333333333</v>
      </c>
      <c r="CT61" s="22">
        <v>0.67683333333333295</v>
      </c>
      <c r="CU61" s="22">
        <v>0.14533333333333301</v>
      </c>
      <c r="CV61" s="22">
        <v>4.1369811320754604</v>
      </c>
      <c r="CW61" s="23">
        <v>0.88220338983050794</v>
      </c>
      <c r="CY61" s="65">
        <v>2</v>
      </c>
      <c r="CZ61" s="71" t="s">
        <v>20</v>
      </c>
      <c r="DA61" s="72"/>
      <c r="DB61" s="21">
        <v>1.2685</v>
      </c>
      <c r="DC61" s="22">
        <v>0.23615384615384599</v>
      </c>
      <c r="DD61" s="22">
        <v>0.38627118644067798</v>
      </c>
      <c r="DE61" s="22">
        <v>1.3480000000000001</v>
      </c>
      <c r="DF61" s="22">
        <v>0.36355932203389801</v>
      </c>
      <c r="DG61" s="22">
        <v>0.78525423728813504</v>
      </c>
      <c r="DH61" s="22">
        <v>0.87849056603773501</v>
      </c>
      <c r="DI61" s="23">
        <v>0.74677966101694904</v>
      </c>
      <c r="DJ61" s="21">
        <v>1.26589743589743</v>
      </c>
      <c r="DK61" s="22">
        <v>0.239607843137255</v>
      </c>
      <c r="DL61" s="22">
        <v>0.38033333333333302</v>
      </c>
      <c r="DM61" s="22">
        <v>1.38491228070175</v>
      </c>
      <c r="DN61" s="22">
        <v>0.36783333333333301</v>
      </c>
      <c r="DO61" s="22">
        <v>0.77133333333333198</v>
      </c>
      <c r="DP61" s="22">
        <v>0.92296296296296199</v>
      </c>
      <c r="DQ61" s="23">
        <v>0.76549999999999996</v>
      </c>
      <c r="DS61" s="65">
        <v>2</v>
      </c>
      <c r="DT61" s="71" t="s">
        <v>20</v>
      </c>
      <c r="DU61" s="72"/>
      <c r="DV61" s="21">
        <v>5.5667796610169402</v>
      </c>
      <c r="DW61" s="22">
        <v>4.0661818181818097</v>
      </c>
      <c r="DX61" s="22">
        <v>1.14542372881355</v>
      </c>
      <c r="DY61" s="22">
        <v>1.50543859649122</v>
      </c>
      <c r="DZ61" s="22">
        <v>0.706779661016949</v>
      </c>
      <c r="EA61" s="22">
        <v>0.67606060606060603</v>
      </c>
      <c r="EB61" s="22">
        <v>0.34932203389830402</v>
      </c>
      <c r="EC61" s="23">
        <v>0.27711864406779602</v>
      </c>
      <c r="ED61" s="21">
        <v>5.5713333333333299</v>
      </c>
      <c r="EE61" s="22">
        <v>4.0114285714285698</v>
      </c>
      <c r="EF61" s="22">
        <v>1.1198333333333299</v>
      </c>
      <c r="EG61" s="22">
        <v>1.5072413793103401</v>
      </c>
      <c r="EH61" s="22">
        <v>0.70050000000000001</v>
      </c>
      <c r="EI61" s="22">
        <v>0.68500000000000005</v>
      </c>
      <c r="EJ61" s="22">
        <v>0.34699999999999898</v>
      </c>
      <c r="EK61" s="23">
        <v>0.27966666666666601</v>
      </c>
      <c r="EM61" s="65">
        <v>2</v>
      </c>
      <c r="EN61" s="71" t="s">
        <v>20</v>
      </c>
      <c r="EO61" s="72"/>
      <c r="EP61" s="21">
        <v>6.7679661016949204</v>
      </c>
      <c r="EQ61" s="22">
        <v>0.64864406779660999</v>
      </c>
      <c r="ER61" s="22">
        <v>0.81428571428571395</v>
      </c>
      <c r="ES61" s="22">
        <v>3.1247727272727199</v>
      </c>
      <c r="ET61" s="22">
        <v>0.21813559322033799</v>
      </c>
      <c r="EU61" s="22">
        <v>2.649375</v>
      </c>
      <c r="EV61" s="22">
        <v>0.52411764705882302</v>
      </c>
      <c r="EW61" s="23">
        <v>0.60222222222222199</v>
      </c>
      <c r="EX61" s="21">
        <v>5.5713333333333299</v>
      </c>
      <c r="EY61" s="22">
        <v>4.0114285714285698</v>
      </c>
      <c r="EZ61" s="22">
        <v>1.1198333333333299</v>
      </c>
      <c r="FA61" s="22">
        <v>1.5072413793103401</v>
      </c>
      <c r="FB61" s="22">
        <v>0.70050000000000001</v>
      </c>
      <c r="FC61" s="22">
        <v>0.68500000000000005</v>
      </c>
      <c r="FD61" s="22">
        <v>0.34699999999999898</v>
      </c>
      <c r="FE61" s="23">
        <v>0.27966666666666601</v>
      </c>
    </row>
    <row r="62" spans="3:161" ht="15" customHeight="1" x14ac:dyDescent="0.3">
      <c r="C62" s="66"/>
      <c r="D62" s="68" t="s">
        <v>21</v>
      </c>
      <c r="E62" s="69"/>
      <c r="F62" s="24">
        <v>1.0512881680508599</v>
      </c>
      <c r="G62" s="25">
        <v>0.83582267607893401</v>
      </c>
      <c r="H62" s="25">
        <v>0.41661521030750598</v>
      </c>
      <c r="I62" s="25">
        <v>0.68827903330092799</v>
      </c>
      <c r="J62" s="25">
        <v>0.80130563602057503</v>
      </c>
      <c r="K62" s="25">
        <v>0.12415527726187101</v>
      </c>
      <c r="L62" s="25">
        <v>0.32969167776501601</v>
      </c>
      <c r="M62" s="26"/>
      <c r="N62" s="24">
        <v>0.92708791384636202</v>
      </c>
      <c r="O62" s="25">
        <v>0.685548685360857</v>
      </c>
      <c r="P62" s="25">
        <v>0.39441952284338</v>
      </c>
      <c r="Q62" s="25">
        <v>0.73386200337665597</v>
      </c>
      <c r="R62" s="25">
        <v>0.752653678659714</v>
      </c>
      <c r="S62" s="25">
        <v>0.13173928798957399</v>
      </c>
      <c r="T62" s="25">
        <v>0.37463996321910997</v>
      </c>
      <c r="U62" s="26"/>
      <c r="W62" s="66"/>
      <c r="X62" s="68" t="s">
        <v>21</v>
      </c>
      <c r="Y62" s="69"/>
      <c r="Z62" s="24">
        <v>1.26094965861101</v>
      </c>
      <c r="AA62" s="25">
        <v>1.0172800095001</v>
      </c>
      <c r="AB62" s="25">
        <v>0.345371709508077</v>
      </c>
      <c r="AC62" s="25">
        <v>0.271744054258654</v>
      </c>
      <c r="AD62" s="25">
        <v>0.595049384575013</v>
      </c>
      <c r="AE62" s="25">
        <v>0.44203073474584698</v>
      </c>
      <c r="AF62" s="25">
        <v>0.698109227050972</v>
      </c>
      <c r="AG62" s="26">
        <v>0.63463116644107997</v>
      </c>
      <c r="AH62" s="24">
        <v>1.4374611081695301</v>
      </c>
      <c r="AI62" s="25">
        <v>1.1725954118961901</v>
      </c>
      <c r="AJ62" s="25">
        <v>0.187677249553588</v>
      </c>
      <c r="AK62" s="25">
        <v>0.17329148132554001</v>
      </c>
      <c r="AL62" s="25">
        <v>0.40745889363222798</v>
      </c>
      <c r="AM62" s="25">
        <v>0.40752722301706401</v>
      </c>
      <c r="AN62" s="25">
        <v>0.85386440266939101</v>
      </c>
      <c r="AO62" s="26">
        <v>0.69143798455572703</v>
      </c>
      <c r="AQ62" s="66"/>
      <c r="AR62" s="68" t="s">
        <v>21</v>
      </c>
      <c r="AS62" s="69"/>
      <c r="AT62" s="24">
        <v>1.10949165885071</v>
      </c>
      <c r="AU62" s="25">
        <v>0.60951378105035803</v>
      </c>
      <c r="AV62" s="25">
        <v>0.61352095914041005</v>
      </c>
      <c r="AW62" s="25">
        <v>0.34718355186431399</v>
      </c>
      <c r="AX62" s="25">
        <v>0.25349494435965098</v>
      </c>
      <c r="AY62" s="25">
        <v>0.68485607838528095</v>
      </c>
      <c r="AZ62" s="25">
        <v>0.39094680681942501</v>
      </c>
      <c r="BA62" s="26">
        <v>1.0592478347512999</v>
      </c>
      <c r="BB62" s="24">
        <v>1.3342782227394701</v>
      </c>
      <c r="BC62" s="25">
        <v>0.35241589067464002</v>
      </c>
      <c r="BD62" s="25">
        <v>0.78712987492535103</v>
      </c>
      <c r="BE62" s="25">
        <v>0.211261070715832</v>
      </c>
      <c r="BF62" s="25">
        <v>0.29646962744942301</v>
      </c>
      <c r="BG62" s="25">
        <v>0.72689018847814202</v>
      </c>
      <c r="BH62" s="25">
        <v>0.187459755681052</v>
      </c>
      <c r="BI62" s="26">
        <v>9.2907323895015506E-2</v>
      </c>
      <c r="BK62" s="66"/>
      <c r="BL62" s="68" t="s">
        <v>21</v>
      </c>
      <c r="BM62" s="69"/>
      <c r="BN62" s="24">
        <v>1.1955558828137101</v>
      </c>
      <c r="BO62" s="25">
        <v>0.44829465795592499</v>
      </c>
      <c r="BP62" s="25">
        <v>0.72224285587718595</v>
      </c>
      <c r="BQ62" s="25">
        <v>0.48154813215764802</v>
      </c>
      <c r="BR62" s="25">
        <v>0.18397713463134199</v>
      </c>
      <c r="BS62" s="25">
        <v>0.91475673803525204</v>
      </c>
      <c r="BT62" s="25">
        <v>0.44430167533619702</v>
      </c>
      <c r="BU62" s="26">
        <v>0.68528683821902703</v>
      </c>
      <c r="BV62" s="24">
        <v>1.0517828233233399</v>
      </c>
      <c r="BW62" s="25">
        <v>0.11025671503303699</v>
      </c>
      <c r="BX62" s="25">
        <v>0.40388972948101398</v>
      </c>
      <c r="BY62" s="25">
        <v>0.361038556813774</v>
      </c>
      <c r="BZ62" s="25">
        <v>0.24781354998376401</v>
      </c>
      <c r="CA62" s="25">
        <v>0.76190482800816295</v>
      </c>
      <c r="CB62" s="25">
        <v>2.9166190472303101E-2</v>
      </c>
      <c r="CC62" s="26">
        <v>0.65008593678575399</v>
      </c>
      <c r="CE62" s="66"/>
      <c r="CF62" s="68" t="s">
        <v>21</v>
      </c>
      <c r="CG62" s="69"/>
      <c r="CH62" s="24">
        <v>1.15003839307892</v>
      </c>
      <c r="CI62" s="25">
        <v>0.50713750757991505</v>
      </c>
      <c r="CJ62" s="25">
        <v>0.48103731398225602</v>
      </c>
      <c r="CK62" s="25">
        <v>2.0918949078659601</v>
      </c>
      <c r="CL62" s="25">
        <v>0.12992423005565801</v>
      </c>
      <c r="CM62" s="25">
        <v>1.69509095134548E-2</v>
      </c>
      <c r="CN62" s="25">
        <v>1.46055247353386</v>
      </c>
      <c r="CO62" s="26">
        <v>0.63069816720023697</v>
      </c>
      <c r="CP62" s="24">
        <v>1.07220437521128</v>
      </c>
      <c r="CQ62" s="25">
        <v>0.50614000785879398</v>
      </c>
      <c r="CR62" s="25">
        <v>0.48004614113189897</v>
      </c>
      <c r="CS62" s="25">
        <v>1.88352532207265</v>
      </c>
      <c r="CT62" s="25">
        <v>0.12876971262252901</v>
      </c>
      <c r="CU62" s="25">
        <v>1.67796172648709E-2</v>
      </c>
      <c r="CV62" s="25">
        <v>1.46055247353386</v>
      </c>
      <c r="CW62" s="26">
        <v>0.62979972010642804</v>
      </c>
      <c r="CY62" s="66"/>
      <c r="CZ62" s="68" t="s">
        <v>21</v>
      </c>
      <c r="DA62" s="69"/>
      <c r="DB62" s="24">
        <v>0.40760612115128902</v>
      </c>
      <c r="DC62" s="25">
        <v>0.25184056194158499</v>
      </c>
      <c r="DD62" s="25">
        <v>0.206815223393748</v>
      </c>
      <c r="DE62" s="25">
        <v>0.78096071371333098</v>
      </c>
      <c r="DF62" s="25">
        <v>8.6705476766091694E-2</v>
      </c>
      <c r="DG62" s="25">
        <v>0.84404063668780105</v>
      </c>
      <c r="DH62" s="25">
        <v>0.57813426731432804</v>
      </c>
      <c r="DI62" s="26">
        <v>0.42631030585063401</v>
      </c>
      <c r="DJ62" s="24">
        <v>0.41247046793255598</v>
      </c>
      <c r="DK62" s="25">
        <v>0.25345425997459398</v>
      </c>
      <c r="DL62" s="25">
        <v>0.208662140525992</v>
      </c>
      <c r="DM62" s="25">
        <v>0.79198201912739996</v>
      </c>
      <c r="DN62" s="25">
        <v>9.4623669813048802E-2</v>
      </c>
      <c r="DO62" s="25">
        <v>0.82664274158926798</v>
      </c>
      <c r="DP62" s="25">
        <v>0.64172115101911198</v>
      </c>
      <c r="DQ62" s="26">
        <v>0.46493162579745601</v>
      </c>
      <c r="DS62" s="66"/>
      <c r="DT62" s="68" t="s">
        <v>21</v>
      </c>
      <c r="DU62" s="69"/>
      <c r="DV62" s="24">
        <v>2.8066340541942001</v>
      </c>
      <c r="DW62" s="25">
        <v>3.67362961012629</v>
      </c>
      <c r="DX62" s="25">
        <v>0.42264029677006898</v>
      </c>
      <c r="DY62" s="25">
        <v>0.19040188499213001</v>
      </c>
      <c r="DZ62" s="25">
        <v>0.51356659389604598</v>
      </c>
      <c r="EA62" s="25">
        <v>0.21694768806605999</v>
      </c>
      <c r="EB62" s="25">
        <v>8.7602035553698096E-2</v>
      </c>
      <c r="EC62" s="26">
        <v>7.6955872177295298E-2</v>
      </c>
      <c r="ED62" s="24">
        <v>2.7686479652631002</v>
      </c>
      <c r="EE62" s="25">
        <v>3.4858763135644</v>
      </c>
      <c r="EF62" s="25">
        <v>0.44045995529925502</v>
      </c>
      <c r="EG62" s="25">
        <v>0.189243440222014</v>
      </c>
      <c r="EH62" s="25">
        <v>0.51024316098634104</v>
      </c>
      <c r="EI62" s="25">
        <v>0.214242852856285</v>
      </c>
      <c r="EJ62" s="25">
        <v>8.5932143772475003E-2</v>
      </c>
      <c r="EK62" s="26">
        <v>7.4519945130295306E-2</v>
      </c>
      <c r="EM62" s="66"/>
      <c r="EN62" s="68" t="s">
        <v>21</v>
      </c>
      <c r="EO62" s="69"/>
      <c r="EP62" s="24">
        <v>1.56068300960766</v>
      </c>
      <c r="EQ62" s="25">
        <v>0.12626925262994201</v>
      </c>
      <c r="ER62" s="25">
        <v>0.12915739488337899</v>
      </c>
      <c r="ES62" s="25">
        <v>2.49195568382852</v>
      </c>
      <c r="ET62" s="25">
        <v>8.3126910861608699E-2</v>
      </c>
      <c r="EU62" s="25">
        <v>0.69818934349859596</v>
      </c>
      <c r="EV62" s="25">
        <v>0.22471050195436101</v>
      </c>
      <c r="EW62" s="26">
        <v>0.717724456223785</v>
      </c>
      <c r="EX62" s="24">
        <v>1.2109230983014501</v>
      </c>
      <c r="EY62" s="25">
        <v>7.9271684730425604E-2</v>
      </c>
      <c r="EZ62" s="25">
        <v>0</v>
      </c>
      <c r="FA62" s="25">
        <v>2.2536956193409701</v>
      </c>
      <c r="FB62" s="25">
        <v>7.1561162651259294E-2</v>
      </c>
      <c r="FC62" s="25">
        <v>0.52294283067295999</v>
      </c>
      <c r="FD62" s="25">
        <v>0.22708753818736899</v>
      </c>
      <c r="FE62" s="26">
        <v>0.104751322216823</v>
      </c>
    </row>
    <row r="63" spans="3:161" ht="15" customHeight="1" x14ac:dyDescent="0.3">
      <c r="C63" s="66"/>
      <c r="D63" s="68" t="s">
        <v>22</v>
      </c>
      <c r="E63" s="69"/>
      <c r="F63" s="33">
        <v>5.4669841269841202</v>
      </c>
      <c r="G63" s="34">
        <v>5.8519047619047599</v>
      </c>
      <c r="H63" s="34">
        <v>2.4608064516128998</v>
      </c>
      <c r="I63" s="34">
        <v>3.7935483870967701</v>
      </c>
      <c r="J63" s="34">
        <v>4.6525806451612803</v>
      </c>
      <c r="K63" s="34">
        <v>1.25833333333333</v>
      </c>
      <c r="L63" s="34">
        <v>4.0515873015872996</v>
      </c>
      <c r="M63" s="35"/>
      <c r="N63" s="33">
        <v>5.4682978723404201</v>
      </c>
      <c r="O63" s="34">
        <v>5.85234042553191</v>
      </c>
      <c r="P63" s="34">
        <v>2.4639130434782599</v>
      </c>
      <c r="Q63" s="34">
        <v>3.7926086956521701</v>
      </c>
      <c r="R63" s="34">
        <v>4.6551111111111103</v>
      </c>
      <c r="S63" s="34">
        <v>1.2561224489795899</v>
      </c>
      <c r="T63" s="34">
        <v>4.0434042553191496</v>
      </c>
      <c r="U63" s="35"/>
      <c r="W63" s="66"/>
      <c r="X63" s="68" t="s">
        <v>22</v>
      </c>
      <c r="Y63" s="69"/>
      <c r="Z63" s="33">
        <v>6.2566860465116196</v>
      </c>
      <c r="AA63" s="34">
        <v>5.2689375000000096</v>
      </c>
      <c r="AB63" s="34">
        <v>2.2524858757062098</v>
      </c>
      <c r="AC63" s="34">
        <v>2.5225966850828598</v>
      </c>
      <c r="AD63" s="34">
        <v>3.7854857142856999</v>
      </c>
      <c r="AE63" s="34">
        <v>3.1016853932584199</v>
      </c>
      <c r="AF63" s="34">
        <v>3.9232121212121198</v>
      </c>
      <c r="AG63" s="35">
        <v>2.57840579710144</v>
      </c>
      <c r="AH63" s="33">
        <v>6.24</v>
      </c>
      <c r="AI63" s="34">
        <v>5.2327272727272698</v>
      </c>
      <c r="AJ63" s="34">
        <v>2.2542105263157901</v>
      </c>
      <c r="AK63" s="34">
        <v>2.52081081081081</v>
      </c>
      <c r="AL63" s="34">
        <v>3.79857142857142</v>
      </c>
      <c r="AM63" s="34">
        <v>3.0928947368421</v>
      </c>
      <c r="AN63" s="34">
        <v>3.9173529411764698</v>
      </c>
      <c r="AO63" s="35">
        <v>2.5186206896551702</v>
      </c>
      <c r="AQ63" s="66"/>
      <c r="AR63" s="68" t="s">
        <v>22</v>
      </c>
      <c r="AS63" s="69"/>
      <c r="AT63" s="33">
        <v>6.1700460829493204</v>
      </c>
      <c r="AU63" s="34">
        <v>3.8723873873873802</v>
      </c>
      <c r="AV63" s="34">
        <v>3.3172522522522501</v>
      </c>
      <c r="AW63" s="34">
        <v>2.4582882882882902</v>
      </c>
      <c r="AX63" s="34">
        <v>2.2248684210526299</v>
      </c>
      <c r="AY63" s="34">
        <v>3.9065454545454399</v>
      </c>
      <c r="AZ63" s="34">
        <v>2.5029646017699099</v>
      </c>
      <c r="BA63" s="35">
        <v>1.31280701754385</v>
      </c>
      <c r="BB63" s="33">
        <v>6.1588636363636304</v>
      </c>
      <c r="BC63" s="34">
        <v>3.8751020408163201</v>
      </c>
      <c r="BD63" s="34">
        <v>3.31565217391304</v>
      </c>
      <c r="BE63" s="34">
        <v>2.45787234042553</v>
      </c>
      <c r="BF63" s="34">
        <v>2.2246938775510201</v>
      </c>
      <c r="BG63" s="34">
        <v>3.9154545454545402</v>
      </c>
      <c r="BH63" s="34">
        <v>2.5052083333333299</v>
      </c>
      <c r="BI63" s="35">
        <v>1.29756756756756</v>
      </c>
      <c r="BK63" s="66"/>
      <c r="BL63" s="68" t="s">
        <v>22</v>
      </c>
      <c r="BM63" s="69"/>
      <c r="BN63" s="33">
        <v>6.9058373205741503</v>
      </c>
      <c r="BO63" s="34">
        <v>3.7474999999999898</v>
      </c>
      <c r="BP63" s="34">
        <v>4.61718894009217</v>
      </c>
      <c r="BQ63" s="34">
        <v>2.6679807692307702</v>
      </c>
      <c r="BR63" s="34">
        <v>1.93322869955157</v>
      </c>
      <c r="BS63" s="34">
        <v>5.2701932367149604</v>
      </c>
      <c r="BT63" s="34">
        <v>3.1817488789237598</v>
      </c>
      <c r="BU63" s="35">
        <v>2.37935294117647</v>
      </c>
      <c r="BV63" s="33">
        <v>6.8656097560975597</v>
      </c>
      <c r="BW63" s="34">
        <v>3.7574999999999998</v>
      </c>
      <c r="BX63" s="34">
        <v>4.6192857142857102</v>
      </c>
      <c r="BY63" s="34">
        <v>2.6684999999999901</v>
      </c>
      <c r="BZ63" s="34">
        <v>1.9321428571428501</v>
      </c>
      <c r="CA63" s="34">
        <v>5.2764999999999898</v>
      </c>
      <c r="CB63" s="34">
        <v>3.1828571428571402</v>
      </c>
      <c r="CC63" s="35">
        <v>2.3268571428571398</v>
      </c>
      <c r="CE63" s="66"/>
      <c r="CF63" s="68" t="s">
        <v>22</v>
      </c>
      <c r="CG63" s="69"/>
      <c r="CH63" s="33">
        <v>5.6876086956521696</v>
      </c>
      <c r="CI63" s="34">
        <v>0.90818181818181798</v>
      </c>
      <c r="CJ63" s="34">
        <v>1.38304347826086</v>
      </c>
      <c r="CK63" s="34">
        <v>7.1749019607843101</v>
      </c>
      <c r="CL63" s="34">
        <v>0.72175</v>
      </c>
      <c r="CM63" s="34">
        <v>0.1472</v>
      </c>
      <c r="CN63" s="34">
        <v>4.7213333333333196</v>
      </c>
      <c r="CO63" s="35">
        <v>0.76245614035087705</v>
      </c>
      <c r="CP63" s="33">
        <v>5.7215217391304298</v>
      </c>
      <c r="CQ63" s="34">
        <v>0.91036363636363604</v>
      </c>
      <c r="CR63" s="34">
        <v>1.35048780487804</v>
      </c>
      <c r="CS63" s="34">
        <v>7.1139622641509401</v>
      </c>
      <c r="CT63" s="34">
        <v>0.71658536585365895</v>
      </c>
      <c r="CU63" s="34">
        <v>0.14686274509803901</v>
      </c>
      <c r="CV63" s="34">
        <v>4.7213333333333196</v>
      </c>
      <c r="CW63" s="35">
        <v>0.766491228070175</v>
      </c>
      <c r="CY63" s="66"/>
      <c r="CZ63" s="68" t="s">
        <v>22</v>
      </c>
      <c r="DA63" s="69"/>
      <c r="DB63" s="33">
        <v>1.1752631578947299</v>
      </c>
      <c r="DC63" s="34">
        <v>0.13888888888888801</v>
      </c>
      <c r="DD63" s="34">
        <v>0.39130434782608697</v>
      </c>
      <c r="DE63" s="34">
        <v>0.90200000000000002</v>
      </c>
      <c r="DF63" s="34">
        <v>0.339622641509433</v>
      </c>
      <c r="DG63" s="34">
        <v>0.37702127659574403</v>
      </c>
      <c r="DH63" s="34">
        <v>0.73839999999999995</v>
      </c>
      <c r="DI63" s="35">
        <v>0.67421052631578904</v>
      </c>
      <c r="DJ63" s="33">
        <v>1.17</v>
      </c>
      <c r="DK63" s="34">
        <v>0.14068181818181799</v>
      </c>
      <c r="DL63" s="34">
        <v>0.39</v>
      </c>
      <c r="DM63" s="34">
        <v>0.90200000000000002</v>
      </c>
      <c r="DN63" s="34">
        <v>0.34159999999999902</v>
      </c>
      <c r="DO63" s="34">
        <v>0.34978723404255302</v>
      </c>
      <c r="DP63" s="34">
        <v>0.74319999999999997</v>
      </c>
      <c r="DQ63" s="35">
        <v>0.66824561403508798</v>
      </c>
      <c r="DS63" s="66"/>
      <c r="DT63" s="68" t="s">
        <v>22</v>
      </c>
      <c r="DU63" s="69"/>
      <c r="DV63" s="33">
        <v>7.5528205128205101</v>
      </c>
      <c r="DW63" s="34">
        <v>2.9346000000000001</v>
      </c>
      <c r="DX63" s="34">
        <v>1.3414285714285701</v>
      </c>
      <c r="DY63" s="34">
        <v>1.57181818181818</v>
      </c>
      <c r="DZ63" s="34">
        <v>0.569818181818182</v>
      </c>
      <c r="EA63" s="34">
        <v>0.84999999999999898</v>
      </c>
      <c r="EB63" s="34">
        <v>0.31139534883720899</v>
      </c>
      <c r="EC63" s="35">
        <v>0.32078947368421001</v>
      </c>
      <c r="ED63" s="33">
        <v>7.5029999999999903</v>
      </c>
      <c r="EE63" s="34">
        <v>2.9468627450980298</v>
      </c>
      <c r="EF63" s="34">
        <v>1.34560975609756</v>
      </c>
      <c r="EG63" s="34">
        <v>1.57266666666666</v>
      </c>
      <c r="EH63" s="34">
        <v>0.56553571428571403</v>
      </c>
      <c r="EI63" s="34">
        <v>0.84999999999999898</v>
      </c>
      <c r="EJ63" s="34">
        <v>0.31222222222222201</v>
      </c>
      <c r="EK63" s="35">
        <v>0.32146341463414602</v>
      </c>
      <c r="EM63" s="66"/>
      <c r="EN63" s="68" t="s">
        <v>22</v>
      </c>
      <c r="EO63" s="69"/>
      <c r="EP63" s="33">
        <v>6.7070370370370398</v>
      </c>
      <c r="EQ63" s="34">
        <v>0.64259259259259205</v>
      </c>
      <c r="ER63" s="34">
        <v>0.81727272727272704</v>
      </c>
      <c r="ES63" s="34">
        <v>2.2564864864864802</v>
      </c>
      <c r="ET63" s="34">
        <v>0.172666666666666</v>
      </c>
      <c r="EU63" s="34">
        <v>2.90071428571428</v>
      </c>
      <c r="EV63" s="34">
        <v>0.43583333333333302</v>
      </c>
      <c r="EW63" s="35">
        <v>0.46461538461538399</v>
      </c>
      <c r="EX63" s="33">
        <v>6.5362499999999901</v>
      </c>
      <c r="EY63" s="34">
        <v>0.62</v>
      </c>
      <c r="EZ63" s="34">
        <v>0.85</v>
      </c>
      <c r="FA63" s="34">
        <v>1.9186666666666601</v>
      </c>
      <c r="FB63" s="34">
        <v>0.17352941176470499</v>
      </c>
      <c r="FC63" s="34">
        <v>2.8993749999999898</v>
      </c>
      <c r="FD63" s="34">
        <v>0.48</v>
      </c>
      <c r="FE63" s="35">
        <v>0.40764705882352897</v>
      </c>
    </row>
    <row r="64" spans="3:161" ht="28.8" x14ac:dyDescent="0.3">
      <c r="C64" s="66"/>
      <c r="D64" s="73" t="s">
        <v>23</v>
      </c>
      <c r="E64" s="38" t="s">
        <v>24</v>
      </c>
      <c r="F64" s="27">
        <v>5.47</v>
      </c>
      <c r="G64" s="28">
        <v>5.98</v>
      </c>
      <c r="H64" s="28">
        <v>2.41</v>
      </c>
      <c r="I64" s="28">
        <v>3.91</v>
      </c>
      <c r="J64" s="28">
        <v>4.76</v>
      </c>
      <c r="K64" s="28">
        <v>1.37</v>
      </c>
      <c r="L64" s="28">
        <v>3.98</v>
      </c>
      <c r="M64" s="29"/>
      <c r="N64" s="27">
        <v>5.47</v>
      </c>
      <c r="O64" s="28">
        <v>5.98</v>
      </c>
      <c r="P64" s="28">
        <v>2.41</v>
      </c>
      <c r="Q64" s="28">
        <v>3.91</v>
      </c>
      <c r="R64" s="28">
        <v>4.76</v>
      </c>
      <c r="S64" s="28">
        <v>1.37</v>
      </c>
      <c r="T64" s="28">
        <v>3.98</v>
      </c>
      <c r="U64" s="29"/>
      <c r="W64" s="66"/>
      <c r="X64" s="73" t="s">
        <v>23</v>
      </c>
      <c r="Y64" s="38" t="s">
        <v>24</v>
      </c>
      <c r="Z64" s="27">
        <v>6.21</v>
      </c>
      <c r="AA64" s="28">
        <v>5.41</v>
      </c>
      <c r="AB64" s="28">
        <v>2.44</v>
      </c>
      <c r="AC64" s="28">
        <v>2.67</v>
      </c>
      <c r="AD64" s="28">
        <v>3.8</v>
      </c>
      <c r="AE64" s="28">
        <v>2.61</v>
      </c>
      <c r="AF64" s="28">
        <v>3.86</v>
      </c>
      <c r="AG64" s="29">
        <v>2.19</v>
      </c>
      <c r="AH64" s="27">
        <v>6.21</v>
      </c>
      <c r="AI64" s="28">
        <v>5.41</v>
      </c>
      <c r="AJ64" s="28">
        <v>2.44</v>
      </c>
      <c r="AK64" s="28">
        <v>2.67</v>
      </c>
      <c r="AL64" s="28">
        <v>3.8</v>
      </c>
      <c r="AM64" s="28">
        <v>2.61</v>
      </c>
      <c r="AN64" s="28">
        <v>3.86</v>
      </c>
      <c r="AO64" s="29">
        <v>2.19</v>
      </c>
      <c r="AQ64" s="66"/>
      <c r="AR64" s="73" t="s">
        <v>23</v>
      </c>
      <c r="AS64" s="38" t="s">
        <v>24</v>
      </c>
      <c r="AT64" s="27">
        <v>5.71</v>
      </c>
      <c r="AU64" s="28">
        <v>3.97</v>
      </c>
      <c r="AV64" s="28">
        <v>3.55</v>
      </c>
      <c r="AW64" s="28">
        <v>2.71</v>
      </c>
      <c r="AX64" s="28">
        <v>2.2999999999999998</v>
      </c>
      <c r="AY64" s="28">
        <v>4.01</v>
      </c>
      <c r="AZ64" s="28">
        <v>2.54</v>
      </c>
      <c r="BA64" s="29">
        <v>1.22</v>
      </c>
      <c r="BB64" s="27">
        <v>5.71</v>
      </c>
      <c r="BC64" s="28">
        <v>3.97</v>
      </c>
      <c r="BD64" s="28">
        <v>3.55</v>
      </c>
      <c r="BE64" s="28">
        <v>2.71</v>
      </c>
      <c r="BF64" s="28">
        <v>2.2999999999999998</v>
      </c>
      <c r="BG64" s="28">
        <v>4.01</v>
      </c>
      <c r="BH64" s="28">
        <v>2.54</v>
      </c>
      <c r="BI64" s="29">
        <v>1.22</v>
      </c>
      <c r="BK64" s="66"/>
      <c r="BL64" s="73" t="s">
        <v>23</v>
      </c>
      <c r="BM64" s="38" t="s">
        <v>24</v>
      </c>
      <c r="BN64" s="27">
        <v>6.5</v>
      </c>
      <c r="BO64" s="28">
        <v>3.73</v>
      </c>
      <c r="BP64" s="28">
        <v>4.4400000000000004</v>
      </c>
      <c r="BQ64" s="28">
        <v>2.73</v>
      </c>
      <c r="BR64" s="28">
        <v>1.77</v>
      </c>
      <c r="BS64" s="28">
        <v>5.1100000000000003</v>
      </c>
      <c r="BT64" s="28">
        <v>3.05</v>
      </c>
      <c r="BU64" s="29">
        <v>2.21</v>
      </c>
      <c r="BV64" s="27">
        <v>6.5</v>
      </c>
      <c r="BW64" s="28">
        <v>3.73</v>
      </c>
      <c r="BX64" s="28">
        <v>4.4400000000000004</v>
      </c>
      <c r="BY64" s="28">
        <v>2.73</v>
      </c>
      <c r="BZ64" s="28">
        <v>1.77</v>
      </c>
      <c r="CA64" s="28">
        <v>5.1100000000000003</v>
      </c>
      <c r="CB64" s="28">
        <v>3.05</v>
      </c>
      <c r="CC64" s="29">
        <v>2.21</v>
      </c>
      <c r="CE64" s="66"/>
      <c r="CF64" s="73" t="s">
        <v>23</v>
      </c>
      <c r="CG64" s="38" t="s">
        <v>24</v>
      </c>
      <c r="CH64" s="27">
        <v>5.47</v>
      </c>
      <c r="CI64" s="28">
        <v>5.98</v>
      </c>
      <c r="CJ64" s="28">
        <v>2.41</v>
      </c>
      <c r="CK64" s="28">
        <v>3.91</v>
      </c>
      <c r="CL64" s="28">
        <v>4.76</v>
      </c>
      <c r="CM64" s="28">
        <v>1.37</v>
      </c>
      <c r="CN64" s="28">
        <v>3.98</v>
      </c>
      <c r="CO64" s="29">
        <v>2.46</v>
      </c>
      <c r="CP64" s="27">
        <v>5.47</v>
      </c>
      <c r="CQ64" s="28">
        <v>5.98</v>
      </c>
      <c r="CR64" s="28">
        <v>2.41</v>
      </c>
      <c r="CS64" s="28">
        <v>3.91</v>
      </c>
      <c r="CT64" s="28">
        <v>4.76</v>
      </c>
      <c r="CU64" s="28">
        <v>1.37</v>
      </c>
      <c r="CV64" s="28">
        <v>3.98</v>
      </c>
      <c r="CW64" s="29">
        <v>2.46</v>
      </c>
      <c r="CY64" s="66"/>
      <c r="CZ64" s="73" t="s">
        <v>23</v>
      </c>
      <c r="DA64" s="38" t="s">
        <v>24</v>
      </c>
      <c r="DB64" s="27">
        <v>6.21</v>
      </c>
      <c r="DC64" s="28">
        <v>5.41</v>
      </c>
      <c r="DD64" s="28">
        <v>2.44</v>
      </c>
      <c r="DE64" s="28">
        <v>2.67</v>
      </c>
      <c r="DF64" s="28">
        <v>3.8</v>
      </c>
      <c r="DG64" s="28">
        <v>2.61</v>
      </c>
      <c r="DH64" s="28">
        <v>3.86</v>
      </c>
      <c r="DI64" s="29">
        <v>2.19</v>
      </c>
      <c r="DJ64" s="27">
        <v>6.21</v>
      </c>
      <c r="DK64" s="28">
        <v>5.41</v>
      </c>
      <c r="DL64" s="28">
        <v>2.44</v>
      </c>
      <c r="DM64" s="28">
        <v>2.67</v>
      </c>
      <c r="DN64" s="28">
        <v>3.8</v>
      </c>
      <c r="DO64" s="28">
        <v>2.61</v>
      </c>
      <c r="DP64" s="28">
        <v>3.86</v>
      </c>
      <c r="DQ64" s="29">
        <v>2.19</v>
      </c>
      <c r="DS64" s="66"/>
      <c r="DT64" s="73" t="s">
        <v>23</v>
      </c>
      <c r="DU64" s="38" t="s">
        <v>24</v>
      </c>
      <c r="DV64" s="27">
        <v>5.71</v>
      </c>
      <c r="DW64" s="28">
        <v>3.97</v>
      </c>
      <c r="DX64" s="28">
        <v>3.55</v>
      </c>
      <c r="DY64" s="28">
        <v>2.71</v>
      </c>
      <c r="DZ64" s="28">
        <v>2.2999999999999998</v>
      </c>
      <c r="EA64" s="28">
        <v>4.01</v>
      </c>
      <c r="EB64" s="28">
        <v>2.54</v>
      </c>
      <c r="EC64" s="29">
        <v>1.22</v>
      </c>
      <c r="ED64" s="27">
        <v>5.71</v>
      </c>
      <c r="EE64" s="28">
        <v>3.97</v>
      </c>
      <c r="EF64" s="28">
        <v>3.55</v>
      </c>
      <c r="EG64" s="28">
        <v>2.71</v>
      </c>
      <c r="EH64" s="28">
        <v>2.2999999999999998</v>
      </c>
      <c r="EI64" s="28">
        <v>4.01</v>
      </c>
      <c r="EJ64" s="28">
        <v>2.54</v>
      </c>
      <c r="EK64" s="29">
        <v>1.22</v>
      </c>
      <c r="EM64" s="66"/>
      <c r="EN64" s="73" t="s">
        <v>23</v>
      </c>
      <c r="EO64" s="38" t="s">
        <v>24</v>
      </c>
      <c r="EP64" s="27">
        <v>6.5</v>
      </c>
      <c r="EQ64" s="28">
        <v>3.73</v>
      </c>
      <c r="ER64" s="28">
        <v>4.4400000000000004</v>
      </c>
      <c r="ES64" s="28">
        <v>2.73</v>
      </c>
      <c r="ET64" s="28">
        <v>1.77</v>
      </c>
      <c r="EU64" s="28">
        <v>5.1100000000000003</v>
      </c>
      <c r="EV64" s="28">
        <v>3.05</v>
      </c>
      <c r="EW64" s="29">
        <v>2.21</v>
      </c>
      <c r="EX64" s="27">
        <v>6.5</v>
      </c>
      <c r="EY64" s="28">
        <v>3.73</v>
      </c>
      <c r="EZ64" s="28">
        <v>4.4400000000000004</v>
      </c>
      <c r="FA64" s="28">
        <v>2.73</v>
      </c>
      <c r="FB64" s="28">
        <v>1.77</v>
      </c>
      <c r="FC64" s="28">
        <v>5.1100000000000003</v>
      </c>
      <c r="FD64" s="28">
        <v>3.05</v>
      </c>
      <c r="FE64" s="29">
        <v>2.21</v>
      </c>
    </row>
    <row r="65" spans="3:161" x14ac:dyDescent="0.3">
      <c r="C65" s="66"/>
      <c r="D65" s="70"/>
      <c r="E65" s="39" t="s">
        <v>25</v>
      </c>
      <c r="F65" s="9">
        <v>3.0158730158795777E-3</v>
      </c>
      <c r="G65" s="10">
        <v>0.12809523809524048</v>
      </c>
      <c r="H65" s="10">
        <v>-5.080645161289965E-2</v>
      </c>
      <c r="I65" s="10">
        <v>0.11645161290323003</v>
      </c>
      <c r="J65" s="10">
        <v>0.10741935483871945</v>
      </c>
      <c r="K65" s="10">
        <v>0.11166666666667013</v>
      </c>
      <c r="L65" s="10">
        <v>-7.1587301587299645E-2</v>
      </c>
      <c r="M65" s="11"/>
      <c r="N65" s="9">
        <v>1.7021276595796664E-3</v>
      </c>
      <c r="O65" s="10">
        <v>0.1276595744680904</v>
      </c>
      <c r="P65" s="10">
        <v>-5.3913043478259759E-2</v>
      </c>
      <c r="Q65" s="10">
        <v>0.11739130434783007</v>
      </c>
      <c r="R65" s="10">
        <v>0.10488888888888948</v>
      </c>
      <c r="S65" s="10">
        <v>0.11387755102041019</v>
      </c>
      <c r="T65" s="10">
        <v>-6.3404255319149616E-2</v>
      </c>
      <c r="U65" s="11"/>
      <c r="W65" s="66"/>
      <c r="X65" s="70"/>
      <c r="Y65" s="39" t="s">
        <v>25</v>
      </c>
      <c r="Z65" s="9">
        <v>-4.6686046511619672E-2</v>
      </c>
      <c r="AA65" s="10">
        <v>0.14106249999999054</v>
      </c>
      <c r="AB65" s="10">
        <v>0.18751412429379011</v>
      </c>
      <c r="AC65" s="10">
        <v>0.14740331491714009</v>
      </c>
      <c r="AD65" s="10">
        <v>1.4514285714299913E-2</v>
      </c>
      <c r="AE65" s="10">
        <v>-0.49168539325841998</v>
      </c>
      <c r="AF65" s="10">
        <v>-6.3212121212119943E-2</v>
      </c>
      <c r="AG65" s="11">
        <v>-0.38840579710144008</v>
      </c>
      <c r="AH65" s="9">
        <v>-3.0000000000000249E-2</v>
      </c>
      <c r="AI65" s="10">
        <v>0.17727272727273036</v>
      </c>
      <c r="AJ65" s="10">
        <v>0.18578947368420984</v>
      </c>
      <c r="AK65" s="10">
        <v>0.14918918918918989</v>
      </c>
      <c r="AL65" s="10">
        <v>1.4285714285797724E-3</v>
      </c>
      <c r="AM65" s="10">
        <v>-0.48289473684210016</v>
      </c>
      <c r="AN65" s="10">
        <v>-5.735294117646994E-2</v>
      </c>
      <c r="AO65" s="11">
        <v>-0.32862068965517022</v>
      </c>
      <c r="AQ65" s="66"/>
      <c r="AR65" s="70"/>
      <c r="AS65" s="39" t="s">
        <v>25</v>
      </c>
      <c r="AT65" s="9">
        <v>-0.46004608294932048</v>
      </c>
      <c r="AU65" s="10">
        <v>9.7612612612619998E-2</v>
      </c>
      <c r="AV65" s="10">
        <v>0.23274774774774976</v>
      </c>
      <c r="AW65" s="10">
        <v>0.25171171171170981</v>
      </c>
      <c r="AX65" s="10">
        <v>7.5131578947369881E-2</v>
      </c>
      <c r="AY65" s="10">
        <v>0.1034545454545599</v>
      </c>
      <c r="AZ65" s="10">
        <v>3.7035398230090166E-2</v>
      </c>
      <c r="BA65" s="11">
        <v>-9.2807017543850012E-2</v>
      </c>
      <c r="BB65" s="9">
        <v>-0.44886363636363047</v>
      </c>
      <c r="BC65" s="10">
        <v>9.4897959183680047E-2</v>
      </c>
      <c r="BD65" s="10">
        <v>0.23434782608695981</v>
      </c>
      <c r="BE65" s="10">
        <v>0.25212765957446992</v>
      </c>
      <c r="BF65" s="10">
        <v>7.5306122448979718E-2</v>
      </c>
      <c r="BG65" s="10">
        <v>9.4545454545459595E-2</v>
      </c>
      <c r="BH65" s="10">
        <v>3.4791666666670107E-2</v>
      </c>
      <c r="BI65" s="11">
        <v>-7.7567567567560003E-2</v>
      </c>
      <c r="BK65" s="66"/>
      <c r="BL65" s="70"/>
      <c r="BM65" s="39" t="s">
        <v>25</v>
      </c>
      <c r="BN65" s="9">
        <v>-0.40583732057415034</v>
      </c>
      <c r="BO65" s="10">
        <v>-1.7499999999989857E-2</v>
      </c>
      <c r="BP65" s="10">
        <v>-0.17718894009216957</v>
      </c>
      <c r="BQ65" s="10">
        <v>6.2019230769229772E-2</v>
      </c>
      <c r="BR65" s="10">
        <v>-0.16322869955156993</v>
      </c>
      <c r="BS65" s="10">
        <v>-0.16019323671496011</v>
      </c>
      <c r="BT65" s="10">
        <v>-0.13174887892375997</v>
      </c>
      <c r="BU65" s="11">
        <v>-0.16935294117647004</v>
      </c>
      <c r="BV65" s="9">
        <v>-0.36560975609755975</v>
      </c>
      <c r="BW65" s="10">
        <v>-2.7499999999999858E-2</v>
      </c>
      <c r="BX65" s="10">
        <v>-0.17928571428570983</v>
      </c>
      <c r="BY65" s="10">
        <v>6.150000000000988E-2</v>
      </c>
      <c r="BZ65" s="10">
        <v>-0.16214285714285004</v>
      </c>
      <c r="CA65" s="10">
        <v>-0.16649999999998943</v>
      </c>
      <c r="CB65" s="10">
        <v>-0.13285714285714034</v>
      </c>
      <c r="CC65" s="11">
        <v>-0.11685714285713988</v>
      </c>
      <c r="CE65" s="66"/>
      <c r="CF65" s="70"/>
      <c r="CG65" s="39" t="s">
        <v>25</v>
      </c>
      <c r="CH65" s="9">
        <v>-0.21760869565216989</v>
      </c>
      <c r="CI65" s="10">
        <v>5.0718181818181822</v>
      </c>
      <c r="CJ65" s="10">
        <v>1.0269565217391401</v>
      </c>
      <c r="CK65" s="10">
        <v>-3.2649019607843099</v>
      </c>
      <c r="CL65" s="10">
        <v>4.0382499999999997</v>
      </c>
      <c r="CM65" s="10">
        <v>1.2228000000000001</v>
      </c>
      <c r="CN65" s="10">
        <v>-0.74133333333331963</v>
      </c>
      <c r="CO65" s="11">
        <v>1.697543859649123</v>
      </c>
      <c r="CP65" s="9">
        <v>-0.25152173913043008</v>
      </c>
      <c r="CQ65" s="10">
        <v>5.0696363636363646</v>
      </c>
      <c r="CR65" s="10">
        <v>1.0595121951219602</v>
      </c>
      <c r="CS65" s="10">
        <v>-3.20396226415094</v>
      </c>
      <c r="CT65" s="10">
        <v>4.0434146341463411</v>
      </c>
      <c r="CU65" s="10">
        <v>1.223137254901961</v>
      </c>
      <c r="CV65" s="10">
        <v>-0.74133333333331963</v>
      </c>
      <c r="CW65" s="11">
        <v>1.693508771929825</v>
      </c>
      <c r="CY65" s="66"/>
      <c r="CZ65" s="70"/>
      <c r="DA65" s="39" t="s">
        <v>25</v>
      </c>
      <c r="DB65" s="9">
        <v>5.0347368421052696</v>
      </c>
      <c r="DC65" s="10">
        <v>5.2711111111111117</v>
      </c>
      <c r="DD65" s="10">
        <v>2.048695652173913</v>
      </c>
      <c r="DE65" s="10">
        <v>1.7679999999999998</v>
      </c>
      <c r="DF65" s="10">
        <v>3.4603773584905668</v>
      </c>
      <c r="DG65" s="10">
        <v>2.2329787234042557</v>
      </c>
      <c r="DH65" s="10">
        <v>3.1215999999999999</v>
      </c>
      <c r="DI65" s="11">
        <v>1.5157894736842108</v>
      </c>
      <c r="DJ65" s="9">
        <v>5.04</v>
      </c>
      <c r="DK65" s="10">
        <v>5.269318181818182</v>
      </c>
      <c r="DL65" s="10">
        <v>2.0499999999999998</v>
      </c>
      <c r="DM65" s="10">
        <v>1.7679999999999998</v>
      </c>
      <c r="DN65" s="10">
        <v>3.458400000000001</v>
      </c>
      <c r="DO65" s="10">
        <v>2.2602127659574469</v>
      </c>
      <c r="DP65" s="10">
        <v>3.1168</v>
      </c>
      <c r="DQ65" s="11">
        <v>1.5217543859649121</v>
      </c>
      <c r="DS65" s="66"/>
      <c r="DT65" s="70"/>
      <c r="DU65" s="39" t="s">
        <v>25</v>
      </c>
      <c r="DV65" s="9">
        <v>-1.8428205128205102</v>
      </c>
      <c r="DW65" s="10">
        <v>1.0354000000000001</v>
      </c>
      <c r="DX65" s="10">
        <v>2.20857142857143</v>
      </c>
      <c r="DY65" s="10">
        <v>1.13818181818182</v>
      </c>
      <c r="DZ65" s="10">
        <v>1.7301818181818178</v>
      </c>
      <c r="EA65" s="10">
        <v>3.160000000000001</v>
      </c>
      <c r="EB65" s="10">
        <v>2.2286046511627911</v>
      </c>
      <c r="EC65" s="11">
        <v>0.8992105263157899</v>
      </c>
      <c r="ED65" s="9">
        <v>-1.7929999999999904</v>
      </c>
      <c r="EE65" s="10">
        <v>1.0231372549019704</v>
      </c>
      <c r="EF65" s="10">
        <v>2.2043902439024397</v>
      </c>
      <c r="EG65" s="10">
        <v>1.13733333333334</v>
      </c>
      <c r="EH65" s="10">
        <v>1.7344642857142858</v>
      </c>
      <c r="EI65" s="10">
        <v>3.160000000000001</v>
      </c>
      <c r="EJ65" s="10">
        <v>2.2277777777777779</v>
      </c>
      <c r="EK65" s="11">
        <v>0.89853658536585401</v>
      </c>
      <c r="EM65" s="66"/>
      <c r="EN65" s="70"/>
      <c r="EO65" s="39" t="s">
        <v>25</v>
      </c>
      <c r="EP65" s="9">
        <v>-0.20703703703703979</v>
      </c>
      <c r="EQ65" s="10">
        <v>3.087407407407408</v>
      </c>
      <c r="ER65" s="10">
        <v>3.6227272727272735</v>
      </c>
      <c r="ES65" s="10">
        <v>0.47351351351351978</v>
      </c>
      <c r="ET65" s="10">
        <v>1.5973333333333339</v>
      </c>
      <c r="EU65" s="10">
        <v>2.2092857142857203</v>
      </c>
      <c r="EV65" s="10">
        <v>2.6141666666666667</v>
      </c>
      <c r="EW65" s="11">
        <v>1.745384615384616</v>
      </c>
      <c r="EX65" s="9">
        <v>-3.6249999999990123E-2</v>
      </c>
      <c r="EY65" s="10">
        <v>3.11</v>
      </c>
      <c r="EZ65" s="10">
        <v>3.5900000000000003</v>
      </c>
      <c r="FA65" s="10">
        <v>0.8113333333333399</v>
      </c>
      <c r="FB65" s="10">
        <v>1.596470588235295</v>
      </c>
      <c r="FC65" s="10">
        <v>2.2106250000000105</v>
      </c>
      <c r="FD65" s="10">
        <v>2.57</v>
      </c>
      <c r="FE65" s="11">
        <v>1.8023529411764709</v>
      </c>
    </row>
    <row r="66" spans="3:161" x14ac:dyDescent="0.3">
      <c r="C66" s="66"/>
      <c r="D66" s="70"/>
      <c r="E66" s="39" t="s">
        <v>26</v>
      </c>
      <c r="F66" s="9">
        <v>5.5165205272752343E-2</v>
      </c>
      <c r="G66" s="10">
        <v>2.1889494670030523</v>
      </c>
      <c r="H66" s="10">
        <v>-2.0646260732776973</v>
      </c>
      <c r="I66" s="10">
        <v>3.0697278911565773</v>
      </c>
      <c r="J66" s="10">
        <v>2.3088123136658876</v>
      </c>
      <c r="K66" s="10">
        <v>8.8741721854307638</v>
      </c>
      <c r="L66" s="10">
        <v>-1.7668952007834984</v>
      </c>
      <c r="M66" s="11"/>
      <c r="N66" s="9">
        <v>3.1127193494511651E-2</v>
      </c>
      <c r="O66" s="10">
        <v>2.1813422525995252</v>
      </c>
      <c r="P66" s="10">
        <v>-2.1881065819657226</v>
      </c>
      <c r="Q66" s="10">
        <v>3.0952653903474658</v>
      </c>
      <c r="R66" s="10">
        <v>2.2531983960282735</v>
      </c>
      <c r="S66" s="10">
        <v>9.0658001624697135</v>
      </c>
      <c r="T66" s="10">
        <v>-1.5680909282256534</v>
      </c>
      <c r="U66" s="11"/>
      <c r="W66" s="66"/>
      <c r="X66" s="70"/>
      <c r="Y66" s="39" t="s">
        <v>26</v>
      </c>
      <c r="Z66" s="9">
        <v>-0.74617850671361741</v>
      </c>
      <c r="AA66" s="10">
        <v>2.6772475475366768</v>
      </c>
      <c r="AB66" s="10">
        <v>8.3247636007928261</v>
      </c>
      <c r="AC66" s="10">
        <v>5.8433167612086327</v>
      </c>
      <c r="AD66" s="10">
        <v>0.38341937626460382</v>
      </c>
      <c r="AE66" s="10">
        <v>-15.85220068828092</v>
      </c>
      <c r="AF66" s="10">
        <v>-1.6112338374553619</v>
      </c>
      <c r="AG66" s="11">
        <v>-15.063796301500457</v>
      </c>
      <c r="AH66" s="9">
        <v>-0.48076923076923472</v>
      </c>
      <c r="AI66" s="10">
        <v>3.3877692842252172</v>
      </c>
      <c r="AJ66" s="10">
        <v>8.2418865281344527</v>
      </c>
      <c r="AK66" s="10">
        <v>5.918301704728238</v>
      </c>
      <c r="AL66" s="10">
        <v>3.760812335486434E-2</v>
      </c>
      <c r="AM66" s="10">
        <v>-15.613034969794807</v>
      </c>
      <c r="AN66" s="10">
        <v>-1.4640738794203605</v>
      </c>
      <c r="AO66" s="11">
        <v>-13.047645125958304</v>
      </c>
      <c r="AQ66" s="66"/>
      <c r="AR66" s="70"/>
      <c r="AS66" s="39" t="s">
        <v>26</v>
      </c>
      <c r="AT66" s="9">
        <v>-7.4561206960939845</v>
      </c>
      <c r="AU66" s="10">
        <v>2.5207347005248155</v>
      </c>
      <c r="AV66" s="10">
        <v>7.0162812487270312</v>
      </c>
      <c r="AW66" s="10">
        <v>10.239308095429973</v>
      </c>
      <c r="AX66" s="10">
        <v>3.3768998758058522</v>
      </c>
      <c r="AY66" s="10">
        <v>2.6482360606910618</v>
      </c>
      <c r="AZ66" s="10">
        <v>1.4796612866159391</v>
      </c>
      <c r="BA66" s="11">
        <v>-7.0693572096745818</v>
      </c>
      <c r="BB66" s="9">
        <v>-7.2880918115058719</v>
      </c>
      <c r="BC66" s="10">
        <v>2.4489151042765589</v>
      </c>
      <c r="BD66" s="10">
        <v>7.067925517964964</v>
      </c>
      <c r="BE66" s="10">
        <v>10.25796398891975</v>
      </c>
      <c r="BF66" s="10">
        <v>3.3850105494908784</v>
      </c>
      <c r="BG66" s="10">
        <v>2.4146737868587347</v>
      </c>
      <c r="BH66" s="10">
        <v>1.3887733887735281</v>
      </c>
      <c r="BI66" s="11">
        <v>-5.9779212664022845</v>
      </c>
      <c r="BK66" s="66"/>
      <c r="BL66" s="70"/>
      <c r="BM66" s="39" t="s">
        <v>26</v>
      </c>
      <c r="BN66" s="9">
        <v>-5.8767286533823109</v>
      </c>
      <c r="BO66" s="10">
        <v>-0.46697798532327967</v>
      </c>
      <c r="BP66" s="10">
        <v>-3.837593444651898</v>
      </c>
      <c r="BQ66" s="10">
        <v>2.3245756297977778</v>
      </c>
      <c r="BR66" s="10">
        <v>-8.4433207302080877</v>
      </c>
      <c r="BS66" s="10">
        <v>-3.039608407505233</v>
      </c>
      <c r="BT66" s="10">
        <v>-4.140769241610438</v>
      </c>
      <c r="BU66" s="11">
        <v>-7.1176048851640124</v>
      </c>
      <c r="BV66" s="9">
        <v>-5.3252335784574774</v>
      </c>
      <c r="BW66" s="10">
        <v>-0.73186959414503949</v>
      </c>
      <c r="BX66" s="10">
        <v>-3.8812432348847068</v>
      </c>
      <c r="BY66" s="10">
        <v>2.3046655424399516</v>
      </c>
      <c r="BZ66" s="10">
        <v>-8.3918669131235077</v>
      </c>
      <c r="CA66" s="10">
        <v>-3.1555008054579696</v>
      </c>
      <c r="CB66" s="10">
        <v>-4.1741472172351131</v>
      </c>
      <c r="CC66" s="11">
        <v>-5.0221021611000758</v>
      </c>
      <c r="CE66" s="66"/>
      <c r="CF66" s="70"/>
      <c r="CG66" s="39" t="s">
        <v>26</v>
      </c>
      <c r="CH66" s="9">
        <v>-3.826013836333686</v>
      </c>
      <c r="CI66" s="10">
        <v>558.45845845845861</v>
      </c>
      <c r="CJ66" s="10">
        <v>74.253379440428745</v>
      </c>
      <c r="CK66" s="10">
        <v>-45.504481853957117</v>
      </c>
      <c r="CL66" s="10">
        <v>559.50813993765144</v>
      </c>
      <c r="CM66" s="10">
        <v>830.70652173913049</v>
      </c>
      <c r="CN66" s="10">
        <v>-15.701779158429577</v>
      </c>
      <c r="CO66" s="11">
        <v>222.64150943396234</v>
      </c>
      <c r="CP66" s="9">
        <v>-4.3960636802309336</v>
      </c>
      <c r="CQ66" s="10">
        <v>556.88036748552054</v>
      </c>
      <c r="CR66" s="10">
        <v>78.454036481850551</v>
      </c>
      <c r="CS66" s="10">
        <v>-45.037661786547815</v>
      </c>
      <c r="CT66" s="10">
        <v>564.26140231449926</v>
      </c>
      <c r="CU66" s="10">
        <v>832.84379172229774</v>
      </c>
      <c r="CV66" s="10">
        <v>-15.701779158429577</v>
      </c>
      <c r="CW66" s="11">
        <v>220.94300755321603</v>
      </c>
      <c r="CY66" s="66"/>
      <c r="CZ66" s="70"/>
      <c r="DA66" s="39" t="s">
        <v>26</v>
      </c>
      <c r="DB66" s="9">
        <v>428.39229735781765</v>
      </c>
      <c r="DC66" s="10">
        <v>3795.2000000000248</v>
      </c>
      <c r="DD66" s="10">
        <v>523.55555555555554</v>
      </c>
      <c r="DE66" s="10">
        <v>196.00886917960085</v>
      </c>
      <c r="DF66" s="10">
        <v>1018.888888888892</v>
      </c>
      <c r="DG66" s="10">
        <v>592.26862302483187</v>
      </c>
      <c r="DH66" s="10">
        <v>422.75189599133267</v>
      </c>
      <c r="DI66" s="11">
        <v>224.82435597189715</v>
      </c>
      <c r="DJ66" s="9">
        <v>430.76923076923083</v>
      </c>
      <c r="DK66" s="10">
        <v>3745.5573505654334</v>
      </c>
      <c r="DL66" s="10">
        <v>525.64102564102552</v>
      </c>
      <c r="DM66" s="10">
        <v>196.00886917960085</v>
      </c>
      <c r="DN66" s="10">
        <v>1012.4121779859516</v>
      </c>
      <c r="DO66" s="10">
        <v>646.16788321167917</v>
      </c>
      <c r="DP66" s="10">
        <v>419.37567276641551</v>
      </c>
      <c r="DQ66" s="11">
        <v>227.7238120241532</v>
      </c>
      <c r="DS66" s="66"/>
      <c r="DT66" s="70"/>
      <c r="DU66" s="39" t="s">
        <v>26</v>
      </c>
      <c r="DV66" s="9">
        <v>-24.399103747963039</v>
      </c>
      <c r="DW66" s="10">
        <v>35.282491651332379</v>
      </c>
      <c r="DX66" s="10">
        <v>164.64323748668824</v>
      </c>
      <c r="DY66" s="10">
        <v>72.411798727588391</v>
      </c>
      <c r="DZ66" s="10">
        <v>303.63752393107831</v>
      </c>
      <c r="EA66" s="10">
        <v>371.76470588235355</v>
      </c>
      <c r="EB66" s="10">
        <v>715.68334578043402</v>
      </c>
      <c r="EC66" s="11">
        <v>280.31173092698992</v>
      </c>
      <c r="ED66" s="9">
        <v>-23.897107823537151</v>
      </c>
      <c r="EE66" s="10">
        <v>34.719542218378244</v>
      </c>
      <c r="EF66" s="10">
        <v>163.82091716512613</v>
      </c>
      <c r="EG66" s="10">
        <v>72.318779143705697</v>
      </c>
      <c r="EH66" s="10">
        <v>306.69403220713622</v>
      </c>
      <c r="EI66" s="10">
        <v>371.76470588235355</v>
      </c>
      <c r="EJ66" s="10">
        <v>713.52313167259831</v>
      </c>
      <c r="EK66" s="11">
        <v>279.51441578148751</v>
      </c>
      <c r="EM66" s="66"/>
      <c r="EN66" s="70"/>
      <c r="EO66" s="39" t="s">
        <v>26</v>
      </c>
      <c r="EP66" s="9">
        <v>-3.0868628858579004</v>
      </c>
      <c r="EQ66" s="10">
        <v>480.46109510086507</v>
      </c>
      <c r="ER66" s="10">
        <v>443.27030033370437</v>
      </c>
      <c r="ES66" s="10">
        <v>20.984549047790491</v>
      </c>
      <c r="ET66" s="10">
        <v>925.09652509652904</v>
      </c>
      <c r="EU66" s="10">
        <v>76.163506525486696</v>
      </c>
      <c r="EV66" s="10">
        <v>599.80879541109027</v>
      </c>
      <c r="EW66" s="11">
        <v>375.6622516556298</v>
      </c>
      <c r="EX66" s="9">
        <v>-0.55459934977992231</v>
      </c>
      <c r="EY66" s="10">
        <v>501.61290322580641</v>
      </c>
      <c r="EZ66" s="10">
        <v>422.35294117647061</v>
      </c>
      <c r="FA66" s="10">
        <v>42.286309937457055</v>
      </c>
      <c r="FB66" s="10">
        <v>920.00000000000523</v>
      </c>
      <c r="FC66" s="10">
        <v>76.244880362147654</v>
      </c>
      <c r="FD66" s="10">
        <v>535.41666666666674</v>
      </c>
      <c r="FE66" s="11">
        <v>442.13564213564274</v>
      </c>
    </row>
    <row r="67" spans="3:161" ht="28.8" x14ac:dyDescent="0.3">
      <c r="C67" s="66"/>
      <c r="D67" s="70" t="s">
        <v>27</v>
      </c>
      <c r="E67" s="40" t="s">
        <v>24</v>
      </c>
      <c r="F67" s="27">
        <v>5.41</v>
      </c>
      <c r="G67" s="28">
        <v>5.96</v>
      </c>
      <c r="H67" s="28">
        <v>2.4300000000000002</v>
      </c>
      <c r="I67" s="28">
        <v>3.89</v>
      </c>
      <c r="J67" s="28">
        <v>4.78</v>
      </c>
      <c r="K67" s="28">
        <v>1.38</v>
      </c>
      <c r="L67" s="28">
        <v>4.01</v>
      </c>
      <c r="M67" s="29"/>
      <c r="N67" s="27">
        <v>5.41</v>
      </c>
      <c r="O67" s="28">
        <v>5.96</v>
      </c>
      <c r="P67" s="28">
        <v>2.4300000000000002</v>
      </c>
      <c r="Q67" s="28">
        <v>3.89</v>
      </c>
      <c r="R67" s="28">
        <v>4.78</v>
      </c>
      <c r="S67" s="28">
        <v>1.38</v>
      </c>
      <c r="T67" s="28">
        <v>4.01</v>
      </c>
      <c r="U67" s="29"/>
      <c r="W67" s="66"/>
      <c r="X67" s="70" t="s">
        <v>27</v>
      </c>
      <c r="Y67" s="40" t="s">
        <v>24</v>
      </c>
      <c r="Z67" s="27">
        <v>6.14</v>
      </c>
      <c r="AA67" s="28">
        <v>5.42</v>
      </c>
      <c r="AB67" s="28">
        <v>2.41</v>
      </c>
      <c r="AC67" s="28">
        <v>2.64</v>
      </c>
      <c r="AD67" s="28">
        <v>3.8</v>
      </c>
      <c r="AE67" s="28">
        <v>2.75</v>
      </c>
      <c r="AF67" s="28">
        <v>3.89</v>
      </c>
      <c r="AG67" s="29">
        <v>2.1800000000000002</v>
      </c>
      <c r="AH67" s="27">
        <v>6.14</v>
      </c>
      <c r="AI67" s="28">
        <v>5.42</v>
      </c>
      <c r="AJ67" s="28">
        <v>2.41</v>
      </c>
      <c r="AK67" s="28">
        <v>2.64</v>
      </c>
      <c r="AL67" s="28">
        <v>3.8</v>
      </c>
      <c r="AM67" s="28">
        <v>2.75</v>
      </c>
      <c r="AN67" s="28">
        <v>3.89</v>
      </c>
      <c r="AO67" s="29">
        <v>2.1800000000000002</v>
      </c>
      <c r="AQ67" s="66"/>
      <c r="AR67" s="70" t="s">
        <v>27</v>
      </c>
      <c r="AS67" s="40" t="s">
        <v>24</v>
      </c>
      <c r="AT67" s="27">
        <v>5.65</v>
      </c>
      <c r="AU67" s="28">
        <v>3.95</v>
      </c>
      <c r="AV67" s="28">
        <v>3.55</v>
      </c>
      <c r="AW67" s="28">
        <v>2.66</v>
      </c>
      <c r="AX67" s="28">
        <v>2.29</v>
      </c>
      <c r="AY67" s="28">
        <v>3.96</v>
      </c>
      <c r="AZ67" s="28">
        <v>2.58</v>
      </c>
      <c r="BA67" s="29">
        <v>1.25</v>
      </c>
      <c r="BB67" s="27">
        <v>5.65</v>
      </c>
      <c r="BC67" s="28">
        <v>3.95</v>
      </c>
      <c r="BD67" s="28">
        <v>3.55</v>
      </c>
      <c r="BE67" s="28">
        <v>2.66</v>
      </c>
      <c r="BF67" s="28">
        <v>2.29</v>
      </c>
      <c r="BG67" s="28">
        <v>3.96</v>
      </c>
      <c r="BH67" s="28">
        <v>2.58</v>
      </c>
      <c r="BI67" s="29">
        <v>1.25</v>
      </c>
      <c r="BK67" s="66"/>
      <c r="BL67" s="70" t="s">
        <v>27</v>
      </c>
      <c r="BM67" s="40" t="s">
        <v>24</v>
      </c>
      <c r="BN67" s="27">
        <v>6.46</v>
      </c>
      <c r="BO67" s="28">
        <v>3.71</v>
      </c>
      <c r="BP67" s="28">
        <v>4.43</v>
      </c>
      <c r="BQ67" s="28">
        <v>2.7</v>
      </c>
      <c r="BR67" s="28">
        <v>1.8</v>
      </c>
      <c r="BS67" s="28">
        <v>5.15</v>
      </c>
      <c r="BT67" s="28">
        <v>3.09</v>
      </c>
      <c r="BU67" s="29">
        <v>2.33</v>
      </c>
      <c r="BV67" s="27">
        <v>6.46</v>
      </c>
      <c r="BW67" s="28">
        <v>3.71</v>
      </c>
      <c r="BX67" s="28">
        <v>4.43</v>
      </c>
      <c r="BY67" s="28">
        <v>2.7</v>
      </c>
      <c r="BZ67" s="28">
        <v>1.8</v>
      </c>
      <c r="CA67" s="28">
        <v>5.15</v>
      </c>
      <c r="CB67" s="28">
        <v>3.09</v>
      </c>
      <c r="CC67" s="29">
        <v>2.33</v>
      </c>
      <c r="CE67" s="66"/>
      <c r="CF67" s="70" t="s">
        <v>27</v>
      </c>
      <c r="CG67" s="40" t="s">
        <v>24</v>
      </c>
      <c r="CH67" s="27">
        <v>5.41</v>
      </c>
      <c r="CI67" s="28">
        <v>5.96</v>
      </c>
      <c r="CJ67" s="28">
        <v>2.4300000000000002</v>
      </c>
      <c r="CK67" s="28">
        <v>3.89</v>
      </c>
      <c r="CL67" s="28">
        <v>4.78</v>
      </c>
      <c r="CM67" s="28">
        <v>1.38</v>
      </c>
      <c r="CN67" s="28">
        <v>4.01</v>
      </c>
      <c r="CO67" s="29">
        <v>2.48</v>
      </c>
      <c r="CP67" s="27">
        <v>5.41</v>
      </c>
      <c r="CQ67" s="28">
        <v>5.96</v>
      </c>
      <c r="CR67" s="28">
        <v>2.4300000000000002</v>
      </c>
      <c r="CS67" s="28">
        <v>3.89</v>
      </c>
      <c r="CT67" s="28">
        <v>4.78</v>
      </c>
      <c r="CU67" s="28">
        <v>1.38</v>
      </c>
      <c r="CV67" s="28">
        <v>4.01</v>
      </c>
      <c r="CW67" s="29">
        <v>2.48</v>
      </c>
      <c r="CY67" s="66"/>
      <c r="CZ67" s="70" t="s">
        <v>27</v>
      </c>
      <c r="DA67" s="40" t="s">
        <v>24</v>
      </c>
      <c r="DB67" s="27">
        <v>6.14</v>
      </c>
      <c r="DC67" s="28">
        <v>5.42</v>
      </c>
      <c r="DD67" s="28">
        <v>2.41</v>
      </c>
      <c r="DE67" s="28">
        <v>2.64</v>
      </c>
      <c r="DF67" s="28">
        <v>3.8</v>
      </c>
      <c r="DG67" s="28">
        <v>2.75</v>
      </c>
      <c r="DH67" s="28">
        <v>3.89</v>
      </c>
      <c r="DI67" s="29">
        <v>2.1800000000000002</v>
      </c>
      <c r="DJ67" s="27">
        <v>6.14</v>
      </c>
      <c r="DK67" s="28">
        <v>5.42</v>
      </c>
      <c r="DL67" s="28">
        <v>2.41</v>
      </c>
      <c r="DM67" s="28">
        <v>2.64</v>
      </c>
      <c r="DN67" s="28">
        <v>3.8</v>
      </c>
      <c r="DO67" s="28">
        <v>2.75</v>
      </c>
      <c r="DP67" s="28">
        <v>3.89</v>
      </c>
      <c r="DQ67" s="29">
        <v>2.1800000000000002</v>
      </c>
      <c r="DS67" s="66"/>
      <c r="DT67" s="70" t="s">
        <v>27</v>
      </c>
      <c r="DU67" s="40" t="s">
        <v>24</v>
      </c>
      <c r="DV67" s="27">
        <v>5.65</v>
      </c>
      <c r="DW67" s="28">
        <v>3.95</v>
      </c>
      <c r="DX67" s="28">
        <v>3.55</v>
      </c>
      <c r="DY67" s="28">
        <v>2.66</v>
      </c>
      <c r="DZ67" s="28">
        <v>2.29</v>
      </c>
      <c r="EA67" s="28">
        <v>3.96</v>
      </c>
      <c r="EB67" s="28">
        <v>2.58</v>
      </c>
      <c r="EC67" s="29">
        <v>1.25</v>
      </c>
      <c r="ED67" s="27">
        <v>5.65</v>
      </c>
      <c r="EE67" s="28">
        <v>3.95</v>
      </c>
      <c r="EF67" s="28">
        <v>3.55</v>
      </c>
      <c r="EG67" s="28">
        <v>2.66</v>
      </c>
      <c r="EH67" s="28">
        <v>2.29</v>
      </c>
      <c r="EI67" s="28">
        <v>3.96</v>
      </c>
      <c r="EJ67" s="28">
        <v>2.58</v>
      </c>
      <c r="EK67" s="29">
        <v>1.25</v>
      </c>
      <c r="EM67" s="66"/>
      <c r="EN67" s="70" t="s">
        <v>27</v>
      </c>
      <c r="EO67" s="40" t="s">
        <v>24</v>
      </c>
      <c r="EP67" s="27">
        <v>6.46</v>
      </c>
      <c r="EQ67" s="28">
        <v>3.71</v>
      </c>
      <c r="ER67" s="28">
        <v>4.43</v>
      </c>
      <c r="ES67" s="28">
        <v>2.7</v>
      </c>
      <c r="ET67" s="28">
        <v>1.8</v>
      </c>
      <c r="EU67" s="28">
        <v>5.15</v>
      </c>
      <c r="EV67" s="28">
        <v>3.09</v>
      </c>
      <c r="EW67" s="29">
        <v>2.33</v>
      </c>
      <c r="EX67" s="27">
        <v>6.46</v>
      </c>
      <c r="EY67" s="28">
        <v>3.71</v>
      </c>
      <c r="EZ67" s="28">
        <v>4.43</v>
      </c>
      <c r="FA67" s="28">
        <v>2.7</v>
      </c>
      <c r="FB67" s="28">
        <v>1.8</v>
      </c>
      <c r="FC67" s="28">
        <v>5.15</v>
      </c>
      <c r="FD67" s="28">
        <v>3.09</v>
      </c>
      <c r="FE67" s="29">
        <v>2.33</v>
      </c>
    </row>
    <row r="68" spans="3:161" x14ac:dyDescent="0.3">
      <c r="C68" s="66"/>
      <c r="D68" s="70"/>
      <c r="E68" s="39" t="s">
        <v>25</v>
      </c>
      <c r="F68" s="9">
        <v>-5.6984126984120032E-2</v>
      </c>
      <c r="G68" s="10">
        <v>0.10809523809524002</v>
      </c>
      <c r="H68" s="10">
        <v>-3.0806451612899632E-2</v>
      </c>
      <c r="I68" s="10">
        <v>9.6451612903230011E-2</v>
      </c>
      <c r="J68" s="10">
        <v>0.12741935483871991</v>
      </c>
      <c r="K68" s="10">
        <v>0.12166666666666992</v>
      </c>
      <c r="L68" s="10">
        <v>-4.1587301587299841E-2</v>
      </c>
      <c r="M68" s="11"/>
      <c r="N68" s="9">
        <v>-5.8297872340419943E-2</v>
      </c>
      <c r="O68" s="10">
        <v>0.10765957446808994</v>
      </c>
      <c r="P68" s="10">
        <v>-3.3913043478259741E-2</v>
      </c>
      <c r="Q68" s="10">
        <v>9.7391304347830054E-2</v>
      </c>
      <c r="R68" s="10">
        <v>0.12488888888888994</v>
      </c>
      <c r="S68" s="10">
        <v>0.12387755102040998</v>
      </c>
      <c r="T68" s="10">
        <v>-3.3404255319149811E-2</v>
      </c>
      <c r="U68" s="11"/>
      <c r="W68" s="66"/>
      <c r="X68" s="70"/>
      <c r="Y68" s="39" t="s">
        <v>25</v>
      </c>
      <c r="Z68" s="9">
        <v>-0.11668604651161996</v>
      </c>
      <c r="AA68" s="10">
        <v>0.15106249999999033</v>
      </c>
      <c r="AB68" s="10">
        <v>0.1575141242937903</v>
      </c>
      <c r="AC68" s="10">
        <v>0.11740331491714029</v>
      </c>
      <c r="AD68" s="10">
        <v>1.4514285714299913E-2</v>
      </c>
      <c r="AE68" s="10">
        <v>-0.35168539325841985</v>
      </c>
      <c r="AF68" s="10">
        <v>-3.3212121212119694E-2</v>
      </c>
      <c r="AG68" s="11">
        <v>-0.39840579710143986</v>
      </c>
      <c r="AH68" s="9">
        <v>-0.10000000000000053</v>
      </c>
      <c r="AI68" s="10">
        <v>0.18727272727273014</v>
      </c>
      <c r="AJ68" s="10">
        <v>0.15578947368421003</v>
      </c>
      <c r="AK68" s="10">
        <v>0.11918918918919008</v>
      </c>
      <c r="AL68" s="10">
        <v>1.4285714285797724E-3</v>
      </c>
      <c r="AM68" s="10">
        <v>-0.34289473684210003</v>
      </c>
      <c r="AN68" s="10">
        <v>-2.7352941176469692E-2</v>
      </c>
      <c r="AO68" s="11">
        <v>-0.33862068965517</v>
      </c>
      <c r="AQ68" s="66"/>
      <c r="AR68" s="70"/>
      <c r="AS68" s="39" t="s">
        <v>25</v>
      </c>
      <c r="AT68" s="9">
        <v>-0.52004608294932009</v>
      </c>
      <c r="AU68" s="10">
        <v>7.761261261261998E-2</v>
      </c>
      <c r="AV68" s="10">
        <v>0.23274774774774976</v>
      </c>
      <c r="AW68" s="10">
        <v>0.20171171171170998</v>
      </c>
      <c r="AX68" s="10">
        <v>6.5131578947370095E-2</v>
      </c>
      <c r="AY68" s="10">
        <v>5.3454545454560076E-2</v>
      </c>
      <c r="AZ68" s="10">
        <v>7.7035398230090202E-2</v>
      </c>
      <c r="BA68" s="11">
        <v>-6.2807017543849986E-2</v>
      </c>
      <c r="BB68" s="9">
        <v>-0.50886363636363008</v>
      </c>
      <c r="BC68" s="10">
        <v>7.489795918368003E-2</v>
      </c>
      <c r="BD68" s="10">
        <v>0.23434782608695981</v>
      </c>
      <c r="BE68" s="10">
        <v>0.2021276595744701</v>
      </c>
      <c r="BF68" s="10">
        <v>6.5306122448979931E-2</v>
      </c>
      <c r="BG68" s="10">
        <v>4.4545454545459773E-2</v>
      </c>
      <c r="BH68" s="10">
        <v>7.4791666666670142E-2</v>
      </c>
      <c r="BI68" s="11">
        <v>-4.7567567567559976E-2</v>
      </c>
      <c r="BK68" s="66"/>
      <c r="BL68" s="70"/>
      <c r="BM68" s="39" t="s">
        <v>25</v>
      </c>
      <c r="BN68" s="9">
        <v>-0.44583732057415038</v>
      </c>
      <c r="BO68" s="10">
        <v>-3.7499999999989875E-2</v>
      </c>
      <c r="BP68" s="10">
        <v>-0.18718894009217024</v>
      </c>
      <c r="BQ68" s="10">
        <v>3.2019230769229967E-2</v>
      </c>
      <c r="BR68" s="10">
        <v>-0.13322869955156991</v>
      </c>
      <c r="BS68" s="10">
        <v>-0.12019323671496007</v>
      </c>
      <c r="BT68" s="10">
        <v>-9.1748878923759936E-2</v>
      </c>
      <c r="BU68" s="11">
        <v>-4.9352941176469933E-2</v>
      </c>
      <c r="BV68" s="9">
        <v>-0.40560975609755978</v>
      </c>
      <c r="BW68" s="10">
        <v>-4.7499999999999876E-2</v>
      </c>
      <c r="BX68" s="10">
        <v>-0.1892857142857105</v>
      </c>
      <c r="BY68" s="10">
        <v>3.1500000000010075E-2</v>
      </c>
      <c r="BZ68" s="10">
        <v>-0.13214285714285001</v>
      </c>
      <c r="CA68" s="10">
        <v>-0.1264999999999894</v>
      </c>
      <c r="CB68" s="10">
        <v>-9.2857142857140307E-2</v>
      </c>
      <c r="CC68" s="11">
        <v>3.1428571428602226E-3</v>
      </c>
      <c r="CE68" s="66"/>
      <c r="CF68" s="70"/>
      <c r="CG68" s="39" t="s">
        <v>25</v>
      </c>
      <c r="CH68" s="9">
        <v>-0.2776086956521695</v>
      </c>
      <c r="CI68" s="10">
        <v>5.0518181818181818</v>
      </c>
      <c r="CJ68" s="10">
        <v>1.0469565217391401</v>
      </c>
      <c r="CK68" s="10">
        <v>-3.28490196078431</v>
      </c>
      <c r="CL68" s="10">
        <v>4.0582500000000001</v>
      </c>
      <c r="CM68" s="10">
        <v>1.2327999999999999</v>
      </c>
      <c r="CN68" s="10">
        <v>-0.71133333333331983</v>
      </c>
      <c r="CO68" s="11">
        <v>1.717543859649123</v>
      </c>
      <c r="CP68" s="9">
        <v>-0.31152173913042969</v>
      </c>
      <c r="CQ68" s="10">
        <v>5.0496363636363641</v>
      </c>
      <c r="CR68" s="10">
        <v>1.0795121951219602</v>
      </c>
      <c r="CS68" s="10">
        <v>-3.22396226415094</v>
      </c>
      <c r="CT68" s="10">
        <v>4.0634146341463415</v>
      </c>
      <c r="CU68" s="10">
        <v>1.2331372549019608</v>
      </c>
      <c r="CV68" s="10">
        <v>-0.71133333333331983</v>
      </c>
      <c r="CW68" s="11">
        <v>1.713508771929825</v>
      </c>
      <c r="CY68" s="66"/>
      <c r="CZ68" s="70"/>
      <c r="DA68" s="39" t="s">
        <v>25</v>
      </c>
      <c r="DB68" s="9">
        <v>4.9647368421052693</v>
      </c>
      <c r="DC68" s="10">
        <v>5.2811111111111115</v>
      </c>
      <c r="DD68" s="10">
        <v>2.0186956521739132</v>
      </c>
      <c r="DE68" s="10">
        <v>1.738</v>
      </c>
      <c r="DF68" s="10">
        <v>3.4603773584905668</v>
      </c>
      <c r="DG68" s="10">
        <v>2.3729787234042559</v>
      </c>
      <c r="DH68" s="10">
        <v>3.1516000000000002</v>
      </c>
      <c r="DI68" s="11">
        <v>1.505789473684211</v>
      </c>
      <c r="DJ68" s="9">
        <v>4.97</v>
      </c>
      <c r="DK68" s="10">
        <v>5.2793181818181818</v>
      </c>
      <c r="DL68" s="10">
        <v>2.02</v>
      </c>
      <c r="DM68" s="10">
        <v>1.738</v>
      </c>
      <c r="DN68" s="10">
        <v>3.458400000000001</v>
      </c>
      <c r="DO68" s="10">
        <v>2.400212765957447</v>
      </c>
      <c r="DP68" s="10">
        <v>3.1468000000000003</v>
      </c>
      <c r="DQ68" s="11">
        <v>1.5117543859649123</v>
      </c>
      <c r="DS68" s="66"/>
      <c r="DT68" s="70"/>
      <c r="DU68" s="39" t="s">
        <v>25</v>
      </c>
      <c r="DV68" s="9">
        <v>-1.9028205128205098</v>
      </c>
      <c r="DW68" s="10">
        <v>1.0154000000000001</v>
      </c>
      <c r="DX68" s="10">
        <v>2.20857142857143</v>
      </c>
      <c r="DY68" s="10">
        <v>1.0881818181818201</v>
      </c>
      <c r="DZ68" s="10">
        <v>1.720181818181818</v>
      </c>
      <c r="EA68" s="10">
        <v>3.1100000000000012</v>
      </c>
      <c r="EB68" s="10">
        <v>2.2686046511627911</v>
      </c>
      <c r="EC68" s="11">
        <v>0.92921052631578993</v>
      </c>
      <c r="ED68" s="9">
        <v>-1.85299999999999</v>
      </c>
      <c r="EE68" s="10">
        <v>1.0031372549019704</v>
      </c>
      <c r="EF68" s="10">
        <v>2.2043902439024397</v>
      </c>
      <c r="EG68" s="10">
        <v>1.0873333333333401</v>
      </c>
      <c r="EH68" s="10">
        <v>1.724464285714286</v>
      </c>
      <c r="EI68" s="10">
        <v>3.1100000000000012</v>
      </c>
      <c r="EJ68" s="10">
        <v>2.2677777777777779</v>
      </c>
      <c r="EK68" s="11">
        <v>0.92853658536585404</v>
      </c>
      <c r="EM68" s="66"/>
      <c r="EN68" s="70"/>
      <c r="EO68" s="39" t="s">
        <v>25</v>
      </c>
      <c r="EP68" s="9">
        <v>-0.24703703703703983</v>
      </c>
      <c r="EQ68" s="10">
        <v>3.067407407407408</v>
      </c>
      <c r="ER68" s="10">
        <v>3.6127272727272728</v>
      </c>
      <c r="ES68" s="10">
        <v>0.44351351351351997</v>
      </c>
      <c r="ET68" s="10">
        <v>1.627333333333334</v>
      </c>
      <c r="EU68" s="10">
        <v>2.2492857142857203</v>
      </c>
      <c r="EV68" s="10">
        <v>2.6541666666666668</v>
      </c>
      <c r="EW68" s="11">
        <v>1.8653846153846161</v>
      </c>
      <c r="EX68" s="9">
        <v>-7.6249999999990159E-2</v>
      </c>
      <c r="EY68" s="10">
        <v>3.09</v>
      </c>
      <c r="EZ68" s="10">
        <v>3.5799999999999996</v>
      </c>
      <c r="FA68" s="10">
        <v>0.7813333333333401</v>
      </c>
      <c r="FB68" s="10">
        <v>1.626470588235295</v>
      </c>
      <c r="FC68" s="10">
        <v>2.2506250000000105</v>
      </c>
      <c r="FD68" s="10">
        <v>2.61</v>
      </c>
      <c r="FE68" s="11">
        <v>1.922352941176471</v>
      </c>
    </row>
    <row r="69" spans="3:161" x14ac:dyDescent="0.3">
      <c r="C69" s="66"/>
      <c r="D69" s="70"/>
      <c r="E69" s="39" t="s">
        <v>26</v>
      </c>
      <c r="F69" s="9">
        <v>-1.0423320364669781</v>
      </c>
      <c r="G69" s="10">
        <v>1.8471804052404925</v>
      </c>
      <c r="H69" s="10">
        <v>-1.2518843809397522</v>
      </c>
      <c r="I69" s="10">
        <v>2.5425170068028349</v>
      </c>
      <c r="J69" s="10">
        <v>2.7386812729670149</v>
      </c>
      <c r="K69" s="10">
        <v>9.6688741721857152</v>
      </c>
      <c r="L69" s="10">
        <v>-1.0264446620959418</v>
      </c>
      <c r="M69" s="11"/>
      <c r="N69" s="9">
        <v>-1.0661063771836661</v>
      </c>
      <c r="O69" s="10">
        <v>1.8395986330256058</v>
      </c>
      <c r="P69" s="10">
        <v>-1.3763896241397111</v>
      </c>
      <c r="Q69" s="10">
        <v>2.5679238793993964</v>
      </c>
      <c r="R69" s="10">
        <v>2.6828336834065531</v>
      </c>
      <c r="S69" s="10">
        <v>9.8619008935826127</v>
      </c>
      <c r="T69" s="10">
        <v>-0.82614186487057506</v>
      </c>
      <c r="U69" s="11"/>
      <c r="W69" s="66"/>
      <c r="X69" s="70"/>
      <c r="Y69" s="39" t="s">
        <v>26</v>
      </c>
      <c r="Z69" s="9">
        <v>-1.8649816475397165</v>
      </c>
      <c r="AA69" s="10">
        <v>2.8670391326522675</v>
      </c>
      <c r="AB69" s="10">
        <v>6.9929017532421032</v>
      </c>
      <c r="AC69" s="10">
        <v>4.6540660110827003</v>
      </c>
      <c r="AD69" s="10">
        <v>0.38341937626460382</v>
      </c>
      <c r="AE69" s="10">
        <v>-11.338525629414757</v>
      </c>
      <c r="AF69" s="10">
        <v>-0.8465543076946459</v>
      </c>
      <c r="AG69" s="11">
        <v>-15.451632848068938</v>
      </c>
      <c r="AH69" s="9">
        <v>-1.6025641025641111</v>
      </c>
      <c r="AI69" s="10">
        <v>3.5788742182071456</v>
      </c>
      <c r="AJ69" s="10">
        <v>6.9110436609852668</v>
      </c>
      <c r="AK69" s="10">
        <v>4.7282084271470293</v>
      </c>
      <c r="AL69" s="10">
        <v>3.760812335486434E-2</v>
      </c>
      <c r="AM69" s="10">
        <v>-11.086531098442801</v>
      </c>
      <c r="AN69" s="10">
        <v>-0.69825061941584932</v>
      </c>
      <c r="AO69" s="11">
        <v>-13.444687842278119</v>
      </c>
      <c r="AQ69" s="66"/>
      <c r="AR69" s="70"/>
      <c r="AS69" s="39" t="s">
        <v>26</v>
      </c>
      <c r="AT69" s="9">
        <v>-8.4285607588320453</v>
      </c>
      <c r="AU69" s="10">
        <v>2.0042574476254456</v>
      </c>
      <c r="AV69" s="10">
        <v>7.0162812487270312</v>
      </c>
      <c r="AW69" s="10">
        <v>8.20537252171356</v>
      </c>
      <c r="AX69" s="10">
        <v>2.9274350937371403</v>
      </c>
      <c r="AY69" s="10">
        <v>1.36833286791437</v>
      </c>
      <c r="AZ69" s="10">
        <v>3.0777661887673728</v>
      </c>
      <c r="BA69" s="11">
        <v>-4.7841774689288723</v>
      </c>
      <c r="BB69" s="9">
        <v>-8.2622975017527391</v>
      </c>
      <c r="BC69" s="10">
        <v>1.9327996629451905</v>
      </c>
      <c r="BD69" s="10">
        <v>7.067925517964964</v>
      </c>
      <c r="BE69" s="10">
        <v>8.2236842105264039</v>
      </c>
      <c r="BF69" s="10">
        <v>2.9355105036235365</v>
      </c>
      <c r="BG69" s="10">
        <v>1.1376828418854381</v>
      </c>
      <c r="BH69" s="10">
        <v>2.9854469854471284</v>
      </c>
      <c r="BI69" s="11">
        <v>-3.6659029368875848</v>
      </c>
      <c r="BK69" s="66"/>
      <c r="BL69" s="70"/>
      <c r="BM69" s="39" t="s">
        <v>26</v>
      </c>
      <c r="BN69" s="9">
        <v>-6.4559487847461128</v>
      </c>
      <c r="BO69" s="10">
        <v>-1.0006671114073376</v>
      </c>
      <c r="BP69" s="10">
        <v>-4.0541754413981925</v>
      </c>
      <c r="BQ69" s="10">
        <v>1.2001297437560514</v>
      </c>
      <c r="BR69" s="10">
        <v>-6.8915126069912747</v>
      </c>
      <c r="BS69" s="10">
        <v>-2.2806229547264087</v>
      </c>
      <c r="BT69" s="10">
        <v>-2.8835990021561471</v>
      </c>
      <c r="BU69" s="11">
        <v>-2.0742169151276646</v>
      </c>
      <c r="BV69" s="9">
        <v>-5.9078475256669698</v>
      </c>
      <c r="BW69" s="10">
        <v>-1.2641383898868896</v>
      </c>
      <c r="BX69" s="10">
        <v>-4.0977269212926393</v>
      </c>
      <c r="BY69" s="10">
        <v>1.1804384485669923</v>
      </c>
      <c r="BZ69" s="10">
        <v>-6.8391866913120412</v>
      </c>
      <c r="CA69" s="10">
        <v>-2.3974225338764263</v>
      </c>
      <c r="CB69" s="10">
        <v>-2.9174147217234414</v>
      </c>
      <c r="CC69" s="11">
        <v>0.13506876227911091</v>
      </c>
      <c r="CE69" s="66"/>
      <c r="CF69" s="70"/>
      <c r="CG69" s="39" t="s">
        <v>26</v>
      </c>
      <c r="CH69" s="9">
        <v>-4.8809387302678617</v>
      </c>
      <c r="CI69" s="10">
        <v>556.25625625625639</v>
      </c>
      <c r="CJ69" s="10">
        <v>75.699465576863844</v>
      </c>
      <c r="CK69" s="10">
        <v>-45.783231307389563</v>
      </c>
      <c r="CL69" s="10">
        <v>562.27918254243161</v>
      </c>
      <c r="CM69" s="10">
        <v>837.5</v>
      </c>
      <c r="CN69" s="10">
        <v>-15.06636543349312</v>
      </c>
      <c r="CO69" s="11">
        <v>225.26461113667747</v>
      </c>
      <c r="CP69" s="9">
        <v>-5.4447357422393621</v>
      </c>
      <c r="CQ69" s="10">
        <v>554.68344317954893</v>
      </c>
      <c r="CR69" s="10">
        <v>79.934982842695774</v>
      </c>
      <c r="CS69" s="10">
        <v>-45.318799066412026</v>
      </c>
      <c r="CT69" s="10">
        <v>567.0524166099384</v>
      </c>
      <c r="CU69" s="10">
        <v>839.65287049399319</v>
      </c>
      <c r="CV69" s="10">
        <v>-15.06636543349312</v>
      </c>
      <c r="CW69" s="11">
        <v>223.55230029755111</v>
      </c>
      <c r="CY69" s="66"/>
      <c r="CZ69" s="70"/>
      <c r="DA69" s="39" t="s">
        <v>26</v>
      </c>
      <c r="DB69" s="9">
        <v>422.43618450515299</v>
      </c>
      <c r="DC69" s="10">
        <v>3802.4000000000242</v>
      </c>
      <c r="DD69" s="10">
        <v>515.88888888888891</v>
      </c>
      <c r="DE69" s="10">
        <v>192.6829268292683</v>
      </c>
      <c r="DF69" s="10">
        <v>1018.888888888892</v>
      </c>
      <c r="DG69" s="10">
        <v>629.4018058690757</v>
      </c>
      <c r="DH69" s="10">
        <v>426.81473456121353</v>
      </c>
      <c r="DI69" s="11">
        <v>223.34113973458258</v>
      </c>
      <c r="DJ69" s="9">
        <v>424.78632478632477</v>
      </c>
      <c r="DK69" s="10">
        <v>3752.6655896607481</v>
      </c>
      <c r="DL69" s="10">
        <v>517.94871794871801</v>
      </c>
      <c r="DM69" s="10">
        <v>192.6829268292683</v>
      </c>
      <c r="DN69" s="10">
        <v>1012.4121779859516</v>
      </c>
      <c r="DO69" s="10">
        <v>686.19221411192257</v>
      </c>
      <c r="DP69" s="10">
        <v>423.41227125941873</v>
      </c>
      <c r="DQ69" s="11">
        <v>226.22735626148588</v>
      </c>
      <c r="DS69" s="66"/>
      <c r="DT69" s="70"/>
      <c r="DU69" s="39" t="s">
        <v>26</v>
      </c>
      <c r="DV69" s="9">
        <v>-25.19350896252034</v>
      </c>
      <c r="DW69" s="10">
        <v>34.600967763920124</v>
      </c>
      <c r="DX69" s="10">
        <v>164.64323748668824</v>
      </c>
      <c r="DY69" s="10">
        <v>69.23076923076944</v>
      </c>
      <c r="DZ69" s="10">
        <v>301.88257817485629</v>
      </c>
      <c r="EA69" s="10">
        <v>365.88235294117703</v>
      </c>
      <c r="EB69" s="10">
        <v>728.52875280059834</v>
      </c>
      <c r="EC69" s="11">
        <v>289.66365873667002</v>
      </c>
      <c r="ED69" s="9">
        <v>-24.69678795148597</v>
      </c>
      <c r="EE69" s="10">
        <v>34.04085434826046</v>
      </c>
      <c r="EF69" s="10">
        <v>163.82091716512613</v>
      </c>
      <c r="EG69" s="10">
        <v>69.139465875371641</v>
      </c>
      <c r="EH69" s="10">
        <v>304.92579728449653</v>
      </c>
      <c r="EI69" s="10">
        <v>365.88235294117703</v>
      </c>
      <c r="EJ69" s="10">
        <v>726.33451957295426</v>
      </c>
      <c r="EK69" s="11">
        <v>288.84673748103228</v>
      </c>
      <c r="EM69" s="66"/>
      <c r="EN69" s="70"/>
      <c r="EO69" s="39" t="s">
        <v>26</v>
      </c>
      <c r="EP69" s="9">
        <v>-3.6832514219449295</v>
      </c>
      <c r="EQ69" s="10">
        <v>477.34870317002935</v>
      </c>
      <c r="ER69" s="10">
        <v>442.04671857619593</v>
      </c>
      <c r="ES69" s="10">
        <v>19.655048508803791</v>
      </c>
      <c r="ET69" s="10">
        <v>942.47104247104653</v>
      </c>
      <c r="EU69" s="10">
        <v>77.542477222359381</v>
      </c>
      <c r="EV69" s="10">
        <v>608.98661567877673</v>
      </c>
      <c r="EW69" s="11">
        <v>401.49006622516623</v>
      </c>
      <c r="EX69" s="9">
        <v>-1.1665710460889696</v>
      </c>
      <c r="EY69" s="10">
        <v>498.38709677419348</v>
      </c>
      <c r="EZ69" s="10">
        <v>421.17647058823525</v>
      </c>
      <c r="FA69" s="10">
        <v>40.722724113968525</v>
      </c>
      <c r="FB69" s="10">
        <v>937.28813559322577</v>
      </c>
      <c r="FC69" s="10">
        <v>77.62448803621534</v>
      </c>
      <c r="FD69" s="10">
        <v>543.75</v>
      </c>
      <c r="FE69" s="11">
        <v>471.5728715728722</v>
      </c>
    </row>
    <row r="70" spans="3:161" ht="28.8" x14ac:dyDescent="0.3">
      <c r="C70" s="66"/>
      <c r="D70" s="70" t="s">
        <v>28</v>
      </c>
      <c r="E70" s="40" t="s">
        <v>24</v>
      </c>
      <c r="F70" s="27">
        <v>5.45</v>
      </c>
      <c r="G70" s="28">
        <v>6.03</v>
      </c>
      <c r="H70" s="28">
        <v>2.4500000000000002</v>
      </c>
      <c r="I70" s="28">
        <v>3.92</v>
      </c>
      <c r="J70" s="28">
        <v>4.83</v>
      </c>
      <c r="K70" s="28">
        <v>1.4</v>
      </c>
      <c r="L70" s="28">
        <v>3.97</v>
      </c>
      <c r="M70" s="29"/>
      <c r="N70" s="27">
        <v>5.45</v>
      </c>
      <c r="O70" s="28">
        <v>6.03</v>
      </c>
      <c r="P70" s="28">
        <v>2.4500000000000002</v>
      </c>
      <c r="Q70" s="28">
        <v>3.92</v>
      </c>
      <c r="R70" s="28">
        <v>4.83</v>
      </c>
      <c r="S70" s="28">
        <v>1.4</v>
      </c>
      <c r="T70" s="28">
        <v>3.97</v>
      </c>
      <c r="U70" s="29"/>
      <c r="W70" s="66"/>
      <c r="X70" s="70" t="s">
        <v>28</v>
      </c>
      <c r="Y70" s="40" t="s">
        <v>24</v>
      </c>
      <c r="Z70" s="27">
        <v>6.14</v>
      </c>
      <c r="AA70" s="28">
        <v>5.46</v>
      </c>
      <c r="AB70" s="28">
        <v>2.44</v>
      </c>
      <c r="AC70" s="28">
        <v>2.67</v>
      </c>
      <c r="AD70" s="28">
        <v>3.85</v>
      </c>
      <c r="AE70" s="28">
        <v>2.75</v>
      </c>
      <c r="AF70" s="28">
        <v>3.83</v>
      </c>
      <c r="AG70" s="29">
        <v>2.1800000000000002</v>
      </c>
      <c r="AH70" s="27">
        <v>6.14</v>
      </c>
      <c r="AI70" s="28">
        <v>5.46</v>
      </c>
      <c r="AJ70" s="28">
        <v>2.44</v>
      </c>
      <c r="AK70" s="28">
        <v>2.67</v>
      </c>
      <c r="AL70" s="28">
        <v>3.85</v>
      </c>
      <c r="AM70" s="28">
        <v>2.75</v>
      </c>
      <c r="AN70" s="28">
        <v>3.83</v>
      </c>
      <c r="AO70" s="29">
        <v>2.1800000000000002</v>
      </c>
      <c r="AQ70" s="66"/>
      <c r="AR70" s="70" t="s">
        <v>28</v>
      </c>
      <c r="AS70" s="40" t="s">
        <v>24</v>
      </c>
      <c r="AT70" s="27">
        <v>5.64</v>
      </c>
      <c r="AU70" s="28">
        <v>4.01</v>
      </c>
      <c r="AV70" s="28">
        <v>3.57</v>
      </c>
      <c r="AW70" s="28">
        <v>2.7</v>
      </c>
      <c r="AX70" s="28">
        <v>2.35</v>
      </c>
      <c r="AY70" s="28">
        <v>3.98</v>
      </c>
      <c r="AZ70" s="28">
        <v>2.5299999999999998</v>
      </c>
      <c r="BA70" s="29">
        <v>1.25</v>
      </c>
      <c r="BB70" s="27">
        <v>5.64</v>
      </c>
      <c r="BC70" s="28">
        <v>4.01</v>
      </c>
      <c r="BD70" s="28">
        <v>3.57</v>
      </c>
      <c r="BE70" s="28">
        <v>2.7</v>
      </c>
      <c r="BF70" s="28">
        <v>2.35</v>
      </c>
      <c r="BG70" s="28">
        <v>3.98</v>
      </c>
      <c r="BH70" s="28">
        <v>2.5299999999999998</v>
      </c>
      <c r="BI70" s="29">
        <v>1.25</v>
      </c>
      <c r="BK70" s="66"/>
      <c r="BL70" s="70" t="s">
        <v>28</v>
      </c>
      <c r="BM70" s="40" t="s">
        <v>24</v>
      </c>
      <c r="BN70" s="27">
        <v>6.44</v>
      </c>
      <c r="BO70" s="28">
        <v>3.76</v>
      </c>
      <c r="BP70" s="28">
        <v>4.45</v>
      </c>
      <c r="BQ70" s="28">
        <v>2.71</v>
      </c>
      <c r="BR70" s="28">
        <v>1.81</v>
      </c>
      <c r="BS70" s="28">
        <v>5.21</v>
      </c>
      <c r="BT70" s="28">
        <v>3.06</v>
      </c>
      <c r="BU70" s="29">
        <v>2.33</v>
      </c>
      <c r="BV70" s="27">
        <v>6.44</v>
      </c>
      <c r="BW70" s="28">
        <v>3.76</v>
      </c>
      <c r="BX70" s="28">
        <v>4.45</v>
      </c>
      <c r="BY70" s="28">
        <v>2.71</v>
      </c>
      <c r="BZ70" s="28">
        <v>1.81</v>
      </c>
      <c r="CA70" s="28">
        <v>5.21</v>
      </c>
      <c r="CB70" s="28">
        <v>3.06</v>
      </c>
      <c r="CC70" s="29">
        <v>2.33</v>
      </c>
      <c r="CE70" s="66"/>
      <c r="CF70" s="70" t="s">
        <v>28</v>
      </c>
      <c r="CG70" s="40" t="s">
        <v>24</v>
      </c>
      <c r="CH70" s="27">
        <v>5.45</v>
      </c>
      <c r="CI70" s="28">
        <v>6.03</v>
      </c>
      <c r="CJ70" s="28">
        <v>2.4500000000000002</v>
      </c>
      <c r="CK70" s="28">
        <v>3.92</v>
      </c>
      <c r="CL70" s="28">
        <v>4.83</v>
      </c>
      <c r="CM70" s="28">
        <v>1.4</v>
      </c>
      <c r="CN70" s="28">
        <v>3.97</v>
      </c>
      <c r="CO70" s="29">
        <v>2.4900000000000002</v>
      </c>
      <c r="CP70" s="27">
        <v>5.45</v>
      </c>
      <c r="CQ70" s="28">
        <v>6.03</v>
      </c>
      <c r="CR70" s="28">
        <v>2.4500000000000002</v>
      </c>
      <c r="CS70" s="28">
        <v>3.92</v>
      </c>
      <c r="CT70" s="28">
        <v>4.83</v>
      </c>
      <c r="CU70" s="28">
        <v>1.4</v>
      </c>
      <c r="CV70" s="28">
        <v>3.97</v>
      </c>
      <c r="CW70" s="29">
        <v>2.4900000000000002</v>
      </c>
      <c r="CY70" s="66"/>
      <c r="CZ70" s="70" t="s">
        <v>28</v>
      </c>
      <c r="DA70" s="40" t="s">
        <v>24</v>
      </c>
      <c r="DB70" s="27">
        <v>6.14</v>
      </c>
      <c r="DC70" s="28">
        <v>5.46</v>
      </c>
      <c r="DD70" s="28">
        <v>2.44</v>
      </c>
      <c r="DE70" s="28">
        <v>2.67</v>
      </c>
      <c r="DF70" s="28">
        <v>3.85</v>
      </c>
      <c r="DG70" s="28">
        <v>2.75</v>
      </c>
      <c r="DH70" s="28">
        <v>3.83</v>
      </c>
      <c r="DI70" s="29">
        <v>2.1800000000000002</v>
      </c>
      <c r="DJ70" s="27">
        <v>6.14</v>
      </c>
      <c r="DK70" s="28">
        <v>5.46</v>
      </c>
      <c r="DL70" s="28">
        <v>2.44</v>
      </c>
      <c r="DM70" s="28">
        <v>2.67</v>
      </c>
      <c r="DN70" s="28">
        <v>3.85</v>
      </c>
      <c r="DO70" s="28">
        <v>2.75</v>
      </c>
      <c r="DP70" s="28">
        <v>3.83</v>
      </c>
      <c r="DQ70" s="29">
        <v>2.1800000000000002</v>
      </c>
      <c r="DS70" s="66"/>
      <c r="DT70" s="70" t="s">
        <v>28</v>
      </c>
      <c r="DU70" s="40" t="s">
        <v>24</v>
      </c>
      <c r="DV70" s="27">
        <v>5.64</v>
      </c>
      <c r="DW70" s="28">
        <v>4.01</v>
      </c>
      <c r="DX70" s="28">
        <v>3.57</v>
      </c>
      <c r="DY70" s="28">
        <v>2.7</v>
      </c>
      <c r="DZ70" s="28">
        <v>2.35</v>
      </c>
      <c r="EA70" s="28">
        <v>3.98</v>
      </c>
      <c r="EB70" s="28">
        <v>2.5299999999999998</v>
      </c>
      <c r="EC70" s="29">
        <v>1.25</v>
      </c>
      <c r="ED70" s="27">
        <v>5.64</v>
      </c>
      <c r="EE70" s="28">
        <v>4.01</v>
      </c>
      <c r="EF70" s="28">
        <v>3.57</v>
      </c>
      <c r="EG70" s="28">
        <v>2.7</v>
      </c>
      <c r="EH70" s="28">
        <v>2.35</v>
      </c>
      <c r="EI70" s="28">
        <v>3.98</v>
      </c>
      <c r="EJ70" s="28">
        <v>2.5299999999999998</v>
      </c>
      <c r="EK70" s="29">
        <v>1.25</v>
      </c>
      <c r="EM70" s="66"/>
      <c r="EN70" s="70" t="s">
        <v>28</v>
      </c>
      <c r="EO70" s="40" t="s">
        <v>24</v>
      </c>
      <c r="EP70" s="27">
        <v>6.44</v>
      </c>
      <c r="EQ70" s="28">
        <v>3.76</v>
      </c>
      <c r="ER70" s="28">
        <v>4.45</v>
      </c>
      <c r="ES70" s="28">
        <v>2.71</v>
      </c>
      <c r="ET70" s="28">
        <v>1.81</v>
      </c>
      <c r="EU70" s="28">
        <v>5.21</v>
      </c>
      <c r="EV70" s="28">
        <v>3.06</v>
      </c>
      <c r="EW70" s="29">
        <v>2.33</v>
      </c>
      <c r="EX70" s="27">
        <v>6.44</v>
      </c>
      <c r="EY70" s="28">
        <v>3.76</v>
      </c>
      <c r="EZ70" s="28">
        <v>4.45</v>
      </c>
      <c r="FA70" s="28">
        <v>2.71</v>
      </c>
      <c r="FB70" s="28">
        <v>1.81</v>
      </c>
      <c r="FC70" s="28">
        <v>5.21</v>
      </c>
      <c r="FD70" s="28">
        <v>3.06</v>
      </c>
      <c r="FE70" s="29">
        <v>2.33</v>
      </c>
    </row>
    <row r="71" spans="3:161" x14ac:dyDescent="0.3">
      <c r="C71" s="66"/>
      <c r="D71" s="70"/>
      <c r="E71" s="39" t="s">
        <v>25</v>
      </c>
      <c r="F71" s="9">
        <v>-1.6984126984119996E-2</v>
      </c>
      <c r="G71" s="10">
        <v>0.1780952380952403</v>
      </c>
      <c r="H71" s="10">
        <v>-1.0806451612899615E-2</v>
      </c>
      <c r="I71" s="10">
        <v>0.12645161290322982</v>
      </c>
      <c r="J71" s="10">
        <v>0.17741935483871973</v>
      </c>
      <c r="K71" s="10">
        <v>0.14166666666666994</v>
      </c>
      <c r="L71" s="10">
        <v>-8.1587301587299432E-2</v>
      </c>
      <c r="M71" s="11"/>
      <c r="N71" s="9">
        <v>-1.8297872340419907E-2</v>
      </c>
      <c r="O71" s="10">
        <v>0.17765957446809022</v>
      </c>
      <c r="P71" s="10">
        <v>-1.3913043478259723E-2</v>
      </c>
      <c r="Q71" s="10">
        <v>0.12739130434782986</v>
      </c>
      <c r="R71" s="10">
        <v>0.17488888888888976</v>
      </c>
      <c r="S71" s="10">
        <v>0.14387755102041</v>
      </c>
      <c r="T71" s="10">
        <v>-7.3404255319149403E-2</v>
      </c>
      <c r="U71" s="11"/>
      <c r="W71" s="66"/>
      <c r="X71" s="70"/>
      <c r="Y71" s="39" t="s">
        <v>25</v>
      </c>
      <c r="Z71" s="9">
        <v>-0.11668604651161996</v>
      </c>
      <c r="AA71" s="10">
        <v>0.19106249999999037</v>
      </c>
      <c r="AB71" s="10">
        <v>0.18751412429379011</v>
      </c>
      <c r="AC71" s="10">
        <v>0.14740331491714009</v>
      </c>
      <c r="AD71" s="10">
        <v>6.4514285714300179E-2</v>
      </c>
      <c r="AE71" s="10">
        <v>-0.35168539325841985</v>
      </c>
      <c r="AF71" s="10">
        <v>-9.3212121212119747E-2</v>
      </c>
      <c r="AG71" s="11">
        <v>-0.39840579710143986</v>
      </c>
      <c r="AH71" s="9">
        <v>-0.10000000000000053</v>
      </c>
      <c r="AI71" s="10">
        <v>0.22727272727273018</v>
      </c>
      <c r="AJ71" s="10">
        <v>0.18578947368420984</v>
      </c>
      <c r="AK71" s="10">
        <v>0.14918918918918989</v>
      </c>
      <c r="AL71" s="10">
        <v>5.1428571428580039E-2</v>
      </c>
      <c r="AM71" s="10">
        <v>-0.34289473684210003</v>
      </c>
      <c r="AN71" s="10">
        <v>-8.7352941176469745E-2</v>
      </c>
      <c r="AO71" s="11">
        <v>-0.33862068965517</v>
      </c>
      <c r="AQ71" s="66"/>
      <c r="AR71" s="70"/>
      <c r="AS71" s="39" t="s">
        <v>25</v>
      </c>
      <c r="AT71" s="9">
        <v>-0.53004608294932076</v>
      </c>
      <c r="AU71" s="10">
        <v>0.13761261261261959</v>
      </c>
      <c r="AV71" s="10">
        <v>0.25274774774774977</v>
      </c>
      <c r="AW71" s="10">
        <v>0.24171171171171002</v>
      </c>
      <c r="AX71" s="10">
        <v>0.12513157894737015</v>
      </c>
      <c r="AY71" s="10">
        <v>7.3454545454560094E-2</v>
      </c>
      <c r="AZ71" s="10">
        <v>2.7035398230089935E-2</v>
      </c>
      <c r="BA71" s="11">
        <v>-6.2807017543849986E-2</v>
      </c>
      <c r="BB71" s="9">
        <v>-0.51886363636363075</v>
      </c>
      <c r="BC71" s="10">
        <v>0.13489795918367964</v>
      </c>
      <c r="BD71" s="10">
        <v>0.25434782608695983</v>
      </c>
      <c r="BE71" s="10">
        <v>0.24212765957447013</v>
      </c>
      <c r="BF71" s="10">
        <v>0.12530612244897998</v>
      </c>
      <c r="BG71" s="10">
        <v>6.4545454545459791E-2</v>
      </c>
      <c r="BH71" s="10">
        <v>2.4791666666669876E-2</v>
      </c>
      <c r="BI71" s="11">
        <v>-4.7567567567559976E-2</v>
      </c>
      <c r="BK71" s="66"/>
      <c r="BL71" s="70"/>
      <c r="BM71" s="39" t="s">
        <v>25</v>
      </c>
      <c r="BN71" s="9">
        <v>-0.46583732057414995</v>
      </c>
      <c r="BO71" s="10">
        <v>1.2500000000009948E-2</v>
      </c>
      <c r="BP71" s="10">
        <v>-0.16718894009216978</v>
      </c>
      <c r="BQ71" s="10">
        <v>4.2019230769229754E-2</v>
      </c>
      <c r="BR71" s="10">
        <v>-0.1232286995515699</v>
      </c>
      <c r="BS71" s="10">
        <v>-6.0193236714960463E-2</v>
      </c>
      <c r="BT71" s="10">
        <v>-0.12174887892375974</v>
      </c>
      <c r="BU71" s="11">
        <v>-4.9352941176469933E-2</v>
      </c>
      <c r="BV71" s="9">
        <v>-0.42560975609755936</v>
      </c>
      <c r="BW71" s="10">
        <v>2.4999999999999467E-3</v>
      </c>
      <c r="BX71" s="10">
        <v>-0.16928571428571004</v>
      </c>
      <c r="BY71" s="10">
        <v>4.1500000000009862E-2</v>
      </c>
      <c r="BZ71" s="10">
        <v>-0.12214285714285</v>
      </c>
      <c r="CA71" s="10">
        <v>-6.649999999998979E-2</v>
      </c>
      <c r="CB71" s="10">
        <v>-0.12285714285714011</v>
      </c>
      <c r="CC71" s="11">
        <v>3.1428571428602226E-3</v>
      </c>
      <c r="CE71" s="66"/>
      <c r="CF71" s="70"/>
      <c r="CG71" s="39" t="s">
        <v>25</v>
      </c>
      <c r="CH71" s="9">
        <v>-0.23760869565216947</v>
      </c>
      <c r="CI71" s="10">
        <v>5.121818181818182</v>
      </c>
      <c r="CJ71" s="10">
        <v>1.0669565217391401</v>
      </c>
      <c r="CK71" s="10">
        <v>-3.2549019607843102</v>
      </c>
      <c r="CL71" s="10">
        <v>4.10825</v>
      </c>
      <c r="CM71" s="10">
        <v>1.2527999999999999</v>
      </c>
      <c r="CN71" s="10">
        <v>-0.75133333333331942</v>
      </c>
      <c r="CO71" s="11">
        <v>1.7275438596491233</v>
      </c>
      <c r="CP71" s="9">
        <v>-0.27152173913042965</v>
      </c>
      <c r="CQ71" s="10">
        <v>5.1196363636363644</v>
      </c>
      <c r="CR71" s="10">
        <v>1.0995121951219602</v>
      </c>
      <c r="CS71" s="10">
        <v>-3.1939622641509402</v>
      </c>
      <c r="CT71" s="10">
        <v>4.1134146341463413</v>
      </c>
      <c r="CU71" s="10">
        <v>1.2531372549019608</v>
      </c>
      <c r="CV71" s="10">
        <v>-0.75133333333331942</v>
      </c>
      <c r="CW71" s="11">
        <v>1.7235087719298252</v>
      </c>
      <c r="CY71" s="66"/>
      <c r="CZ71" s="70"/>
      <c r="DA71" s="39" t="s">
        <v>25</v>
      </c>
      <c r="DB71" s="9">
        <v>4.9647368421052693</v>
      </c>
      <c r="DC71" s="10">
        <v>5.3211111111111116</v>
      </c>
      <c r="DD71" s="10">
        <v>2.048695652173913</v>
      </c>
      <c r="DE71" s="10">
        <v>1.7679999999999998</v>
      </c>
      <c r="DF71" s="10">
        <v>3.5103773584905671</v>
      </c>
      <c r="DG71" s="10">
        <v>2.3729787234042559</v>
      </c>
      <c r="DH71" s="10">
        <v>3.0916000000000001</v>
      </c>
      <c r="DI71" s="11">
        <v>1.505789473684211</v>
      </c>
      <c r="DJ71" s="9">
        <v>4.97</v>
      </c>
      <c r="DK71" s="10">
        <v>5.3193181818181818</v>
      </c>
      <c r="DL71" s="10">
        <v>2.0499999999999998</v>
      </c>
      <c r="DM71" s="10">
        <v>1.7679999999999998</v>
      </c>
      <c r="DN71" s="10">
        <v>3.5084000000000009</v>
      </c>
      <c r="DO71" s="10">
        <v>2.400212765957447</v>
      </c>
      <c r="DP71" s="10">
        <v>3.0868000000000002</v>
      </c>
      <c r="DQ71" s="11">
        <v>1.5117543859649123</v>
      </c>
      <c r="DS71" s="66"/>
      <c r="DT71" s="70"/>
      <c r="DU71" s="39" t="s">
        <v>25</v>
      </c>
      <c r="DV71" s="9">
        <v>-1.9128205128205105</v>
      </c>
      <c r="DW71" s="10">
        <v>1.0753999999999997</v>
      </c>
      <c r="DX71" s="10">
        <v>2.2285714285714295</v>
      </c>
      <c r="DY71" s="10">
        <v>1.1281818181818202</v>
      </c>
      <c r="DZ71" s="10">
        <v>1.7801818181818181</v>
      </c>
      <c r="EA71" s="10">
        <v>3.1300000000000008</v>
      </c>
      <c r="EB71" s="10">
        <v>2.2186046511627908</v>
      </c>
      <c r="EC71" s="11">
        <v>0.92921052631578993</v>
      </c>
      <c r="ED71" s="9">
        <v>-1.8629999999999907</v>
      </c>
      <c r="EE71" s="10">
        <v>1.06313725490197</v>
      </c>
      <c r="EF71" s="10">
        <v>2.2243902439024401</v>
      </c>
      <c r="EG71" s="10">
        <v>1.1273333333333402</v>
      </c>
      <c r="EH71" s="10">
        <v>1.7844642857142861</v>
      </c>
      <c r="EI71" s="10">
        <v>3.1300000000000008</v>
      </c>
      <c r="EJ71" s="10">
        <v>2.2177777777777776</v>
      </c>
      <c r="EK71" s="11">
        <v>0.92853658536585404</v>
      </c>
      <c r="EM71" s="66"/>
      <c r="EN71" s="70"/>
      <c r="EO71" s="39" t="s">
        <v>25</v>
      </c>
      <c r="EP71" s="9">
        <v>-0.2670370370370394</v>
      </c>
      <c r="EQ71" s="10">
        <v>3.1174074074074078</v>
      </c>
      <c r="ER71" s="10">
        <v>3.6327272727272732</v>
      </c>
      <c r="ES71" s="10">
        <v>0.45351351351351976</v>
      </c>
      <c r="ET71" s="10">
        <v>1.637333333333334</v>
      </c>
      <c r="EU71" s="10">
        <v>2.3092857142857199</v>
      </c>
      <c r="EV71" s="10">
        <v>2.624166666666667</v>
      </c>
      <c r="EW71" s="11">
        <v>1.8653846153846161</v>
      </c>
      <c r="EX71" s="9">
        <v>-9.6249999999989733E-2</v>
      </c>
      <c r="EY71" s="10">
        <v>3.1399999999999997</v>
      </c>
      <c r="EZ71" s="10">
        <v>3.6</v>
      </c>
      <c r="FA71" s="10">
        <v>0.79133333333333988</v>
      </c>
      <c r="FB71" s="10">
        <v>1.636470588235295</v>
      </c>
      <c r="FC71" s="10">
        <v>2.3106250000000101</v>
      </c>
      <c r="FD71" s="10">
        <v>2.58</v>
      </c>
      <c r="FE71" s="11">
        <v>1.922352941176471</v>
      </c>
    </row>
    <row r="72" spans="3:161" ht="15" thickBot="1" x14ac:dyDescent="0.35">
      <c r="C72" s="66"/>
      <c r="D72" s="74"/>
      <c r="E72" s="41" t="s">
        <v>26</v>
      </c>
      <c r="F72" s="12">
        <v>-0.31066720864048575</v>
      </c>
      <c r="G72" s="13">
        <v>3.0433721214094289</v>
      </c>
      <c r="H72" s="13">
        <v>-0.43914268860180711</v>
      </c>
      <c r="I72" s="13">
        <v>3.3333333333334427</v>
      </c>
      <c r="J72" s="13">
        <v>3.813353671219804</v>
      </c>
      <c r="K72" s="13">
        <v>11.258278145695655</v>
      </c>
      <c r="L72" s="13">
        <v>-2.0137120470126804</v>
      </c>
      <c r="M72" s="14"/>
      <c r="N72" s="12">
        <v>-0.33461733006487548</v>
      </c>
      <c r="O72" s="13">
        <v>3.0357013015343006</v>
      </c>
      <c r="P72" s="13">
        <v>-0.56467266631369994</v>
      </c>
      <c r="Q72" s="13">
        <v>3.3589361458214944</v>
      </c>
      <c r="R72" s="13">
        <v>3.7569219018522246</v>
      </c>
      <c r="S72" s="13">
        <v>11.45410235580845</v>
      </c>
      <c r="T72" s="13">
        <v>-1.8154072826773424</v>
      </c>
      <c r="U72" s="14"/>
      <c r="W72" s="66"/>
      <c r="X72" s="74"/>
      <c r="Y72" s="41" t="s">
        <v>26</v>
      </c>
      <c r="Z72" s="12">
        <v>-1.8649816475397165</v>
      </c>
      <c r="AA72" s="13">
        <v>3.6262054731146467</v>
      </c>
      <c r="AB72" s="13">
        <v>8.3247636007928261</v>
      </c>
      <c r="AC72" s="13">
        <v>5.8433167612086327</v>
      </c>
      <c r="AD72" s="13">
        <v>1.7042538417417767</v>
      </c>
      <c r="AE72" s="13">
        <v>-11.338525629414757</v>
      </c>
      <c r="AF72" s="13">
        <v>-2.3759133672160666</v>
      </c>
      <c r="AG72" s="14">
        <v>-15.451632848068938</v>
      </c>
      <c r="AH72" s="12">
        <v>-1.6025641025641111</v>
      </c>
      <c r="AI72" s="13">
        <v>4.3432939541348743</v>
      </c>
      <c r="AJ72" s="13">
        <v>8.2418865281344527</v>
      </c>
      <c r="AK72" s="13">
        <v>5.918301704728238</v>
      </c>
      <c r="AL72" s="13">
        <v>1.3538924407674353</v>
      </c>
      <c r="AM72" s="13">
        <v>-11.086531098442801</v>
      </c>
      <c r="AN72" s="13">
        <v>-2.2298971394248608</v>
      </c>
      <c r="AO72" s="14">
        <v>-13.444687842278119</v>
      </c>
      <c r="AQ72" s="66"/>
      <c r="AR72" s="74"/>
      <c r="AS72" s="41" t="s">
        <v>26</v>
      </c>
      <c r="AT72" s="12">
        <v>-8.590634102621733</v>
      </c>
      <c r="AU72" s="13">
        <v>3.553689206323543</v>
      </c>
      <c r="AV72" s="13">
        <v>7.6191898754804237</v>
      </c>
      <c r="AW72" s="13">
        <v>9.8325209806866969</v>
      </c>
      <c r="AX72" s="13">
        <v>5.6242237861494697</v>
      </c>
      <c r="AY72" s="13">
        <v>1.880294145025049</v>
      </c>
      <c r="AZ72" s="13">
        <v>1.0801350610780718</v>
      </c>
      <c r="BA72" s="14">
        <v>-4.7841774689288723</v>
      </c>
      <c r="BB72" s="12">
        <v>-8.4246651167938946</v>
      </c>
      <c r="BC72" s="13">
        <v>3.4811459869392847</v>
      </c>
      <c r="BD72" s="13">
        <v>7.6711250983478658</v>
      </c>
      <c r="BE72" s="13">
        <v>9.8511080332410881</v>
      </c>
      <c r="BF72" s="13">
        <v>5.6325107788276494</v>
      </c>
      <c r="BG72" s="13">
        <v>1.6484792198747589</v>
      </c>
      <c r="BH72" s="13">
        <v>0.989604989605119</v>
      </c>
      <c r="BI72" s="14">
        <v>-3.6659029368875848</v>
      </c>
      <c r="BK72" s="66"/>
      <c r="BL72" s="74"/>
      <c r="BM72" s="41" t="s">
        <v>26</v>
      </c>
      <c r="BN72" s="12">
        <v>-6.7455588504280071</v>
      </c>
      <c r="BO72" s="13">
        <v>0.33355570380280136</v>
      </c>
      <c r="BP72" s="13">
        <v>-3.6210114479056235</v>
      </c>
      <c r="BQ72" s="13">
        <v>1.5749450391032878</v>
      </c>
      <c r="BR72" s="13">
        <v>-6.3742432325856706</v>
      </c>
      <c r="BS72" s="13">
        <v>-1.1421447755581799</v>
      </c>
      <c r="BT72" s="13">
        <v>-3.8264766817468576</v>
      </c>
      <c r="BU72" s="14">
        <v>-2.0742169151276646</v>
      </c>
      <c r="BV72" s="12">
        <v>-6.1991544992717103</v>
      </c>
      <c r="BW72" s="13">
        <v>6.6533599467729784E-2</v>
      </c>
      <c r="BX72" s="13">
        <v>-3.6647595484767939</v>
      </c>
      <c r="BY72" s="13">
        <v>1.5551808131913065</v>
      </c>
      <c r="BZ72" s="13">
        <v>-6.3216266173748838</v>
      </c>
      <c r="CA72" s="13">
        <v>-1.2603051265041205</v>
      </c>
      <c r="CB72" s="13">
        <v>-3.8599640933571884</v>
      </c>
      <c r="CC72" s="14">
        <v>0.13506876227911091</v>
      </c>
      <c r="CE72" s="66"/>
      <c r="CF72" s="74"/>
      <c r="CG72" s="41" t="s">
        <v>26</v>
      </c>
      <c r="CH72" s="12">
        <v>-4.1776554676450726</v>
      </c>
      <c r="CI72" s="13">
        <v>563.96396396396415</v>
      </c>
      <c r="CJ72" s="13">
        <v>77.145551713298929</v>
      </c>
      <c r="CK72" s="13">
        <v>-45.365107127240897</v>
      </c>
      <c r="CL72" s="13">
        <v>569.20678905438172</v>
      </c>
      <c r="CM72" s="13">
        <v>851.08695652173901</v>
      </c>
      <c r="CN72" s="13">
        <v>-15.913583733408393</v>
      </c>
      <c r="CO72" s="14">
        <v>226.5761619880351</v>
      </c>
      <c r="CP72" s="12">
        <v>-4.7456210342337375</v>
      </c>
      <c r="CQ72" s="13">
        <v>562.37267825044967</v>
      </c>
      <c r="CR72" s="13">
        <v>81.415929203541012</v>
      </c>
      <c r="CS72" s="13">
        <v>-44.897093146615717</v>
      </c>
      <c r="CT72" s="13">
        <v>574.02995234853609</v>
      </c>
      <c r="CU72" s="13">
        <v>853.27102803738433</v>
      </c>
      <c r="CV72" s="13">
        <v>-15.913583733408393</v>
      </c>
      <c r="CW72" s="14">
        <v>224.8569466697187</v>
      </c>
      <c r="CY72" s="66"/>
      <c r="CZ72" s="74"/>
      <c r="DA72" s="41" t="s">
        <v>26</v>
      </c>
      <c r="DB72" s="12">
        <v>422.43618450515299</v>
      </c>
      <c r="DC72" s="13">
        <v>3831.2000000000248</v>
      </c>
      <c r="DD72" s="13">
        <v>523.55555555555554</v>
      </c>
      <c r="DE72" s="13">
        <v>196.00886917960085</v>
      </c>
      <c r="DF72" s="13">
        <v>1033.6111111111145</v>
      </c>
      <c r="DG72" s="13">
        <v>629.4018058690757</v>
      </c>
      <c r="DH72" s="13">
        <v>418.68905742145188</v>
      </c>
      <c r="DI72" s="14">
        <v>223.34113973458258</v>
      </c>
      <c r="DJ72" s="12">
        <v>424.78632478632477</v>
      </c>
      <c r="DK72" s="13">
        <v>3781.0985460420084</v>
      </c>
      <c r="DL72" s="13">
        <v>525.64102564102552</v>
      </c>
      <c r="DM72" s="13">
        <v>196.00886917960085</v>
      </c>
      <c r="DN72" s="13">
        <v>1027.0491803278719</v>
      </c>
      <c r="DO72" s="13">
        <v>686.19221411192257</v>
      </c>
      <c r="DP72" s="13">
        <v>415.33907427341228</v>
      </c>
      <c r="DQ72" s="14">
        <v>226.22735626148588</v>
      </c>
      <c r="DS72" s="66"/>
      <c r="DT72" s="74"/>
      <c r="DU72" s="41" t="s">
        <v>26</v>
      </c>
      <c r="DV72" s="12">
        <v>-25.325909831613231</v>
      </c>
      <c r="DW72" s="13">
        <v>36.645539426156873</v>
      </c>
      <c r="DX72" s="13">
        <v>166.13418530351461</v>
      </c>
      <c r="DY72" s="13">
        <v>71.775592828224617</v>
      </c>
      <c r="DZ72" s="13">
        <v>312.41225271218877</v>
      </c>
      <c r="EA72" s="13">
        <v>368.23529411764758</v>
      </c>
      <c r="EB72" s="13">
        <v>712.47199402539286</v>
      </c>
      <c r="EC72" s="14">
        <v>289.66365873667002</v>
      </c>
      <c r="ED72" s="12">
        <v>-24.830067972810781</v>
      </c>
      <c r="EE72" s="13">
        <v>36.076917958613777</v>
      </c>
      <c r="EF72" s="13">
        <v>165.30723219140856</v>
      </c>
      <c r="EG72" s="13">
        <v>71.682916490038892</v>
      </c>
      <c r="EH72" s="13">
        <v>315.53520682033491</v>
      </c>
      <c r="EI72" s="13">
        <v>368.23529411764758</v>
      </c>
      <c r="EJ72" s="13">
        <v>710.32028469750935</v>
      </c>
      <c r="EK72" s="14">
        <v>288.84673748103228</v>
      </c>
      <c r="EM72" s="66"/>
      <c r="EN72" s="74"/>
      <c r="EO72" s="41" t="s">
        <v>26</v>
      </c>
      <c r="EP72" s="12">
        <v>-3.9814456899884374</v>
      </c>
      <c r="EQ72" s="13">
        <v>485.12968299711866</v>
      </c>
      <c r="ER72" s="13">
        <v>444.49388209121264</v>
      </c>
      <c r="ES72" s="13">
        <v>20.098215355132684</v>
      </c>
      <c r="ET72" s="13">
        <v>948.26254826255217</v>
      </c>
      <c r="EU72" s="13">
        <v>79.610933267668415</v>
      </c>
      <c r="EV72" s="13">
        <v>602.103250478012</v>
      </c>
      <c r="EW72" s="14">
        <v>401.49006622516623</v>
      </c>
      <c r="EX72" s="12">
        <v>-1.4725568942434863</v>
      </c>
      <c r="EY72" s="13">
        <v>506.45161290322579</v>
      </c>
      <c r="EZ72" s="13">
        <v>423.52941176470591</v>
      </c>
      <c r="FA72" s="13">
        <v>41.243919388464697</v>
      </c>
      <c r="FB72" s="13">
        <v>943.05084745763247</v>
      </c>
      <c r="FC72" s="13">
        <v>79.69389954731686</v>
      </c>
      <c r="FD72" s="13">
        <v>537.5</v>
      </c>
      <c r="FE72" s="14">
        <v>471.5728715728722</v>
      </c>
    </row>
    <row r="73" spans="3:161" x14ac:dyDescent="0.3">
      <c r="C73" s="65">
        <v>3</v>
      </c>
      <c r="D73" s="71" t="s">
        <v>20</v>
      </c>
      <c r="E73" s="72"/>
      <c r="F73" s="21">
        <v>5.2705970149253698</v>
      </c>
      <c r="G73" s="22">
        <v>5.4204477611940298</v>
      </c>
      <c r="H73" s="22">
        <v>2.3871641791044702</v>
      </c>
      <c r="I73" s="22">
        <v>3.5516417910447702</v>
      </c>
      <c r="J73" s="22">
        <v>4.4780597014925299</v>
      </c>
      <c r="K73" s="22">
        <v>1.2419402985074599</v>
      </c>
      <c r="L73" s="22">
        <v>3.9082089552238801</v>
      </c>
      <c r="M73" s="23"/>
      <c r="N73" s="21">
        <v>5.3437999999999999</v>
      </c>
      <c r="O73" s="22">
        <v>5.3196000000000003</v>
      </c>
      <c r="P73" s="22">
        <v>2.3801999999999999</v>
      </c>
      <c r="Q73" s="22">
        <v>3.5933999999999999</v>
      </c>
      <c r="R73" s="22">
        <v>4.5481999999999996</v>
      </c>
      <c r="S73" s="22">
        <v>1.2363999999999999</v>
      </c>
      <c r="T73" s="22">
        <v>3.9426000000000001</v>
      </c>
      <c r="U73" s="23"/>
      <c r="W73" s="65">
        <v>3</v>
      </c>
      <c r="X73" s="71" t="s">
        <v>20</v>
      </c>
      <c r="Y73" s="72"/>
      <c r="Z73" s="21">
        <v>5.9933774834436999</v>
      </c>
      <c r="AA73" s="22">
        <v>4.9435526315789504</v>
      </c>
      <c r="AB73" s="22">
        <v>2.1827631578947302</v>
      </c>
      <c r="AC73" s="22">
        <v>2.4629999999999899</v>
      </c>
      <c r="AD73" s="22">
        <v>3.6053642384105902</v>
      </c>
      <c r="AE73" s="22">
        <v>2.9721710526315799</v>
      </c>
      <c r="AF73" s="22">
        <v>3.7256578947368402</v>
      </c>
      <c r="AG73" s="23">
        <v>2.7025000000000001</v>
      </c>
      <c r="AH73" s="21">
        <v>5.9316363636363603</v>
      </c>
      <c r="AI73" s="22">
        <v>4.8914545454545397</v>
      </c>
      <c r="AJ73" s="22">
        <v>2.21090909090909</v>
      </c>
      <c r="AK73" s="22">
        <v>2.44</v>
      </c>
      <c r="AL73" s="22">
        <v>3.6046296296296201</v>
      </c>
      <c r="AM73" s="22">
        <v>2.8534545454545399</v>
      </c>
      <c r="AN73" s="22">
        <v>3.81781818181818</v>
      </c>
      <c r="AO73" s="23">
        <v>2.71306122448979</v>
      </c>
      <c r="AQ73" s="65">
        <v>3</v>
      </c>
      <c r="AR73" s="71" t="s">
        <v>20</v>
      </c>
      <c r="AS73" s="72"/>
      <c r="AT73" s="21">
        <v>5.9838536585365896</v>
      </c>
      <c r="AU73" s="22">
        <v>3.61290640394088</v>
      </c>
      <c r="AV73" s="22">
        <v>3.2401960784313699</v>
      </c>
      <c r="AW73" s="22">
        <v>2.3646829268292699</v>
      </c>
      <c r="AX73" s="22">
        <v>2.1547317073170702</v>
      </c>
      <c r="AY73" s="22">
        <v>3.7775490196078301</v>
      </c>
      <c r="AZ73" s="22">
        <v>2.4212195121951101</v>
      </c>
      <c r="BA73" s="23">
        <v>1.2919170984455901</v>
      </c>
      <c r="BB73" s="21">
        <v>6.0648</v>
      </c>
      <c r="BC73" s="22">
        <v>3.6141999999999999</v>
      </c>
      <c r="BD73" s="22">
        <v>3.1293999999999902</v>
      </c>
      <c r="BE73" s="22">
        <v>2.3819999999999899</v>
      </c>
      <c r="BF73" s="22">
        <v>2.1165999999999898</v>
      </c>
      <c r="BG73" s="22">
        <v>3.7901999999999898</v>
      </c>
      <c r="BH73" s="22">
        <v>2.4693999999999998</v>
      </c>
      <c r="BI73" s="23">
        <v>1.3085416666666601</v>
      </c>
      <c r="BK73" s="65">
        <v>3</v>
      </c>
      <c r="BL73" s="71" t="s">
        <v>20</v>
      </c>
      <c r="BM73" s="72"/>
      <c r="BN73" s="21">
        <v>6.5467021276595698</v>
      </c>
      <c r="BO73" s="22">
        <v>3.5500531914893498</v>
      </c>
      <c r="BP73" s="22">
        <v>4.4592934782608697</v>
      </c>
      <c r="BQ73" s="22">
        <v>2.5635106382978701</v>
      </c>
      <c r="BR73" s="22">
        <v>1.8628723404255301</v>
      </c>
      <c r="BS73" s="22">
        <v>4.9309782608695496</v>
      </c>
      <c r="BT73" s="22">
        <v>3.0896791443850198</v>
      </c>
      <c r="BU73" s="23">
        <v>2.0343315508021398</v>
      </c>
      <c r="BV73" s="21">
        <v>6.6119999999999903</v>
      </c>
      <c r="BW73" s="22">
        <v>3.4252499999999899</v>
      </c>
      <c r="BX73" s="22">
        <v>4.5207499999999898</v>
      </c>
      <c r="BY73" s="22">
        <v>2.5762499999999902</v>
      </c>
      <c r="BZ73" s="22">
        <v>1.897</v>
      </c>
      <c r="CA73" s="22">
        <v>4.56025641025641</v>
      </c>
      <c r="CB73" s="22">
        <v>3.10825</v>
      </c>
      <c r="CC73" s="23">
        <v>2.0394999999999999</v>
      </c>
      <c r="CE73" s="65">
        <v>3</v>
      </c>
      <c r="CF73" s="71" t="s">
        <v>20</v>
      </c>
      <c r="CG73" s="72"/>
      <c r="CH73" s="21">
        <v>4.9679661016949099</v>
      </c>
      <c r="CI73" s="22">
        <v>1.1187931034482701</v>
      </c>
      <c r="CJ73" s="22">
        <v>1.1303389830508399</v>
      </c>
      <c r="CK73" s="22">
        <v>6.73864406779661</v>
      </c>
      <c r="CL73" s="22">
        <v>0.69423728813559304</v>
      </c>
      <c r="CM73" s="22">
        <v>0.14338983050847401</v>
      </c>
      <c r="CN73" s="22">
        <v>4.0194642857142799</v>
      </c>
      <c r="CO73" s="23">
        <v>1.0684482758620599</v>
      </c>
      <c r="CP73" s="21">
        <v>4.9161666666666601</v>
      </c>
      <c r="CQ73" s="22">
        <v>1.1101694915254201</v>
      </c>
      <c r="CR73" s="22">
        <v>1.11883333333333</v>
      </c>
      <c r="CS73" s="22">
        <v>6.7576666666666698</v>
      </c>
      <c r="CT73" s="22">
        <v>0.69483333333333297</v>
      </c>
      <c r="CU73" s="22">
        <v>0.14383333333333301</v>
      </c>
      <c r="CV73" s="22">
        <v>4.0671929824561301</v>
      </c>
      <c r="CW73" s="23">
        <v>1.0701694915254201</v>
      </c>
      <c r="CY73" s="65">
        <v>3</v>
      </c>
      <c r="CZ73" s="71" t="s">
        <v>20</v>
      </c>
      <c r="DA73" s="72"/>
      <c r="DB73" s="21">
        <v>1.3051162790697599</v>
      </c>
      <c r="DC73" s="22">
        <v>0.19173076923076901</v>
      </c>
      <c r="DD73" s="22">
        <v>0.35249999999999998</v>
      </c>
      <c r="DE73" s="22">
        <v>1.4535714285714201</v>
      </c>
      <c r="DF73" s="22">
        <v>0.35366666666666602</v>
      </c>
      <c r="DG73" s="22">
        <v>0.82216666666666605</v>
      </c>
      <c r="DH73" s="22">
        <v>0.83830188679245199</v>
      </c>
      <c r="DI73" s="23">
        <v>0.93</v>
      </c>
      <c r="DJ73" s="21">
        <v>1.3051162790697599</v>
      </c>
      <c r="DK73" s="22">
        <v>0.19392156862745</v>
      </c>
      <c r="DL73" s="22">
        <v>0.34849999999999998</v>
      </c>
      <c r="DM73" s="22">
        <v>1.4778571428571401</v>
      </c>
      <c r="DN73" s="22">
        <v>0.350833333333333</v>
      </c>
      <c r="DO73" s="22">
        <v>0.89949999999999897</v>
      </c>
      <c r="DP73" s="22">
        <v>0.84056603773584804</v>
      </c>
      <c r="DQ73" s="23">
        <v>0.975833333333333</v>
      </c>
      <c r="DS73" s="65">
        <v>3</v>
      </c>
      <c r="DT73" s="71" t="s">
        <v>20</v>
      </c>
      <c r="DU73" s="72"/>
      <c r="DV73" s="21">
        <v>5.5676271186440696</v>
      </c>
      <c r="DW73" s="22">
        <v>3.7111111111111099</v>
      </c>
      <c r="DX73" s="22">
        <v>1.0733898305084699</v>
      </c>
      <c r="DY73" s="22">
        <v>1.46966101694915</v>
      </c>
      <c r="DZ73" s="22">
        <v>0.7</v>
      </c>
      <c r="EA73" s="22">
        <v>0.74162162162162104</v>
      </c>
      <c r="EB73" s="22">
        <v>0.35271186440677899</v>
      </c>
      <c r="EC73" s="23">
        <v>0.27762711864406697</v>
      </c>
      <c r="ED73" s="21">
        <v>5.7493333333333299</v>
      </c>
      <c r="EE73" s="22">
        <v>3.7974545454545399</v>
      </c>
      <c r="EF73" s="22">
        <v>1.12733333333333</v>
      </c>
      <c r="EG73" s="22">
        <v>1.472</v>
      </c>
      <c r="EH73" s="22">
        <v>0.69766666666666699</v>
      </c>
      <c r="EI73" s="22">
        <v>0.74605263157894697</v>
      </c>
      <c r="EJ73" s="22">
        <v>0.34583333333333299</v>
      </c>
      <c r="EK73" s="23">
        <v>0.27866666666666601</v>
      </c>
      <c r="EM73" s="65">
        <v>3</v>
      </c>
      <c r="EN73" s="71" t="s">
        <v>20</v>
      </c>
      <c r="EO73" s="72"/>
      <c r="EP73" s="21">
        <v>6.9483050847457601</v>
      </c>
      <c r="EQ73" s="22">
        <v>0.66898305084745702</v>
      </c>
      <c r="ER73" s="22">
        <v>0.80625000000000002</v>
      </c>
      <c r="ES73" s="22">
        <v>2.9671794871794801</v>
      </c>
      <c r="ET73" s="22">
        <v>0.240338983050847</v>
      </c>
      <c r="EU73" s="22">
        <v>2.5738461538461501</v>
      </c>
      <c r="EV73" s="22">
        <v>0.42571428571428499</v>
      </c>
      <c r="EW73" s="23">
        <v>0.60306122448979604</v>
      </c>
      <c r="EX73" s="21">
        <v>6.4180000000000001</v>
      </c>
      <c r="EY73" s="22">
        <v>0.64633333333333298</v>
      </c>
      <c r="EZ73" s="22">
        <v>0.85</v>
      </c>
      <c r="FA73" s="22">
        <v>3.23</v>
      </c>
      <c r="FB73" s="22">
        <v>0.20166666666666599</v>
      </c>
      <c r="FC73" s="22">
        <v>2.3767857142857101</v>
      </c>
      <c r="FD73" s="22">
        <v>0.57999999999999996</v>
      </c>
      <c r="FE73" s="23">
        <v>0.44565217391304301</v>
      </c>
    </row>
    <row r="74" spans="3:161" ht="15" customHeight="1" x14ac:dyDescent="0.3">
      <c r="C74" s="66"/>
      <c r="D74" s="68" t="s">
        <v>21</v>
      </c>
      <c r="E74" s="69"/>
      <c r="F74" s="24">
        <v>0.841505191223893</v>
      </c>
      <c r="G74" s="25">
        <v>1.2898668597680201</v>
      </c>
      <c r="H74" s="25">
        <v>0.30507550310941101</v>
      </c>
      <c r="I74" s="25">
        <v>0.717871224919164</v>
      </c>
      <c r="J74" s="25">
        <v>0.79542392490817604</v>
      </c>
      <c r="K74" s="25">
        <v>0.122318873782801</v>
      </c>
      <c r="L74" s="25">
        <v>0.62866103951682095</v>
      </c>
      <c r="M74" s="26"/>
      <c r="N74" s="24">
        <v>0.67599967455613397</v>
      </c>
      <c r="O74" s="25">
        <v>1.44789773119512</v>
      </c>
      <c r="P74" s="25">
        <v>0.33429023318068901</v>
      </c>
      <c r="Q74" s="25">
        <v>0.68171140521484497</v>
      </c>
      <c r="R74" s="25">
        <v>0.648918145839673</v>
      </c>
      <c r="S74" s="25">
        <v>0.14099304947407801</v>
      </c>
      <c r="T74" s="25">
        <v>0.59667683045346998</v>
      </c>
      <c r="U74" s="26"/>
      <c r="W74" s="66"/>
      <c r="X74" s="68" t="s">
        <v>21</v>
      </c>
      <c r="Y74" s="69"/>
      <c r="Z74" s="24">
        <v>1.1050970934642199</v>
      </c>
      <c r="AA74" s="25">
        <v>1.0021853804080301</v>
      </c>
      <c r="AB74" s="25">
        <v>0.35022022651998802</v>
      </c>
      <c r="AC74" s="25">
        <v>0.33313410713004599</v>
      </c>
      <c r="AD74" s="25">
        <v>0.69379155488879696</v>
      </c>
      <c r="AE74" s="25">
        <v>0.49169539908142201</v>
      </c>
      <c r="AF74" s="25">
        <v>0.63669135612476202</v>
      </c>
      <c r="AG74" s="26">
        <v>0.53355493738894499</v>
      </c>
      <c r="AH74" s="24">
        <v>1.11850511216999</v>
      </c>
      <c r="AI74" s="25">
        <v>1.01013845708365</v>
      </c>
      <c r="AJ74" s="25">
        <v>0.262984774721916</v>
      </c>
      <c r="AK74" s="25">
        <v>0.41636794323163601</v>
      </c>
      <c r="AL74" s="25">
        <v>0.70329044883204594</v>
      </c>
      <c r="AM74" s="25">
        <v>0.65547545042945898</v>
      </c>
      <c r="AN74" s="25">
        <v>0.45447548552386002</v>
      </c>
      <c r="AO74" s="26">
        <v>0.47341229423536701</v>
      </c>
      <c r="AQ74" s="66"/>
      <c r="AR74" s="68" t="s">
        <v>21</v>
      </c>
      <c r="AS74" s="69"/>
      <c r="AT74" s="24">
        <v>0.88759267632849403</v>
      </c>
      <c r="AU74" s="25">
        <v>0.815329076848757</v>
      </c>
      <c r="AV74" s="25">
        <v>0.36241964732742399</v>
      </c>
      <c r="AW74" s="25">
        <v>0.41264822549138602</v>
      </c>
      <c r="AX74" s="25">
        <v>0.332695643845347</v>
      </c>
      <c r="AY74" s="25">
        <v>0.59993943530030602</v>
      </c>
      <c r="AZ74" s="25">
        <v>0.38062974213122502</v>
      </c>
      <c r="BA74" s="26">
        <v>0.12060707137722999</v>
      </c>
      <c r="BB74" s="24">
        <v>0.60601399323778005</v>
      </c>
      <c r="BC74" s="25">
        <v>0.76678834106942395</v>
      </c>
      <c r="BD74" s="25">
        <v>0.56259189471587601</v>
      </c>
      <c r="BE74" s="25">
        <v>0.260783435056753</v>
      </c>
      <c r="BF74" s="25">
        <v>0.413746830803572</v>
      </c>
      <c r="BG74" s="25">
        <v>0.49115981105949602</v>
      </c>
      <c r="BH74" s="25">
        <v>0.220012817808417</v>
      </c>
      <c r="BI74" s="26">
        <v>0.119250953583422</v>
      </c>
      <c r="BK74" s="66"/>
      <c r="BL74" s="68" t="s">
        <v>21</v>
      </c>
      <c r="BM74" s="69"/>
      <c r="BN74" s="24">
        <v>1.2402958537740401</v>
      </c>
      <c r="BO74" s="25">
        <v>0.64843223151906304</v>
      </c>
      <c r="BP74" s="25">
        <v>0.65699086814584495</v>
      </c>
      <c r="BQ74" s="25">
        <v>0.42458291786427899</v>
      </c>
      <c r="BR74" s="25">
        <v>0.28805149635802402</v>
      </c>
      <c r="BS74" s="25">
        <v>1.0493513107822601</v>
      </c>
      <c r="BT74" s="25">
        <v>0.42209295646408701</v>
      </c>
      <c r="BU74" s="26">
        <v>0.71214968475491502</v>
      </c>
      <c r="BV74" s="24">
        <v>1.0885292830236499</v>
      </c>
      <c r="BW74" s="25">
        <v>0.98506595591361201</v>
      </c>
      <c r="BX74" s="25">
        <v>0.56153979155532696</v>
      </c>
      <c r="BY74" s="25">
        <v>0.27834050639459501</v>
      </c>
      <c r="BZ74" s="25">
        <v>0.23155129021449999</v>
      </c>
      <c r="CA74" s="25">
        <v>1.4556864398547</v>
      </c>
      <c r="CB74" s="25">
        <v>0.36485536517913503</v>
      </c>
      <c r="CC74" s="26">
        <v>0.69179458656453696</v>
      </c>
      <c r="CE74" s="66"/>
      <c r="CF74" s="68" t="s">
        <v>21</v>
      </c>
      <c r="CG74" s="69"/>
      <c r="CH74" s="24">
        <v>1.1425362504518899</v>
      </c>
      <c r="CI74" s="25">
        <v>0.62545453151042096</v>
      </c>
      <c r="CJ74" s="25">
        <v>0.50196551337309503</v>
      </c>
      <c r="CK74" s="25">
        <v>1.53766878100972</v>
      </c>
      <c r="CL74" s="25">
        <v>7.9600770582900396E-2</v>
      </c>
      <c r="CM74" s="25">
        <v>1.46842668591799E-2</v>
      </c>
      <c r="CN74" s="25">
        <v>1.54630367979677</v>
      </c>
      <c r="CO74" s="26">
        <v>0.96131519414655398</v>
      </c>
      <c r="CP74" s="24">
        <v>1.1376834528500801</v>
      </c>
      <c r="CQ74" s="25">
        <v>0.623207916241316</v>
      </c>
      <c r="CR74" s="25">
        <v>0.51472352341383698</v>
      </c>
      <c r="CS74" s="25">
        <v>1.53178584955237</v>
      </c>
      <c r="CT74" s="25">
        <v>7.9067306068240903E-2</v>
      </c>
      <c r="CU74" s="25">
        <v>1.45019155822793E-2</v>
      </c>
      <c r="CV74" s="25">
        <v>1.53511843578291</v>
      </c>
      <c r="CW74" s="26">
        <v>0.95140127078550896</v>
      </c>
      <c r="CY74" s="66"/>
      <c r="CZ74" s="68" t="s">
        <v>21</v>
      </c>
      <c r="DA74" s="69"/>
      <c r="DB74" s="24">
        <v>0.47607099379224999</v>
      </c>
      <c r="DC74" s="25">
        <v>0.23806690360425101</v>
      </c>
      <c r="DD74" s="25">
        <v>0.18857911690675899</v>
      </c>
      <c r="DE74" s="25">
        <v>0.98247397015942195</v>
      </c>
      <c r="DF74" s="25">
        <v>7.7092296776151495E-2</v>
      </c>
      <c r="DG74" s="25">
        <v>0.92361083375100195</v>
      </c>
      <c r="DH74" s="25">
        <v>0.491346766259249</v>
      </c>
      <c r="DI74" s="26">
        <v>0.62711774545667698</v>
      </c>
      <c r="DJ74" s="24">
        <v>0.47607099379224999</v>
      </c>
      <c r="DK74" s="25">
        <v>0.239869886555129</v>
      </c>
      <c r="DL74" s="25">
        <v>0.190278961877905</v>
      </c>
      <c r="DM74" s="25">
        <v>0.98406176179160998</v>
      </c>
      <c r="DN74" s="25">
        <v>7.6622269753787706E-2</v>
      </c>
      <c r="DO74" s="25">
        <v>0.97581833179473798</v>
      </c>
      <c r="DP74" s="25">
        <v>0.49111891921288098</v>
      </c>
      <c r="DQ74" s="26">
        <v>0.67940486620440199</v>
      </c>
      <c r="DS74" s="66"/>
      <c r="DT74" s="68" t="s">
        <v>21</v>
      </c>
      <c r="DU74" s="69"/>
      <c r="DV74" s="24">
        <v>2.5512691019277001</v>
      </c>
      <c r="DW74" s="25">
        <v>3.49225474584494</v>
      </c>
      <c r="DX74" s="25">
        <v>0.445955877461374</v>
      </c>
      <c r="DY74" s="25">
        <v>0.19068090393216999</v>
      </c>
      <c r="DZ74" s="25">
        <v>0.514534510710277</v>
      </c>
      <c r="EA74" s="25">
        <v>0.19289422270800899</v>
      </c>
      <c r="EB74" s="25">
        <v>9.2035927186801106E-2</v>
      </c>
      <c r="EC74" s="26">
        <v>7.56741225512471E-2</v>
      </c>
      <c r="ED74" s="24">
        <v>2.5335020996416899</v>
      </c>
      <c r="EE74" s="25">
        <v>3.4173079347142701</v>
      </c>
      <c r="EF74" s="25">
        <v>0.41852863966785098</v>
      </c>
      <c r="EG74" s="25">
        <v>0.189936831604615</v>
      </c>
      <c r="EH74" s="25">
        <v>0.51141426999601303</v>
      </c>
      <c r="EI74" s="25">
        <v>0.18842197147673601</v>
      </c>
      <c r="EJ74" s="25">
        <v>9.0208862585052493E-2</v>
      </c>
      <c r="EK74" s="26">
        <v>7.6124167574357596E-2</v>
      </c>
      <c r="EM74" s="66"/>
      <c r="EN74" s="68" t="s">
        <v>21</v>
      </c>
      <c r="EO74" s="69"/>
      <c r="EP74" s="24">
        <v>2.0181953278856701</v>
      </c>
      <c r="EQ74" s="25">
        <v>0.167085636373141</v>
      </c>
      <c r="ER74" s="25">
        <v>8.0612886686931104E-2</v>
      </c>
      <c r="ES74" s="25">
        <v>2.4508197987067599</v>
      </c>
      <c r="ET74" s="25">
        <v>0.11767473270676999</v>
      </c>
      <c r="EU74" s="25">
        <v>0.80846044060527</v>
      </c>
      <c r="EV74" s="25">
        <v>0.20310849618981899</v>
      </c>
      <c r="EW74" s="26">
        <v>0.69254692342795099</v>
      </c>
      <c r="EX74" s="24">
        <v>1.3908663966511401</v>
      </c>
      <c r="EY74" s="25">
        <v>0.11940081890655301</v>
      </c>
      <c r="EZ74" s="25">
        <v>0</v>
      </c>
      <c r="FA74" s="25">
        <v>2.3857179212974802</v>
      </c>
      <c r="FB74" s="25">
        <v>5.8428493809860302E-2</v>
      </c>
      <c r="FC74" s="25">
        <v>0.93298313248965203</v>
      </c>
      <c r="FD74" s="25">
        <v>0.23430749027719899</v>
      </c>
      <c r="FE74" s="26">
        <v>0.127443971899556</v>
      </c>
    </row>
    <row r="75" spans="3:161" ht="15" customHeight="1" x14ac:dyDescent="0.3">
      <c r="C75" s="66"/>
      <c r="D75" s="68" t="s">
        <v>22</v>
      </c>
      <c r="E75" s="69"/>
      <c r="F75" s="33">
        <v>5.4695238095238103</v>
      </c>
      <c r="G75" s="34">
        <v>5.8369999999999997</v>
      </c>
      <c r="H75" s="34">
        <v>2.4568253968253901</v>
      </c>
      <c r="I75" s="34">
        <v>3.7886666666666602</v>
      </c>
      <c r="J75" s="34">
        <v>4.64578124999999</v>
      </c>
      <c r="K75" s="34">
        <v>1.25938461538461</v>
      </c>
      <c r="L75" s="34">
        <v>4.0633333333333299</v>
      </c>
      <c r="M75" s="35"/>
      <c r="N75" s="33">
        <v>5.4658333333333298</v>
      </c>
      <c r="O75" s="34">
        <v>5.8327272727272703</v>
      </c>
      <c r="P75" s="34">
        <v>2.45723404255319</v>
      </c>
      <c r="Q75" s="34">
        <v>3.7895652173913001</v>
      </c>
      <c r="R75" s="34">
        <v>4.6399999999999899</v>
      </c>
      <c r="S75" s="34">
        <v>1.25979166666666</v>
      </c>
      <c r="T75" s="34">
        <v>4.0639583333333302</v>
      </c>
      <c r="U75" s="35"/>
      <c r="W75" s="66"/>
      <c r="X75" s="68" t="s">
        <v>22</v>
      </c>
      <c r="Y75" s="69"/>
      <c r="Z75" s="33">
        <v>6.2924460431654596</v>
      </c>
      <c r="AA75" s="34">
        <v>5.3029545454545497</v>
      </c>
      <c r="AB75" s="34">
        <v>2.2524827586206801</v>
      </c>
      <c r="AC75" s="34">
        <v>2.52569444444444</v>
      </c>
      <c r="AD75" s="34">
        <v>3.7922857142857098</v>
      </c>
      <c r="AE75" s="34">
        <v>3.1003546099290702</v>
      </c>
      <c r="AF75" s="34">
        <v>3.9343703703703699</v>
      </c>
      <c r="AG75" s="35">
        <v>2.57708737864077</v>
      </c>
      <c r="AH75" s="33">
        <v>6.2421999999999898</v>
      </c>
      <c r="AI75" s="34">
        <v>5.3123913043478197</v>
      </c>
      <c r="AJ75" s="34">
        <v>2.25207547169811</v>
      </c>
      <c r="AK75" s="34">
        <v>2.5223529411764698</v>
      </c>
      <c r="AL75" s="34">
        <v>3.7945999999999902</v>
      </c>
      <c r="AM75" s="34">
        <v>3.0891666666666602</v>
      </c>
      <c r="AN75" s="34">
        <v>3.9476</v>
      </c>
      <c r="AO75" s="35">
        <v>2.5844736842105198</v>
      </c>
      <c r="AQ75" s="66"/>
      <c r="AR75" s="68" t="s">
        <v>22</v>
      </c>
      <c r="AS75" s="69"/>
      <c r="AT75" s="33">
        <v>6.1701538461538501</v>
      </c>
      <c r="AU75" s="34">
        <v>3.8710382513661101</v>
      </c>
      <c r="AV75" s="34">
        <v>3.3197927461139898</v>
      </c>
      <c r="AW75" s="34">
        <v>2.4621875000000002</v>
      </c>
      <c r="AX75" s="34">
        <v>2.22548717948718</v>
      </c>
      <c r="AY75" s="34">
        <v>3.9132642487046501</v>
      </c>
      <c r="AZ75" s="34">
        <v>2.5035384615384499</v>
      </c>
      <c r="BA75" s="35">
        <v>1.28040935672514</v>
      </c>
      <c r="BB75" s="33">
        <v>6.1741666666666601</v>
      </c>
      <c r="BC75" s="34">
        <v>3.8548888888888801</v>
      </c>
      <c r="BD75" s="34">
        <v>3.3035555555555498</v>
      </c>
      <c r="BE75" s="34">
        <v>2.4628888888888798</v>
      </c>
      <c r="BF75" s="34">
        <v>2.2165957446808502</v>
      </c>
      <c r="BG75" s="34">
        <v>3.9004255319148902</v>
      </c>
      <c r="BH75" s="34">
        <v>2.50061224489796</v>
      </c>
      <c r="BI75" s="35">
        <v>1.2844186046511601</v>
      </c>
      <c r="BK75" s="66"/>
      <c r="BL75" s="68" t="s">
        <v>22</v>
      </c>
      <c r="BM75" s="69"/>
      <c r="BN75" s="33">
        <v>6.9208982035928104</v>
      </c>
      <c r="BO75" s="34">
        <v>3.7283720930232498</v>
      </c>
      <c r="BP75" s="34">
        <v>4.6110404624277503</v>
      </c>
      <c r="BQ75" s="34">
        <v>2.6850000000000001</v>
      </c>
      <c r="BR75" s="34">
        <v>1.9379190751444999</v>
      </c>
      <c r="BS75" s="34">
        <v>5.2625454545454398</v>
      </c>
      <c r="BT75" s="34">
        <v>3.1820338983050802</v>
      </c>
      <c r="BU75" s="35">
        <v>2.266</v>
      </c>
      <c r="BV75" s="33">
        <v>6.9448571428571402</v>
      </c>
      <c r="BW75" s="34">
        <v>3.7530555555555498</v>
      </c>
      <c r="BX75" s="34">
        <v>4.6105128205128096</v>
      </c>
      <c r="BY75" s="34">
        <v>2.6882352941176402</v>
      </c>
      <c r="BZ75" s="34">
        <v>1.9436842105263099</v>
      </c>
      <c r="CA75" s="34">
        <v>5.2719354838709602</v>
      </c>
      <c r="CB75" s="34">
        <v>3.18394736842105</v>
      </c>
      <c r="CC75" s="35">
        <v>2.335</v>
      </c>
      <c r="CE75" s="66"/>
      <c r="CF75" s="68" t="s">
        <v>22</v>
      </c>
      <c r="CG75" s="69"/>
      <c r="CH75" s="33">
        <v>5.3972093023255798</v>
      </c>
      <c r="CI75" s="34">
        <v>0.93754716981132102</v>
      </c>
      <c r="CJ75" s="34">
        <v>1.4046666666666601</v>
      </c>
      <c r="CK75" s="34">
        <v>7.1239999999999997</v>
      </c>
      <c r="CL75" s="34">
        <v>0.71854166666666597</v>
      </c>
      <c r="CM75" s="34">
        <v>0.14433962264150901</v>
      </c>
      <c r="CN75" s="34">
        <v>4.6855555555555499</v>
      </c>
      <c r="CO75" s="35">
        <v>0.77490566037735797</v>
      </c>
      <c r="CP75" s="33">
        <v>5.3576744186046499</v>
      </c>
      <c r="CQ75" s="34">
        <v>0.93148148148148102</v>
      </c>
      <c r="CR75" s="34">
        <v>1.4099999999999899</v>
      </c>
      <c r="CS75" s="34">
        <v>7.1375000000000002</v>
      </c>
      <c r="CT75" s="34">
        <v>0.71877551020408104</v>
      </c>
      <c r="CU75" s="34">
        <v>0.14481481481481401</v>
      </c>
      <c r="CV75" s="34">
        <v>4.7302173913043397</v>
      </c>
      <c r="CW75" s="35">
        <v>0.78222222222222204</v>
      </c>
      <c r="CY75" s="66"/>
      <c r="CZ75" s="68" t="s">
        <v>22</v>
      </c>
      <c r="DA75" s="69"/>
      <c r="DB75" s="33">
        <v>1.175</v>
      </c>
      <c r="DC75" s="34">
        <v>0.13428571428571401</v>
      </c>
      <c r="DD75" s="34">
        <v>0.38750000000000001</v>
      </c>
      <c r="DE75" s="34">
        <v>0.99727272727272798</v>
      </c>
      <c r="DF75" s="34">
        <v>0.31604651162790698</v>
      </c>
      <c r="DG75" s="34">
        <v>0.32500000000000001</v>
      </c>
      <c r="DH75" s="34">
        <v>0.74176470588235199</v>
      </c>
      <c r="DI75" s="35">
        <v>0.72888888888888903</v>
      </c>
      <c r="DJ75" s="33">
        <v>1.175</v>
      </c>
      <c r="DK75" s="34">
        <v>0.13541666666666599</v>
      </c>
      <c r="DL75" s="34">
        <v>0.38744186046511597</v>
      </c>
      <c r="DM75" s="34">
        <v>1.0281818181818101</v>
      </c>
      <c r="DN75" s="34">
        <v>0.31522727272727202</v>
      </c>
      <c r="DO75" s="34">
        <v>0.32590909090909098</v>
      </c>
      <c r="DP75" s="34">
        <v>0.744117647058823</v>
      </c>
      <c r="DQ75" s="35">
        <v>0.73716981132075499</v>
      </c>
      <c r="DS75" s="66"/>
      <c r="DT75" s="68" t="s">
        <v>22</v>
      </c>
      <c r="DU75" s="69"/>
      <c r="DV75" s="33">
        <v>7.1619047619047604</v>
      </c>
      <c r="DW75" s="34">
        <v>2.9041176470588201</v>
      </c>
      <c r="DX75" s="34">
        <v>1.3399999999999901</v>
      </c>
      <c r="DY75" s="34">
        <v>1.57181818181818</v>
      </c>
      <c r="DZ75" s="34">
        <v>0.56254545454545402</v>
      </c>
      <c r="EA75" s="34">
        <v>0.85</v>
      </c>
      <c r="EB75" s="34">
        <v>0.30906976744185999</v>
      </c>
      <c r="EC75" s="35">
        <v>0.32500000000000001</v>
      </c>
      <c r="ED75" s="33">
        <v>7.24727272727272</v>
      </c>
      <c r="EE75" s="34">
        <v>3.01096153846153</v>
      </c>
      <c r="EF75" s="34">
        <v>1.3427272727272701</v>
      </c>
      <c r="EG75" s="34">
        <v>1.57266666666666</v>
      </c>
      <c r="EH75" s="34">
        <v>0.5625</v>
      </c>
      <c r="EI75" s="34">
        <v>0.85</v>
      </c>
      <c r="EJ75" s="34">
        <v>0.30727272727272698</v>
      </c>
      <c r="EK75" s="35">
        <v>0.32374999999999998</v>
      </c>
      <c r="EM75" s="66"/>
      <c r="EN75" s="68" t="s">
        <v>22</v>
      </c>
      <c r="EO75" s="69"/>
      <c r="EP75" s="33">
        <v>6.86961538461538</v>
      </c>
      <c r="EQ75" s="34">
        <v>0.64547169811320704</v>
      </c>
      <c r="ER75" s="34">
        <v>0.83285714285714196</v>
      </c>
      <c r="ES75" s="34">
        <v>2.2447058823529402</v>
      </c>
      <c r="ET75" s="34">
        <v>0.19571428571428501</v>
      </c>
      <c r="EU75" s="34">
        <v>2.8685714285714301</v>
      </c>
      <c r="EV75" s="34">
        <v>0.32090909090908998</v>
      </c>
      <c r="EW75" s="35">
        <v>0.46404255319148902</v>
      </c>
      <c r="EX75" s="33">
        <v>6.3466666666666596</v>
      </c>
      <c r="EY75" s="34">
        <v>0.63464285714285695</v>
      </c>
      <c r="EZ75" s="34">
        <v>0.85</v>
      </c>
      <c r="FA75" s="34">
        <v>2.5657142857142801</v>
      </c>
      <c r="FB75" s="34">
        <v>0.17599999999999999</v>
      </c>
      <c r="FC75" s="34">
        <v>2.86</v>
      </c>
      <c r="FD75" s="34">
        <v>0.56000000000000005</v>
      </c>
      <c r="FE75" s="35">
        <v>0.40714285714285697</v>
      </c>
    </row>
    <row r="76" spans="3:161" ht="28.8" x14ac:dyDescent="0.3">
      <c r="C76" s="66"/>
      <c r="D76" s="73" t="s">
        <v>23</v>
      </c>
      <c r="E76" s="38" t="s">
        <v>24</v>
      </c>
      <c r="F76" s="30">
        <v>5.47</v>
      </c>
      <c r="G76" s="31">
        <v>5.98</v>
      </c>
      <c r="H76" s="31">
        <v>2.41</v>
      </c>
      <c r="I76" s="31">
        <v>3.91</v>
      </c>
      <c r="J76" s="31">
        <v>4.76</v>
      </c>
      <c r="K76" s="31">
        <v>1.37</v>
      </c>
      <c r="L76" s="31">
        <v>3.98</v>
      </c>
      <c r="M76" s="32"/>
      <c r="N76" s="30">
        <v>5.47</v>
      </c>
      <c r="O76" s="31">
        <v>5.98</v>
      </c>
      <c r="P76" s="31">
        <v>2.41</v>
      </c>
      <c r="Q76" s="31">
        <v>3.91</v>
      </c>
      <c r="R76" s="31">
        <v>4.76</v>
      </c>
      <c r="S76" s="31">
        <v>1.37</v>
      </c>
      <c r="T76" s="31">
        <v>3.98</v>
      </c>
      <c r="U76" s="32"/>
      <c r="W76" s="66"/>
      <c r="X76" s="73" t="s">
        <v>23</v>
      </c>
      <c r="Y76" s="38" t="s">
        <v>24</v>
      </c>
      <c r="Z76" s="30">
        <v>6.21</v>
      </c>
      <c r="AA76" s="31">
        <v>5.41</v>
      </c>
      <c r="AB76" s="31">
        <v>2.44</v>
      </c>
      <c r="AC76" s="31">
        <v>2.67</v>
      </c>
      <c r="AD76" s="31">
        <v>3.8</v>
      </c>
      <c r="AE76" s="31">
        <v>2.61</v>
      </c>
      <c r="AF76" s="31">
        <v>3.86</v>
      </c>
      <c r="AG76" s="32">
        <v>2.19</v>
      </c>
      <c r="AH76" s="30">
        <v>6.21</v>
      </c>
      <c r="AI76" s="31">
        <v>5.41</v>
      </c>
      <c r="AJ76" s="31">
        <v>2.44</v>
      </c>
      <c r="AK76" s="31">
        <v>2.67</v>
      </c>
      <c r="AL76" s="31">
        <v>3.8</v>
      </c>
      <c r="AM76" s="31">
        <v>2.61</v>
      </c>
      <c r="AN76" s="31">
        <v>3.86</v>
      </c>
      <c r="AO76" s="32">
        <v>2.19</v>
      </c>
      <c r="AQ76" s="66"/>
      <c r="AR76" s="73" t="s">
        <v>23</v>
      </c>
      <c r="AS76" s="38" t="s">
        <v>24</v>
      </c>
      <c r="AT76" s="30">
        <v>5.71</v>
      </c>
      <c r="AU76" s="31">
        <v>3.97</v>
      </c>
      <c r="AV76" s="31">
        <v>3.55</v>
      </c>
      <c r="AW76" s="31">
        <v>2.71</v>
      </c>
      <c r="AX76" s="31">
        <v>2.2999999999999998</v>
      </c>
      <c r="AY76" s="31">
        <v>4.01</v>
      </c>
      <c r="AZ76" s="31">
        <v>2.54</v>
      </c>
      <c r="BA76" s="32">
        <v>1.22</v>
      </c>
      <c r="BB76" s="30">
        <v>5.71</v>
      </c>
      <c r="BC76" s="31">
        <v>3.97</v>
      </c>
      <c r="BD76" s="31">
        <v>3.55</v>
      </c>
      <c r="BE76" s="31">
        <v>2.71</v>
      </c>
      <c r="BF76" s="31">
        <v>2.2999999999999998</v>
      </c>
      <c r="BG76" s="31">
        <v>4.01</v>
      </c>
      <c r="BH76" s="31">
        <v>2.54</v>
      </c>
      <c r="BI76" s="32">
        <v>1.22</v>
      </c>
      <c r="BK76" s="66"/>
      <c r="BL76" s="73" t="s">
        <v>23</v>
      </c>
      <c r="BM76" s="38" t="s">
        <v>24</v>
      </c>
      <c r="BN76" s="30">
        <v>6.5</v>
      </c>
      <c r="BO76" s="31">
        <v>3.73</v>
      </c>
      <c r="BP76" s="31">
        <v>4.4400000000000004</v>
      </c>
      <c r="BQ76" s="31">
        <v>2.73</v>
      </c>
      <c r="BR76" s="31">
        <v>1.77</v>
      </c>
      <c r="BS76" s="31">
        <v>5.1100000000000003</v>
      </c>
      <c r="BT76" s="31">
        <v>3.05</v>
      </c>
      <c r="BU76" s="32">
        <v>2.21</v>
      </c>
      <c r="BV76" s="30">
        <v>6.5</v>
      </c>
      <c r="BW76" s="31">
        <v>3.73</v>
      </c>
      <c r="BX76" s="31">
        <v>4.4400000000000004</v>
      </c>
      <c r="BY76" s="31">
        <v>2.73</v>
      </c>
      <c r="BZ76" s="31">
        <v>1.77</v>
      </c>
      <c r="CA76" s="31">
        <v>5.1100000000000003</v>
      </c>
      <c r="CB76" s="31">
        <v>3.05</v>
      </c>
      <c r="CC76" s="32">
        <v>2.21</v>
      </c>
      <c r="CE76" s="66"/>
      <c r="CF76" s="73" t="s">
        <v>23</v>
      </c>
      <c r="CG76" s="38" t="s">
        <v>24</v>
      </c>
      <c r="CH76" s="30">
        <v>5.47</v>
      </c>
      <c r="CI76" s="31">
        <v>5.98</v>
      </c>
      <c r="CJ76" s="31">
        <v>2.41</v>
      </c>
      <c r="CK76" s="31">
        <v>3.91</v>
      </c>
      <c r="CL76" s="31">
        <v>4.76</v>
      </c>
      <c r="CM76" s="31">
        <v>1.37</v>
      </c>
      <c r="CN76" s="31">
        <v>3.98</v>
      </c>
      <c r="CO76" s="32">
        <v>2.46</v>
      </c>
      <c r="CP76" s="30">
        <v>5.47</v>
      </c>
      <c r="CQ76" s="31">
        <v>5.98</v>
      </c>
      <c r="CR76" s="31">
        <v>2.41</v>
      </c>
      <c r="CS76" s="31">
        <v>3.91</v>
      </c>
      <c r="CT76" s="31">
        <v>4.76</v>
      </c>
      <c r="CU76" s="31">
        <v>1.37</v>
      </c>
      <c r="CV76" s="31">
        <v>3.98</v>
      </c>
      <c r="CW76" s="32">
        <v>2.46</v>
      </c>
      <c r="CY76" s="66"/>
      <c r="CZ76" s="73" t="s">
        <v>23</v>
      </c>
      <c r="DA76" s="38" t="s">
        <v>24</v>
      </c>
      <c r="DB76" s="30">
        <v>6.21</v>
      </c>
      <c r="DC76" s="31">
        <v>5.41</v>
      </c>
      <c r="DD76" s="31">
        <v>2.44</v>
      </c>
      <c r="DE76" s="31">
        <v>2.67</v>
      </c>
      <c r="DF76" s="31">
        <v>3.8</v>
      </c>
      <c r="DG76" s="31">
        <v>2.61</v>
      </c>
      <c r="DH76" s="31">
        <v>3.86</v>
      </c>
      <c r="DI76" s="32">
        <v>2.19</v>
      </c>
      <c r="DJ76" s="30">
        <v>6.21</v>
      </c>
      <c r="DK76" s="31">
        <v>5.41</v>
      </c>
      <c r="DL76" s="31">
        <v>2.44</v>
      </c>
      <c r="DM76" s="31">
        <v>2.67</v>
      </c>
      <c r="DN76" s="31">
        <v>3.8</v>
      </c>
      <c r="DO76" s="31">
        <v>2.61</v>
      </c>
      <c r="DP76" s="31">
        <v>3.86</v>
      </c>
      <c r="DQ76" s="32">
        <v>2.19</v>
      </c>
      <c r="DS76" s="66"/>
      <c r="DT76" s="73" t="s">
        <v>23</v>
      </c>
      <c r="DU76" s="38" t="s">
        <v>24</v>
      </c>
      <c r="DV76" s="30">
        <v>5.71</v>
      </c>
      <c r="DW76" s="31">
        <v>3.97</v>
      </c>
      <c r="DX76" s="31">
        <v>3.55</v>
      </c>
      <c r="DY76" s="31">
        <v>2.71</v>
      </c>
      <c r="DZ76" s="31">
        <v>2.2999999999999998</v>
      </c>
      <c r="EA76" s="31">
        <v>4.01</v>
      </c>
      <c r="EB76" s="31">
        <v>2.54</v>
      </c>
      <c r="EC76" s="32">
        <v>1.22</v>
      </c>
      <c r="ED76" s="30">
        <v>5.71</v>
      </c>
      <c r="EE76" s="31">
        <v>3.97</v>
      </c>
      <c r="EF76" s="31">
        <v>3.55</v>
      </c>
      <c r="EG76" s="31">
        <v>2.71</v>
      </c>
      <c r="EH76" s="31">
        <v>2.2999999999999998</v>
      </c>
      <c r="EI76" s="31">
        <v>4.01</v>
      </c>
      <c r="EJ76" s="31">
        <v>2.54</v>
      </c>
      <c r="EK76" s="32">
        <v>1.22</v>
      </c>
      <c r="EM76" s="66"/>
      <c r="EN76" s="73" t="s">
        <v>23</v>
      </c>
      <c r="EO76" s="38" t="s">
        <v>24</v>
      </c>
      <c r="EP76" s="30">
        <v>6.5</v>
      </c>
      <c r="EQ76" s="31">
        <v>3.73</v>
      </c>
      <c r="ER76" s="31">
        <v>4.4400000000000004</v>
      </c>
      <c r="ES76" s="31">
        <v>2.73</v>
      </c>
      <c r="ET76" s="31">
        <v>1.77</v>
      </c>
      <c r="EU76" s="31">
        <v>5.1100000000000003</v>
      </c>
      <c r="EV76" s="31">
        <v>3.05</v>
      </c>
      <c r="EW76" s="32">
        <v>2.21</v>
      </c>
      <c r="EX76" s="30">
        <v>6.5</v>
      </c>
      <c r="EY76" s="31">
        <v>3.73</v>
      </c>
      <c r="EZ76" s="31">
        <v>4.4400000000000004</v>
      </c>
      <c r="FA76" s="31">
        <v>2.73</v>
      </c>
      <c r="FB76" s="31">
        <v>1.77</v>
      </c>
      <c r="FC76" s="31">
        <v>5.1100000000000003</v>
      </c>
      <c r="FD76" s="31">
        <v>3.05</v>
      </c>
      <c r="FE76" s="32">
        <v>2.21</v>
      </c>
    </row>
    <row r="77" spans="3:161" x14ac:dyDescent="0.3">
      <c r="C77" s="66"/>
      <c r="D77" s="70"/>
      <c r="E77" s="39" t="s">
        <v>25</v>
      </c>
      <c r="F77" s="15">
        <v>4.7619047618940868E-4</v>
      </c>
      <c r="G77" s="16">
        <v>0.14300000000000068</v>
      </c>
      <c r="H77" s="16">
        <v>-4.6825396825389998E-2</v>
      </c>
      <c r="I77" s="16">
        <v>0.12133333333333995</v>
      </c>
      <c r="J77" s="16">
        <v>0.11421875000000981</v>
      </c>
      <c r="K77" s="16">
        <v>0.11061538461539011</v>
      </c>
      <c r="L77" s="16">
        <v>-8.3333333333329929E-2</v>
      </c>
      <c r="M77" s="17"/>
      <c r="N77" s="15">
        <v>4.1666666666699825E-3</v>
      </c>
      <c r="O77" s="16">
        <v>0.14727272727273011</v>
      </c>
      <c r="P77" s="16">
        <v>-4.7234042553189859E-2</v>
      </c>
      <c r="Q77" s="16">
        <v>0.1204347826087</v>
      </c>
      <c r="R77" s="16">
        <v>0.12000000000000988</v>
      </c>
      <c r="S77" s="16">
        <v>0.11020833333334012</v>
      </c>
      <c r="T77" s="16">
        <v>-8.3958333333330248E-2</v>
      </c>
      <c r="U77" s="17"/>
      <c r="W77" s="66"/>
      <c r="X77" s="70"/>
      <c r="Y77" s="39" t="s">
        <v>25</v>
      </c>
      <c r="Z77" s="15">
        <v>-8.244604316545967E-2</v>
      </c>
      <c r="AA77" s="16">
        <v>0.10704545454545045</v>
      </c>
      <c r="AB77" s="16">
        <v>0.1875172413793198</v>
      </c>
      <c r="AC77" s="16">
        <v>0.14430555555555991</v>
      </c>
      <c r="AD77" s="16">
        <v>7.7142857142900034E-3</v>
      </c>
      <c r="AE77" s="16">
        <v>-0.49035460992907032</v>
      </c>
      <c r="AF77" s="16">
        <v>-7.4370370370369976E-2</v>
      </c>
      <c r="AG77" s="17">
        <v>-0.38708737864077003</v>
      </c>
      <c r="AH77" s="15">
        <v>-3.2199999999989792E-2</v>
      </c>
      <c r="AI77" s="16">
        <v>9.7608695652180444E-2</v>
      </c>
      <c r="AJ77" s="16">
        <v>0.18792452830188999</v>
      </c>
      <c r="AK77" s="16">
        <v>0.14764705882353013</v>
      </c>
      <c r="AL77" s="16">
        <v>5.4000000000096193E-3</v>
      </c>
      <c r="AM77" s="16">
        <v>-0.4791666666666603</v>
      </c>
      <c r="AN77" s="16">
        <v>-8.7600000000000122E-2</v>
      </c>
      <c r="AO77" s="17">
        <v>-0.39447368421051987</v>
      </c>
      <c r="AQ77" s="66"/>
      <c r="AR77" s="70"/>
      <c r="AS77" s="39" t="s">
        <v>25</v>
      </c>
      <c r="AT77" s="15">
        <v>-0.46015384615385013</v>
      </c>
      <c r="AU77" s="16">
        <v>9.8961748633890068E-2</v>
      </c>
      <c r="AV77" s="16">
        <v>0.23020725388601004</v>
      </c>
      <c r="AW77" s="16">
        <v>0.24781249999999977</v>
      </c>
      <c r="AX77" s="16">
        <v>7.4512820512819822E-2</v>
      </c>
      <c r="AY77" s="16">
        <v>9.6735751295349726E-2</v>
      </c>
      <c r="AZ77" s="16">
        <v>3.6461538461550091E-2</v>
      </c>
      <c r="BA77" s="17">
        <v>-6.0409356725140029E-2</v>
      </c>
      <c r="BB77" s="15">
        <v>-0.46416666666666018</v>
      </c>
      <c r="BC77" s="16">
        <v>0.11511111111112005</v>
      </c>
      <c r="BD77" s="16">
        <v>0.24644444444445002</v>
      </c>
      <c r="BE77" s="16">
        <v>0.24711111111112016</v>
      </c>
      <c r="BF77" s="16">
        <v>8.3404255319149634E-2</v>
      </c>
      <c r="BG77" s="16">
        <v>0.10957446808510962</v>
      </c>
      <c r="BH77" s="16">
        <v>3.9387755102040067E-2</v>
      </c>
      <c r="BI77" s="17">
        <v>-6.4418604651160116E-2</v>
      </c>
      <c r="BK77" s="66"/>
      <c r="BL77" s="70"/>
      <c r="BM77" s="39" t="s">
        <v>25</v>
      </c>
      <c r="BN77" s="15">
        <v>-0.42089820359281038</v>
      </c>
      <c r="BO77" s="16">
        <v>1.627906976750193E-3</v>
      </c>
      <c r="BP77" s="16">
        <v>-0.17104046242774995</v>
      </c>
      <c r="BQ77" s="16">
        <v>4.4999999999999929E-2</v>
      </c>
      <c r="BR77" s="16">
        <v>-0.16791907514449989</v>
      </c>
      <c r="BS77" s="16">
        <v>-0.15254545454543944</v>
      </c>
      <c r="BT77" s="16">
        <v>-0.13203389830508039</v>
      </c>
      <c r="BU77" s="17">
        <v>-5.600000000000005E-2</v>
      </c>
      <c r="BV77" s="15">
        <v>-0.44485714285714018</v>
      </c>
      <c r="BW77" s="16">
        <v>-2.3055555555549834E-2</v>
      </c>
      <c r="BX77" s="16">
        <v>-0.17051282051280925</v>
      </c>
      <c r="BY77" s="16">
        <v>4.1764705882359809E-2</v>
      </c>
      <c r="BZ77" s="16">
        <v>-0.17368421052630989</v>
      </c>
      <c r="CA77" s="16">
        <v>-0.16193548387095991</v>
      </c>
      <c r="CB77" s="16">
        <v>-0.13394736842105015</v>
      </c>
      <c r="CC77" s="17">
        <v>-0.125</v>
      </c>
      <c r="CE77" s="66"/>
      <c r="CF77" s="70"/>
      <c r="CG77" s="39" t="s">
        <v>25</v>
      </c>
      <c r="CH77" s="15">
        <v>7.2790697674419924E-2</v>
      </c>
      <c r="CI77" s="16">
        <v>5.0424528301886795</v>
      </c>
      <c r="CJ77" s="16">
        <v>1.0053333333333401</v>
      </c>
      <c r="CK77" s="16">
        <v>-3.2139999999999995</v>
      </c>
      <c r="CL77" s="16">
        <v>4.0414583333333338</v>
      </c>
      <c r="CM77" s="16">
        <v>1.2256603773584911</v>
      </c>
      <c r="CN77" s="16">
        <v>-0.70555555555554994</v>
      </c>
      <c r="CO77" s="17">
        <v>1.6850943396226419</v>
      </c>
      <c r="CP77" s="15">
        <v>0.11232558139534987</v>
      </c>
      <c r="CQ77" s="16">
        <v>5.0485185185185193</v>
      </c>
      <c r="CR77" s="16">
        <v>1.0000000000000102</v>
      </c>
      <c r="CS77" s="16">
        <v>-3.2275</v>
      </c>
      <c r="CT77" s="16">
        <v>4.0412244897959191</v>
      </c>
      <c r="CU77" s="16">
        <v>1.225185185185186</v>
      </c>
      <c r="CV77" s="16">
        <v>-0.75021739130433973</v>
      </c>
      <c r="CW77" s="17">
        <v>1.677777777777778</v>
      </c>
      <c r="CY77" s="66"/>
      <c r="CZ77" s="70"/>
      <c r="DA77" s="39" t="s">
        <v>25</v>
      </c>
      <c r="DB77" s="15">
        <v>5.0350000000000001</v>
      </c>
      <c r="DC77" s="16">
        <v>5.2757142857142858</v>
      </c>
      <c r="DD77" s="16">
        <v>2.0524999999999998</v>
      </c>
      <c r="DE77" s="16">
        <v>1.672727272727272</v>
      </c>
      <c r="DF77" s="16">
        <v>3.4839534883720926</v>
      </c>
      <c r="DG77" s="16">
        <v>2.2849999999999997</v>
      </c>
      <c r="DH77" s="16">
        <v>3.1182352941176479</v>
      </c>
      <c r="DI77" s="17">
        <v>1.4611111111111108</v>
      </c>
      <c r="DJ77" s="15">
        <v>5.0350000000000001</v>
      </c>
      <c r="DK77" s="16">
        <v>5.2745833333333341</v>
      </c>
      <c r="DL77" s="16">
        <v>2.052558139534884</v>
      </c>
      <c r="DM77" s="16">
        <v>1.6418181818181898</v>
      </c>
      <c r="DN77" s="16">
        <v>3.4847727272727278</v>
      </c>
      <c r="DO77" s="16">
        <v>2.2840909090909087</v>
      </c>
      <c r="DP77" s="16">
        <v>3.1158823529411768</v>
      </c>
      <c r="DQ77" s="17">
        <v>1.452830188679245</v>
      </c>
      <c r="DS77" s="66"/>
      <c r="DT77" s="70"/>
      <c r="DU77" s="39" t="s">
        <v>25</v>
      </c>
      <c r="DV77" s="15">
        <v>-1.4519047619047605</v>
      </c>
      <c r="DW77" s="16">
        <v>1.0658823529411801</v>
      </c>
      <c r="DX77" s="16">
        <v>2.2100000000000097</v>
      </c>
      <c r="DY77" s="16">
        <v>1.13818181818182</v>
      </c>
      <c r="DZ77" s="16">
        <v>1.7374545454545458</v>
      </c>
      <c r="EA77" s="16">
        <v>3.1599999999999997</v>
      </c>
      <c r="EB77" s="16">
        <v>2.2309302325581402</v>
      </c>
      <c r="EC77" s="17">
        <v>0.89500000000000002</v>
      </c>
      <c r="ED77" s="15">
        <v>-1.53727272727272</v>
      </c>
      <c r="EE77" s="16">
        <v>0.95903846153847017</v>
      </c>
      <c r="EF77" s="16">
        <v>2.2072727272727297</v>
      </c>
      <c r="EG77" s="16">
        <v>1.13733333333334</v>
      </c>
      <c r="EH77" s="16">
        <v>1.7374999999999998</v>
      </c>
      <c r="EI77" s="16">
        <v>3.1599999999999997</v>
      </c>
      <c r="EJ77" s="16">
        <v>2.2327272727272729</v>
      </c>
      <c r="EK77" s="17">
        <v>0.89624999999999999</v>
      </c>
      <c r="EM77" s="66"/>
      <c r="EN77" s="70"/>
      <c r="EO77" s="39" t="s">
        <v>25</v>
      </c>
      <c r="EP77" s="15">
        <v>-0.36961538461538002</v>
      </c>
      <c r="EQ77" s="16">
        <v>3.0845283018867931</v>
      </c>
      <c r="ER77" s="16">
        <v>3.6071428571428585</v>
      </c>
      <c r="ES77" s="16">
        <v>0.48529411764705976</v>
      </c>
      <c r="ET77" s="16">
        <v>1.574285714285715</v>
      </c>
      <c r="EU77" s="16">
        <v>2.2414285714285702</v>
      </c>
      <c r="EV77" s="16">
        <v>2.7290909090909099</v>
      </c>
      <c r="EW77" s="17">
        <v>1.7459574468085108</v>
      </c>
      <c r="EX77" s="15">
        <v>0.15333333333334043</v>
      </c>
      <c r="EY77" s="16">
        <v>3.0953571428571429</v>
      </c>
      <c r="EZ77" s="16">
        <v>3.5900000000000003</v>
      </c>
      <c r="FA77" s="16">
        <v>0.16428571428571992</v>
      </c>
      <c r="FB77" s="16">
        <v>1.5940000000000001</v>
      </c>
      <c r="FC77" s="16">
        <v>2.2500000000000004</v>
      </c>
      <c r="FD77" s="16">
        <v>2.4899999999999998</v>
      </c>
      <c r="FE77" s="17">
        <v>1.8028571428571429</v>
      </c>
    </row>
    <row r="78" spans="3:161" x14ac:dyDescent="0.3">
      <c r="C78" s="66"/>
      <c r="D78" s="70"/>
      <c r="E78" s="39" t="s">
        <v>26</v>
      </c>
      <c r="F78" s="15">
        <v>8.7062510882618665E-3</v>
      </c>
      <c r="G78" s="16">
        <v>2.4498886414254013</v>
      </c>
      <c r="H78" s="16">
        <v>-1.9059309988367863</v>
      </c>
      <c r="I78" s="16">
        <v>3.2025338729546058</v>
      </c>
      <c r="J78" s="16">
        <v>2.458547741566826</v>
      </c>
      <c r="K78" s="16">
        <v>8.7832885414126416</v>
      </c>
      <c r="L78" s="16">
        <v>-2.0508613617718621</v>
      </c>
      <c r="M78" s="17"/>
      <c r="N78" s="15">
        <v>7.623113279469404E-2</v>
      </c>
      <c r="O78" s="16">
        <v>2.5249376558603984</v>
      </c>
      <c r="P78" s="16">
        <v>-1.9222443501601219</v>
      </c>
      <c r="Q78" s="16">
        <v>3.1780633318036982</v>
      </c>
      <c r="R78" s="16">
        <v>2.5862068965519427</v>
      </c>
      <c r="S78" s="16">
        <v>8.7481395733427387</v>
      </c>
      <c r="T78" s="16">
        <v>-2.065925052545166</v>
      </c>
      <c r="U78" s="17"/>
      <c r="W78" s="66"/>
      <c r="X78" s="70"/>
      <c r="Y78" s="39" t="s">
        <v>26</v>
      </c>
      <c r="Z78" s="15">
        <v>-1.3102383810665876</v>
      </c>
      <c r="AA78" s="16">
        <v>2.0186002657180029</v>
      </c>
      <c r="AB78" s="16">
        <v>8.324913505404453</v>
      </c>
      <c r="AC78" s="16">
        <v>5.7135001374761245</v>
      </c>
      <c r="AD78" s="16">
        <v>0.20342047766153123</v>
      </c>
      <c r="AE78" s="16">
        <v>-15.816081436577626</v>
      </c>
      <c r="AF78" s="16">
        <v>-1.8902737508001559</v>
      </c>
      <c r="AG78" s="17">
        <v>-15.020343580469945</v>
      </c>
      <c r="AH78" s="15">
        <v>-0.5158437730285772</v>
      </c>
      <c r="AI78" s="16">
        <v>1.8373777468593959</v>
      </c>
      <c r="AJ78" s="16">
        <v>8.3445040214478752</v>
      </c>
      <c r="AK78" s="16">
        <v>5.853544776119433</v>
      </c>
      <c r="AL78" s="16">
        <v>0.14230748959072453</v>
      </c>
      <c r="AM78" s="16">
        <v>-15.511195036417416</v>
      </c>
      <c r="AN78" s="16">
        <v>-2.2190698145708816</v>
      </c>
      <c r="AO78" s="17">
        <v>-15.263211485591889</v>
      </c>
      <c r="AQ78" s="66"/>
      <c r="AR78" s="70"/>
      <c r="AS78" s="39" t="s">
        <v>26</v>
      </c>
      <c r="AT78" s="15">
        <v>-7.4577369969581211</v>
      </c>
      <c r="AU78" s="16">
        <v>2.5564652738568503</v>
      </c>
      <c r="AV78" s="16">
        <v>6.9343863153951704</v>
      </c>
      <c r="AW78" s="16">
        <v>10.0647290265262</v>
      </c>
      <c r="AX78" s="16">
        <v>3.348157706753891</v>
      </c>
      <c r="AY78" s="16">
        <v>2.4719963985915525</v>
      </c>
      <c r="AZ78" s="16">
        <v>1.4564001720646267</v>
      </c>
      <c r="BA78" s="17">
        <v>-4.7179721397574763</v>
      </c>
      <c r="BB78" s="15">
        <v>-7.5178836550140753</v>
      </c>
      <c r="BC78" s="16">
        <v>2.9861071078575048</v>
      </c>
      <c r="BD78" s="16">
        <v>7.4599757836676108</v>
      </c>
      <c r="BE78" s="16">
        <v>10.033384462691011</v>
      </c>
      <c r="BF78" s="16">
        <v>3.7627183720484103</v>
      </c>
      <c r="BG78" s="16">
        <v>2.8092952214707378</v>
      </c>
      <c r="BH78" s="16">
        <v>1.5751244593160554</v>
      </c>
      <c r="BI78" s="17">
        <v>-5.0153901864926507</v>
      </c>
      <c r="BK78" s="66"/>
      <c r="BL78" s="70"/>
      <c r="BM78" s="39" t="s">
        <v>26</v>
      </c>
      <c r="BN78" s="15">
        <v>-6.0815546076708893</v>
      </c>
      <c r="BO78" s="16">
        <v>4.3662674650859788E-2</v>
      </c>
      <c r="BP78" s="16">
        <v>-3.7093680660892692</v>
      </c>
      <c r="BQ78" s="16">
        <v>1.675977653631282</v>
      </c>
      <c r="BR78" s="16">
        <v>-8.6649167810053722</v>
      </c>
      <c r="BS78" s="16">
        <v>-2.8987009397454369</v>
      </c>
      <c r="BT78" s="16">
        <v>-4.1493554916372393</v>
      </c>
      <c r="BU78" s="17">
        <v>-2.4713150926743181</v>
      </c>
      <c r="BV78" s="15">
        <v>-6.4055621837330445</v>
      </c>
      <c r="BW78" s="16">
        <v>-0.61431426245266474</v>
      </c>
      <c r="BX78" s="16">
        <v>-3.698348256492729</v>
      </c>
      <c r="BY78" s="16">
        <v>1.5536105032825351</v>
      </c>
      <c r="BZ78" s="16">
        <v>-8.9358245328998045</v>
      </c>
      <c r="CA78" s="16">
        <v>-3.0716514715779013</v>
      </c>
      <c r="CB78" s="16">
        <v>-4.206959252830738</v>
      </c>
      <c r="CC78" s="17">
        <v>-5.3533190578158463</v>
      </c>
      <c r="CE78" s="66"/>
      <c r="CF78" s="70"/>
      <c r="CG78" s="39" t="s">
        <v>26</v>
      </c>
      <c r="CH78" s="15">
        <v>1.3486728714236718</v>
      </c>
      <c r="CI78" s="16">
        <v>537.83457436103834</v>
      </c>
      <c r="CJ78" s="16">
        <v>71.570953962981349</v>
      </c>
      <c r="CK78" s="16">
        <v>-45.115103874227955</v>
      </c>
      <c r="CL78" s="16">
        <v>562.45288489417283</v>
      </c>
      <c r="CM78" s="16">
        <v>849.15032679738852</v>
      </c>
      <c r="CN78" s="16">
        <v>-15.058098174057285</v>
      </c>
      <c r="CO78" s="17">
        <v>217.45799853907982</v>
      </c>
      <c r="CP78" s="15">
        <v>2.096536157652594</v>
      </c>
      <c r="CQ78" s="16">
        <v>541.98807157057695</v>
      </c>
      <c r="CR78" s="16">
        <v>70.921985815604074</v>
      </c>
      <c r="CS78" s="16">
        <v>-45.218914185639228</v>
      </c>
      <c r="CT78" s="16">
        <v>562.2373651334475</v>
      </c>
      <c r="CU78" s="16">
        <v>846.03580562660386</v>
      </c>
      <c r="CV78" s="16">
        <v>-15.860103865067185</v>
      </c>
      <c r="CW78" s="17">
        <v>214.48863636363646</v>
      </c>
      <c r="CY78" s="66"/>
      <c r="CZ78" s="70"/>
      <c r="DA78" s="39" t="s">
        <v>26</v>
      </c>
      <c r="DB78" s="15">
        <v>428.51063829787233</v>
      </c>
      <c r="DC78" s="16">
        <v>3928.7234042553273</v>
      </c>
      <c r="DD78" s="16">
        <v>529.67741935483866</v>
      </c>
      <c r="DE78" s="16">
        <v>167.73017319963517</v>
      </c>
      <c r="DF78" s="16">
        <v>1102.3546725533481</v>
      </c>
      <c r="DG78" s="16">
        <v>703.07692307692298</v>
      </c>
      <c r="DH78" s="16">
        <v>420.38065027755812</v>
      </c>
      <c r="DI78" s="17">
        <v>200.45731707317066</v>
      </c>
      <c r="DJ78" s="15">
        <v>428.51063829787233</v>
      </c>
      <c r="DK78" s="16">
        <v>3895.0769230769433</v>
      </c>
      <c r="DL78" s="16">
        <v>529.77190876350596</v>
      </c>
      <c r="DM78" s="16">
        <v>159.68169761273415</v>
      </c>
      <c r="DN78" s="16">
        <v>1105.4794520547971</v>
      </c>
      <c r="DO78" s="16">
        <v>700.83682008368169</v>
      </c>
      <c r="DP78" s="16">
        <v>418.73517786561303</v>
      </c>
      <c r="DQ78" s="17">
        <v>197.08216022523663</v>
      </c>
      <c r="DS78" s="66"/>
      <c r="DT78" s="70"/>
      <c r="DU78" s="39" t="s">
        <v>26</v>
      </c>
      <c r="DV78" s="15">
        <v>-20.272606382978708</v>
      </c>
      <c r="DW78" s="16">
        <v>36.702450881102052</v>
      </c>
      <c r="DX78" s="16">
        <v>164.9253731343303</v>
      </c>
      <c r="DY78" s="16">
        <v>72.411798727588391</v>
      </c>
      <c r="DZ78" s="16">
        <v>308.85585003232097</v>
      </c>
      <c r="EA78" s="16">
        <v>371.76470588235293</v>
      </c>
      <c r="EB78" s="16">
        <v>721.82091798344754</v>
      </c>
      <c r="EC78" s="17">
        <v>275.38461538461536</v>
      </c>
      <c r="ED78" s="15">
        <v>-21.211741093828319</v>
      </c>
      <c r="EE78" s="16">
        <v>31.851567988759399</v>
      </c>
      <c r="EF78" s="16">
        <v>164.38727149627675</v>
      </c>
      <c r="EG78" s="16">
        <v>72.318779143705697</v>
      </c>
      <c r="EH78" s="16">
        <v>308.88888888888886</v>
      </c>
      <c r="EI78" s="16">
        <v>371.76470588235293</v>
      </c>
      <c r="EJ78" s="16">
        <v>726.62721893491198</v>
      </c>
      <c r="EK78" s="17">
        <v>276.83397683397686</v>
      </c>
      <c r="EM78" s="66"/>
      <c r="EN78" s="70"/>
      <c r="EO78" s="39" t="s">
        <v>26</v>
      </c>
      <c r="EP78" s="15">
        <v>-5.3804378254296434</v>
      </c>
      <c r="EQ78" s="16">
        <v>477.87196726103531</v>
      </c>
      <c r="ER78" s="16">
        <v>433.10463121783937</v>
      </c>
      <c r="ES78" s="16">
        <v>21.619496855345961</v>
      </c>
      <c r="ET78" s="16">
        <v>804.37956204379884</v>
      </c>
      <c r="EU78" s="16">
        <v>78.137450199203101</v>
      </c>
      <c r="EV78" s="16">
        <v>850.42492917847289</v>
      </c>
      <c r="EW78" s="17">
        <v>376.24942686840927</v>
      </c>
      <c r="EX78" s="15">
        <v>2.4159663865547363</v>
      </c>
      <c r="EY78" s="16">
        <v>487.7321328081037</v>
      </c>
      <c r="EZ78" s="16">
        <v>422.35294117647061</v>
      </c>
      <c r="FA78" s="16">
        <v>6.4031180400893204</v>
      </c>
      <c r="FB78" s="16">
        <v>905.68181818181836</v>
      </c>
      <c r="FC78" s="16">
        <v>78.671328671328695</v>
      </c>
      <c r="FD78" s="16">
        <v>444.64285714285705</v>
      </c>
      <c r="FE78" s="17">
        <v>442.80701754385984</v>
      </c>
    </row>
    <row r="79" spans="3:161" ht="28.8" x14ac:dyDescent="0.3">
      <c r="C79" s="66"/>
      <c r="D79" s="70" t="s">
        <v>27</v>
      </c>
      <c r="E79" s="40" t="s">
        <v>24</v>
      </c>
      <c r="F79" s="30">
        <v>5.41</v>
      </c>
      <c r="G79" s="31">
        <v>5.96</v>
      </c>
      <c r="H79" s="31">
        <v>2.4300000000000002</v>
      </c>
      <c r="I79" s="31">
        <v>3.89</v>
      </c>
      <c r="J79" s="31">
        <v>4.78</v>
      </c>
      <c r="K79" s="31">
        <v>1.38</v>
      </c>
      <c r="L79" s="31">
        <v>4.01</v>
      </c>
      <c r="M79" s="32"/>
      <c r="N79" s="30">
        <v>5.41</v>
      </c>
      <c r="O79" s="31">
        <v>5.96</v>
      </c>
      <c r="P79" s="31">
        <v>2.4300000000000002</v>
      </c>
      <c r="Q79" s="31">
        <v>3.89</v>
      </c>
      <c r="R79" s="31">
        <v>4.78</v>
      </c>
      <c r="S79" s="31">
        <v>1.38</v>
      </c>
      <c r="T79" s="31">
        <v>4.01</v>
      </c>
      <c r="U79" s="32"/>
      <c r="W79" s="66"/>
      <c r="X79" s="70" t="s">
        <v>27</v>
      </c>
      <c r="Y79" s="40" t="s">
        <v>24</v>
      </c>
      <c r="Z79" s="30">
        <v>6.14</v>
      </c>
      <c r="AA79" s="31">
        <v>5.42</v>
      </c>
      <c r="AB79" s="31">
        <v>2.41</v>
      </c>
      <c r="AC79" s="31">
        <v>2.64</v>
      </c>
      <c r="AD79" s="31">
        <v>3.8</v>
      </c>
      <c r="AE79" s="31">
        <v>2.75</v>
      </c>
      <c r="AF79" s="31">
        <v>3.89</v>
      </c>
      <c r="AG79" s="32">
        <v>2.1800000000000002</v>
      </c>
      <c r="AH79" s="30">
        <v>6.14</v>
      </c>
      <c r="AI79" s="31">
        <v>5.42</v>
      </c>
      <c r="AJ79" s="31">
        <v>2.41</v>
      </c>
      <c r="AK79" s="31">
        <v>2.64</v>
      </c>
      <c r="AL79" s="31">
        <v>3.8</v>
      </c>
      <c r="AM79" s="31">
        <v>2.75</v>
      </c>
      <c r="AN79" s="31">
        <v>3.89</v>
      </c>
      <c r="AO79" s="32">
        <v>2.1800000000000002</v>
      </c>
      <c r="AQ79" s="66"/>
      <c r="AR79" s="70" t="s">
        <v>27</v>
      </c>
      <c r="AS79" s="40" t="s">
        <v>24</v>
      </c>
      <c r="AT79" s="30">
        <v>5.65</v>
      </c>
      <c r="AU79" s="31">
        <v>3.95</v>
      </c>
      <c r="AV79" s="31">
        <v>3.55</v>
      </c>
      <c r="AW79" s="31">
        <v>2.66</v>
      </c>
      <c r="AX79" s="31">
        <v>2.29</v>
      </c>
      <c r="AY79" s="31">
        <v>3.96</v>
      </c>
      <c r="AZ79" s="31">
        <v>2.58</v>
      </c>
      <c r="BA79" s="32">
        <v>1.25</v>
      </c>
      <c r="BB79" s="30">
        <v>5.65</v>
      </c>
      <c r="BC79" s="31">
        <v>3.95</v>
      </c>
      <c r="BD79" s="31">
        <v>3.55</v>
      </c>
      <c r="BE79" s="31">
        <v>2.66</v>
      </c>
      <c r="BF79" s="31">
        <v>2.29</v>
      </c>
      <c r="BG79" s="31">
        <v>3.96</v>
      </c>
      <c r="BH79" s="31">
        <v>2.58</v>
      </c>
      <c r="BI79" s="32">
        <v>1.25</v>
      </c>
      <c r="BK79" s="66"/>
      <c r="BL79" s="70" t="s">
        <v>27</v>
      </c>
      <c r="BM79" s="40" t="s">
        <v>24</v>
      </c>
      <c r="BN79" s="30">
        <v>6.46</v>
      </c>
      <c r="BO79" s="31">
        <v>3.71</v>
      </c>
      <c r="BP79" s="31">
        <v>4.43</v>
      </c>
      <c r="BQ79" s="31">
        <v>2.7</v>
      </c>
      <c r="BR79" s="31">
        <v>1.8</v>
      </c>
      <c r="BS79" s="31">
        <v>5.15</v>
      </c>
      <c r="BT79" s="31">
        <v>3.09</v>
      </c>
      <c r="BU79" s="32">
        <v>2.33</v>
      </c>
      <c r="BV79" s="30">
        <v>6.46</v>
      </c>
      <c r="BW79" s="31">
        <v>3.71</v>
      </c>
      <c r="BX79" s="31">
        <v>4.43</v>
      </c>
      <c r="BY79" s="31">
        <v>2.7</v>
      </c>
      <c r="BZ79" s="31">
        <v>1.8</v>
      </c>
      <c r="CA79" s="31">
        <v>5.15</v>
      </c>
      <c r="CB79" s="31">
        <v>3.09</v>
      </c>
      <c r="CC79" s="32">
        <v>2.33</v>
      </c>
      <c r="CE79" s="66"/>
      <c r="CF79" s="70" t="s">
        <v>27</v>
      </c>
      <c r="CG79" s="40" t="s">
        <v>24</v>
      </c>
      <c r="CH79" s="30">
        <v>5.41</v>
      </c>
      <c r="CI79" s="31">
        <v>5.96</v>
      </c>
      <c r="CJ79" s="31">
        <v>2.4300000000000002</v>
      </c>
      <c r="CK79" s="31">
        <v>3.89</v>
      </c>
      <c r="CL79" s="31">
        <v>4.78</v>
      </c>
      <c r="CM79" s="31">
        <v>1.38</v>
      </c>
      <c r="CN79" s="31">
        <v>4.01</v>
      </c>
      <c r="CO79" s="32">
        <v>2.48</v>
      </c>
      <c r="CP79" s="30">
        <v>5.41</v>
      </c>
      <c r="CQ79" s="31">
        <v>5.96</v>
      </c>
      <c r="CR79" s="31">
        <v>2.4300000000000002</v>
      </c>
      <c r="CS79" s="31">
        <v>3.89</v>
      </c>
      <c r="CT79" s="31">
        <v>4.78</v>
      </c>
      <c r="CU79" s="31">
        <v>1.38</v>
      </c>
      <c r="CV79" s="31">
        <v>4.01</v>
      </c>
      <c r="CW79" s="32">
        <v>2.48</v>
      </c>
      <c r="CY79" s="66"/>
      <c r="CZ79" s="70" t="s">
        <v>27</v>
      </c>
      <c r="DA79" s="40" t="s">
        <v>24</v>
      </c>
      <c r="DB79" s="30">
        <v>6.14</v>
      </c>
      <c r="DC79" s="31">
        <v>5.42</v>
      </c>
      <c r="DD79" s="31">
        <v>2.41</v>
      </c>
      <c r="DE79" s="31">
        <v>2.64</v>
      </c>
      <c r="DF79" s="31">
        <v>3.8</v>
      </c>
      <c r="DG79" s="31">
        <v>2.75</v>
      </c>
      <c r="DH79" s="31">
        <v>3.89</v>
      </c>
      <c r="DI79" s="32">
        <v>2.1800000000000002</v>
      </c>
      <c r="DJ79" s="30">
        <v>6.14</v>
      </c>
      <c r="DK79" s="31">
        <v>5.42</v>
      </c>
      <c r="DL79" s="31">
        <v>2.41</v>
      </c>
      <c r="DM79" s="31">
        <v>2.64</v>
      </c>
      <c r="DN79" s="31">
        <v>3.8</v>
      </c>
      <c r="DO79" s="31">
        <v>2.75</v>
      </c>
      <c r="DP79" s="31">
        <v>3.89</v>
      </c>
      <c r="DQ79" s="32">
        <v>2.1800000000000002</v>
      </c>
      <c r="DS79" s="66"/>
      <c r="DT79" s="70" t="s">
        <v>27</v>
      </c>
      <c r="DU79" s="40" t="s">
        <v>24</v>
      </c>
      <c r="DV79" s="30">
        <v>5.65</v>
      </c>
      <c r="DW79" s="31">
        <v>3.95</v>
      </c>
      <c r="DX79" s="31">
        <v>3.55</v>
      </c>
      <c r="DY79" s="31">
        <v>2.66</v>
      </c>
      <c r="DZ79" s="31">
        <v>2.29</v>
      </c>
      <c r="EA79" s="31">
        <v>3.96</v>
      </c>
      <c r="EB79" s="31">
        <v>2.58</v>
      </c>
      <c r="EC79" s="32">
        <v>1.25</v>
      </c>
      <c r="ED79" s="30">
        <v>5.65</v>
      </c>
      <c r="EE79" s="31">
        <v>3.95</v>
      </c>
      <c r="EF79" s="31">
        <v>3.55</v>
      </c>
      <c r="EG79" s="31">
        <v>2.66</v>
      </c>
      <c r="EH79" s="31">
        <v>2.29</v>
      </c>
      <c r="EI79" s="31">
        <v>3.96</v>
      </c>
      <c r="EJ79" s="31">
        <v>2.58</v>
      </c>
      <c r="EK79" s="32">
        <v>1.25</v>
      </c>
      <c r="EM79" s="66"/>
      <c r="EN79" s="70" t="s">
        <v>27</v>
      </c>
      <c r="EO79" s="40" t="s">
        <v>24</v>
      </c>
      <c r="EP79" s="30">
        <v>6.46</v>
      </c>
      <c r="EQ79" s="31">
        <v>3.71</v>
      </c>
      <c r="ER79" s="31">
        <v>4.43</v>
      </c>
      <c r="ES79" s="31">
        <v>2.7</v>
      </c>
      <c r="ET79" s="31">
        <v>1.8</v>
      </c>
      <c r="EU79" s="31">
        <v>5.15</v>
      </c>
      <c r="EV79" s="31">
        <v>3.09</v>
      </c>
      <c r="EW79" s="32">
        <v>2.33</v>
      </c>
      <c r="EX79" s="30">
        <v>6.46</v>
      </c>
      <c r="EY79" s="31">
        <v>3.71</v>
      </c>
      <c r="EZ79" s="31">
        <v>4.43</v>
      </c>
      <c r="FA79" s="31">
        <v>2.7</v>
      </c>
      <c r="FB79" s="31">
        <v>1.8</v>
      </c>
      <c r="FC79" s="31">
        <v>5.15</v>
      </c>
      <c r="FD79" s="31">
        <v>3.09</v>
      </c>
      <c r="FE79" s="32">
        <v>2.33</v>
      </c>
    </row>
    <row r="80" spans="3:161" x14ac:dyDescent="0.3">
      <c r="C80" s="66"/>
      <c r="D80" s="70"/>
      <c r="E80" s="39" t="s">
        <v>25</v>
      </c>
      <c r="F80" s="15">
        <v>-5.9523809523810201E-2</v>
      </c>
      <c r="G80" s="16">
        <v>0.12300000000000022</v>
      </c>
      <c r="H80" s="16">
        <v>-2.682539682538998E-2</v>
      </c>
      <c r="I80" s="16">
        <v>0.10133333333333994</v>
      </c>
      <c r="J80" s="16">
        <v>0.13421875000001027</v>
      </c>
      <c r="K80" s="16">
        <v>0.1206153846153899</v>
      </c>
      <c r="L80" s="16">
        <v>-5.3333333333330124E-2</v>
      </c>
      <c r="M80" s="17"/>
      <c r="N80" s="15">
        <v>-5.5833333333329627E-2</v>
      </c>
      <c r="O80" s="16">
        <v>0.12727272727272965</v>
      </c>
      <c r="P80" s="16">
        <v>-2.7234042553189841E-2</v>
      </c>
      <c r="Q80" s="16">
        <v>0.10043478260869998</v>
      </c>
      <c r="R80" s="16">
        <v>0.14000000000001034</v>
      </c>
      <c r="S80" s="16">
        <v>0.12020833333333991</v>
      </c>
      <c r="T80" s="16">
        <v>-5.3958333333330444E-2</v>
      </c>
      <c r="U80" s="17"/>
      <c r="W80" s="66"/>
      <c r="X80" s="70"/>
      <c r="Y80" s="39" t="s">
        <v>25</v>
      </c>
      <c r="Z80" s="15">
        <v>-0.15244604316545995</v>
      </c>
      <c r="AA80" s="16">
        <v>0.11704545454545023</v>
      </c>
      <c r="AB80" s="16">
        <v>0.15751724137931999</v>
      </c>
      <c r="AC80" s="16">
        <v>0.1143055555555601</v>
      </c>
      <c r="AD80" s="16">
        <v>7.7142857142900034E-3</v>
      </c>
      <c r="AE80" s="16">
        <v>-0.35035460992907019</v>
      </c>
      <c r="AF80" s="16">
        <v>-4.4370370370369727E-2</v>
      </c>
      <c r="AG80" s="17">
        <v>-0.39708737864076982</v>
      </c>
      <c r="AH80" s="15">
        <v>-0.10219999999999008</v>
      </c>
      <c r="AI80" s="16">
        <v>0.10760869565218023</v>
      </c>
      <c r="AJ80" s="16">
        <v>0.15792452830189019</v>
      </c>
      <c r="AK80" s="16">
        <v>0.11764705882353033</v>
      </c>
      <c r="AL80" s="16">
        <v>5.4000000000096193E-3</v>
      </c>
      <c r="AM80" s="16">
        <v>-0.33916666666666018</v>
      </c>
      <c r="AN80" s="16">
        <v>-5.7599999999999874E-2</v>
      </c>
      <c r="AO80" s="17">
        <v>-0.40447368421051966</v>
      </c>
      <c r="AQ80" s="66"/>
      <c r="AR80" s="70"/>
      <c r="AS80" s="39" t="s">
        <v>25</v>
      </c>
      <c r="AT80" s="15">
        <v>-0.52015384615384974</v>
      </c>
      <c r="AU80" s="16">
        <v>7.896174863389005E-2</v>
      </c>
      <c r="AV80" s="16">
        <v>0.23020725388601004</v>
      </c>
      <c r="AW80" s="16">
        <v>0.19781249999999995</v>
      </c>
      <c r="AX80" s="16">
        <v>6.4512820512820035E-2</v>
      </c>
      <c r="AY80" s="16">
        <v>4.6735751295349903E-2</v>
      </c>
      <c r="AZ80" s="16">
        <v>7.6461538461550127E-2</v>
      </c>
      <c r="BA80" s="17">
        <v>-3.0409356725140002E-2</v>
      </c>
      <c r="BB80" s="15">
        <v>-0.52416666666665979</v>
      </c>
      <c r="BC80" s="16">
        <v>9.5111111111120028E-2</v>
      </c>
      <c r="BD80" s="16">
        <v>0.24644444444445002</v>
      </c>
      <c r="BE80" s="16">
        <v>0.19711111111112034</v>
      </c>
      <c r="BF80" s="16">
        <v>7.3404255319149847E-2</v>
      </c>
      <c r="BG80" s="16">
        <v>5.95744680851098E-2</v>
      </c>
      <c r="BH80" s="16">
        <v>7.9387755102040103E-2</v>
      </c>
      <c r="BI80" s="17">
        <v>-3.441860465116009E-2</v>
      </c>
      <c r="BK80" s="66"/>
      <c r="BL80" s="70"/>
      <c r="BM80" s="39" t="s">
        <v>25</v>
      </c>
      <c r="BN80" s="15">
        <v>-0.46089820359281042</v>
      </c>
      <c r="BO80" s="16">
        <v>-1.8372093023249825E-2</v>
      </c>
      <c r="BP80" s="16">
        <v>-0.18104046242775063</v>
      </c>
      <c r="BQ80" s="16">
        <v>1.5000000000000124E-2</v>
      </c>
      <c r="BR80" s="16">
        <v>-0.13791907514449986</v>
      </c>
      <c r="BS80" s="16">
        <v>-0.11254545454543941</v>
      </c>
      <c r="BT80" s="16">
        <v>-9.2033898305080353E-2</v>
      </c>
      <c r="BU80" s="17">
        <v>6.4000000000000057E-2</v>
      </c>
      <c r="BV80" s="15">
        <v>-0.48485714285714021</v>
      </c>
      <c r="BW80" s="16">
        <v>-4.3055555555549851E-2</v>
      </c>
      <c r="BX80" s="16">
        <v>-0.18051282051280992</v>
      </c>
      <c r="BY80" s="16">
        <v>1.1764705882360005E-2</v>
      </c>
      <c r="BZ80" s="16">
        <v>-0.14368421052630986</v>
      </c>
      <c r="CA80" s="16">
        <v>-0.12193548387095987</v>
      </c>
      <c r="CB80" s="16">
        <v>-9.3947368421050115E-2</v>
      </c>
      <c r="CC80" s="17">
        <v>-4.9999999999998934E-3</v>
      </c>
      <c r="CE80" s="66"/>
      <c r="CF80" s="70"/>
      <c r="CG80" s="39" t="s">
        <v>25</v>
      </c>
      <c r="CH80" s="15">
        <v>1.2790697674420315E-2</v>
      </c>
      <c r="CI80" s="16">
        <v>5.0224528301886791</v>
      </c>
      <c r="CJ80" s="16">
        <v>1.0253333333333401</v>
      </c>
      <c r="CK80" s="16">
        <v>-3.2339999999999995</v>
      </c>
      <c r="CL80" s="16">
        <v>4.0614583333333343</v>
      </c>
      <c r="CM80" s="16">
        <v>1.2356603773584909</v>
      </c>
      <c r="CN80" s="16">
        <v>-0.67555555555555014</v>
      </c>
      <c r="CO80" s="17">
        <v>1.7050943396226419</v>
      </c>
      <c r="CP80" s="15">
        <v>5.2325581395350262E-2</v>
      </c>
      <c r="CQ80" s="16">
        <v>5.0285185185185188</v>
      </c>
      <c r="CR80" s="16">
        <v>1.0200000000000102</v>
      </c>
      <c r="CS80" s="16">
        <v>-3.2475000000000001</v>
      </c>
      <c r="CT80" s="16">
        <v>4.0612244897959195</v>
      </c>
      <c r="CU80" s="16">
        <v>1.2351851851851858</v>
      </c>
      <c r="CV80" s="16">
        <v>-0.72021739130433993</v>
      </c>
      <c r="CW80" s="17">
        <v>1.6977777777777781</v>
      </c>
      <c r="CY80" s="66"/>
      <c r="CZ80" s="70"/>
      <c r="DA80" s="39" t="s">
        <v>25</v>
      </c>
      <c r="DB80" s="15">
        <v>4.9649999999999999</v>
      </c>
      <c r="DC80" s="16">
        <v>5.2857142857142856</v>
      </c>
      <c r="DD80" s="16">
        <v>2.0225</v>
      </c>
      <c r="DE80" s="16">
        <v>1.6427272727272721</v>
      </c>
      <c r="DF80" s="16">
        <v>3.4839534883720926</v>
      </c>
      <c r="DG80" s="16">
        <v>2.4249999999999998</v>
      </c>
      <c r="DH80" s="16">
        <v>3.1482352941176481</v>
      </c>
      <c r="DI80" s="17">
        <v>1.451111111111111</v>
      </c>
      <c r="DJ80" s="15">
        <v>4.9649999999999999</v>
      </c>
      <c r="DK80" s="16">
        <v>5.2845833333333339</v>
      </c>
      <c r="DL80" s="16">
        <v>2.0225581395348842</v>
      </c>
      <c r="DM80" s="16">
        <v>1.61181818181819</v>
      </c>
      <c r="DN80" s="16">
        <v>3.4847727272727278</v>
      </c>
      <c r="DO80" s="16">
        <v>2.4240909090909089</v>
      </c>
      <c r="DP80" s="16">
        <v>3.145882352941177</v>
      </c>
      <c r="DQ80" s="17">
        <v>1.4428301886792452</v>
      </c>
      <c r="DS80" s="66"/>
      <c r="DT80" s="70"/>
      <c r="DU80" s="39" t="s">
        <v>25</v>
      </c>
      <c r="DV80" s="15">
        <v>-1.5119047619047601</v>
      </c>
      <c r="DW80" s="16">
        <v>1.04588235294118</v>
      </c>
      <c r="DX80" s="16">
        <v>2.2100000000000097</v>
      </c>
      <c r="DY80" s="16">
        <v>1.0881818181818201</v>
      </c>
      <c r="DZ80" s="16">
        <v>1.727454545454546</v>
      </c>
      <c r="EA80" s="16">
        <v>3.11</v>
      </c>
      <c r="EB80" s="16">
        <v>2.2709302325581402</v>
      </c>
      <c r="EC80" s="17">
        <v>0.92500000000000004</v>
      </c>
      <c r="ED80" s="15">
        <v>-1.5972727272727196</v>
      </c>
      <c r="EE80" s="16">
        <v>0.93903846153847015</v>
      </c>
      <c r="EF80" s="16">
        <v>2.2072727272727297</v>
      </c>
      <c r="EG80" s="16">
        <v>1.0873333333333401</v>
      </c>
      <c r="EH80" s="16">
        <v>1.7275</v>
      </c>
      <c r="EI80" s="16">
        <v>3.11</v>
      </c>
      <c r="EJ80" s="16">
        <v>2.2727272727272729</v>
      </c>
      <c r="EK80" s="17">
        <v>0.92625000000000002</v>
      </c>
      <c r="EM80" s="66"/>
      <c r="EN80" s="70"/>
      <c r="EO80" s="39" t="s">
        <v>25</v>
      </c>
      <c r="EP80" s="15">
        <v>-0.40961538461538005</v>
      </c>
      <c r="EQ80" s="16">
        <v>3.064528301886793</v>
      </c>
      <c r="ER80" s="16">
        <v>3.5971428571428579</v>
      </c>
      <c r="ES80" s="16">
        <v>0.45529411764705996</v>
      </c>
      <c r="ET80" s="16">
        <v>1.604285714285715</v>
      </c>
      <c r="EU80" s="16">
        <v>2.2814285714285703</v>
      </c>
      <c r="EV80" s="16">
        <v>2.7690909090909099</v>
      </c>
      <c r="EW80" s="17">
        <v>1.8659574468085109</v>
      </c>
      <c r="EX80" s="15">
        <v>0.11333333333334039</v>
      </c>
      <c r="EY80" s="16">
        <v>3.0753571428571429</v>
      </c>
      <c r="EZ80" s="16">
        <v>3.5799999999999996</v>
      </c>
      <c r="FA80" s="16">
        <v>0.13428571428572011</v>
      </c>
      <c r="FB80" s="16">
        <v>1.6240000000000001</v>
      </c>
      <c r="FC80" s="16">
        <v>2.2900000000000005</v>
      </c>
      <c r="FD80" s="16">
        <v>2.5299999999999998</v>
      </c>
      <c r="FE80" s="17">
        <v>1.922857142857143</v>
      </c>
    </row>
    <row r="81" spans="3:161" x14ac:dyDescent="0.3">
      <c r="C81" s="66"/>
      <c r="D81" s="70"/>
      <c r="E81" s="39" t="s">
        <v>26</v>
      </c>
      <c r="F81" s="15">
        <v>-1.0882813860351854</v>
      </c>
      <c r="G81" s="16">
        <v>2.1072468733938705</v>
      </c>
      <c r="H81" s="16">
        <v>-1.0918723349267174</v>
      </c>
      <c r="I81" s="16">
        <v>2.6746436741159627</v>
      </c>
      <c r="J81" s="16">
        <v>2.8890458413213183</v>
      </c>
      <c r="K81" s="16">
        <v>9.5773271439046876</v>
      </c>
      <c r="L81" s="16">
        <v>-1.3125512715339664</v>
      </c>
      <c r="M81" s="17"/>
      <c r="N81" s="15">
        <v>-1.0214971794480194</v>
      </c>
      <c r="O81" s="16">
        <v>2.1820448877805902</v>
      </c>
      <c r="P81" s="16">
        <v>-1.1083210667589602</v>
      </c>
      <c r="Q81" s="16">
        <v>2.6502983019734994</v>
      </c>
      <c r="R81" s="16">
        <v>3.0172413793105743</v>
      </c>
      <c r="S81" s="16">
        <v>9.541921614024055</v>
      </c>
      <c r="T81" s="16">
        <v>-1.3277285077151091</v>
      </c>
      <c r="U81" s="17"/>
      <c r="W81" s="66"/>
      <c r="X81" s="70"/>
      <c r="Y81" s="39" t="s">
        <v>26</v>
      </c>
      <c r="Z81" s="15">
        <v>-2.4226833590577899</v>
      </c>
      <c r="AA81" s="16">
        <v>2.2071743882054626</v>
      </c>
      <c r="AB81" s="16">
        <v>6.9930498147642437</v>
      </c>
      <c r="AC81" s="16">
        <v>4.5257080010999955</v>
      </c>
      <c r="AD81" s="16">
        <v>0.20342047766153123</v>
      </c>
      <c r="AE81" s="16">
        <v>-11.300468946585616</v>
      </c>
      <c r="AF81" s="16">
        <v>-1.1277629250291663</v>
      </c>
      <c r="AG81" s="17">
        <v>-15.408378541289707</v>
      </c>
      <c r="AH81" s="15">
        <v>-1.6372432796128007</v>
      </c>
      <c r="AI81" s="16">
        <v>2.0256168924173577</v>
      </c>
      <c r="AJ81" s="16">
        <v>7.0123994638071316</v>
      </c>
      <c r="AK81" s="16">
        <v>4.6641791044776495</v>
      </c>
      <c r="AL81" s="16">
        <v>0.14230748959072453</v>
      </c>
      <c r="AM81" s="16">
        <v>-10.979228486646697</v>
      </c>
      <c r="AN81" s="16">
        <v>-1.4591143986219444</v>
      </c>
      <c r="AO81" s="17">
        <v>-15.650137460543515</v>
      </c>
      <c r="AQ81" s="66"/>
      <c r="AR81" s="70"/>
      <c r="AS81" s="39" t="s">
        <v>26</v>
      </c>
      <c r="AT81" s="15">
        <v>-8.4301600757991846</v>
      </c>
      <c r="AU81" s="16">
        <v>2.039808018069158</v>
      </c>
      <c r="AV81" s="16">
        <v>6.9343863153951704</v>
      </c>
      <c r="AW81" s="16">
        <v>8.0340144688412209</v>
      </c>
      <c r="AX81" s="16">
        <v>2.8988178906375794</v>
      </c>
      <c r="AY81" s="16">
        <v>1.1942907078360514</v>
      </c>
      <c r="AZ81" s="16">
        <v>3.0541387574514727</v>
      </c>
      <c r="BA81" s="17">
        <v>-2.3749714546695433</v>
      </c>
      <c r="BB81" s="15">
        <v>-8.4896747199351115</v>
      </c>
      <c r="BC81" s="16">
        <v>2.4672854095811445</v>
      </c>
      <c r="BD81" s="16">
        <v>7.4599757836676108</v>
      </c>
      <c r="BE81" s="16">
        <v>8.0032482179919242</v>
      </c>
      <c r="BF81" s="16">
        <v>3.3115761182569057</v>
      </c>
      <c r="BG81" s="16">
        <v>1.5273838097317058</v>
      </c>
      <c r="BH81" s="16">
        <v>3.1747327185178844</v>
      </c>
      <c r="BI81" s="17">
        <v>-2.6797030599309921</v>
      </c>
      <c r="BK81" s="66"/>
      <c r="BL81" s="70"/>
      <c r="BM81" s="39" t="s">
        <v>26</v>
      </c>
      <c r="BN81" s="15">
        <v>-6.6595142716236841</v>
      </c>
      <c r="BO81" s="16">
        <v>-0.49276447105772436</v>
      </c>
      <c r="BP81" s="16">
        <v>-3.9262388587332269</v>
      </c>
      <c r="BQ81" s="16">
        <v>0.5586592178770996</v>
      </c>
      <c r="BR81" s="16">
        <v>-7.1168645230563099</v>
      </c>
      <c r="BS81" s="16">
        <v>-2.1386124930898234</v>
      </c>
      <c r="BT81" s="16">
        <v>-2.8922978587406778</v>
      </c>
      <c r="BU81" s="17">
        <v>2.8243601059135064</v>
      </c>
      <c r="BV81" s="15">
        <v>-6.9815279549100735</v>
      </c>
      <c r="BW81" s="16">
        <v>-1.1472133816888439</v>
      </c>
      <c r="BX81" s="16">
        <v>-3.91524386852767</v>
      </c>
      <c r="BY81" s="16">
        <v>0.43763676148822889</v>
      </c>
      <c r="BZ81" s="16">
        <v>-7.3923639317625121</v>
      </c>
      <c r="CA81" s="16">
        <v>-2.3129168451323268</v>
      </c>
      <c r="CB81" s="16">
        <v>-2.9506570790973696</v>
      </c>
      <c r="CC81" s="17">
        <v>-0.21413276231262929</v>
      </c>
      <c r="CE81" s="66"/>
      <c r="CF81" s="70"/>
      <c r="CG81" s="39" t="s">
        <v>26</v>
      </c>
      <c r="CH81" s="15">
        <v>0.23698724577734992</v>
      </c>
      <c r="CI81" s="16">
        <v>535.70134835983072</v>
      </c>
      <c r="CJ81" s="16">
        <v>72.994779307072491</v>
      </c>
      <c r="CK81" s="16">
        <v>-45.395845030881517</v>
      </c>
      <c r="CL81" s="16">
        <v>565.23630037692158</v>
      </c>
      <c r="CM81" s="16">
        <v>856.07843137255168</v>
      </c>
      <c r="CN81" s="16">
        <v>-14.417832582404454</v>
      </c>
      <c r="CO81" s="17">
        <v>220.03895787679593</v>
      </c>
      <c r="CP81" s="15">
        <v>0.97664727840961096</v>
      </c>
      <c r="CQ81" s="16">
        <v>539.8409542743542</v>
      </c>
      <c r="CR81" s="16">
        <v>72.340425531916139</v>
      </c>
      <c r="CS81" s="16">
        <v>-45.499124343257442</v>
      </c>
      <c r="CT81" s="16">
        <v>565.01987507098295</v>
      </c>
      <c r="CU81" s="16">
        <v>852.9411764705934</v>
      </c>
      <c r="CV81" s="16">
        <v>-15.225883542442068</v>
      </c>
      <c r="CW81" s="17">
        <v>217.04545454545462</v>
      </c>
      <c r="CY81" s="66"/>
      <c r="CZ81" s="70"/>
      <c r="DA81" s="39" t="s">
        <v>26</v>
      </c>
      <c r="DB81" s="15">
        <v>422.55319148936172</v>
      </c>
      <c r="DC81" s="16">
        <v>3936.1702127659655</v>
      </c>
      <c r="DD81" s="16">
        <v>521.93548387096769</v>
      </c>
      <c r="DE81" s="16">
        <v>164.72196900638087</v>
      </c>
      <c r="DF81" s="16">
        <v>1102.3546725533481</v>
      </c>
      <c r="DG81" s="16">
        <v>746.15384615384608</v>
      </c>
      <c r="DH81" s="16">
        <v>424.42505947660658</v>
      </c>
      <c r="DI81" s="17">
        <v>199.08536585365849</v>
      </c>
      <c r="DJ81" s="15">
        <v>422.55319148936172</v>
      </c>
      <c r="DK81" s="16">
        <v>3902.4615384615586</v>
      </c>
      <c r="DL81" s="16">
        <v>522.02881152461032</v>
      </c>
      <c r="DM81" s="16">
        <v>156.76392572944499</v>
      </c>
      <c r="DN81" s="16">
        <v>1105.4794520547971</v>
      </c>
      <c r="DO81" s="16">
        <v>743.79358437935821</v>
      </c>
      <c r="DP81" s="16">
        <v>422.76679841897271</v>
      </c>
      <c r="DQ81" s="17">
        <v>195.72562068082919</v>
      </c>
      <c r="DS81" s="66"/>
      <c r="DT81" s="70"/>
      <c r="DU81" s="39" t="s">
        <v>26</v>
      </c>
      <c r="DV81" s="15">
        <v>-21.11037234042551</v>
      </c>
      <c r="DW81" s="16">
        <v>36.013773546688441</v>
      </c>
      <c r="DX81" s="16">
        <v>164.9253731343303</v>
      </c>
      <c r="DY81" s="16">
        <v>69.23076923076944</v>
      </c>
      <c r="DZ81" s="16">
        <v>307.07821590174569</v>
      </c>
      <c r="EA81" s="16">
        <v>365.88235294117646</v>
      </c>
      <c r="EB81" s="16">
        <v>734.76297968397421</v>
      </c>
      <c r="EC81" s="17">
        <v>284.61538461538464</v>
      </c>
      <c r="ED81" s="15">
        <v>-22.039638735574428</v>
      </c>
      <c r="EE81" s="16">
        <v>31.187328351536426</v>
      </c>
      <c r="EF81" s="16">
        <v>164.38727149627675</v>
      </c>
      <c r="EG81" s="16">
        <v>69.139465875371641</v>
      </c>
      <c r="EH81" s="16">
        <v>307.11111111111109</v>
      </c>
      <c r="EI81" s="16">
        <v>365.88235294117646</v>
      </c>
      <c r="EJ81" s="16">
        <v>739.64497041420202</v>
      </c>
      <c r="EK81" s="17">
        <v>286.10038610038612</v>
      </c>
      <c r="EM81" s="66"/>
      <c r="EN81" s="70"/>
      <c r="EO81" s="39" t="s">
        <v>26</v>
      </c>
      <c r="EP81" s="15">
        <v>-5.9627120541962313</v>
      </c>
      <c r="EQ81" s="16">
        <v>474.7734580532013</v>
      </c>
      <c r="ER81" s="16">
        <v>431.90394511149287</v>
      </c>
      <c r="ES81" s="16">
        <v>20.283018867924589</v>
      </c>
      <c r="ET81" s="16">
        <v>819.70802919708365</v>
      </c>
      <c r="EU81" s="16">
        <v>79.531872509960081</v>
      </c>
      <c r="EV81" s="16">
        <v>862.8895184136004</v>
      </c>
      <c r="EW81" s="17">
        <v>402.10912425492927</v>
      </c>
      <c r="EX81" s="15">
        <v>1.7857142857143991</v>
      </c>
      <c r="EY81" s="16">
        <v>484.58075407991015</v>
      </c>
      <c r="EZ81" s="16">
        <v>421.17647058823525</v>
      </c>
      <c r="FA81" s="16">
        <v>5.2338530066817528</v>
      </c>
      <c r="FB81" s="16">
        <v>922.72727272727286</v>
      </c>
      <c r="FC81" s="16">
        <v>80.069930069930095</v>
      </c>
      <c r="FD81" s="16">
        <v>451.78571428571422</v>
      </c>
      <c r="FE81" s="17">
        <v>472.2807017543862</v>
      </c>
    </row>
    <row r="82" spans="3:161" ht="28.8" x14ac:dyDescent="0.3">
      <c r="C82" s="66"/>
      <c r="D82" s="70" t="s">
        <v>28</v>
      </c>
      <c r="E82" s="40" t="s">
        <v>24</v>
      </c>
      <c r="F82" s="30">
        <v>5.45</v>
      </c>
      <c r="G82" s="31">
        <v>6.03</v>
      </c>
      <c r="H82" s="31">
        <v>2.4500000000000002</v>
      </c>
      <c r="I82" s="31">
        <v>3.92</v>
      </c>
      <c r="J82" s="31">
        <v>4.83</v>
      </c>
      <c r="K82" s="31">
        <v>1.4</v>
      </c>
      <c r="L82" s="31">
        <v>3.97</v>
      </c>
      <c r="M82" s="32"/>
      <c r="N82" s="30">
        <v>5.45</v>
      </c>
      <c r="O82" s="31">
        <v>6.03</v>
      </c>
      <c r="P82" s="31">
        <v>2.4500000000000002</v>
      </c>
      <c r="Q82" s="31">
        <v>3.92</v>
      </c>
      <c r="R82" s="31">
        <v>4.83</v>
      </c>
      <c r="S82" s="31">
        <v>1.4</v>
      </c>
      <c r="T82" s="31">
        <v>3.97</v>
      </c>
      <c r="U82" s="32"/>
      <c r="W82" s="66"/>
      <c r="X82" s="70" t="s">
        <v>28</v>
      </c>
      <c r="Y82" s="40" t="s">
        <v>24</v>
      </c>
      <c r="Z82" s="30">
        <v>6.14</v>
      </c>
      <c r="AA82" s="31">
        <v>5.46</v>
      </c>
      <c r="AB82" s="31">
        <v>2.44</v>
      </c>
      <c r="AC82" s="31">
        <v>2.67</v>
      </c>
      <c r="AD82" s="31">
        <v>3.85</v>
      </c>
      <c r="AE82" s="31">
        <v>2.75</v>
      </c>
      <c r="AF82" s="31">
        <v>3.83</v>
      </c>
      <c r="AG82" s="32">
        <v>2.1800000000000002</v>
      </c>
      <c r="AH82" s="30">
        <v>6.14</v>
      </c>
      <c r="AI82" s="31">
        <v>5.46</v>
      </c>
      <c r="AJ82" s="31">
        <v>2.44</v>
      </c>
      <c r="AK82" s="31">
        <v>2.67</v>
      </c>
      <c r="AL82" s="31">
        <v>3.85</v>
      </c>
      <c r="AM82" s="31">
        <v>2.75</v>
      </c>
      <c r="AN82" s="31">
        <v>3.83</v>
      </c>
      <c r="AO82" s="32">
        <v>2.1800000000000002</v>
      </c>
      <c r="AQ82" s="66"/>
      <c r="AR82" s="70" t="s">
        <v>28</v>
      </c>
      <c r="AS82" s="40" t="s">
        <v>24</v>
      </c>
      <c r="AT82" s="30">
        <v>5.64</v>
      </c>
      <c r="AU82" s="31">
        <v>4.01</v>
      </c>
      <c r="AV82" s="31">
        <v>3.57</v>
      </c>
      <c r="AW82" s="31">
        <v>2.7</v>
      </c>
      <c r="AX82" s="31">
        <v>2.35</v>
      </c>
      <c r="AY82" s="31">
        <v>3.98</v>
      </c>
      <c r="AZ82" s="31">
        <v>2.5299999999999998</v>
      </c>
      <c r="BA82" s="32">
        <v>1.25</v>
      </c>
      <c r="BB82" s="30">
        <v>5.64</v>
      </c>
      <c r="BC82" s="31">
        <v>4.01</v>
      </c>
      <c r="BD82" s="31">
        <v>3.57</v>
      </c>
      <c r="BE82" s="31">
        <v>2.7</v>
      </c>
      <c r="BF82" s="31">
        <v>2.35</v>
      </c>
      <c r="BG82" s="31">
        <v>3.98</v>
      </c>
      <c r="BH82" s="31">
        <v>2.5299999999999998</v>
      </c>
      <c r="BI82" s="32">
        <v>1.25</v>
      </c>
      <c r="BK82" s="66"/>
      <c r="BL82" s="70" t="s">
        <v>28</v>
      </c>
      <c r="BM82" s="40" t="s">
        <v>24</v>
      </c>
      <c r="BN82" s="30">
        <v>6.44</v>
      </c>
      <c r="BO82" s="31">
        <v>3.76</v>
      </c>
      <c r="BP82" s="31">
        <v>4.45</v>
      </c>
      <c r="BQ82" s="31">
        <v>2.71</v>
      </c>
      <c r="BR82" s="31">
        <v>1.81</v>
      </c>
      <c r="BS82" s="31">
        <v>5.21</v>
      </c>
      <c r="BT82" s="31">
        <v>3.06</v>
      </c>
      <c r="BU82" s="32">
        <v>2.33</v>
      </c>
      <c r="BV82" s="30">
        <v>6.44</v>
      </c>
      <c r="BW82" s="31">
        <v>3.76</v>
      </c>
      <c r="BX82" s="31">
        <v>4.45</v>
      </c>
      <c r="BY82" s="31">
        <v>2.71</v>
      </c>
      <c r="BZ82" s="31">
        <v>1.81</v>
      </c>
      <c r="CA82" s="31">
        <v>5.21</v>
      </c>
      <c r="CB82" s="31">
        <v>3.06</v>
      </c>
      <c r="CC82" s="32">
        <v>2.33</v>
      </c>
      <c r="CE82" s="66"/>
      <c r="CF82" s="70" t="s">
        <v>28</v>
      </c>
      <c r="CG82" s="40" t="s">
        <v>24</v>
      </c>
      <c r="CH82" s="30">
        <v>5.45</v>
      </c>
      <c r="CI82" s="31">
        <v>6.03</v>
      </c>
      <c r="CJ82" s="31">
        <v>2.4500000000000002</v>
      </c>
      <c r="CK82" s="31">
        <v>3.92</v>
      </c>
      <c r="CL82" s="31">
        <v>4.83</v>
      </c>
      <c r="CM82" s="31">
        <v>1.4</v>
      </c>
      <c r="CN82" s="31">
        <v>3.97</v>
      </c>
      <c r="CO82" s="32">
        <v>2.4900000000000002</v>
      </c>
      <c r="CP82" s="30">
        <v>5.45</v>
      </c>
      <c r="CQ82" s="31">
        <v>6.03</v>
      </c>
      <c r="CR82" s="31">
        <v>2.4500000000000002</v>
      </c>
      <c r="CS82" s="31">
        <v>3.92</v>
      </c>
      <c r="CT82" s="31">
        <v>4.83</v>
      </c>
      <c r="CU82" s="31">
        <v>1.4</v>
      </c>
      <c r="CV82" s="31">
        <v>3.97</v>
      </c>
      <c r="CW82" s="32">
        <v>2.4900000000000002</v>
      </c>
      <c r="CY82" s="66"/>
      <c r="CZ82" s="70" t="s">
        <v>28</v>
      </c>
      <c r="DA82" s="40" t="s">
        <v>24</v>
      </c>
      <c r="DB82" s="30">
        <v>6.14</v>
      </c>
      <c r="DC82" s="31">
        <v>5.46</v>
      </c>
      <c r="DD82" s="31">
        <v>2.44</v>
      </c>
      <c r="DE82" s="31">
        <v>2.67</v>
      </c>
      <c r="DF82" s="31">
        <v>3.85</v>
      </c>
      <c r="DG82" s="31">
        <v>2.75</v>
      </c>
      <c r="DH82" s="31">
        <v>3.83</v>
      </c>
      <c r="DI82" s="32">
        <v>2.1800000000000002</v>
      </c>
      <c r="DJ82" s="30">
        <v>6.14</v>
      </c>
      <c r="DK82" s="31">
        <v>5.46</v>
      </c>
      <c r="DL82" s="31">
        <v>2.44</v>
      </c>
      <c r="DM82" s="31">
        <v>2.67</v>
      </c>
      <c r="DN82" s="31">
        <v>3.85</v>
      </c>
      <c r="DO82" s="31">
        <v>2.75</v>
      </c>
      <c r="DP82" s="31">
        <v>3.83</v>
      </c>
      <c r="DQ82" s="32">
        <v>2.1800000000000002</v>
      </c>
      <c r="DS82" s="66"/>
      <c r="DT82" s="70" t="s">
        <v>28</v>
      </c>
      <c r="DU82" s="40" t="s">
        <v>24</v>
      </c>
      <c r="DV82" s="30">
        <v>5.64</v>
      </c>
      <c r="DW82" s="31">
        <v>4.01</v>
      </c>
      <c r="DX82" s="31">
        <v>3.57</v>
      </c>
      <c r="DY82" s="31">
        <v>2.7</v>
      </c>
      <c r="DZ82" s="31">
        <v>2.35</v>
      </c>
      <c r="EA82" s="31">
        <v>3.98</v>
      </c>
      <c r="EB82" s="31">
        <v>2.5299999999999998</v>
      </c>
      <c r="EC82" s="32">
        <v>1.25</v>
      </c>
      <c r="ED82" s="30">
        <v>5.64</v>
      </c>
      <c r="EE82" s="31">
        <v>4.01</v>
      </c>
      <c r="EF82" s="31">
        <v>3.57</v>
      </c>
      <c r="EG82" s="31">
        <v>2.7</v>
      </c>
      <c r="EH82" s="31">
        <v>2.35</v>
      </c>
      <c r="EI82" s="31">
        <v>3.98</v>
      </c>
      <c r="EJ82" s="31">
        <v>2.5299999999999998</v>
      </c>
      <c r="EK82" s="32">
        <v>1.25</v>
      </c>
      <c r="EM82" s="66"/>
      <c r="EN82" s="70" t="s">
        <v>28</v>
      </c>
      <c r="EO82" s="40" t="s">
        <v>24</v>
      </c>
      <c r="EP82" s="30">
        <v>6.44</v>
      </c>
      <c r="EQ82" s="31">
        <v>3.76</v>
      </c>
      <c r="ER82" s="31">
        <v>4.45</v>
      </c>
      <c r="ES82" s="31">
        <v>2.71</v>
      </c>
      <c r="ET82" s="31">
        <v>1.81</v>
      </c>
      <c r="EU82" s="31">
        <v>5.21</v>
      </c>
      <c r="EV82" s="31">
        <v>3.06</v>
      </c>
      <c r="EW82" s="32">
        <v>2.33</v>
      </c>
      <c r="EX82" s="30">
        <v>6.44</v>
      </c>
      <c r="EY82" s="31">
        <v>3.76</v>
      </c>
      <c r="EZ82" s="31">
        <v>4.45</v>
      </c>
      <c r="FA82" s="31">
        <v>2.71</v>
      </c>
      <c r="FB82" s="31">
        <v>1.81</v>
      </c>
      <c r="FC82" s="31">
        <v>5.21</v>
      </c>
      <c r="FD82" s="31">
        <v>3.06</v>
      </c>
      <c r="FE82" s="32">
        <v>2.33</v>
      </c>
    </row>
    <row r="83" spans="3:161" x14ac:dyDescent="0.3">
      <c r="C83" s="66"/>
      <c r="D83" s="70"/>
      <c r="E83" s="39" t="s">
        <v>25</v>
      </c>
      <c r="F83" s="15">
        <v>-1.9523809523810165E-2</v>
      </c>
      <c r="G83" s="16">
        <v>0.1930000000000005</v>
      </c>
      <c r="H83" s="16">
        <v>-6.8253968253899622E-3</v>
      </c>
      <c r="I83" s="16">
        <v>0.13133333333333974</v>
      </c>
      <c r="J83" s="16">
        <v>0.18421875000001009</v>
      </c>
      <c r="K83" s="16">
        <v>0.14061538461538992</v>
      </c>
      <c r="L83" s="16">
        <v>-9.3333333333329715E-2</v>
      </c>
      <c r="M83" s="17"/>
      <c r="N83" s="15">
        <v>-1.5833333333329591E-2</v>
      </c>
      <c r="O83" s="16">
        <v>0.19727272727272993</v>
      </c>
      <c r="P83" s="16">
        <v>-7.2340425531898234E-3</v>
      </c>
      <c r="Q83" s="16">
        <v>0.13043478260869978</v>
      </c>
      <c r="R83" s="16">
        <v>0.19000000000001016</v>
      </c>
      <c r="S83" s="16">
        <v>0.14020833333333993</v>
      </c>
      <c r="T83" s="16">
        <v>-9.3958333333330035E-2</v>
      </c>
      <c r="U83" s="17"/>
      <c r="W83" s="66"/>
      <c r="X83" s="70"/>
      <c r="Y83" s="39" t="s">
        <v>25</v>
      </c>
      <c r="Z83" s="15">
        <v>-0.15244604316545995</v>
      </c>
      <c r="AA83" s="16">
        <v>0.15704545454545027</v>
      </c>
      <c r="AB83" s="16">
        <v>0.1875172413793198</v>
      </c>
      <c r="AC83" s="16">
        <v>0.14430555555555991</v>
      </c>
      <c r="AD83" s="16">
        <v>5.771428571429027E-2</v>
      </c>
      <c r="AE83" s="16">
        <v>-0.35035460992907019</v>
      </c>
      <c r="AF83" s="16">
        <v>-0.10437037037036978</v>
      </c>
      <c r="AG83" s="17">
        <v>-0.39708737864076982</v>
      </c>
      <c r="AH83" s="15">
        <v>-0.10219999999999008</v>
      </c>
      <c r="AI83" s="16">
        <v>0.14760869565218027</v>
      </c>
      <c r="AJ83" s="16">
        <v>0.18792452830188999</v>
      </c>
      <c r="AK83" s="16">
        <v>0.14764705882353013</v>
      </c>
      <c r="AL83" s="16">
        <v>5.5400000000009886E-2</v>
      </c>
      <c r="AM83" s="16">
        <v>-0.33916666666666018</v>
      </c>
      <c r="AN83" s="16">
        <v>-0.11759999999999993</v>
      </c>
      <c r="AO83" s="17">
        <v>-0.40447368421051966</v>
      </c>
      <c r="AQ83" s="66"/>
      <c r="AR83" s="70"/>
      <c r="AS83" s="39" t="s">
        <v>25</v>
      </c>
      <c r="AT83" s="15">
        <v>-0.53015384615385042</v>
      </c>
      <c r="AU83" s="16">
        <v>0.13896174863388966</v>
      </c>
      <c r="AV83" s="16">
        <v>0.25020725388601006</v>
      </c>
      <c r="AW83" s="16">
        <v>0.23781249999999998</v>
      </c>
      <c r="AX83" s="16">
        <v>0.12451282051282009</v>
      </c>
      <c r="AY83" s="16">
        <v>6.6735751295349921E-2</v>
      </c>
      <c r="AZ83" s="16">
        <v>2.6461538461549861E-2</v>
      </c>
      <c r="BA83" s="17">
        <v>-3.0409356725140002E-2</v>
      </c>
      <c r="BB83" s="15">
        <v>-0.53416666666666046</v>
      </c>
      <c r="BC83" s="16">
        <v>0.15511111111111964</v>
      </c>
      <c r="BD83" s="16">
        <v>0.26644444444445003</v>
      </c>
      <c r="BE83" s="16">
        <v>0.23711111111112038</v>
      </c>
      <c r="BF83" s="16">
        <v>0.1334042553191499</v>
      </c>
      <c r="BG83" s="16">
        <v>7.9574468085109817E-2</v>
      </c>
      <c r="BH83" s="16">
        <v>2.9387755102039836E-2</v>
      </c>
      <c r="BI83" s="17">
        <v>-3.441860465116009E-2</v>
      </c>
      <c r="BK83" s="66"/>
      <c r="BL83" s="70"/>
      <c r="BM83" s="39" t="s">
        <v>25</v>
      </c>
      <c r="BN83" s="15">
        <v>-0.48089820359280999</v>
      </c>
      <c r="BO83" s="16">
        <v>3.1627906976749998E-2</v>
      </c>
      <c r="BP83" s="16">
        <v>-0.16104046242775016</v>
      </c>
      <c r="BQ83" s="16">
        <v>2.4999999999999911E-2</v>
      </c>
      <c r="BR83" s="16">
        <v>-0.12791907514449985</v>
      </c>
      <c r="BS83" s="16">
        <v>-5.2545454545439796E-2</v>
      </c>
      <c r="BT83" s="16">
        <v>-0.12203389830508016</v>
      </c>
      <c r="BU83" s="17">
        <v>6.4000000000000057E-2</v>
      </c>
      <c r="BV83" s="15">
        <v>-0.50485714285713978</v>
      </c>
      <c r="BW83" s="16">
        <v>6.9444444444499709E-3</v>
      </c>
      <c r="BX83" s="16">
        <v>-0.16051282051280946</v>
      </c>
      <c r="BY83" s="16">
        <v>2.1764705882359792E-2</v>
      </c>
      <c r="BZ83" s="16">
        <v>-0.13368421052630985</v>
      </c>
      <c r="CA83" s="16">
        <v>-6.1935483870960262E-2</v>
      </c>
      <c r="CB83" s="16">
        <v>-0.12394736842104992</v>
      </c>
      <c r="CC83" s="17">
        <v>-4.9999999999998934E-3</v>
      </c>
      <c r="CE83" s="66"/>
      <c r="CF83" s="70"/>
      <c r="CG83" s="39" t="s">
        <v>25</v>
      </c>
      <c r="CH83" s="15">
        <v>5.279069767442035E-2</v>
      </c>
      <c r="CI83" s="16">
        <v>5.0924528301886793</v>
      </c>
      <c r="CJ83" s="16">
        <v>1.0453333333333401</v>
      </c>
      <c r="CK83" s="16">
        <v>-3.2039999999999997</v>
      </c>
      <c r="CL83" s="16">
        <v>4.1114583333333341</v>
      </c>
      <c r="CM83" s="16">
        <v>1.2556603773584909</v>
      </c>
      <c r="CN83" s="16">
        <v>-0.71555555555554973</v>
      </c>
      <c r="CO83" s="17">
        <v>1.7150943396226421</v>
      </c>
      <c r="CP83" s="15">
        <v>9.2325581395350298E-2</v>
      </c>
      <c r="CQ83" s="16">
        <v>5.0985185185185191</v>
      </c>
      <c r="CR83" s="16">
        <v>1.0400000000000102</v>
      </c>
      <c r="CS83" s="16">
        <v>-3.2175000000000002</v>
      </c>
      <c r="CT83" s="16">
        <v>4.1112244897959194</v>
      </c>
      <c r="CU83" s="16">
        <v>1.2551851851851858</v>
      </c>
      <c r="CV83" s="16">
        <v>-0.76021739130433952</v>
      </c>
      <c r="CW83" s="17">
        <v>1.7077777777777783</v>
      </c>
      <c r="CY83" s="66"/>
      <c r="CZ83" s="70"/>
      <c r="DA83" s="39" t="s">
        <v>25</v>
      </c>
      <c r="DB83" s="15">
        <v>4.9649999999999999</v>
      </c>
      <c r="DC83" s="16">
        <v>5.3257142857142856</v>
      </c>
      <c r="DD83" s="16">
        <v>2.0524999999999998</v>
      </c>
      <c r="DE83" s="16">
        <v>1.672727272727272</v>
      </c>
      <c r="DF83" s="16">
        <v>3.5339534883720933</v>
      </c>
      <c r="DG83" s="16">
        <v>2.4249999999999998</v>
      </c>
      <c r="DH83" s="16">
        <v>3.0882352941176481</v>
      </c>
      <c r="DI83" s="17">
        <v>1.451111111111111</v>
      </c>
      <c r="DJ83" s="15">
        <v>4.9649999999999999</v>
      </c>
      <c r="DK83" s="16">
        <v>5.3245833333333339</v>
      </c>
      <c r="DL83" s="16">
        <v>2.052558139534884</v>
      </c>
      <c r="DM83" s="16">
        <v>1.6418181818181898</v>
      </c>
      <c r="DN83" s="16">
        <v>3.5347727272727281</v>
      </c>
      <c r="DO83" s="16">
        <v>2.4240909090909089</v>
      </c>
      <c r="DP83" s="16">
        <v>3.085882352941177</v>
      </c>
      <c r="DQ83" s="17">
        <v>1.4428301886792452</v>
      </c>
      <c r="DS83" s="66"/>
      <c r="DT83" s="70"/>
      <c r="DU83" s="39" t="s">
        <v>25</v>
      </c>
      <c r="DV83" s="15">
        <v>-1.5219047619047608</v>
      </c>
      <c r="DW83" s="16">
        <v>1.1058823529411796</v>
      </c>
      <c r="DX83" s="16">
        <v>2.2300000000000098</v>
      </c>
      <c r="DY83" s="16">
        <v>1.1281818181818202</v>
      </c>
      <c r="DZ83" s="16">
        <v>1.7874545454545461</v>
      </c>
      <c r="EA83" s="16">
        <v>3.13</v>
      </c>
      <c r="EB83" s="16">
        <v>2.2209302325581399</v>
      </c>
      <c r="EC83" s="17">
        <v>0.92500000000000004</v>
      </c>
      <c r="ED83" s="15">
        <v>-1.6072727272727203</v>
      </c>
      <c r="EE83" s="16">
        <v>0.99903846153846976</v>
      </c>
      <c r="EF83" s="16">
        <v>2.2272727272727297</v>
      </c>
      <c r="EG83" s="16">
        <v>1.1273333333333402</v>
      </c>
      <c r="EH83" s="16">
        <v>1.7875000000000001</v>
      </c>
      <c r="EI83" s="16">
        <v>3.13</v>
      </c>
      <c r="EJ83" s="16">
        <v>2.2227272727272727</v>
      </c>
      <c r="EK83" s="17">
        <v>0.92625000000000002</v>
      </c>
      <c r="EM83" s="66"/>
      <c r="EN83" s="70"/>
      <c r="EO83" s="39" t="s">
        <v>25</v>
      </c>
      <c r="EP83" s="15">
        <v>-0.42961538461537963</v>
      </c>
      <c r="EQ83" s="16">
        <v>3.1145283018867929</v>
      </c>
      <c r="ER83" s="16">
        <v>3.6171428571428583</v>
      </c>
      <c r="ES83" s="16">
        <v>0.46529411764705975</v>
      </c>
      <c r="ET83" s="16">
        <v>1.614285714285715</v>
      </c>
      <c r="EU83" s="16">
        <v>2.3414285714285699</v>
      </c>
      <c r="EV83" s="16">
        <v>2.7390909090909101</v>
      </c>
      <c r="EW83" s="17">
        <v>1.8659574468085109</v>
      </c>
      <c r="EX83" s="15">
        <v>9.3333333333340818E-2</v>
      </c>
      <c r="EY83" s="16">
        <v>3.1253571428571427</v>
      </c>
      <c r="EZ83" s="16">
        <v>3.6</v>
      </c>
      <c r="FA83" s="16">
        <v>0.1442857142857199</v>
      </c>
      <c r="FB83" s="16">
        <v>1.6340000000000001</v>
      </c>
      <c r="FC83" s="16">
        <v>2.35</v>
      </c>
      <c r="FD83" s="16">
        <v>2.5</v>
      </c>
      <c r="FE83" s="17">
        <v>1.922857142857143</v>
      </c>
    </row>
    <row r="84" spans="3:161" ht="15" thickBot="1" x14ac:dyDescent="0.35">
      <c r="C84" s="67"/>
      <c r="D84" s="74"/>
      <c r="E84" s="41" t="s">
        <v>26</v>
      </c>
      <c r="F84" s="18">
        <v>-0.35695629461954848</v>
      </c>
      <c r="G84" s="19">
        <v>3.3064930615042059</v>
      </c>
      <c r="H84" s="19">
        <v>-0.27781367101664867</v>
      </c>
      <c r="I84" s="19">
        <v>3.4664789723739218</v>
      </c>
      <c r="J84" s="19">
        <v>3.9652910907075207</v>
      </c>
      <c r="K84" s="19">
        <v>11.165404348888815</v>
      </c>
      <c r="L84" s="19">
        <v>-2.2969647251844907</v>
      </c>
      <c r="M84" s="20"/>
      <c r="N84" s="18">
        <v>-0.28967830461953836</v>
      </c>
      <c r="O84" s="19">
        <v>3.3821695760598973</v>
      </c>
      <c r="P84" s="19">
        <v>-0.29439778335779887</v>
      </c>
      <c r="Q84" s="19">
        <v>3.4419458467187916</v>
      </c>
      <c r="R84" s="19">
        <v>4.0948275862071251</v>
      </c>
      <c r="S84" s="19">
        <v>11.129485695386725</v>
      </c>
      <c r="T84" s="19">
        <v>-2.3119905674885146</v>
      </c>
      <c r="U84" s="20"/>
      <c r="W84" s="67"/>
      <c r="X84" s="74"/>
      <c r="Y84" s="41" t="s">
        <v>26</v>
      </c>
      <c r="Z84" s="18">
        <v>-2.4226833590577899</v>
      </c>
      <c r="AA84" s="19">
        <v>2.9614708781553194</v>
      </c>
      <c r="AB84" s="19">
        <v>8.324913505404453</v>
      </c>
      <c r="AC84" s="19">
        <v>5.7135001374761245</v>
      </c>
      <c r="AD84" s="19">
        <v>1.5218865365781373</v>
      </c>
      <c r="AE84" s="19">
        <v>-11.300468946585616</v>
      </c>
      <c r="AF84" s="19">
        <v>-2.6527845765711344</v>
      </c>
      <c r="AG84" s="20">
        <v>-15.408378541289707</v>
      </c>
      <c r="AH84" s="18">
        <v>-1.6372432796128007</v>
      </c>
      <c r="AI84" s="19">
        <v>2.778573474649221</v>
      </c>
      <c r="AJ84" s="19">
        <v>8.3445040214478752</v>
      </c>
      <c r="AK84" s="19">
        <v>5.853544776119433</v>
      </c>
      <c r="AL84" s="19">
        <v>1.4599694302432413</v>
      </c>
      <c r="AM84" s="19">
        <v>-10.979228486646697</v>
      </c>
      <c r="AN84" s="19">
        <v>-2.9790252305198073</v>
      </c>
      <c r="AO84" s="20">
        <v>-15.650137460543515</v>
      </c>
      <c r="AQ84" s="67"/>
      <c r="AR84" s="74"/>
      <c r="AS84" s="41" t="s">
        <v>26</v>
      </c>
      <c r="AT84" s="18">
        <v>-8.5922305889393744</v>
      </c>
      <c r="AU84" s="19">
        <v>3.5897797854322242</v>
      </c>
      <c r="AV84" s="19">
        <v>7.5368335622424674</v>
      </c>
      <c r="AW84" s="19">
        <v>9.6585861149892107</v>
      </c>
      <c r="AX84" s="19">
        <v>5.5948567873355097</v>
      </c>
      <c r="AY84" s="19">
        <v>1.7053729841382541</v>
      </c>
      <c r="AZ84" s="19">
        <v>1.0569655257179063</v>
      </c>
      <c r="BA84" s="20">
        <v>-2.3749714546695433</v>
      </c>
      <c r="BB84" s="18">
        <v>-8.6516398974219637</v>
      </c>
      <c r="BC84" s="19">
        <v>4.0237505044102146</v>
      </c>
      <c r="BD84" s="19">
        <v>8.065384097941795</v>
      </c>
      <c r="BE84" s="19">
        <v>9.6273572137512016</v>
      </c>
      <c r="BF84" s="19">
        <v>6.018429641005997</v>
      </c>
      <c r="BG84" s="19">
        <v>2.040148374427321</v>
      </c>
      <c r="BH84" s="19">
        <v>1.1752223945155893</v>
      </c>
      <c r="BI84" s="20">
        <v>-2.6797030599309921</v>
      </c>
      <c r="BK84" s="67"/>
      <c r="BL84" s="74"/>
      <c r="BM84" s="41" t="s">
        <v>26</v>
      </c>
      <c r="BN84" s="18">
        <v>-6.9484941036000754</v>
      </c>
      <c r="BO84" s="19">
        <v>0.84830339321373005</v>
      </c>
      <c r="BP84" s="19">
        <v>-3.492497273445331</v>
      </c>
      <c r="BQ84" s="19">
        <v>0.93109869646182153</v>
      </c>
      <c r="BR84" s="19">
        <v>-6.6008471037399552</v>
      </c>
      <c r="BS84" s="19">
        <v>-0.99847982310641137</v>
      </c>
      <c r="BT84" s="19">
        <v>-3.8350910834130927</v>
      </c>
      <c r="BU84" s="20">
        <v>2.8243601059135064</v>
      </c>
      <c r="BV84" s="18">
        <v>-7.2695108404985804</v>
      </c>
      <c r="BW84" s="19">
        <v>0.18503441640159821</v>
      </c>
      <c r="BX84" s="19">
        <v>-3.4814526444578076</v>
      </c>
      <c r="BY84" s="19">
        <v>0.80962800875299212</v>
      </c>
      <c r="BZ84" s="19">
        <v>-6.8778770647167473</v>
      </c>
      <c r="CA84" s="19">
        <v>-1.1748149054639727</v>
      </c>
      <c r="CB84" s="19">
        <v>-3.8928837093973891</v>
      </c>
      <c r="CC84" s="20">
        <v>-0.21413276231262929</v>
      </c>
      <c r="CE84" s="67"/>
      <c r="CF84" s="74"/>
      <c r="CG84" s="41" t="s">
        <v>26</v>
      </c>
      <c r="CH84" s="18">
        <v>0.9781109962082366</v>
      </c>
      <c r="CI84" s="19">
        <v>543.16763936405698</v>
      </c>
      <c r="CJ84" s="19">
        <v>74.418604651163619</v>
      </c>
      <c r="CK84" s="19">
        <v>-44.974733295901174</v>
      </c>
      <c r="CL84" s="19">
        <v>572.194839083793</v>
      </c>
      <c r="CM84" s="19">
        <v>869.93464052287857</v>
      </c>
      <c r="CN84" s="19">
        <v>-15.271520037941558</v>
      </c>
      <c r="CO84" s="20">
        <v>221.329437545654</v>
      </c>
      <c r="CP84" s="18">
        <v>1.7232398645716049</v>
      </c>
      <c r="CQ84" s="19">
        <v>547.35586481113353</v>
      </c>
      <c r="CR84" s="19">
        <v>73.758865248228204</v>
      </c>
      <c r="CS84" s="19">
        <v>-45.078809106830128</v>
      </c>
      <c r="CT84" s="19">
        <v>571.97614991482169</v>
      </c>
      <c r="CU84" s="19">
        <v>866.75191815857295</v>
      </c>
      <c r="CV84" s="19">
        <v>-16.071510639275555</v>
      </c>
      <c r="CW84" s="20">
        <v>218.32386363636377</v>
      </c>
      <c r="CY84" s="67"/>
      <c r="CZ84" s="74"/>
      <c r="DA84" s="41" t="s">
        <v>26</v>
      </c>
      <c r="DB84" s="18">
        <v>422.55319148936172</v>
      </c>
      <c r="DC84" s="19">
        <v>3965.9574468085189</v>
      </c>
      <c r="DD84" s="19">
        <v>529.67741935483866</v>
      </c>
      <c r="DE84" s="19">
        <v>167.73017319963517</v>
      </c>
      <c r="DF84" s="19">
        <v>1118.1751287711554</v>
      </c>
      <c r="DG84" s="19">
        <v>746.15384615384608</v>
      </c>
      <c r="DH84" s="19">
        <v>416.33624107850977</v>
      </c>
      <c r="DI84" s="20">
        <v>199.08536585365849</v>
      </c>
      <c r="DJ84" s="18">
        <v>422.55319148936172</v>
      </c>
      <c r="DK84" s="19">
        <v>3932.00000000002</v>
      </c>
      <c r="DL84" s="19">
        <v>529.77190876350596</v>
      </c>
      <c r="DM84" s="19">
        <v>159.68169761273415</v>
      </c>
      <c r="DN84" s="19">
        <v>1121.3410237923604</v>
      </c>
      <c r="DO84" s="19">
        <v>743.79358437935821</v>
      </c>
      <c r="DP84" s="19">
        <v>414.70355731225334</v>
      </c>
      <c r="DQ84" s="20">
        <v>195.72562068082919</v>
      </c>
      <c r="DS84" s="67"/>
      <c r="DT84" s="74"/>
      <c r="DU84" s="41" t="s">
        <v>26</v>
      </c>
      <c r="DV84" s="18">
        <v>-21.249999999999989</v>
      </c>
      <c r="DW84" s="19">
        <v>38.079805549929262</v>
      </c>
      <c r="DX84" s="19">
        <v>166.41791044776315</v>
      </c>
      <c r="DY84" s="19">
        <v>71.775592828224617</v>
      </c>
      <c r="DZ84" s="19">
        <v>317.7440206851976</v>
      </c>
      <c r="EA84" s="19">
        <v>368.23529411764702</v>
      </c>
      <c r="EB84" s="19">
        <v>718.58540255831576</v>
      </c>
      <c r="EC84" s="20">
        <v>284.61538461538464</v>
      </c>
      <c r="ED84" s="18">
        <v>-22.177621675865456</v>
      </c>
      <c r="EE84" s="19">
        <v>33.180047263205317</v>
      </c>
      <c r="EF84" s="19">
        <v>165.87677725118536</v>
      </c>
      <c r="EG84" s="19">
        <v>71.682916490038892</v>
      </c>
      <c r="EH84" s="19">
        <v>317.77777777777783</v>
      </c>
      <c r="EI84" s="19">
        <v>368.23529411764702</v>
      </c>
      <c r="EJ84" s="19">
        <v>723.37278106508938</v>
      </c>
      <c r="EK84" s="20">
        <v>286.10038610038612</v>
      </c>
      <c r="EM84" s="67"/>
      <c r="EN84" s="74"/>
      <c r="EO84" s="41" t="s">
        <v>26</v>
      </c>
      <c r="EP84" s="18">
        <v>-6.253849168579519</v>
      </c>
      <c r="EQ84" s="19">
        <v>482.51973107278616</v>
      </c>
      <c r="ER84" s="19">
        <v>434.30531732418586</v>
      </c>
      <c r="ES84" s="19">
        <v>20.728511530398372</v>
      </c>
      <c r="ET84" s="19">
        <v>824.81751824817854</v>
      </c>
      <c r="EU84" s="19">
        <v>81.623505976095529</v>
      </c>
      <c r="EV84" s="19">
        <v>853.54107648725494</v>
      </c>
      <c r="EW84" s="20">
        <v>402.10912425492927</v>
      </c>
      <c r="EX84" s="18">
        <v>1.4705882352942372</v>
      </c>
      <c r="EY84" s="19">
        <v>492.45920090039402</v>
      </c>
      <c r="EZ84" s="19">
        <v>423.52941176470591</v>
      </c>
      <c r="FA84" s="19">
        <v>5.6236080178176033</v>
      </c>
      <c r="FB84" s="19">
        <v>928.40909090909099</v>
      </c>
      <c r="FC84" s="19">
        <v>82.167832167832174</v>
      </c>
      <c r="FD84" s="19">
        <v>446.42857142857133</v>
      </c>
      <c r="FE84" s="20">
        <v>472.2807017543862</v>
      </c>
    </row>
    <row r="87" spans="3:161" ht="15" thickBot="1" x14ac:dyDescent="0.35"/>
    <row r="88" spans="3:161" ht="15" thickBot="1" x14ac:dyDescent="0.35">
      <c r="C88" s="77" t="s">
        <v>37</v>
      </c>
      <c r="D88" s="77"/>
      <c r="E88" s="78"/>
      <c r="F88" s="79" t="s">
        <v>1</v>
      </c>
      <c r="G88" s="80"/>
      <c r="H88" s="80"/>
      <c r="I88" s="80"/>
      <c r="J88" s="80"/>
      <c r="K88" s="80"/>
      <c r="L88" s="80"/>
      <c r="M88" s="81"/>
      <c r="N88" s="75" t="s">
        <v>2</v>
      </c>
      <c r="O88" s="75"/>
      <c r="P88" s="75"/>
      <c r="Q88" s="75"/>
      <c r="R88" s="75"/>
      <c r="S88" s="75"/>
      <c r="T88" s="75"/>
      <c r="U88" s="76"/>
      <c r="W88" s="77" t="s">
        <v>38</v>
      </c>
      <c r="X88" s="77"/>
      <c r="Y88" s="78"/>
      <c r="Z88" s="79" t="s">
        <v>1</v>
      </c>
      <c r="AA88" s="80"/>
      <c r="AB88" s="80"/>
      <c r="AC88" s="80"/>
      <c r="AD88" s="80"/>
      <c r="AE88" s="80"/>
      <c r="AF88" s="80"/>
      <c r="AG88" s="81"/>
      <c r="AH88" s="75" t="s">
        <v>2</v>
      </c>
      <c r="AI88" s="75"/>
      <c r="AJ88" s="75"/>
      <c r="AK88" s="75"/>
      <c r="AL88" s="75"/>
      <c r="AM88" s="75"/>
      <c r="AN88" s="75"/>
      <c r="AO88" s="76"/>
      <c r="AQ88" s="77" t="s">
        <v>39</v>
      </c>
      <c r="AR88" s="77"/>
      <c r="AS88" s="78"/>
      <c r="AT88" s="79" t="s">
        <v>1</v>
      </c>
      <c r="AU88" s="80"/>
      <c r="AV88" s="80"/>
      <c r="AW88" s="80"/>
      <c r="AX88" s="80"/>
      <c r="AY88" s="80"/>
      <c r="AZ88" s="80"/>
      <c r="BA88" s="81"/>
      <c r="BB88" s="75" t="s">
        <v>2</v>
      </c>
      <c r="BC88" s="75"/>
      <c r="BD88" s="75"/>
      <c r="BE88" s="75"/>
      <c r="BF88" s="75"/>
      <c r="BG88" s="75"/>
      <c r="BH88" s="75"/>
      <c r="BI88" s="76"/>
      <c r="BK88" s="77" t="s">
        <v>40</v>
      </c>
      <c r="BL88" s="77"/>
      <c r="BM88" s="78"/>
      <c r="BN88" s="79" t="s">
        <v>1</v>
      </c>
      <c r="BO88" s="80"/>
      <c r="BP88" s="80"/>
      <c r="BQ88" s="80"/>
      <c r="BR88" s="80"/>
      <c r="BS88" s="80"/>
      <c r="BT88" s="80"/>
      <c r="BU88" s="81"/>
      <c r="BV88" s="75" t="s">
        <v>2</v>
      </c>
      <c r="BW88" s="75"/>
      <c r="BX88" s="75"/>
      <c r="BY88" s="75"/>
      <c r="BZ88" s="75"/>
      <c r="CA88" s="75"/>
      <c r="CB88" s="75"/>
      <c r="CC88" s="76"/>
      <c r="CE88" s="77" t="s">
        <v>41</v>
      </c>
      <c r="CF88" s="77"/>
      <c r="CG88" s="78"/>
      <c r="CH88" s="79" t="s">
        <v>1</v>
      </c>
      <c r="CI88" s="80"/>
      <c r="CJ88" s="80"/>
      <c r="CK88" s="80"/>
      <c r="CL88" s="80"/>
      <c r="CM88" s="80"/>
      <c r="CN88" s="80"/>
      <c r="CO88" s="81"/>
      <c r="CP88" s="75" t="s">
        <v>2</v>
      </c>
      <c r="CQ88" s="75"/>
      <c r="CR88" s="75"/>
      <c r="CS88" s="75"/>
      <c r="CT88" s="75"/>
      <c r="CU88" s="75"/>
      <c r="CV88" s="75"/>
      <c r="CW88" s="76"/>
      <c r="CY88" s="77" t="s">
        <v>42</v>
      </c>
      <c r="CZ88" s="77"/>
      <c r="DA88" s="78"/>
      <c r="DB88" s="79" t="s">
        <v>1</v>
      </c>
      <c r="DC88" s="80"/>
      <c r="DD88" s="80"/>
      <c r="DE88" s="80"/>
      <c r="DF88" s="80"/>
      <c r="DG88" s="80"/>
      <c r="DH88" s="80"/>
      <c r="DI88" s="81"/>
      <c r="DJ88" s="75" t="s">
        <v>2</v>
      </c>
      <c r="DK88" s="75"/>
      <c r="DL88" s="75"/>
      <c r="DM88" s="75"/>
      <c r="DN88" s="75"/>
      <c r="DO88" s="75"/>
      <c r="DP88" s="75"/>
      <c r="DQ88" s="76"/>
      <c r="DS88" s="77" t="s">
        <v>43</v>
      </c>
      <c r="DT88" s="77"/>
      <c r="DU88" s="78"/>
      <c r="DV88" s="79" t="s">
        <v>1</v>
      </c>
      <c r="DW88" s="80"/>
      <c r="DX88" s="80"/>
      <c r="DY88" s="80"/>
      <c r="DZ88" s="80"/>
      <c r="EA88" s="80"/>
      <c r="EB88" s="80"/>
      <c r="EC88" s="81"/>
      <c r="ED88" s="75" t="s">
        <v>2</v>
      </c>
      <c r="EE88" s="75"/>
      <c r="EF88" s="75"/>
      <c r="EG88" s="75"/>
      <c r="EH88" s="75"/>
      <c r="EI88" s="75"/>
      <c r="EJ88" s="75"/>
      <c r="EK88" s="76"/>
      <c r="EM88" s="77" t="s">
        <v>44</v>
      </c>
      <c r="EN88" s="77"/>
      <c r="EO88" s="78"/>
      <c r="EP88" s="79" t="s">
        <v>1</v>
      </c>
      <c r="EQ88" s="80"/>
      <c r="ER88" s="80"/>
      <c r="ES88" s="80"/>
      <c r="ET88" s="80"/>
      <c r="EU88" s="80"/>
      <c r="EV88" s="80"/>
      <c r="EW88" s="81"/>
      <c r="EX88" s="75" t="s">
        <v>2</v>
      </c>
      <c r="EY88" s="75"/>
      <c r="EZ88" s="75"/>
      <c r="FA88" s="75"/>
      <c r="FB88" s="75"/>
      <c r="FC88" s="75"/>
      <c r="FD88" s="75"/>
      <c r="FE88" s="76"/>
    </row>
    <row r="89" spans="3:161" ht="43.8" thickBot="1" x14ac:dyDescent="0.35">
      <c r="C89" s="5" t="s">
        <v>10</v>
      </c>
      <c r="D89" s="4" t="s">
        <v>11</v>
      </c>
      <c r="E89" s="3"/>
      <c r="F89" s="6" t="s">
        <v>12</v>
      </c>
      <c r="G89" s="7" t="s">
        <v>13</v>
      </c>
      <c r="H89" s="7" t="s">
        <v>14</v>
      </c>
      <c r="I89" s="7" t="s">
        <v>15</v>
      </c>
      <c r="J89" s="7" t="s">
        <v>16</v>
      </c>
      <c r="K89" s="7" t="s">
        <v>17</v>
      </c>
      <c r="L89" s="7" t="s">
        <v>18</v>
      </c>
      <c r="M89" s="8" t="s">
        <v>19</v>
      </c>
      <c r="N89" s="6" t="s">
        <v>12</v>
      </c>
      <c r="O89" s="7" t="s">
        <v>13</v>
      </c>
      <c r="P89" s="7" t="s">
        <v>14</v>
      </c>
      <c r="Q89" s="7" t="s">
        <v>15</v>
      </c>
      <c r="R89" s="7" t="s">
        <v>16</v>
      </c>
      <c r="S89" s="7" t="s">
        <v>17</v>
      </c>
      <c r="T89" s="7" t="s">
        <v>18</v>
      </c>
      <c r="U89" s="8" t="s">
        <v>19</v>
      </c>
      <c r="V89" s="2"/>
      <c r="W89" s="5" t="s">
        <v>10</v>
      </c>
      <c r="X89" s="4" t="s">
        <v>11</v>
      </c>
      <c r="Y89" s="3"/>
      <c r="Z89" s="6" t="s">
        <v>12</v>
      </c>
      <c r="AA89" s="7" t="s">
        <v>13</v>
      </c>
      <c r="AB89" s="7" t="s">
        <v>14</v>
      </c>
      <c r="AC89" s="7" t="s">
        <v>15</v>
      </c>
      <c r="AD89" s="7" t="s">
        <v>16</v>
      </c>
      <c r="AE89" s="7" t="s">
        <v>17</v>
      </c>
      <c r="AF89" s="7" t="s">
        <v>18</v>
      </c>
      <c r="AG89" s="8" t="s">
        <v>19</v>
      </c>
      <c r="AH89" s="6" t="s">
        <v>12</v>
      </c>
      <c r="AI89" s="7" t="s">
        <v>13</v>
      </c>
      <c r="AJ89" s="7" t="s">
        <v>14</v>
      </c>
      <c r="AK89" s="7" t="s">
        <v>15</v>
      </c>
      <c r="AL89" s="7" t="s">
        <v>16</v>
      </c>
      <c r="AM89" s="7" t="s">
        <v>17</v>
      </c>
      <c r="AN89" s="7" t="s">
        <v>18</v>
      </c>
      <c r="AO89" s="8" t="s">
        <v>19</v>
      </c>
      <c r="AP89" s="2"/>
      <c r="AQ89" s="5" t="s">
        <v>10</v>
      </c>
      <c r="AR89" s="4" t="s">
        <v>11</v>
      </c>
      <c r="AS89" s="3"/>
      <c r="AT89" s="6" t="s">
        <v>12</v>
      </c>
      <c r="AU89" s="7" t="s">
        <v>13</v>
      </c>
      <c r="AV89" s="7" t="s">
        <v>14</v>
      </c>
      <c r="AW89" s="7" t="s">
        <v>15</v>
      </c>
      <c r="AX89" s="7" t="s">
        <v>16</v>
      </c>
      <c r="AY89" s="7" t="s">
        <v>17</v>
      </c>
      <c r="AZ89" s="7" t="s">
        <v>18</v>
      </c>
      <c r="BA89" s="8" t="s">
        <v>19</v>
      </c>
      <c r="BB89" s="6" t="s">
        <v>12</v>
      </c>
      <c r="BC89" s="7" t="s">
        <v>13</v>
      </c>
      <c r="BD89" s="7" t="s">
        <v>14</v>
      </c>
      <c r="BE89" s="7" t="s">
        <v>15</v>
      </c>
      <c r="BF89" s="7" t="s">
        <v>16</v>
      </c>
      <c r="BG89" s="7" t="s">
        <v>17</v>
      </c>
      <c r="BH89" s="7" t="s">
        <v>18</v>
      </c>
      <c r="BI89" s="8" t="s">
        <v>19</v>
      </c>
      <c r="BJ89" s="2"/>
      <c r="BK89" s="5" t="s">
        <v>10</v>
      </c>
      <c r="BL89" s="4" t="s">
        <v>11</v>
      </c>
      <c r="BM89" s="3"/>
      <c r="BN89" s="6" t="s">
        <v>12</v>
      </c>
      <c r="BO89" s="7" t="s">
        <v>13</v>
      </c>
      <c r="BP89" s="7" t="s">
        <v>14</v>
      </c>
      <c r="BQ89" s="7" t="s">
        <v>15</v>
      </c>
      <c r="BR89" s="7" t="s">
        <v>16</v>
      </c>
      <c r="BS89" s="7" t="s">
        <v>17</v>
      </c>
      <c r="BT89" s="7" t="s">
        <v>18</v>
      </c>
      <c r="BU89" s="8" t="s">
        <v>19</v>
      </c>
      <c r="BV89" s="6" t="s">
        <v>12</v>
      </c>
      <c r="BW89" s="7" t="s">
        <v>13</v>
      </c>
      <c r="BX89" s="7" t="s">
        <v>14</v>
      </c>
      <c r="BY89" s="7" t="s">
        <v>15</v>
      </c>
      <c r="BZ89" s="7" t="s">
        <v>16</v>
      </c>
      <c r="CA89" s="7" t="s">
        <v>17</v>
      </c>
      <c r="CB89" s="7" t="s">
        <v>18</v>
      </c>
      <c r="CC89" s="8" t="s">
        <v>19</v>
      </c>
      <c r="CD89" s="2"/>
      <c r="CE89" s="5" t="s">
        <v>10</v>
      </c>
      <c r="CF89" s="4" t="s">
        <v>11</v>
      </c>
      <c r="CG89" s="3"/>
      <c r="CH89" s="6" t="s">
        <v>12</v>
      </c>
      <c r="CI89" s="7" t="s">
        <v>13</v>
      </c>
      <c r="CJ89" s="7" t="s">
        <v>14</v>
      </c>
      <c r="CK89" s="7" t="s">
        <v>15</v>
      </c>
      <c r="CL89" s="7" t="s">
        <v>16</v>
      </c>
      <c r="CM89" s="7" t="s">
        <v>17</v>
      </c>
      <c r="CN89" s="7" t="s">
        <v>18</v>
      </c>
      <c r="CO89" s="8" t="s">
        <v>19</v>
      </c>
      <c r="CP89" s="6" t="s">
        <v>12</v>
      </c>
      <c r="CQ89" s="7" t="s">
        <v>13</v>
      </c>
      <c r="CR89" s="7" t="s">
        <v>14</v>
      </c>
      <c r="CS89" s="7" t="s">
        <v>15</v>
      </c>
      <c r="CT89" s="7" t="s">
        <v>16</v>
      </c>
      <c r="CU89" s="7" t="s">
        <v>17</v>
      </c>
      <c r="CV89" s="7" t="s">
        <v>18</v>
      </c>
      <c r="CW89" s="8" t="s">
        <v>19</v>
      </c>
      <c r="CX89" s="2"/>
      <c r="CY89" s="5" t="s">
        <v>10</v>
      </c>
      <c r="CZ89" s="4" t="s">
        <v>11</v>
      </c>
      <c r="DA89" s="3"/>
      <c r="DB89" s="6" t="s">
        <v>12</v>
      </c>
      <c r="DC89" s="7" t="s">
        <v>13</v>
      </c>
      <c r="DD89" s="7" t="s">
        <v>14</v>
      </c>
      <c r="DE89" s="7" t="s">
        <v>15</v>
      </c>
      <c r="DF89" s="7" t="s">
        <v>16</v>
      </c>
      <c r="DG89" s="7" t="s">
        <v>17</v>
      </c>
      <c r="DH89" s="7" t="s">
        <v>18</v>
      </c>
      <c r="DI89" s="8" t="s">
        <v>19</v>
      </c>
      <c r="DJ89" s="6" t="s">
        <v>12</v>
      </c>
      <c r="DK89" s="7" t="s">
        <v>13</v>
      </c>
      <c r="DL89" s="7" t="s">
        <v>14</v>
      </c>
      <c r="DM89" s="7" t="s">
        <v>15</v>
      </c>
      <c r="DN89" s="7" t="s">
        <v>16</v>
      </c>
      <c r="DO89" s="7" t="s">
        <v>17</v>
      </c>
      <c r="DP89" s="7" t="s">
        <v>18</v>
      </c>
      <c r="DQ89" s="8" t="s">
        <v>19</v>
      </c>
      <c r="DR89" s="2"/>
      <c r="DS89" s="5" t="s">
        <v>10</v>
      </c>
      <c r="DT89" s="4" t="s">
        <v>11</v>
      </c>
      <c r="DU89" s="3"/>
      <c r="DV89" s="6" t="s">
        <v>12</v>
      </c>
      <c r="DW89" s="7" t="s">
        <v>13</v>
      </c>
      <c r="DX89" s="7" t="s">
        <v>14</v>
      </c>
      <c r="DY89" s="7" t="s">
        <v>15</v>
      </c>
      <c r="DZ89" s="7" t="s">
        <v>16</v>
      </c>
      <c r="EA89" s="7" t="s">
        <v>17</v>
      </c>
      <c r="EB89" s="7" t="s">
        <v>18</v>
      </c>
      <c r="EC89" s="8" t="s">
        <v>19</v>
      </c>
      <c r="ED89" s="6" t="s">
        <v>12</v>
      </c>
      <c r="EE89" s="7" t="s">
        <v>13</v>
      </c>
      <c r="EF89" s="7" t="s">
        <v>14</v>
      </c>
      <c r="EG89" s="7" t="s">
        <v>15</v>
      </c>
      <c r="EH89" s="7" t="s">
        <v>16</v>
      </c>
      <c r="EI89" s="7" t="s">
        <v>17</v>
      </c>
      <c r="EJ89" s="7" t="s">
        <v>18</v>
      </c>
      <c r="EK89" s="8" t="s">
        <v>19</v>
      </c>
      <c r="EL89" s="2"/>
      <c r="EM89" s="5" t="s">
        <v>10</v>
      </c>
      <c r="EN89" s="4" t="s">
        <v>11</v>
      </c>
      <c r="EO89" s="3"/>
      <c r="EP89" s="6" t="s">
        <v>12</v>
      </c>
      <c r="EQ89" s="7" t="s">
        <v>13</v>
      </c>
      <c r="ER89" s="7" t="s">
        <v>14</v>
      </c>
      <c r="ES89" s="7" t="s">
        <v>15</v>
      </c>
      <c r="ET89" s="7" t="s">
        <v>16</v>
      </c>
      <c r="EU89" s="7" t="s">
        <v>17</v>
      </c>
      <c r="EV89" s="7" t="s">
        <v>18</v>
      </c>
      <c r="EW89" s="8" t="s">
        <v>19</v>
      </c>
      <c r="EX89" s="6" t="s">
        <v>12</v>
      </c>
      <c r="EY89" s="7" t="s">
        <v>13</v>
      </c>
      <c r="EZ89" s="7" t="s">
        <v>14</v>
      </c>
      <c r="FA89" s="7" t="s">
        <v>15</v>
      </c>
      <c r="FB89" s="7" t="s">
        <v>16</v>
      </c>
      <c r="FC89" s="7" t="s">
        <v>17</v>
      </c>
      <c r="FD89" s="7" t="s">
        <v>18</v>
      </c>
      <c r="FE89" s="8" t="s">
        <v>19</v>
      </c>
    </row>
    <row r="90" spans="3:161" x14ac:dyDescent="0.3">
      <c r="C90" s="65">
        <v>1</v>
      </c>
      <c r="D90" s="71" t="s">
        <v>20</v>
      </c>
      <c r="E90" s="72"/>
      <c r="F90" s="21">
        <v>5.8142192691030097</v>
      </c>
      <c r="G90" s="22">
        <v>2.7094407894736698</v>
      </c>
      <c r="H90" s="22">
        <v>4.2557894736842199</v>
      </c>
      <c r="I90" s="22">
        <v>3.4129276315789498</v>
      </c>
      <c r="J90" s="22">
        <v>1.6192281879194499</v>
      </c>
      <c r="K90" s="22">
        <v>5.2665131578947504</v>
      </c>
      <c r="L90" s="22">
        <v>1.8520723684210501</v>
      </c>
      <c r="M90" s="23">
        <v>1.6223684210526299</v>
      </c>
      <c r="N90" s="21">
        <v>5.8297727272727196</v>
      </c>
      <c r="O90" s="22">
        <v>2.774</v>
      </c>
      <c r="P90" s="22">
        <v>4.4015555555555501</v>
      </c>
      <c r="Q90" s="22">
        <v>3.4922222222222201</v>
      </c>
      <c r="R90" s="22">
        <v>1.60466666666666</v>
      </c>
      <c r="S90" s="22">
        <v>5.2555555555555502</v>
      </c>
      <c r="T90" s="22">
        <v>1.91688888888888</v>
      </c>
      <c r="U90" s="23">
        <v>1.63622222222222</v>
      </c>
      <c r="V90" s="2"/>
      <c r="W90" s="65">
        <v>1</v>
      </c>
      <c r="X90" s="71" t="s">
        <v>20</v>
      </c>
      <c r="Y90" s="72"/>
      <c r="Z90" s="21">
        <v>4.4906763285024001</v>
      </c>
      <c r="AA90" s="22">
        <v>3.3140975609756098</v>
      </c>
      <c r="AB90" s="22">
        <v>4.1703960396039603</v>
      </c>
      <c r="AC90" s="22">
        <v>3.80922330097086</v>
      </c>
      <c r="AD90" s="22">
        <v>2.3705853658536502</v>
      </c>
      <c r="AE90" s="22">
        <v>4.4390776699029102</v>
      </c>
      <c r="AF90" s="22">
        <v>0.77014492753623198</v>
      </c>
      <c r="AG90" s="23">
        <v>0.904202898550723</v>
      </c>
      <c r="AH90" s="21">
        <v>4.5468888888888799</v>
      </c>
      <c r="AI90" s="22">
        <v>3.3153333333333301</v>
      </c>
      <c r="AJ90" s="22">
        <v>4.1690909090909098</v>
      </c>
      <c r="AK90" s="22">
        <v>3.77511111111111</v>
      </c>
      <c r="AL90" s="22">
        <v>2.3948888888888802</v>
      </c>
      <c r="AM90" s="22">
        <v>4.4457777777777698</v>
      </c>
      <c r="AN90" s="22">
        <v>0.77088888888888896</v>
      </c>
      <c r="AO90" s="23">
        <v>0.91111111111111098</v>
      </c>
      <c r="AP90" s="2"/>
      <c r="AQ90" s="65">
        <v>1</v>
      </c>
      <c r="AR90" s="71" t="s">
        <v>20</v>
      </c>
      <c r="AS90" s="72"/>
      <c r="AT90" s="21">
        <v>2.9568656716417898</v>
      </c>
      <c r="AU90" s="22"/>
      <c r="AV90" s="22">
        <v>5.0634328358208904</v>
      </c>
      <c r="AW90" s="22">
        <v>5.32985074626865</v>
      </c>
      <c r="AX90" s="22">
        <v>4.1969841269841197</v>
      </c>
      <c r="AY90" s="22">
        <v>4.1285074626865601</v>
      </c>
      <c r="AZ90" s="22">
        <v>1.77492537313432</v>
      </c>
      <c r="BA90" s="23">
        <v>2.4084848484848398</v>
      </c>
      <c r="BB90" s="21">
        <v>2.9586666666666601</v>
      </c>
      <c r="BC90" s="22"/>
      <c r="BD90" s="22">
        <v>5.06066666666666</v>
      </c>
      <c r="BE90" s="22">
        <v>5.3064444444444403</v>
      </c>
      <c r="BF90" s="22">
        <v>4.1669047619047603</v>
      </c>
      <c r="BG90" s="22">
        <v>4.0953333333333299</v>
      </c>
      <c r="BH90" s="22">
        <v>1.76711111111111</v>
      </c>
      <c r="BI90" s="23">
        <v>2.3827272727272701</v>
      </c>
      <c r="BJ90" s="2"/>
      <c r="BK90" s="65">
        <v>1</v>
      </c>
      <c r="BL90" s="71" t="s">
        <v>20</v>
      </c>
      <c r="BM90" s="72"/>
      <c r="BN90" s="21">
        <v>2.7732835820895501</v>
      </c>
      <c r="BO90" s="22">
        <v>5.36015151515151</v>
      </c>
      <c r="BP90" s="22">
        <v>5.0051428571428502</v>
      </c>
      <c r="BQ90" s="22">
        <v>5.3765671641791002</v>
      </c>
      <c r="BR90" s="22"/>
      <c r="BS90" s="22">
        <v>3.5329850746268598</v>
      </c>
      <c r="BT90" s="22">
        <v>2.7909090909090799</v>
      </c>
      <c r="BU90" s="23">
        <v>3.3577777777777702</v>
      </c>
      <c r="BV90" s="21">
        <v>2.83</v>
      </c>
      <c r="BW90" s="22">
        <v>5.38499999999999</v>
      </c>
      <c r="BX90" s="22">
        <v>5.00322580645161</v>
      </c>
      <c r="BY90" s="22">
        <v>5.4051999999999998</v>
      </c>
      <c r="BZ90" s="22"/>
      <c r="CA90" s="22">
        <v>3.5531999999999901</v>
      </c>
      <c r="CB90" s="22">
        <v>2.7901999999999898</v>
      </c>
      <c r="CC90" s="23">
        <v>3.2636170212765898</v>
      </c>
      <c r="CD90" s="2"/>
      <c r="CE90" s="65">
        <v>1</v>
      </c>
      <c r="CF90" s="71" t="s">
        <v>20</v>
      </c>
      <c r="CG90" s="72"/>
      <c r="CH90" s="21">
        <v>3.2816949152542398</v>
      </c>
      <c r="CI90" s="22">
        <v>3.6145762711864302</v>
      </c>
      <c r="CJ90" s="22">
        <v>1.5710169491525401</v>
      </c>
      <c r="CK90" s="22">
        <v>0.89</v>
      </c>
      <c r="CL90" s="22">
        <v>12.4206779661016</v>
      </c>
      <c r="CM90" s="22">
        <v>3.4574576271186399</v>
      </c>
      <c r="CN90" s="22">
        <v>1.2401818181818101</v>
      </c>
      <c r="CO90" s="23">
        <v>1.3783050847457601</v>
      </c>
      <c r="CP90" s="21">
        <v>3.3066</v>
      </c>
      <c r="CQ90" s="22">
        <v>3.62299999999999</v>
      </c>
      <c r="CR90" s="22">
        <v>1.5453999999999899</v>
      </c>
      <c r="CS90" s="22">
        <v>0.88919999999999999</v>
      </c>
      <c r="CT90" s="22">
        <v>12.274800000000001</v>
      </c>
      <c r="CU90" s="22">
        <v>3.5686</v>
      </c>
      <c r="CV90" s="22">
        <v>1.2295833333333299</v>
      </c>
      <c r="CW90" s="23">
        <v>1.3957999999999999</v>
      </c>
      <c r="CX90" s="2"/>
      <c r="CY90" s="65">
        <v>1</v>
      </c>
      <c r="CZ90" s="71" t="s">
        <v>20</v>
      </c>
      <c r="DA90" s="72"/>
      <c r="DB90" s="21">
        <v>2.2449152542372799</v>
      </c>
      <c r="DC90" s="22">
        <v>1.29898305084745</v>
      </c>
      <c r="DD90" s="22">
        <v>0.37169491525423698</v>
      </c>
      <c r="DE90" s="22">
        <v>1.45954545454545</v>
      </c>
      <c r="DF90" s="22">
        <v>1.5541379310344801</v>
      </c>
      <c r="DG90" s="22">
        <v>1.9276</v>
      </c>
      <c r="DH90" s="22">
        <v>0.16644067796610101</v>
      </c>
      <c r="DI90" s="23">
        <v>0.171694915254237</v>
      </c>
      <c r="DJ90" s="21">
        <v>2.2249999999999899</v>
      </c>
      <c r="DK90" s="22">
        <v>1.0778333333333301</v>
      </c>
      <c r="DL90" s="22">
        <v>0.370999999999999</v>
      </c>
      <c r="DM90" s="22">
        <v>1.44695652173913</v>
      </c>
      <c r="DN90" s="22">
        <v>1.5537288135593199</v>
      </c>
      <c r="DO90" s="22">
        <v>1.9637254901960699</v>
      </c>
      <c r="DP90" s="22">
        <v>0.165833333333333</v>
      </c>
      <c r="DQ90" s="23">
        <v>0.17199999999999999</v>
      </c>
      <c r="DR90" s="2"/>
      <c r="DS90" s="65">
        <v>1</v>
      </c>
      <c r="DT90" s="71" t="s">
        <v>20</v>
      </c>
      <c r="DU90" s="72"/>
      <c r="DV90" s="21">
        <v>3.3307843137254798</v>
      </c>
      <c r="DW90" s="22">
        <v>1.3011999999999999</v>
      </c>
      <c r="DX90" s="22">
        <v>1.91655172413793</v>
      </c>
      <c r="DY90" s="22">
        <v>3.3727118644067802</v>
      </c>
      <c r="DZ90" s="22">
        <v>1.7361016949152499</v>
      </c>
      <c r="EA90" s="22">
        <v>9.4596610169491502</v>
      </c>
      <c r="EB90" s="22">
        <v>0.32642857142857101</v>
      </c>
      <c r="EC90" s="23">
        <v>1.72</v>
      </c>
      <c r="ED90" s="21">
        <v>3.7396153846153699</v>
      </c>
      <c r="EE90" s="22">
        <v>1.29615384615384</v>
      </c>
      <c r="EF90" s="22">
        <v>2.0872881355932198</v>
      </c>
      <c r="EG90" s="22">
        <v>3.46933333333333</v>
      </c>
      <c r="EH90" s="22">
        <v>1.64483333333333</v>
      </c>
      <c r="EI90" s="22">
        <v>9.6391666666666698</v>
      </c>
      <c r="EJ90" s="22">
        <v>0.32333333333333297</v>
      </c>
      <c r="EK90" s="23">
        <v>1.82526315789473</v>
      </c>
      <c r="EL90" s="2"/>
      <c r="EM90" s="65">
        <v>1</v>
      </c>
      <c r="EN90" s="71" t="s">
        <v>20</v>
      </c>
      <c r="EO90" s="72"/>
      <c r="EP90" s="21">
        <v>0.60033898305084699</v>
      </c>
      <c r="EQ90" s="22">
        <v>7.40457627118644</v>
      </c>
      <c r="ER90" s="22">
        <v>0.45101694915254198</v>
      </c>
      <c r="ES90" s="22">
        <v>1.7374576271186399</v>
      </c>
      <c r="ET90" s="22">
        <v>4.71</v>
      </c>
      <c r="EU90" s="22">
        <v>3.0525423728813501</v>
      </c>
      <c r="EV90" s="22">
        <v>0.52288135593220297</v>
      </c>
      <c r="EW90" s="23">
        <v>1.7165999999999999</v>
      </c>
      <c r="EX90" s="21">
        <v>0.59683333333333299</v>
      </c>
      <c r="EY90" s="22">
        <v>7.00416666666667</v>
      </c>
      <c r="EZ90" s="22">
        <v>0.435999999999999</v>
      </c>
      <c r="FA90" s="22">
        <v>1.77249999999999</v>
      </c>
      <c r="FB90" s="22">
        <v>5.1965000000000003</v>
      </c>
      <c r="FC90" s="22">
        <v>3.0609999999999999</v>
      </c>
      <c r="FD90" s="22">
        <v>0.51966666666666606</v>
      </c>
      <c r="FE90" s="23">
        <v>1.7537254901960699</v>
      </c>
    </row>
    <row r="91" spans="3:161" ht="15" customHeight="1" x14ac:dyDescent="0.3">
      <c r="C91" s="66"/>
      <c r="D91" s="68" t="s">
        <v>21</v>
      </c>
      <c r="E91" s="69"/>
      <c r="F91" s="24">
        <v>0.74015474167369599</v>
      </c>
      <c r="G91" s="25">
        <v>0.36784849630106498</v>
      </c>
      <c r="H91" s="25">
        <v>0.76310827878640797</v>
      </c>
      <c r="I91" s="25">
        <v>0.61457916283778302</v>
      </c>
      <c r="J91" s="25">
        <v>0.171790047480914</v>
      </c>
      <c r="K91" s="25">
        <v>0.67248484611024595</v>
      </c>
      <c r="L91" s="25">
        <v>0.31195792146187201</v>
      </c>
      <c r="M91" s="26">
        <v>0.12874003202141601</v>
      </c>
      <c r="N91" s="24">
        <v>0.63710812781577697</v>
      </c>
      <c r="O91" s="25">
        <v>0.133022972118018</v>
      </c>
      <c r="P91" s="25">
        <v>0.32452327809371601</v>
      </c>
      <c r="Q91" s="25">
        <v>0.36189555822326402</v>
      </c>
      <c r="R91" s="25">
        <v>0.20635029547942099</v>
      </c>
      <c r="S91" s="25">
        <v>0.64290851450629505</v>
      </c>
      <c r="T91" s="25">
        <v>9.8518407128870403E-2</v>
      </c>
      <c r="U91" s="26">
        <v>1.75485217976885E-2</v>
      </c>
      <c r="V91" s="2"/>
      <c r="W91" s="66"/>
      <c r="X91" s="68" t="s">
        <v>21</v>
      </c>
      <c r="Y91" s="69"/>
      <c r="Z91" s="24">
        <v>0.72408564802207098</v>
      </c>
      <c r="AA91" s="25">
        <v>0.36932607080927399</v>
      </c>
      <c r="AB91" s="25">
        <v>0.64543242207799201</v>
      </c>
      <c r="AC91" s="25">
        <v>0.77250530437163101</v>
      </c>
      <c r="AD91" s="25">
        <v>0.50480679596183697</v>
      </c>
      <c r="AE91" s="25">
        <v>0.84601959156227102</v>
      </c>
      <c r="AF91" s="25">
        <v>3.7124653070088803E-2</v>
      </c>
      <c r="AG91" s="26">
        <v>7.7273698841592797E-2</v>
      </c>
      <c r="AH91" s="24">
        <v>0.479962138424467</v>
      </c>
      <c r="AI91" s="25">
        <v>0.352619404520574</v>
      </c>
      <c r="AJ91" s="25">
        <v>0.574764055076745</v>
      </c>
      <c r="AK91" s="25">
        <v>0.88990791589098195</v>
      </c>
      <c r="AL91" s="25">
        <v>0.41493036750344398</v>
      </c>
      <c r="AM91" s="25">
        <v>0.76543521066671205</v>
      </c>
      <c r="AN91" s="25">
        <v>2.6316215721044301E-2</v>
      </c>
      <c r="AO91" s="26">
        <v>1.7025761163891501E-2</v>
      </c>
      <c r="AP91" s="2"/>
      <c r="AQ91" s="66"/>
      <c r="AR91" s="68" t="s">
        <v>21</v>
      </c>
      <c r="AS91" s="69"/>
      <c r="AT91" s="24">
        <v>0.23214257684824399</v>
      </c>
      <c r="AU91" s="25"/>
      <c r="AV91" s="25">
        <v>0.91305220827793299</v>
      </c>
      <c r="AW91" s="25">
        <v>1.0941247337242701</v>
      </c>
      <c r="AX91" s="25">
        <v>0.396098572470448</v>
      </c>
      <c r="AY91" s="25">
        <v>0.71093852985183603</v>
      </c>
      <c r="AZ91" s="25">
        <v>0.176130659898281</v>
      </c>
      <c r="BA91" s="26">
        <v>0.25341451504816798</v>
      </c>
      <c r="BB91" s="24">
        <v>0.25238946975744497</v>
      </c>
      <c r="BC91" s="25"/>
      <c r="BD91" s="25">
        <v>0.89864688405525694</v>
      </c>
      <c r="BE91" s="25">
        <v>1.1731555841794199</v>
      </c>
      <c r="BF91" s="25">
        <v>0.48052296954780199</v>
      </c>
      <c r="BG91" s="25">
        <v>0.79991277302243602</v>
      </c>
      <c r="BH91" s="25">
        <v>0.21393272278111899</v>
      </c>
      <c r="BI91" s="26">
        <v>0.30689325680825902</v>
      </c>
      <c r="BJ91" s="2"/>
      <c r="BK91" s="66"/>
      <c r="BL91" s="68" t="s">
        <v>21</v>
      </c>
      <c r="BM91" s="69"/>
      <c r="BN91" s="24">
        <v>0.47344841027628098</v>
      </c>
      <c r="BO91" s="25">
        <v>0.764681538832367</v>
      </c>
      <c r="BP91" s="25">
        <v>0.1967938940483</v>
      </c>
      <c r="BQ91" s="25">
        <v>1.69665830669232</v>
      </c>
      <c r="BR91" s="25"/>
      <c r="BS91" s="25">
        <v>0.64230233018363103</v>
      </c>
      <c r="BT91" s="25">
        <v>0.59300908898120996</v>
      </c>
      <c r="BU91" s="26">
        <v>0.46403832779728699</v>
      </c>
      <c r="BV91" s="24">
        <v>0.31242279046189902</v>
      </c>
      <c r="BW91" s="25">
        <v>0.60944318849257795</v>
      </c>
      <c r="BX91" s="25">
        <v>0.17680656637883099</v>
      </c>
      <c r="BY91" s="25">
        <v>1.59651400244407</v>
      </c>
      <c r="BZ91" s="25"/>
      <c r="CA91" s="25">
        <v>0.61499411379296898</v>
      </c>
      <c r="CB91" s="25">
        <v>0.58123141690724101</v>
      </c>
      <c r="CC91" s="26">
        <v>0.50102628941902805</v>
      </c>
      <c r="CD91" s="2"/>
      <c r="CE91" s="66"/>
      <c r="CF91" s="68" t="s">
        <v>21</v>
      </c>
      <c r="CG91" s="69"/>
      <c r="CH91" s="24">
        <v>1.11105714286885</v>
      </c>
      <c r="CI91" s="25">
        <v>4.2739527697531896</v>
      </c>
      <c r="CJ91" s="25">
        <v>0.42373918631371599</v>
      </c>
      <c r="CK91" s="25">
        <v>0.18645670193080999</v>
      </c>
      <c r="CL91" s="25">
        <v>4.09805239579328</v>
      </c>
      <c r="CM91" s="25">
        <v>2.2638661944800602</v>
      </c>
      <c r="CN91" s="25">
        <v>0.26875125984713299</v>
      </c>
      <c r="CO91" s="26">
        <v>0.80153275315543104</v>
      </c>
      <c r="CP91" s="24">
        <v>1.0826312576311401</v>
      </c>
      <c r="CQ91" s="25">
        <v>4.31495782134657</v>
      </c>
      <c r="CR91" s="25">
        <v>0.45663644182215601</v>
      </c>
      <c r="CS91" s="25">
        <v>0.163656225057282</v>
      </c>
      <c r="CT91" s="25">
        <v>3.9396955415361701</v>
      </c>
      <c r="CU91" s="25">
        <v>2.4408252784662801</v>
      </c>
      <c r="CV91" s="25">
        <v>0.28051261360033097</v>
      </c>
      <c r="CW91" s="26">
        <v>0.86851157735519002</v>
      </c>
      <c r="CX91" s="2"/>
      <c r="CY91" s="66"/>
      <c r="CZ91" s="68" t="s">
        <v>21</v>
      </c>
      <c r="DA91" s="69"/>
      <c r="DB91" s="24">
        <v>2.0219828939253199</v>
      </c>
      <c r="DC91" s="25">
        <v>2.4852259692745799</v>
      </c>
      <c r="DD91" s="25">
        <v>0.14097905292622601</v>
      </c>
      <c r="DE91" s="25">
        <v>1.23386487131336</v>
      </c>
      <c r="DF91" s="25">
        <v>0.12582191140188101</v>
      </c>
      <c r="DG91" s="25">
        <v>0.36524271382191797</v>
      </c>
      <c r="DH91" s="25">
        <v>6.09184704356431E-2</v>
      </c>
      <c r="DI91" s="26">
        <v>8.6144390855355593E-2</v>
      </c>
      <c r="DJ91" s="24">
        <v>2.00866000109525</v>
      </c>
      <c r="DK91" s="25">
        <v>1.9726463542381001</v>
      </c>
      <c r="DL91" s="25">
        <v>0.13990115558255101</v>
      </c>
      <c r="DM91" s="25">
        <v>1.2081874126958101</v>
      </c>
      <c r="DN91" s="25">
        <v>0.108766556192838</v>
      </c>
      <c r="DO91" s="25">
        <v>0.36774863956141202</v>
      </c>
      <c r="DP91" s="25">
        <v>6.0478416719428801E-2</v>
      </c>
      <c r="DQ91" s="26">
        <v>8.5299472448544397E-2</v>
      </c>
      <c r="DR91" s="2"/>
      <c r="DS91" s="66"/>
      <c r="DT91" s="68" t="s">
        <v>21</v>
      </c>
      <c r="DU91" s="69"/>
      <c r="DV91" s="24">
        <v>5.5388877779049199</v>
      </c>
      <c r="DW91" s="25">
        <v>0.67824078320313297</v>
      </c>
      <c r="DX91" s="25">
        <v>0.95375221195411697</v>
      </c>
      <c r="DY91" s="25">
        <v>1.8191633675005201</v>
      </c>
      <c r="DZ91" s="25">
        <v>0.85469395245901203</v>
      </c>
      <c r="EA91" s="25">
        <v>16.9000670910414</v>
      </c>
      <c r="EB91" s="25">
        <v>7.3834481187619205E-2</v>
      </c>
      <c r="EC91" s="26">
        <v>1.4118048226092901</v>
      </c>
      <c r="ED91" s="24">
        <v>6.1698154696063598</v>
      </c>
      <c r="EE91" s="25">
        <v>0.66554822354944498</v>
      </c>
      <c r="EF91" s="25">
        <v>1.36686680008743</v>
      </c>
      <c r="EG91" s="25">
        <v>2.0525811934136802</v>
      </c>
      <c r="EH91" s="25">
        <v>0.54635913605938302</v>
      </c>
      <c r="EI91" s="25">
        <v>16.819044096070201</v>
      </c>
      <c r="EJ91" s="25">
        <v>7.2264944628929295E-2</v>
      </c>
      <c r="EK91" s="26">
        <v>1.5431252240384401</v>
      </c>
      <c r="EL91" s="2"/>
      <c r="EM91" s="66"/>
      <c r="EN91" s="68" t="s">
        <v>21</v>
      </c>
      <c r="EO91" s="69"/>
      <c r="EP91" s="24">
        <v>0.177400878045091</v>
      </c>
      <c r="EQ91" s="25">
        <v>3.6819257682396</v>
      </c>
      <c r="ER91" s="25">
        <v>0.35442335556077997</v>
      </c>
      <c r="ES91" s="25">
        <v>0.45328403644521198</v>
      </c>
      <c r="ET91" s="25">
        <v>5.3004684794548904</v>
      </c>
      <c r="EU91" s="25">
        <v>0.45801559154994198</v>
      </c>
      <c r="EV91" s="25">
        <v>7.5195808742234596E-2</v>
      </c>
      <c r="EW91" s="26">
        <v>0.91328770932275205</v>
      </c>
      <c r="EX91" s="24">
        <v>0.17796527439050799</v>
      </c>
      <c r="EY91" s="25">
        <v>3.91912460109255</v>
      </c>
      <c r="EZ91" s="25">
        <v>0.35680153213422899</v>
      </c>
      <c r="FA91" s="25">
        <v>0.50625298353030201</v>
      </c>
      <c r="FB91" s="25">
        <v>5.6926624775524299</v>
      </c>
      <c r="FC91" s="25">
        <v>0.45880533272111501</v>
      </c>
      <c r="FD91" s="25">
        <v>7.0709892440088504E-2</v>
      </c>
      <c r="FE91" s="26">
        <v>1.0201440897540099</v>
      </c>
    </row>
    <row r="92" spans="3:161" ht="15" customHeight="1" x14ac:dyDescent="0.3">
      <c r="C92" s="66"/>
      <c r="D92" s="68" t="s">
        <v>22</v>
      </c>
      <c r="E92" s="69"/>
      <c r="F92" s="33">
        <v>5.9599652777778003</v>
      </c>
      <c r="G92" s="34">
        <v>2.7900347222222099</v>
      </c>
      <c r="H92" s="34">
        <v>4.4500355871886201</v>
      </c>
      <c r="I92" s="34">
        <v>3.5764768683274002</v>
      </c>
      <c r="J92" s="34">
        <v>1.6398634812286601</v>
      </c>
      <c r="K92" s="34">
        <v>5.4065397923875498</v>
      </c>
      <c r="L92" s="34">
        <v>1.9279225352112599</v>
      </c>
      <c r="M92" s="35">
        <v>1.63709030100334</v>
      </c>
      <c r="N92" s="33">
        <v>5.9649999999999901</v>
      </c>
      <c r="O92" s="34">
        <v>2.7938636363636302</v>
      </c>
      <c r="P92" s="34">
        <v>4.4741463414634097</v>
      </c>
      <c r="Q92" s="34">
        <v>3.585</v>
      </c>
      <c r="R92" s="34">
        <v>1.63568181818181</v>
      </c>
      <c r="S92" s="34">
        <v>5.3853488372092997</v>
      </c>
      <c r="T92" s="34">
        <v>1.9286046511627899</v>
      </c>
      <c r="U92" s="35">
        <v>1.6365714285714199</v>
      </c>
      <c r="V92" s="36"/>
      <c r="W92" s="66"/>
      <c r="X92" s="68" t="s">
        <v>22</v>
      </c>
      <c r="Y92" s="69"/>
      <c r="Z92" s="33">
        <v>4.65717948717948</v>
      </c>
      <c r="AA92" s="34">
        <v>3.3665500000000002</v>
      </c>
      <c r="AB92" s="34">
        <v>4.3233684210526304</v>
      </c>
      <c r="AC92" s="34">
        <v>4.0328342245989202</v>
      </c>
      <c r="AD92" s="34">
        <v>2.5207526881720401</v>
      </c>
      <c r="AE92" s="34">
        <v>4.4846666666666604</v>
      </c>
      <c r="AF92" s="34">
        <v>0.76734177215189903</v>
      </c>
      <c r="AG92" s="35">
        <v>0.91160975609756001</v>
      </c>
      <c r="AH92" s="33">
        <v>4.6638095238095199</v>
      </c>
      <c r="AI92" s="34">
        <v>3.3684090909090898</v>
      </c>
      <c r="AJ92" s="34">
        <v>4.3180487804877998</v>
      </c>
      <c r="AK92" s="34">
        <v>4.0385365853658497</v>
      </c>
      <c r="AL92" s="34">
        <v>2.5285000000000002</v>
      </c>
      <c r="AM92" s="34">
        <v>4.4666666666666597</v>
      </c>
      <c r="AN92" s="34">
        <v>0.76724137931034397</v>
      </c>
      <c r="AO92" s="35">
        <v>0.91032258064516103</v>
      </c>
      <c r="AP92" s="36"/>
      <c r="AQ92" s="66"/>
      <c r="AR92" s="68" t="s">
        <v>22</v>
      </c>
      <c r="AS92" s="69"/>
      <c r="AT92" s="33">
        <v>3.0103174603174598</v>
      </c>
      <c r="AU92" s="34"/>
      <c r="AV92" s="34">
        <v>5.3070491803278603</v>
      </c>
      <c r="AW92" s="34">
        <v>5.6724999999999897</v>
      </c>
      <c r="AX92" s="34">
        <v>4.2683606557377001</v>
      </c>
      <c r="AY92" s="34">
        <v>4.3129032258064504</v>
      </c>
      <c r="AZ92" s="34">
        <v>1.7963636363636299</v>
      </c>
      <c r="BA92" s="35">
        <v>2.4592063492063398</v>
      </c>
      <c r="BB92" s="33">
        <v>3.01093023255814</v>
      </c>
      <c r="BC92" s="34"/>
      <c r="BD92" s="34">
        <v>5.2985365853658504</v>
      </c>
      <c r="BE92" s="34">
        <v>5.6877499999999896</v>
      </c>
      <c r="BF92" s="34">
        <v>4.2742500000000003</v>
      </c>
      <c r="BG92" s="34">
        <v>4.3268292682926797</v>
      </c>
      <c r="BH92" s="34">
        <v>1.7990909090909</v>
      </c>
      <c r="BI92" s="35">
        <v>2.4587804878048698</v>
      </c>
      <c r="BJ92" s="36"/>
      <c r="BK92" s="66"/>
      <c r="BL92" s="68" t="s">
        <v>22</v>
      </c>
      <c r="BM92" s="69"/>
      <c r="BN92" s="33">
        <v>2.8743750000000001</v>
      </c>
      <c r="BO92" s="34">
        <v>5.5758333333333301</v>
      </c>
      <c r="BP92" s="34">
        <v>4.9224999999999897</v>
      </c>
      <c r="BQ92" s="34">
        <v>6.0526315789473601</v>
      </c>
      <c r="BR92" s="34"/>
      <c r="BS92" s="34">
        <v>3.7054838709677398</v>
      </c>
      <c r="BT92" s="34">
        <v>2.93935483870967</v>
      </c>
      <c r="BU92" s="35">
        <v>3.3469811320754701</v>
      </c>
      <c r="BV92" s="33">
        <v>2.8744897959183602</v>
      </c>
      <c r="BW92" s="34">
        <v>5.5777777777777704</v>
      </c>
      <c r="BX92" s="34">
        <v>4.8981818181818104</v>
      </c>
      <c r="BY92" s="34">
        <v>6.06119047619047</v>
      </c>
      <c r="BZ92" s="34"/>
      <c r="CA92" s="34">
        <v>3.70723404255319</v>
      </c>
      <c r="CB92" s="34">
        <v>2.9342553191489298</v>
      </c>
      <c r="CC92" s="35">
        <v>3.3440476190476098</v>
      </c>
      <c r="CD92" s="36"/>
      <c r="CE92" s="66"/>
      <c r="CF92" s="68" t="s">
        <v>22</v>
      </c>
      <c r="CG92" s="69"/>
      <c r="CH92" s="33">
        <v>3.8791111111111101</v>
      </c>
      <c r="CI92" s="34">
        <v>2.1954716981132001</v>
      </c>
      <c r="CJ92" s="34">
        <v>1.7307843137254899</v>
      </c>
      <c r="CK92" s="34">
        <v>0.81680851063829796</v>
      </c>
      <c r="CL92" s="34">
        <v>14.143333333333301</v>
      </c>
      <c r="CM92" s="34">
        <v>3.16482758620689</v>
      </c>
      <c r="CN92" s="34">
        <v>1.17</v>
      </c>
      <c r="CO92" s="35">
        <v>1.20285714285714</v>
      </c>
      <c r="CP92" s="33">
        <v>3.8620512820512798</v>
      </c>
      <c r="CQ92" s="34">
        <v>2.2026666666666599</v>
      </c>
      <c r="CR92" s="34">
        <v>1.7366666666666599</v>
      </c>
      <c r="CS92" s="34">
        <v>0.81780487804877999</v>
      </c>
      <c r="CT92" s="34">
        <v>13.8734285714285</v>
      </c>
      <c r="CU92" s="34">
        <v>3.2244897959183598</v>
      </c>
      <c r="CV92" s="34">
        <v>1.17</v>
      </c>
      <c r="CW92" s="35">
        <v>1.18787234042553</v>
      </c>
      <c r="CX92" s="36"/>
      <c r="CY92" s="66"/>
      <c r="CZ92" s="68" t="s">
        <v>22</v>
      </c>
      <c r="DA92" s="69"/>
      <c r="DB92" s="33">
        <v>1.98310344827586</v>
      </c>
      <c r="DC92" s="34">
        <v>0.75517857142857003</v>
      </c>
      <c r="DD92" s="34">
        <v>0.35448275862068901</v>
      </c>
      <c r="DE92" s="34">
        <v>1.0740000000000001</v>
      </c>
      <c r="DF92" s="34">
        <v>1.6099999999999901</v>
      </c>
      <c r="DG92" s="34">
        <v>2.07926829268292</v>
      </c>
      <c r="DH92" s="34">
        <v>0.15862068965517201</v>
      </c>
      <c r="DI92" s="35">
        <v>0.155964912280701</v>
      </c>
      <c r="DJ92" s="33">
        <v>1.9672881355932099</v>
      </c>
      <c r="DK92" s="34">
        <v>0.74155172413793002</v>
      </c>
      <c r="DL92" s="34">
        <v>0.35406779661016902</v>
      </c>
      <c r="DM92" s="34">
        <v>1.0785714285714201</v>
      </c>
      <c r="DN92" s="34">
        <v>1.6099999999999901</v>
      </c>
      <c r="DO92" s="34">
        <v>2.1195238095238</v>
      </c>
      <c r="DP92" s="34">
        <v>0.15813559322033899</v>
      </c>
      <c r="DQ92" s="35">
        <v>0.156551724137931</v>
      </c>
      <c r="DR92" s="36"/>
      <c r="DS92" s="66"/>
      <c r="DT92" s="68" t="s">
        <v>22</v>
      </c>
      <c r="DU92" s="69"/>
      <c r="DV92" s="33">
        <v>1.7257446808510599</v>
      </c>
      <c r="DW92" s="34">
        <v>1.10478260869565</v>
      </c>
      <c r="DX92" s="34">
        <v>1.7450000000000001</v>
      </c>
      <c r="DY92" s="34">
        <v>3.0457894736842102</v>
      </c>
      <c r="DZ92" s="34">
        <v>1.5784210526315701</v>
      </c>
      <c r="EA92" s="34">
        <v>1.53416666666666</v>
      </c>
      <c r="EB92" s="34">
        <v>0.33200000000000002</v>
      </c>
      <c r="EC92" s="35">
        <v>1.3353846153846101</v>
      </c>
      <c r="ED92" s="33">
        <v>1.73936170212765</v>
      </c>
      <c r="EE92" s="34">
        <v>1.1074999999999999</v>
      </c>
      <c r="EF92" s="34">
        <v>1.72927272727272</v>
      </c>
      <c r="EG92" s="34">
        <v>3.0166666666666599</v>
      </c>
      <c r="EH92" s="34">
        <v>1.57542372881355</v>
      </c>
      <c r="EI92" s="34">
        <v>1.9157142857142799</v>
      </c>
      <c r="EJ92" s="34">
        <v>0.32727272727272699</v>
      </c>
      <c r="EK92" s="35">
        <v>1.3546153846153799</v>
      </c>
      <c r="EL92" s="36"/>
      <c r="EM92" s="66"/>
      <c r="EN92" s="68" t="s">
        <v>22</v>
      </c>
      <c r="EO92" s="69"/>
      <c r="EP92" s="33">
        <v>0.56267857142857103</v>
      </c>
      <c r="EQ92" s="34">
        <v>9.2397777777777801</v>
      </c>
      <c r="ER92" s="34">
        <v>0.40637931034482699</v>
      </c>
      <c r="ES92" s="34">
        <v>1.6099999999999901</v>
      </c>
      <c r="ET92" s="34">
        <v>3.3107272727272701</v>
      </c>
      <c r="EU92" s="34">
        <v>3.04</v>
      </c>
      <c r="EV92" s="34">
        <v>0.51</v>
      </c>
      <c r="EW92" s="35">
        <v>1.4959574468085099</v>
      </c>
      <c r="EX92" s="33">
        <v>0.56267857142857103</v>
      </c>
      <c r="EY92" s="34">
        <v>9.2397674418604598</v>
      </c>
      <c r="EZ92" s="34">
        <v>0.39186440677966</v>
      </c>
      <c r="FA92" s="34">
        <v>1.6675438596491201</v>
      </c>
      <c r="FB92" s="34">
        <v>3.5556363636363599</v>
      </c>
      <c r="FC92" s="34">
        <v>3.04</v>
      </c>
      <c r="FD92" s="34">
        <v>0.50953488372093003</v>
      </c>
      <c r="FE92" s="35">
        <v>1.4687234042553099</v>
      </c>
    </row>
    <row r="93" spans="3:161" ht="28.8" x14ac:dyDescent="0.3">
      <c r="C93" s="66"/>
      <c r="D93" s="73" t="s">
        <v>23</v>
      </c>
      <c r="E93" s="38" t="s">
        <v>24</v>
      </c>
      <c r="F93" s="27">
        <v>5.36</v>
      </c>
      <c r="G93" s="28">
        <v>2.94</v>
      </c>
      <c r="H93" s="28">
        <v>4.8</v>
      </c>
      <c r="I93" s="28">
        <v>3.73</v>
      </c>
      <c r="J93" s="28">
        <v>1.71</v>
      </c>
      <c r="K93" s="28">
        <v>5.0599999999999996</v>
      </c>
      <c r="L93" s="28">
        <v>1.69</v>
      </c>
      <c r="M93" s="29">
        <v>1.68</v>
      </c>
      <c r="N93" s="27">
        <v>5.36</v>
      </c>
      <c r="O93" s="28">
        <v>2.94</v>
      </c>
      <c r="P93" s="28">
        <v>4.8</v>
      </c>
      <c r="Q93" s="28">
        <v>3.73</v>
      </c>
      <c r="R93" s="28">
        <v>1.71</v>
      </c>
      <c r="S93" s="28">
        <v>5.0599999999999996</v>
      </c>
      <c r="T93" s="28">
        <v>1.69</v>
      </c>
      <c r="U93" s="29">
        <v>1.68</v>
      </c>
      <c r="V93" s="2"/>
      <c r="W93" s="66"/>
      <c r="X93" s="73" t="s">
        <v>23</v>
      </c>
      <c r="Y93" s="38" t="s">
        <v>24</v>
      </c>
      <c r="Z93" s="27">
        <v>4.3099999999999996</v>
      </c>
      <c r="AA93" s="28">
        <v>3.34</v>
      </c>
      <c r="AB93" s="28">
        <v>4.4000000000000004</v>
      </c>
      <c r="AC93" s="28">
        <v>4.18</v>
      </c>
      <c r="AD93" s="28">
        <v>2.63</v>
      </c>
      <c r="AE93" s="28">
        <v>4.3600000000000003</v>
      </c>
      <c r="AF93" s="28">
        <v>0.84</v>
      </c>
      <c r="AG93" s="29">
        <v>1.02</v>
      </c>
      <c r="AH93" s="27">
        <v>4.3099999999999996</v>
      </c>
      <c r="AI93" s="28">
        <v>3.34</v>
      </c>
      <c r="AJ93" s="28">
        <v>4.4000000000000004</v>
      </c>
      <c r="AK93" s="28">
        <v>4.18</v>
      </c>
      <c r="AL93" s="28">
        <v>2.63</v>
      </c>
      <c r="AM93" s="28">
        <v>4.3600000000000003</v>
      </c>
      <c r="AN93" s="28">
        <v>0.84</v>
      </c>
      <c r="AO93" s="29">
        <v>1.02</v>
      </c>
      <c r="AP93" s="2"/>
      <c r="AQ93" s="66"/>
      <c r="AR93" s="73" t="s">
        <v>23</v>
      </c>
      <c r="AS93" s="38" t="s">
        <v>24</v>
      </c>
      <c r="AT93" s="27">
        <v>3.04</v>
      </c>
      <c r="AU93" s="28"/>
      <c r="AV93" s="28">
        <v>5.24</v>
      </c>
      <c r="AW93" s="28">
        <v>5.77</v>
      </c>
      <c r="AX93" s="28">
        <v>4.1900000000000004</v>
      </c>
      <c r="AY93" s="28">
        <v>4.38</v>
      </c>
      <c r="AZ93" s="28">
        <v>1.55</v>
      </c>
      <c r="BA93" s="29">
        <v>2.41</v>
      </c>
      <c r="BB93" s="27">
        <v>3.04</v>
      </c>
      <c r="BC93" s="28"/>
      <c r="BD93" s="28">
        <v>5.24</v>
      </c>
      <c r="BE93" s="28">
        <v>5.77</v>
      </c>
      <c r="BF93" s="28">
        <v>4.1900000000000004</v>
      </c>
      <c r="BG93" s="28">
        <v>4.38</v>
      </c>
      <c r="BH93" s="28">
        <v>1.55</v>
      </c>
      <c r="BI93" s="29">
        <v>2.41</v>
      </c>
      <c r="BJ93" s="2"/>
      <c r="BK93" s="66"/>
      <c r="BL93" s="73" t="s">
        <v>23</v>
      </c>
      <c r="BM93" s="38" t="s">
        <v>24</v>
      </c>
      <c r="BN93" s="27">
        <v>2.88</v>
      </c>
      <c r="BO93" s="28">
        <v>5.31</v>
      </c>
      <c r="BP93" s="28">
        <v>5.04</v>
      </c>
      <c r="BQ93" s="28">
        <v>6.21</v>
      </c>
      <c r="BR93" s="28"/>
      <c r="BS93" s="28">
        <v>3.65</v>
      </c>
      <c r="BT93" s="28">
        <v>2.85</v>
      </c>
      <c r="BU93" s="29">
        <v>3.06</v>
      </c>
      <c r="BV93" s="27">
        <v>2.88</v>
      </c>
      <c r="BW93" s="28">
        <v>5.31</v>
      </c>
      <c r="BX93" s="28">
        <v>5.04</v>
      </c>
      <c r="BY93" s="28">
        <v>6.21</v>
      </c>
      <c r="BZ93" s="28"/>
      <c r="CA93" s="28">
        <v>3.65</v>
      </c>
      <c r="CB93" s="28">
        <v>2.85</v>
      </c>
      <c r="CC93" s="29">
        <v>3.06</v>
      </c>
      <c r="CD93" s="2"/>
      <c r="CE93" s="66"/>
      <c r="CF93" s="73" t="s">
        <v>23</v>
      </c>
      <c r="CG93" s="38" t="s">
        <v>24</v>
      </c>
      <c r="CH93" s="27">
        <v>5.36</v>
      </c>
      <c r="CI93" s="28">
        <v>2.94</v>
      </c>
      <c r="CJ93" s="28">
        <v>4.8</v>
      </c>
      <c r="CK93" s="28">
        <v>3.73</v>
      </c>
      <c r="CL93" s="28">
        <v>1.71</v>
      </c>
      <c r="CM93" s="28">
        <v>5.0599999999999996</v>
      </c>
      <c r="CN93" s="28">
        <v>1.69</v>
      </c>
      <c r="CO93" s="29">
        <v>1.68</v>
      </c>
      <c r="CP93" s="27">
        <v>5.36</v>
      </c>
      <c r="CQ93" s="28">
        <v>2.94</v>
      </c>
      <c r="CR93" s="28">
        <v>4.8</v>
      </c>
      <c r="CS93" s="28">
        <v>3.73</v>
      </c>
      <c r="CT93" s="28">
        <v>1.71</v>
      </c>
      <c r="CU93" s="28">
        <v>5.0599999999999996</v>
      </c>
      <c r="CV93" s="28">
        <v>1.69</v>
      </c>
      <c r="CW93" s="29">
        <v>1.68</v>
      </c>
      <c r="CX93" s="2"/>
      <c r="CY93" s="66"/>
      <c r="CZ93" s="73" t="s">
        <v>23</v>
      </c>
      <c r="DA93" s="38" t="s">
        <v>24</v>
      </c>
      <c r="DB93" s="27">
        <v>4.3099999999999996</v>
      </c>
      <c r="DC93" s="28">
        <v>3.34</v>
      </c>
      <c r="DD93" s="28">
        <v>4.4000000000000004</v>
      </c>
      <c r="DE93" s="28">
        <v>4.18</v>
      </c>
      <c r="DF93" s="28">
        <v>2.63</v>
      </c>
      <c r="DG93" s="28">
        <v>4.3600000000000003</v>
      </c>
      <c r="DH93" s="28">
        <v>0.84</v>
      </c>
      <c r="DI93" s="29">
        <v>1.02</v>
      </c>
      <c r="DJ93" s="27">
        <v>4.3099999999999996</v>
      </c>
      <c r="DK93" s="28">
        <v>3.34</v>
      </c>
      <c r="DL93" s="28">
        <v>4.4000000000000004</v>
      </c>
      <c r="DM93" s="28">
        <v>4.18</v>
      </c>
      <c r="DN93" s="28">
        <v>2.63</v>
      </c>
      <c r="DO93" s="28">
        <v>4.3600000000000003</v>
      </c>
      <c r="DP93" s="28">
        <v>0.84</v>
      </c>
      <c r="DQ93" s="29">
        <v>1.02</v>
      </c>
      <c r="DR93" s="2"/>
      <c r="DS93" s="66"/>
      <c r="DT93" s="73" t="s">
        <v>23</v>
      </c>
      <c r="DU93" s="38" t="s">
        <v>24</v>
      </c>
      <c r="DV93" s="27">
        <v>3.04</v>
      </c>
      <c r="DW93" s="28">
        <v>4.01</v>
      </c>
      <c r="DX93" s="28">
        <v>5.24</v>
      </c>
      <c r="DY93" s="28">
        <v>5.77</v>
      </c>
      <c r="DZ93" s="28">
        <v>4.1900000000000004</v>
      </c>
      <c r="EA93" s="28">
        <v>4.38</v>
      </c>
      <c r="EB93" s="28">
        <v>1.55</v>
      </c>
      <c r="EC93" s="29">
        <v>2.41</v>
      </c>
      <c r="ED93" s="27">
        <v>3.04</v>
      </c>
      <c r="EE93" s="28">
        <v>4.01</v>
      </c>
      <c r="EF93" s="28">
        <v>5.24</v>
      </c>
      <c r="EG93" s="28">
        <v>5.77</v>
      </c>
      <c r="EH93" s="28">
        <v>4.1900000000000004</v>
      </c>
      <c r="EI93" s="28">
        <v>4.38</v>
      </c>
      <c r="EJ93" s="28">
        <v>1.55</v>
      </c>
      <c r="EK93" s="29">
        <v>2.41</v>
      </c>
      <c r="EL93" s="2"/>
      <c r="EM93" s="66"/>
      <c r="EN93" s="73" t="s">
        <v>23</v>
      </c>
      <c r="EO93" s="38" t="s">
        <v>24</v>
      </c>
      <c r="EP93" s="27">
        <v>2.88</v>
      </c>
      <c r="EQ93" s="28">
        <v>5.31</v>
      </c>
      <c r="ER93" s="28">
        <v>5.04</v>
      </c>
      <c r="ES93" s="28">
        <v>6.21</v>
      </c>
      <c r="ET93" s="28">
        <v>5.29</v>
      </c>
      <c r="EU93" s="28">
        <v>3.65</v>
      </c>
      <c r="EV93" s="28">
        <v>2.85</v>
      </c>
      <c r="EW93" s="29">
        <v>3.06</v>
      </c>
      <c r="EX93" s="27">
        <v>2.88</v>
      </c>
      <c r="EY93" s="28">
        <v>5.31</v>
      </c>
      <c r="EZ93" s="28">
        <v>5.04</v>
      </c>
      <c r="FA93" s="28">
        <v>6.21</v>
      </c>
      <c r="FB93" s="28">
        <v>5.29</v>
      </c>
      <c r="FC93" s="28">
        <v>3.65</v>
      </c>
      <c r="FD93" s="28">
        <v>2.85</v>
      </c>
      <c r="FE93" s="29">
        <v>3.06</v>
      </c>
    </row>
    <row r="94" spans="3:161" x14ac:dyDescent="0.3">
      <c r="C94" s="66"/>
      <c r="D94" s="70"/>
      <c r="E94" s="39" t="s">
        <v>25</v>
      </c>
      <c r="F94" s="9">
        <v>-0.59996527777779995</v>
      </c>
      <c r="G94" s="10">
        <v>0.14996527777779001</v>
      </c>
      <c r="H94" s="10">
        <v>0.34996441281137969</v>
      </c>
      <c r="I94" s="10">
        <v>0.15352313167259979</v>
      </c>
      <c r="J94" s="10">
        <v>7.0136518771339862E-2</v>
      </c>
      <c r="K94" s="10">
        <v>-0.34653979238755017</v>
      </c>
      <c r="L94" s="10">
        <v>-0.23792253521125994</v>
      </c>
      <c r="M94" s="11">
        <v>4.2909698996659973E-2</v>
      </c>
      <c r="N94" s="9">
        <v>-0.60499999999998977</v>
      </c>
      <c r="O94" s="10">
        <v>0.14613636363636973</v>
      </c>
      <c r="P94" s="10">
        <v>0.3258536585365901</v>
      </c>
      <c r="Q94" s="10">
        <v>0.14500000000000002</v>
      </c>
      <c r="R94" s="10">
        <v>7.4318181818189943E-2</v>
      </c>
      <c r="S94" s="10">
        <v>-0.32534883720930008</v>
      </c>
      <c r="T94" s="10">
        <v>-0.23860465116278995</v>
      </c>
      <c r="U94" s="11">
        <v>4.3428571428580032E-2</v>
      </c>
      <c r="W94" s="66"/>
      <c r="X94" s="70"/>
      <c r="Y94" s="39" t="s">
        <v>25</v>
      </c>
      <c r="Z94" s="9">
        <v>-0.34717948717948044</v>
      </c>
      <c r="AA94" s="10">
        <v>-2.6550000000000296E-2</v>
      </c>
      <c r="AB94" s="10">
        <v>7.6631578947369938E-2</v>
      </c>
      <c r="AC94" s="10">
        <v>0.14716577540107956</v>
      </c>
      <c r="AD94" s="10">
        <v>0.10924731182795977</v>
      </c>
      <c r="AE94" s="10">
        <v>-0.12466666666666004</v>
      </c>
      <c r="AF94" s="10">
        <v>7.2658227848100942E-2</v>
      </c>
      <c r="AG94" s="11">
        <v>0.10839024390244001</v>
      </c>
      <c r="AH94" s="9">
        <v>-0.35380952380952024</v>
      </c>
      <c r="AI94" s="10">
        <v>-2.840909090908994E-2</v>
      </c>
      <c r="AJ94" s="10">
        <v>8.1951219512200524E-2</v>
      </c>
      <c r="AK94" s="10">
        <v>0.14146341463415002</v>
      </c>
      <c r="AL94" s="10">
        <v>0.1014999999999997</v>
      </c>
      <c r="AM94" s="10">
        <v>-0.10666666666665936</v>
      </c>
      <c r="AN94" s="10">
        <v>7.2758620689655995E-2</v>
      </c>
      <c r="AO94" s="11">
        <v>0.10967741935483899</v>
      </c>
      <c r="AQ94" s="66"/>
      <c r="AR94" s="70"/>
      <c r="AS94" s="39" t="s">
        <v>25</v>
      </c>
      <c r="AT94" s="9">
        <v>2.9682539682540199E-2</v>
      </c>
      <c r="AU94" s="10"/>
      <c r="AV94" s="10">
        <v>-6.7049180327860114E-2</v>
      </c>
      <c r="AW94" s="10">
        <v>9.7500000000009912E-2</v>
      </c>
      <c r="AX94" s="10">
        <v>-7.836065573769968E-2</v>
      </c>
      <c r="AY94" s="10">
        <v>6.7096774193549535E-2</v>
      </c>
      <c r="AZ94" s="10">
        <v>-0.2463636363636299</v>
      </c>
      <c r="BA94" s="11">
        <v>-4.9206349206339706E-2</v>
      </c>
      <c r="BB94" s="9">
        <v>2.9069767441860073E-2</v>
      </c>
      <c r="BC94" s="10"/>
      <c r="BD94" s="10">
        <v>-5.8536585365850158E-2</v>
      </c>
      <c r="BE94" s="10">
        <v>8.2250000000009926E-2</v>
      </c>
      <c r="BF94" s="10">
        <v>-8.4249999999999936E-2</v>
      </c>
      <c r="BG94" s="10">
        <v>5.3170731707320229E-2</v>
      </c>
      <c r="BH94" s="10">
        <v>-0.24909090909089993</v>
      </c>
      <c r="BI94" s="11">
        <v>-4.8780487804869654E-2</v>
      </c>
      <c r="BK94" s="66"/>
      <c r="BL94" s="70"/>
      <c r="BM94" s="39" t="s">
        <v>25</v>
      </c>
      <c r="BN94" s="9">
        <v>5.6249999999997691E-3</v>
      </c>
      <c r="BO94" s="10">
        <v>-0.26583333333333048</v>
      </c>
      <c r="BP94" s="10">
        <v>0.11750000000001037</v>
      </c>
      <c r="BQ94" s="10">
        <v>0.15736842105263982</v>
      </c>
      <c r="BR94" s="10"/>
      <c r="BS94" s="10">
        <v>-5.5483870967739879E-2</v>
      </c>
      <c r="BT94" s="10">
        <v>-8.935483870966987E-2</v>
      </c>
      <c r="BU94" s="11">
        <v>-0.28698113207547005</v>
      </c>
      <c r="BV94" s="9">
        <v>5.5102040816397135E-3</v>
      </c>
      <c r="BW94" s="10">
        <v>-0.26777777777777079</v>
      </c>
      <c r="BX94" s="10">
        <v>0.14181818181818961</v>
      </c>
      <c r="BY94" s="10">
        <v>0.14880952380952994</v>
      </c>
      <c r="BZ94" s="10"/>
      <c r="CA94" s="10">
        <v>-5.723404255319009E-2</v>
      </c>
      <c r="CB94" s="10">
        <v>-8.4255319148929697E-2</v>
      </c>
      <c r="CC94" s="11">
        <v>-0.28404761904760978</v>
      </c>
      <c r="CE94" s="66"/>
      <c r="CF94" s="70"/>
      <c r="CG94" s="39" t="s">
        <v>25</v>
      </c>
      <c r="CH94" s="9">
        <v>1.4808888888888903</v>
      </c>
      <c r="CI94" s="10">
        <v>0.74452830188679986</v>
      </c>
      <c r="CJ94" s="10">
        <v>3.0692156862745099</v>
      </c>
      <c r="CK94" s="10">
        <v>2.9131914893617021</v>
      </c>
      <c r="CL94" s="10">
        <v>-12.433333333333302</v>
      </c>
      <c r="CM94" s="10">
        <v>1.8951724137931096</v>
      </c>
      <c r="CN94" s="10">
        <v>0.52</v>
      </c>
      <c r="CO94" s="11">
        <v>0.47714285714285998</v>
      </c>
      <c r="CP94" s="9">
        <v>1.4979487179487205</v>
      </c>
      <c r="CQ94" s="10">
        <v>0.73733333333334006</v>
      </c>
      <c r="CR94" s="10">
        <v>3.0633333333333397</v>
      </c>
      <c r="CS94" s="10">
        <v>2.9121951219512199</v>
      </c>
      <c r="CT94" s="10">
        <v>-12.163428571428501</v>
      </c>
      <c r="CU94" s="10">
        <v>1.8355102040816398</v>
      </c>
      <c r="CV94" s="10">
        <v>0.52</v>
      </c>
      <c r="CW94" s="11">
        <v>0.49212765957446991</v>
      </c>
      <c r="CY94" s="66"/>
      <c r="CZ94" s="70"/>
      <c r="DA94" s="39" t="s">
        <v>25</v>
      </c>
      <c r="DB94" s="9">
        <v>2.3268965517241398</v>
      </c>
      <c r="DC94" s="10">
        <v>2.5848214285714297</v>
      </c>
      <c r="DD94" s="10">
        <v>4.0455172413793115</v>
      </c>
      <c r="DE94" s="10">
        <v>3.1059999999999999</v>
      </c>
      <c r="DF94" s="10">
        <v>1.0200000000000098</v>
      </c>
      <c r="DG94" s="10">
        <v>2.2807317073170803</v>
      </c>
      <c r="DH94" s="10">
        <v>0.68137931034482802</v>
      </c>
      <c r="DI94" s="11">
        <v>0.86403508771929904</v>
      </c>
      <c r="DJ94" s="9">
        <v>2.3427118644067897</v>
      </c>
      <c r="DK94" s="10">
        <v>2.5984482758620699</v>
      </c>
      <c r="DL94" s="10">
        <v>4.0459322033898317</v>
      </c>
      <c r="DM94" s="10">
        <v>3.1014285714285794</v>
      </c>
      <c r="DN94" s="10">
        <v>1.0200000000000098</v>
      </c>
      <c r="DO94" s="10">
        <v>2.2404761904762003</v>
      </c>
      <c r="DP94" s="10">
        <v>0.68186440677966098</v>
      </c>
      <c r="DQ94" s="11">
        <v>0.86344827586206896</v>
      </c>
      <c r="DS94" s="66"/>
      <c r="DT94" s="70"/>
      <c r="DU94" s="39" t="s">
        <v>25</v>
      </c>
      <c r="DV94" s="9">
        <v>1.3142553191489401</v>
      </c>
      <c r="DW94" s="10">
        <v>2.9052173913043497</v>
      </c>
      <c r="DX94" s="10">
        <v>3.4950000000000001</v>
      </c>
      <c r="DY94" s="10">
        <v>2.7242105263157894</v>
      </c>
      <c r="DZ94" s="10">
        <v>2.6115789473684305</v>
      </c>
      <c r="EA94" s="10">
        <v>2.8458333333333399</v>
      </c>
      <c r="EB94" s="10">
        <v>1.218</v>
      </c>
      <c r="EC94" s="11">
        <v>1.0746153846153901</v>
      </c>
      <c r="ED94" s="9">
        <v>1.3006382978723501</v>
      </c>
      <c r="EE94" s="10">
        <v>2.9024999999999999</v>
      </c>
      <c r="EF94" s="10">
        <v>3.51072727272728</v>
      </c>
      <c r="EG94" s="10">
        <v>2.7533333333333396</v>
      </c>
      <c r="EH94" s="10">
        <v>2.6145762711864506</v>
      </c>
      <c r="EI94" s="10">
        <v>2.4642857142857197</v>
      </c>
      <c r="EJ94" s="10">
        <v>1.2227272727272731</v>
      </c>
      <c r="EK94" s="11">
        <v>1.0553846153846203</v>
      </c>
      <c r="EM94" s="66"/>
      <c r="EN94" s="70"/>
      <c r="EO94" s="39" t="s">
        <v>25</v>
      </c>
      <c r="EP94" s="9">
        <v>2.3173214285714288</v>
      </c>
      <c r="EQ94" s="10">
        <v>-3.9297777777777805</v>
      </c>
      <c r="ER94" s="10">
        <v>4.6336206896551726</v>
      </c>
      <c r="ES94" s="10">
        <v>4.6000000000000103</v>
      </c>
      <c r="ET94" s="10">
        <v>1.97927272727273</v>
      </c>
      <c r="EU94" s="10">
        <v>0.60999999999999988</v>
      </c>
      <c r="EV94" s="10">
        <v>2.34</v>
      </c>
      <c r="EW94" s="11">
        <v>1.5640425531914901</v>
      </c>
      <c r="EX94" s="9">
        <v>2.3173214285714288</v>
      </c>
      <c r="EY94" s="10">
        <v>-3.9297674418604602</v>
      </c>
      <c r="EZ94" s="10">
        <v>4.6481355932203403</v>
      </c>
      <c r="FA94" s="10">
        <v>4.5424561403508799</v>
      </c>
      <c r="FB94" s="10">
        <v>1.7343636363636401</v>
      </c>
      <c r="FC94" s="10">
        <v>0.60999999999999988</v>
      </c>
      <c r="FD94" s="10">
        <v>2.3404651162790699</v>
      </c>
      <c r="FE94" s="11">
        <v>1.5912765957446902</v>
      </c>
    </row>
    <row r="95" spans="3:161" x14ac:dyDescent="0.3">
      <c r="C95" s="66"/>
      <c r="D95" s="70"/>
      <c r="E95" s="39" t="s">
        <v>26</v>
      </c>
      <c r="F95" s="9">
        <v>-10.066590153046993</v>
      </c>
      <c r="G95" s="10">
        <v>5.3750326683513636</v>
      </c>
      <c r="H95" s="10">
        <v>7.864305935415568</v>
      </c>
      <c r="I95" s="10">
        <v>4.2925800256719535</v>
      </c>
      <c r="J95" s="10">
        <v>4.2769730269735868</v>
      </c>
      <c r="K95" s="10">
        <v>-6.4096410217026598</v>
      </c>
      <c r="L95" s="10">
        <v>-12.340876299015232</v>
      </c>
      <c r="M95" s="11">
        <v>2.6210954258516757</v>
      </c>
      <c r="N95" s="9">
        <v>-10.142497904442427</v>
      </c>
      <c r="O95" s="10">
        <v>5.2306190514929494</v>
      </c>
      <c r="P95" s="10">
        <v>7.2830353249019888</v>
      </c>
      <c r="Q95" s="10">
        <v>4.0446304044630415</v>
      </c>
      <c r="R95" s="10">
        <v>4.5435598165907658</v>
      </c>
      <c r="S95" s="10">
        <v>-6.041369780196014</v>
      </c>
      <c r="T95" s="10">
        <v>-12.371879898709722</v>
      </c>
      <c r="U95" s="11">
        <v>2.6536312849167407</v>
      </c>
      <c r="W95" s="66"/>
      <c r="X95" s="70"/>
      <c r="Y95" s="39" t="s">
        <v>26</v>
      </c>
      <c r="Z95" s="9">
        <v>-7.4547156306776179</v>
      </c>
      <c r="AA95" s="10">
        <v>-0.78864119053631454</v>
      </c>
      <c r="AB95" s="10">
        <v>1.7724970783015548</v>
      </c>
      <c r="AC95" s="10">
        <v>3.6491898056066443</v>
      </c>
      <c r="AD95" s="10">
        <v>4.3339163076399227</v>
      </c>
      <c r="AE95" s="10">
        <v>-2.7798424260441554</v>
      </c>
      <c r="AF95" s="10">
        <v>9.4688221709006459</v>
      </c>
      <c r="AG95" s="11">
        <v>11.889982876712448</v>
      </c>
      <c r="AH95" s="9">
        <v>-7.5862773126403216</v>
      </c>
      <c r="AI95" s="10">
        <v>-0.84339788138449345</v>
      </c>
      <c r="AJ95" s="10">
        <v>1.8978761861727436</v>
      </c>
      <c r="AK95" s="10">
        <v>3.5028385070661652</v>
      </c>
      <c r="AL95" s="10">
        <v>4.0142376903302228</v>
      </c>
      <c r="AM95" s="10">
        <v>-2.3880597014923772</v>
      </c>
      <c r="AN95" s="10">
        <v>9.4831460674158485</v>
      </c>
      <c r="AO95" s="11">
        <v>12.048192771084372</v>
      </c>
      <c r="AQ95" s="66"/>
      <c r="AR95" s="70"/>
      <c r="AS95" s="39" t="s">
        <v>26</v>
      </c>
      <c r="AT95" s="9">
        <v>0.98602689164251667</v>
      </c>
      <c r="AU95" s="10"/>
      <c r="AV95" s="10">
        <v>-1.2633985111047705</v>
      </c>
      <c r="AW95" s="10">
        <v>1.7188188629353915</v>
      </c>
      <c r="AX95" s="10">
        <v>-1.8358489841378369</v>
      </c>
      <c r="AY95" s="10">
        <v>1.5557217651458761</v>
      </c>
      <c r="AZ95" s="10">
        <v>-13.714574898785115</v>
      </c>
      <c r="BA95" s="11">
        <v>-2.0009036338988015</v>
      </c>
      <c r="BB95" s="9">
        <v>0.96547462732678069</v>
      </c>
      <c r="BC95" s="10"/>
      <c r="BD95" s="10">
        <v>-1.1047689191676753</v>
      </c>
      <c r="BE95" s="10">
        <v>1.4460902817460346</v>
      </c>
      <c r="BF95" s="10">
        <v>-1.9711060419956701</v>
      </c>
      <c r="BG95" s="10">
        <v>1.2288613303270186</v>
      </c>
      <c r="BH95" s="10">
        <v>-13.845376452753477</v>
      </c>
      <c r="BI95" s="11">
        <v>-1.9839301656578341</v>
      </c>
      <c r="BK95" s="66"/>
      <c r="BL95" s="70"/>
      <c r="BM95" s="39" t="s">
        <v>26</v>
      </c>
      <c r="BN95" s="9">
        <v>0.19569471624265342</v>
      </c>
      <c r="BO95" s="10">
        <v>-4.7675982663278553</v>
      </c>
      <c r="BP95" s="10">
        <v>2.386998476384167</v>
      </c>
      <c r="BQ95" s="10">
        <v>2.6000000000001395</v>
      </c>
      <c r="BR95" s="10"/>
      <c r="BS95" s="10">
        <v>-1.497344824584258</v>
      </c>
      <c r="BT95" s="10">
        <v>-3.039947322212218</v>
      </c>
      <c r="BU95" s="11">
        <v>-8.5743277524099</v>
      </c>
      <c r="BV95" s="9">
        <v>0.19169329073507038</v>
      </c>
      <c r="BW95" s="10">
        <v>-4.8007968127488851</v>
      </c>
      <c r="BX95" s="10">
        <v>2.8953229398665332</v>
      </c>
      <c r="BY95" s="10">
        <v>2.4551203991044757</v>
      </c>
      <c r="BZ95" s="10"/>
      <c r="CA95" s="10">
        <v>-1.5438475665748022</v>
      </c>
      <c r="CB95" s="10">
        <v>-2.8714378942786634</v>
      </c>
      <c r="CC95" s="11">
        <v>-8.4941260234956513</v>
      </c>
      <c r="CE95" s="66"/>
      <c r="CF95" s="70"/>
      <c r="CG95" s="39" t="s">
        <v>26</v>
      </c>
      <c r="CH95" s="9">
        <v>38.175985334555499</v>
      </c>
      <c r="CI95" s="10">
        <v>33.911997249914513</v>
      </c>
      <c r="CJ95" s="10">
        <v>177.33091650617428</v>
      </c>
      <c r="CK95" s="10">
        <v>356.65537900494917</v>
      </c>
      <c r="CL95" s="10">
        <v>-87.909497996700424</v>
      </c>
      <c r="CM95" s="10">
        <v>59.882327304423946</v>
      </c>
      <c r="CN95" s="10">
        <v>44.44444444444445</v>
      </c>
      <c r="CO95" s="11">
        <v>39.667458432304372</v>
      </c>
      <c r="CP95" s="9">
        <v>38.786349754348784</v>
      </c>
      <c r="CQ95" s="10">
        <v>33.474576271186848</v>
      </c>
      <c r="CR95" s="10">
        <v>176.39155470249625</v>
      </c>
      <c r="CS95" s="10">
        <v>356.09901580674045</v>
      </c>
      <c r="CT95" s="10">
        <v>-87.674279712502781</v>
      </c>
      <c r="CU95" s="10">
        <v>56.924050632911751</v>
      </c>
      <c r="CV95" s="10">
        <v>44.44444444444445</v>
      </c>
      <c r="CW95" s="11">
        <v>41.429339065019029</v>
      </c>
      <c r="CY95" s="66"/>
      <c r="CZ95" s="70"/>
      <c r="DA95" s="39" t="s">
        <v>26</v>
      </c>
      <c r="DB95" s="9">
        <v>117.33611545818138</v>
      </c>
      <c r="DC95" s="10">
        <v>342.27949869945695</v>
      </c>
      <c r="DD95" s="10">
        <v>1141.2451361867727</v>
      </c>
      <c r="DE95" s="10">
        <v>289.19925512104282</v>
      </c>
      <c r="DF95" s="10">
        <v>63.354037267081743</v>
      </c>
      <c r="DG95" s="10">
        <v>109.68914956011801</v>
      </c>
      <c r="DH95" s="10">
        <v>429.56521739130568</v>
      </c>
      <c r="DI95" s="11">
        <v>553.99325084364773</v>
      </c>
      <c r="DJ95" s="9">
        <v>119.08331179460785</v>
      </c>
      <c r="DK95" s="10">
        <v>350.40688212043773</v>
      </c>
      <c r="DL95" s="10">
        <v>1142.6998563906193</v>
      </c>
      <c r="DM95" s="10">
        <v>287.54966887417521</v>
      </c>
      <c r="DN95" s="10">
        <v>63.354037267081743</v>
      </c>
      <c r="DO95" s="10">
        <v>105.70658279038511</v>
      </c>
      <c r="DP95" s="10">
        <v>431.18971061093242</v>
      </c>
      <c r="DQ95" s="11">
        <v>551.54185022026445</v>
      </c>
      <c r="DS95" s="66"/>
      <c r="DT95" s="70"/>
      <c r="DU95" s="39" t="s">
        <v>26</v>
      </c>
      <c r="DV95" s="9">
        <v>76.155837751202469</v>
      </c>
      <c r="DW95" s="10">
        <v>262.96733569460906</v>
      </c>
      <c r="DX95" s="10">
        <v>200.28653295128939</v>
      </c>
      <c r="DY95" s="10">
        <v>89.441852427855551</v>
      </c>
      <c r="DZ95" s="10">
        <v>165.45515171724062</v>
      </c>
      <c r="EA95" s="10">
        <v>185.49701249321146</v>
      </c>
      <c r="EB95" s="10">
        <v>366.86746987951807</v>
      </c>
      <c r="EC95" s="11">
        <v>80.472350230415486</v>
      </c>
      <c r="ED95" s="9">
        <v>74.776758409786908</v>
      </c>
      <c r="EE95" s="10">
        <v>262.07674943566587</v>
      </c>
      <c r="EF95" s="10">
        <v>203.01755861634027</v>
      </c>
      <c r="EG95" s="10">
        <v>91.270718232044615</v>
      </c>
      <c r="EH95" s="10">
        <v>165.96019365250297</v>
      </c>
      <c r="EI95" s="10">
        <v>128.63534675615281</v>
      </c>
      <c r="EJ95" s="10">
        <v>373.61111111111154</v>
      </c>
      <c r="EK95" s="11">
        <v>77.910278250994381</v>
      </c>
      <c r="EM95" s="66"/>
      <c r="EN95" s="70"/>
      <c r="EO95" s="39" t="s">
        <v>26</v>
      </c>
      <c r="EP95" s="9">
        <v>411.83751190098417</v>
      </c>
      <c r="EQ95" s="10">
        <v>-42.531085403689382</v>
      </c>
      <c r="ER95" s="10">
        <v>1140.2206194314824</v>
      </c>
      <c r="ES95" s="10">
        <v>285.71428571428811</v>
      </c>
      <c r="ET95" s="10">
        <v>59.783623482893198</v>
      </c>
      <c r="EU95" s="10">
        <v>20.065789473684205</v>
      </c>
      <c r="EV95" s="10">
        <v>458.8235294117647</v>
      </c>
      <c r="EW95" s="11">
        <v>104.55127293414887</v>
      </c>
      <c r="EX95" s="9">
        <v>411.83751190098417</v>
      </c>
      <c r="EY95" s="10">
        <v>-42.531021117011875</v>
      </c>
      <c r="EZ95" s="10">
        <v>1186.1591695501763</v>
      </c>
      <c r="FA95" s="10">
        <v>272.4039978958449</v>
      </c>
      <c r="FB95" s="10">
        <v>48.777868684802769</v>
      </c>
      <c r="FC95" s="10">
        <v>20.065789473684205</v>
      </c>
      <c r="FD95" s="10">
        <v>459.33363760839825</v>
      </c>
      <c r="FE95" s="11">
        <v>108.34419817470797</v>
      </c>
    </row>
    <row r="96" spans="3:161" ht="28.8" x14ac:dyDescent="0.3">
      <c r="C96" s="66"/>
      <c r="D96" s="70" t="s">
        <v>27</v>
      </c>
      <c r="E96" s="40" t="s">
        <v>24</v>
      </c>
      <c r="F96" s="27">
        <v>5.32</v>
      </c>
      <c r="G96" s="28">
        <v>2.95</v>
      </c>
      <c r="H96" s="28">
        <v>4.8099999999999996</v>
      </c>
      <c r="I96" s="28">
        <v>3.68</v>
      </c>
      <c r="J96" s="28">
        <v>1.73</v>
      </c>
      <c r="K96" s="28">
        <v>5.0599999999999996</v>
      </c>
      <c r="L96" s="28">
        <v>1.74</v>
      </c>
      <c r="M96" s="29">
        <v>1.74</v>
      </c>
      <c r="N96" s="27">
        <v>5.32</v>
      </c>
      <c r="O96" s="28">
        <v>2.95</v>
      </c>
      <c r="P96" s="28">
        <v>4.8099999999999996</v>
      </c>
      <c r="Q96" s="28">
        <v>3.68</v>
      </c>
      <c r="R96" s="28">
        <v>1.73</v>
      </c>
      <c r="S96" s="28">
        <v>5.0599999999999996</v>
      </c>
      <c r="T96" s="28">
        <v>1.74</v>
      </c>
      <c r="U96" s="29">
        <v>1.74</v>
      </c>
      <c r="W96" s="66"/>
      <c r="X96" s="70" t="s">
        <v>27</v>
      </c>
      <c r="Y96" s="40" t="s">
        <v>24</v>
      </c>
      <c r="Z96" s="27">
        <v>4.25</v>
      </c>
      <c r="AA96" s="28">
        <v>3.34</v>
      </c>
      <c r="AB96" s="28">
        <v>4.45</v>
      </c>
      <c r="AC96" s="28">
        <v>4.1500000000000004</v>
      </c>
      <c r="AD96" s="28">
        <v>2.63</v>
      </c>
      <c r="AE96" s="28">
        <v>4.25</v>
      </c>
      <c r="AF96" s="28">
        <v>0.91</v>
      </c>
      <c r="AG96" s="29">
        <v>1.07</v>
      </c>
      <c r="AH96" s="27">
        <v>4.25</v>
      </c>
      <c r="AI96" s="28">
        <v>3.34</v>
      </c>
      <c r="AJ96" s="28">
        <v>4.45</v>
      </c>
      <c r="AK96" s="28">
        <v>4.1500000000000004</v>
      </c>
      <c r="AL96" s="28">
        <v>2.63</v>
      </c>
      <c r="AM96" s="28">
        <v>4.25</v>
      </c>
      <c r="AN96" s="28">
        <v>0.91</v>
      </c>
      <c r="AO96" s="29">
        <v>1.07</v>
      </c>
      <c r="AQ96" s="66"/>
      <c r="AR96" s="70" t="s">
        <v>27</v>
      </c>
      <c r="AS96" s="40" t="s">
        <v>24</v>
      </c>
      <c r="AT96" s="27">
        <v>2.99</v>
      </c>
      <c r="AU96" s="28"/>
      <c r="AV96" s="28">
        <v>5.28</v>
      </c>
      <c r="AW96" s="28">
        <v>5.69</v>
      </c>
      <c r="AX96" s="28">
        <v>4.22</v>
      </c>
      <c r="AY96" s="28">
        <v>4.3899999999999997</v>
      </c>
      <c r="AZ96" s="28">
        <v>1.62</v>
      </c>
      <c r="BA96" s="29">
        <v>2.44</v>
      </c>
      <c r="BB96" s="27">
        <v>2.99</v>
      </c>
      <c r="BC96" s="28"/>
      <c r="BD96" s="28">
        <v>5.28</v>
      </c>
      <c r="BE96" s="28">
        <v>5.69</v>
      </c>
      <c r="BF96" s="28">
        <v>4.22</v>
      </c>
      <c r="BG96" s="28">
        <v>4.3899999999999997</v>
      </c>
      <c r="BH96" s="28">
        <v>1.62</v>
      </c>
      <c r="BI96" s="29">
        <v>2.44</v>
      </c>
      <c r="BK96" s="66"/>
      <c r="BL96" s="70" t="s">
        <v>27</v>
      </c>
      <c r="BM96" s="40" t="s">
        <v>24</v>
      </c>
      <c r="BN96" s="27">
        <v>2.84</v>
      </c>
      <c r="BO96" s="28">
        <v>5.41</v>
      </c>
      <c r="BP96" s="28">
        <v>5.0999999999999996</v>
      </c>
      <c r="BQ96" s="28">
        <v>6.17</v>
      </c>
      <c r="BR96" s="28"/>
      <c r="BS96" s="28">
        <v>3.65</v>
      </c>
      <c r="BT96" s="28">
        <v>2.94</v>
      </c>
      <c r="BU96" s="29">
        <v>3.12</v>
      </c>
      <c r="BV96" s="27">
        <v>2.84</v>
      </c>
      <c r="BW96" s="28">
        <v>5.41</v>
      </c>
      <c r="BX96" s="28">
        <v>5.0999999999999996</v>
      </c>
      <c r="BY96" s="28">
        <v>6.17</v>
      </c>
      <c r="BZ96" s="28"/>
      <c r="CA96" s="28">
        <v>3.65</v>
      </c>
      <c r="CB96" s="28">
        <v>2.94</v>
      </c>
      <c r="CC96" s="29">
        <v>3.12</v>
      </c>
      <c r="CE96" s="66"/>
      <c r="CF96" s="70" t="s">
        <v>27</v>
      </c>
      <c r="CG96" s="40" t="s">
        <v>24</v>
      </c>
      <c r="CH96" s="27">
        <v>5.32</v>
      </c>
      <c r="CI96" s="28">
        <v>2.95</v>
      </c>
      <c r="CJ96" s="28">
        <v>4.8099999999999996</v>
      </c>
      <c r="CK96" s="28">
        <v>3.68</v>
      </c>
      <c r="CL96" s="28">
        <v>1.73</v>
      </c>
      <c r="CM96" s="28">
        <v>5.0599999999999996</v>
      </c>
      <c r="CN96" s="28">
        <v>1.74</v>
      </c>
      <c r="CO96" s="29">
        <v>1.74</v>
      </c>
      <c r="CP96" s="27">
        <v>5.32</v>
      </c>
      <c r="CQ96" s="28">
        <v>2.95</v>
      </c>
      <c r="CR96" s="28">
        <v>4.8099999999999996</v>
      </c>
      <c r="CS96" s="28">
        <v>3.68</v>
      </c>
      <c r="CT96" s="28">
        <v>1.73</v>
      </c>
      <c r="CU96" s="28">
        <v>5.0599999999999996</v>
      </c>
      <c r="CV96" s="28">
        <v>1.74</v>
      </c>
      <c r="CW96" s="29">
        <v>1.74</v>
      </c>
      <c r="CY96" s="66"/>
      <c r="CZ96" s="70" t="s">
        <v>27</v>
      </c>
      <c r="DA96" s="40" t="s">
        <v>24</v>
      </c>
      <c r="DB96" s="27">
        <v>4.25</v>
      </c>
      <c r="DC96" s="28">
        <v>3.34</v>
      </c>
      <c r="DD96" s="28">
        <v>4.45</v>
      </c>
      <c r="DE96" s="28">
        <v>4.1500000000000004</v>
      </c>
      <c r="DF96" s="28">
        <v>2.63</v>
      </c>
      <c r="DG96" s="28">
        <v>4.25</v>
      </c>
      <c r="DH96" s="28">
        <v>0.91</v>
      </c>
      <c r="DI96" s="29">
        <v>1.07</v>
      </c>
      <c r="DJ96" s="27">
        <v>4.25</v>
      </c>
      <c r="DK96" s="28">
        <v>3.34</v>
      </c>
      <c r="DL96" s="28">
        <v>4.45</v>
      </c>
      <c r="DM96" s="28">
        <v>4.1500000000000004</v>
      </c>
      <c r="DN96" s="28">
        <v>2.63</v>
      </c>
      <c r="DO96" s="28">
        <v>4.25</v>
      </c>
      <c r="DP96" s="28">
        <v>0.91</v>
      </c>
      <c r="DQ96" s="29">
        <v>1.07</v>
      </c>
      <c r="DS96" s="66"/>
      <c r="DT96" s="70" t="s">
        <v>27</v>
      </c>
      <c r="DU96" s="40" t="s">
        <v>24</v>
      </c>
      <c r="DV96" s="27">
        <v>2.99</v>
      </c>
      <c r="DW96" s="28">
        <v>4.18</v>
      </c>
      <c r="DX96" s="28">
        <v>5.28</v>
      </c>
      <c r="DY96" s="28">
        <v>5.69</v>
      </c>
      <c r="DZ96" s="28">
        <v>4.22</v>
      </c>
      <c r="EA96" s="28">
        <v>4.3899999999999997</v>
      </c>
      <c r="EB96" s="28">
        <v>1.62</v>
      </c>
      <c r="EC96" s="29">
        <v>2.44</v>
      </c>
      <c r="ED96" s="27">
        <v>2.99</v>
      </c>
      <c r="EE96" s="28">
        <v>4.18</v>
      </c>
      <c r="EF96" s="28">
        <v>5.28</v>
      </c>
      <c r="EG96" s="28">
        <v>5.69</v>
      </c>
      <c r="EH96" s="28">
        <v>4.22</v>
      </c>
      <c r="EI96" s="28">
        <v>4.3899999999999997</v>
      </c>
      <c r="EJ96" s="28">
        <v>1.62</v>
      </c>
      <c r="EK96" s="29">
        <v>2.44</v>
      </c>
      <c r="EM96" s="66"/>
      <c r="EN96" s="70" t="s">
        <v>27</v>
      </c>
      <c r="EO96" s="40" t="s">
        <v>24</v>
      </c>
      <c r="EP96" s="27">
        <v>2.84</v>
      </c>
      <c r="EQ96" s="28">
        <v>5.41</v>
      </c>
      <c r="ER96" s="28">
        <v>5.0999999999999996</v>
      </c>
      <c r="ES96" s="28">
        <v>6.17</v>
      </c>
      <c r="ET96" s="28">
        <v>5.33</v>
      </c>
      <c r="EU96" s="28">
        <v>3.65</v>
      </c>
      <c r="EV96" s="28">
        <v>2.94</v>
      </c>
      <c r="EW96" s="29">
        <v>3.12</v>
      </c>
      <c r="EX96" s="27">
        <v>2.84</v>
      </c>
      <c r="EY96" s="28">
        <v>5.41</v>
      </c>
      <c r="EZ96" s="28">
        <v>5.0999999999999996</v>
      </c>
      <c r="FA96" s="28">
        <v>6.17</v>
      </c>
      <c r="FB96" s="28">
        <v>5.33</v>
      </c>
      <c r="FC96" s="28">
        <v>3.65</v>
      </c>
      <c r="FD96" s="28">
        <v>2.94</v>
      </c>
      <c r="FE96" s="29">
        <v>3.12</v>
      </c>
    </row>
    <row r="97" spans="3:161" x14ac:dyDescent="0.3">
      <c r="C97" s="66"/>
      <c r="D97" s="70"/>
      <c r="E97" s="39" t="s">
        <v>25</v>
      </c>
      <c r="F97" s="9">
        <v>-0.63996527777779999</v>
      </c>
      <c r="G97" s="10">
        <v>0.15996527777779024</v>
      </c>
      <c r="H97" s="10">
        <v>0.35996441281137947</v>
      </c>
      <c r="I97" s="10">
        <v>0.10352313167259997</v>
      </c>
      <c r="J97" s="10">
        <v>9.013651877133988E-2</v>
      </c>
      <c r="K97" s="10">
        <v>-0.34653979238755017</v>
      </c>
      <c r="L97" s="10">
        <v>-0.1879225352112599</v>
      </c>
      <c r="M97" s="11">
        <v>0.10290969899666003</v>
      </c>
      <c r="N97" s="9">
        <v>-0.6449999999999898</v>
      </c>
      <c r="O97" s="10">
        <v>0.15613636363636996</v>
      </c>
      <c r="P97" s="10">
        <v>0.33585365853658988</v>
      </c>
      <c r="Q97" s="10">
        <v>9.5000000000000195E-2</v>
      </c>
      <c r="R97" s="10">
        <v>9.4318181818189961E-2</v>
      </c>
      <c r="S97" s="10">
        <v>-0.32534883720930008</v>
      </c>
      <c r="T97" s="10">
        <v>-0.1886046511627899</v>
      </c>
      <c r="U97" s="11">
        <v>0.10342857142858009</v>
      </c>
      <c r="W97" s="66"/>
      <c r="X97" s="70"/>
      <c r="Y97" s="39" t="s">
        <v>25</v>
      </c>
      <c r="Z97" s="9">
        <v>-0.40717948717948005</v>
      </c>
      <c r="AA97" s="10">
        <v>-2.6550000000000296E-2</v>
      </c>
      <c r="AB97" s="10">
        <v>0.12663157894736976</v>
      </c>
      <c r="AC97" s="10">
        <v>0.1171657754010802</v>
      </c>
      <c r="AD97" s="10">
        <v>0.10924731182795977</v>
      </c>
      <c r="AE97" s="10">
        <v>-0.23466666666666036</v>
      </c>
      <c r="AF97" s="10">
        <v>0.142658227848101</v>
      </c>
      <c r="AG97" s="11">
        <v>0.15839024390244005</v>
      </c>
      <c r="AH97" s="9">
        <v>-0.41380952380951985</v>
      </c>
      <c r="AI97" s="10">
        <v>-2.840909090908994E-2</v>
      </c>
      <c r="AJ97" s="10">
        <v>0.13195121951220035</v>
      </c>
      <c r="AK97" s="10">
        <v>0.11146341463415066</v>
      </c>
      <c r="AL97" s="10">
        <v>0.1014999999999997</v>
      </c>
      <c r="AM97" s="10">
        <v>-0.21666666666665968</v>
      </c>
      <c r="AN97" s="10">
        <v>0.14275862068965606</v>
      </c>
      <c r="AO97" s="11">
        <v>0.15967741935483903</v>
      </c>
      <c r="AQ97" s="66"/>
      <c r="AR97" s="70"/>
      <c r="AS97" s="39" t="s">
        <v>25</v>
      </c>
      <c r="AT97" s="9">
        <v>-2.0317460317459624E-2</v>
      </c>
      <c r="AU97" s="10"/>
      <c r="AV97" s="10">
        <v>-2.7049180327860078E-2</v>
      </c>
      <c r="AW97" s="10">
        <v>1.7500000000010729E-2</v>
      </c>
      <c r="AX97" s="10">
        <v>-4.836065573770032E-2</v>
      </c>
      <c r="AY97" s="10">
        <v>7.7096774193549322E-2</v>
      </c>
      <c r="AZ97" s="10">
        <v>-0.17636363636362984</v>
      </c>
      <c r="BA97" s="11">
        <v>-1.9206349206339901E-2</v>
      </c>
      <c r="BB97" s="9">
        <v>-2.093023255813975E-2</v>
      </c>
      <c r="BC97" s="10"/>
      <c r="BD97" s="10">
        <v>-1.8536585365850122E-2</v>
      </c>
      <c r="BE97" s="10">
        <v>2.2500000000107434E-3</v>
      </c>
      <c r="BF97" s="10">
        <v>-5.4250000000000576E-2</v>
      </c>
      <c r="BG97" s="10">
        <v>6.3170731707320016E-2</v>
      </c>
      <c r="BH97" s="10">
        <v>-0.17909090909089986</v>
      </c>
      <c r="BI97" s="11">
        <v>-1.878048780486985E-2</v>
      </c>
      <c r="BK97" s="66"/>
      <c r="BL97" s="70"/>
      <c r="BM97" s="39" t="s">
        <v>25</v>
      </c>
      <c r="BN97" s="9">
        <v>-3.4375000000000266E-2</v>
      </c>
      <c r="BO97" s="10">
        <v>-0.16583333333332995</v>
      </c>
      <c r="BP97" s="10">
        <v>0.17750000000000998</v>
      </c>
      <c r="BQ97" s="10">
        <v>0.11736842105263978</v>
      </c>
      <c r="BR97" s="10"/>
      <c r="BS97" s="10">
        <v>-5.5483870967739879E-2</v>
      </c>
      <c r="BT97" s="10">
        <v>6.4516129032998748E-4</v>
      </c>
      <c r="BU97" s="11">
        <v>-0.22698113207546999</v>
      </c>
      <c r="BV97" s="9">
        <v>-3.4489795918360322E-2</v>
      </c>
      <c r="BW97" s="10">
        <v>-0.16777777777777025</v>
      </c>
      <c r="BX97" s="10">
        <v>0.20181818181818922</v>
      </c>
      <c r="BY97" s="10">
        <v>0.10880952380952991</v>
      </c>
      <c r="BZ97" s="10"/>
      <c r="CA97" s="10">
        <v>-5.723404255319009E-2</v>
      </c>
      <c r="CB97" s="10">
        <v>5.7446808510701608E-3</v>
      </c>
      <c r="CC97" s="11">
        <v>-0.22404761904760973</v>
      </c>
      <c r="CE97" s="66"/>
      <c r="CF97" s="70"/>
      <c r="CG97" s="39" t="s">
        <v>25</v>
      </c>
      <c r="CH97" s="9">
        <v>1.4408888888888902</v>
      </c>
      <c r="CI97" s="10">
        <v>0.75452830188680009</v>
      </c>
      <c r="CJ97" s="10">
        <v>3.0792156862745097</v>
      </c>
      <c r="CK97" s="10">
        <v>2.8631914893617023</v>
      </c>
      <c r="CL97" s="10">
        <v>-12.4133333333333</v>
      </c>
      <c r="CM97" s="10">
        <v>1.8951724137931096</v>
      </c>
      <c r="CN97" s="10">
        <v>0.57000000000000006</v>
      </c>
      <c r="CO97" s="11">
        <v>0.53714285714286003</v>
      </c>
      <c r="CP97" s="9">
        <v>1.4579487179487205</v>
      </c>
      <c r="CQ97" s="10">
        <v>0.74733333333334029</v>
      </c>
      <c r="CR97" s="10">
        <v>3.0733333333333395</v>
      </c>
      <c r="CS97" s="10">
        <v>2.8621951219512201</v>
      </c>
      <c r="CT97" s="10">
        <v>-12.143428571428499</v>
      </c>
      <c r="CU97" s="10">
        <v>1.8355102040816398</v>
      </c>
      <c r="CV97" s="10">
        <v>0.57000000000000006</v>
      </c>
      <c r="CW97" s="11">
        <v>0.55212765957446996</v>
      </c>
      <c r="CY97" s="66"/>
      <c r="CZ97" s="70"/>
      <c r="DA97" s="39" t="s">
        <v>25</v>
      </c>
      <c r="DB97" s="9">
        <v>2.2668965517241402</v>
      </c>
      <c r="DC97" s="10">
        <v>2.5848214285714297</v>
      </c>
      <c r="DD97" s="10">
        <v>4.0955172413793113</v>
      </c>
      <c r="DE97" s="10">
        <v>3.0760000000000005</v>
      </c>
      <c r="DF97" s="10">
        <v>1.0200000000000098</v>
      </c>
      <c r="DG97" s="10">
        <v>2.17073170731708</v>
      </c>
      <c r="DH97" s="10">
        <v>0.75137931034482808</v>
      </c>
      <c r="DI97" s="11">
        <v>0.91403508771929909</v>
      </c>
      <c r="DJ97" s="9">
        <v>2.2827118644067901</v>
      </c>
      <c r="DK97" s="10">
        <v>2.5984482758620699</v>
      </c>
      <c r="DL97" s="10">
        <v>4.0959322033898315</v>
      </c>
      <c r="DM97" s="10">
        <v>3.0714285714285801</v>
      </c>
      <c r="DN97" s="10">
        <v>1.0200000000000098</v>
      </c>
      <c r="DO97" s="10">
        <v>2.1304761904762</v>
      </c>
      <c r="DP97" s="10">
        <v>0.75186440677966104</v>
      </c>
      <c r="DQ97" s="11">
        <v>0.913448275862069</v>
      </c>
      <c r="DS97" s="66"/>
      <c r="DT97" s="70"/>
      <c r="DU97" s="39" t="s">
        <v>25</v>
      </c>
      <c r="DV97" s="9">
        <v>1.2642553191489403</v>
      </c>
      <c r="DW97" s="10">
        <v>3.0752173913043497</v>
      </c>
      <c r="DX97" s="10">
        <v>3.5350000000000001</v>
      </c>
      <c r="DY97" s="10">
        <v>2.6442105263157902</v>
      </c>
      <c r="DZ97" s="10">
        <v>2.6415789473684299</v>
      </c>
      <c r="EA97" s="10">
        <v>2.8558333333333397</v>
      </c>
      <c r="EB97" s="10">
        <v>1.288</v>
      </c>
      <c r="EC97" s="11">
        <v>1.1046153846153899</v>
      </c>
      <c r="ED97" s="9">
        <v>1.2506382978723503</v>
      </c>
      <c r="EE97" s="10">
        <v>3.0724999999999998</v>
      </c>
      <c r="EF97" s="10">
        <v>3.5507272727272801</v>
      </c>
      <c r="EG97" s="10">
        <v>2.6733333333333404</v>
      </c>
      <c r="EH97" s="10">
        <v>2.64457627118645</v>
      </c>
      <c r="EI97" s="10">
        <v>2.4742857142857195</v>
      </c>
      <c r="EJ97" s="10">
        <v>1.2927272727272732</v>
      </c>
      <c r="EK97" s="11">
        <v>1.0853846153846201</v>
      </c>
      <c r="EM97" s="66"/>
      <c r="EN97" s="70"/>
      <c r="EO97" s="39" t="s">
        <v>25</v>
      </c>
      <c r="EP97" s="9">
        <v>2.2773214285714287</v>
      </c>
      <c r="EQ97" s="10">
        <v>-3.8297777777777799</v>
      </c>
      <c r="ER97" s="10">
        <v>4.6936206896551731</v>
      </c>
      <c r="ES97" s="10">
        <v>4.5600000000000094</v>
      </c>
      <c r="ET97" s="10">
        <v>2.01927272727273</v>
      </c>
      <c r="EU97" s="10">
        <v>0.60999999999999988</v>
      </c>
      <c r="EV97" s="10">
        <v>2.4299999999999997</v>
      </c>
      <c r="EW97" s="11">
        <v>1.6240425531914902</v>
      </c>
      <c r="EX97" s="9">
        <v>2.2773214285714287</v>
      </c>
      <c r="EY97" s="10">
        <v>-3.8297674418604597</v>
      </c>
      <c r="EZ97" s="10">
        <v>4.7081355932203399</v>
      </c>
      <c r="FA97" s="10">
        <v>4.5024561403508798</v>
      </c>
      <c r="FB97" s="10">
        <v>1.7743636363636401</v>
      </c>
      <c r="FC97" s="10">
        <v>0.60999999999999988</v>
      </c>
      <c r="FD97" s="10">
        <v>2.4304651162790698</v>
      </c>
      <c r="FE97" s="11">
        <v>1.6512765957446902</v>
      </c>
    </row>
    <row r="98" spans="3:161" x14ac:dyDescent="0.3">
      <c r="C98" s="66"/>
      <c r="D98" s="70"/>
      <c r="E98" s="39" t="s">
        <v>26</v>
      </c>
      <c r="F98" s="9">
        <v>-10.737735002651121</v>
      </c>
      <c r="G98" s="10">
        <v>5.7334511468151526</v>
      </c>
      <c r="H98" s="10">
        <v>8.0890232394476786</v>
      </c>
      <c r="I98" s="10">
        <v>2.894556164738018</v>
      </c>
      <c r="J98" s="10">
        <v>5.4965867465873144</v>
      </c>
      <c r="K98" s="10">
        <v>-6.4096410217026598</v>
      </c>
      <c r="L98" s="10">
        <v>-9.7474111007612407</v>
      </c>
      <c r="M98" s="11">
        <v>6.286134548203524</v>
      </c>
      <c r="N98" s="9">
        <v>-10.813076278289872</v>
      </c>
      <c r="O98" s="10">
        <v>5.5885463271783076</v>
      </c>
      <c r="P98" s="10">
        <v>7.5065416484955296</v>
      </c>
      <c r="Q98" s="10">
        <v>2.6499302649930319</v>
      </c>
      <c r="R98" s="10">
        <v>5.7662915103520618</v>
      </c>
      <c r="S98" s="10">
        <v>-6.041369780196014</v>
      </c>
      <c r="T98" s="10">
        <v>-9.7793319667188818</v>
      </c>
      <c r="U98" s="11">
        <v>6.3198324022351997</v>
      </c>
      <c r="W98" s="66"/>
      <c r="X98" s="70"/>
      <c r="Y98" s="39" t="s">
        <v>26</v>
      </c>
      <c r="Z98" s="9">
        <v>-8.7430490557725857</v>
      </c>
      <c r="AA98" s="10">
        <v>-0.78864119053631454</v>
      </c>
      <c r="AB98" s="10">
        <v>2.9290027269186139</v>
      </c>
      <c r="AC98" s="10">
        <v>2.9052960988678564</v>
      </c>
      <c r="AD98" s="10">
        <v>4.3339163076399227</v>
      </c>
      <c r="AE98" s="10">
        <v>-5.232644566671488</v>
      </c>
      <c r="AF98" s="10">
        <v>18.59122401847571</v>
      </c>
      <c r="AG98" s="11">
        <v>17.374785958904241</v>
      </c>
      <c r="AH98" s="9">
        <v>-8.8727792526035572</v>
      </c>
      <c r="AI98" s="10">
        <v>-0.84339788138449345</v>
      </c>
      <c r="AJ98" s="10">
        <v>3.0558065973792479</v>
      </c>
      <c r="AK98" s="10">
        <v>2.7599951684987207</v>
      </c>
      <c r="AL98" s="10">
        <v>4.0142376903302228</v>
      </c>
      <c r="AM98" s="10">
        <v>-4.8507462686565672</v>
      </c>
      <c r="AN98" s="10">
        <v>18.606741573033844</v>
      </c>
      <c r="AO98" s="11">
        <v>17.54075124025518</v>
      </c>
      <c r="AQ98" s="66"/>
      <c r="AR98" s="70"/>
      <c r="AS98" s="39" t="s">
        <v>26</v>
      </c>
      <c r="AT98" s="9">
        <v>-0.6749274980226504</v>
      </c>
      <c r="AU98" s="10"/>
      <c r="AV98" s="10">
        <v>-0.50968399592236346</v>
      </c>
      <c r="AW98" s="10">
        <v>0.30850594975779216</v>
      </c>
      <c r="AX98" s="10">
        <v>-1.1330030341436119</v>
      </c>
      <c r="AY98" s="10">
        <v>1.7875841436051081</v>
      </c>
      <c r="AZ98" s="10">
        <v>-9.8178137651818584</v>
      </c>
      <c r="BA98" s="11">
        <v>-0.78099787000543375</v>
      </c>
      <c r="BB98" s="9">
        <v>-0.69514173167529858</v>
      </c>
      <c r="BC98" s="10"/>
      <c r="BD98" s="10">
        <v>-0.34984349106971802</v>
      </c>
      <c r="BE98" s="10">
        <v>3.9558700716640978E-2</v>
      </c>
      <c r="BF98" s="10">
        <v>-1.2692285196233393</v>
      </c>
      <c r="BG98" s="10">
        <v>1.4599774520857511</v>
      </c>
      <c r="BH98" s="10">
        <v>-9.9545224861036292</v>
      </c>
      <c r="BI98" s="11">
        <v>-0.76381311377806416</v>
      </c>
      <c r="BK98" s="66"/>
      <c r="BL98" s="70"/>
      <c r="BM98" s="39" t="s">
        <v>26</v>
      </c>
      <c r="BN98" s="9">
        <v>-1.1959121548162737</v>
      </c>
      <c r="BO98" s="10">
        <v>-2.9741443730383508</v>
      </c>
      <c r="BP98" s="10">
        <v>3.6058913153887326</v>
      </c>
      <c r="BQ98" s="10">
        <v>1.9391304347827469</v>
      </c>
      <c r="BR98" s="10"/>
      <c r="BS98" s="10">
        <v>-1.497344824584258</v>
      </c>
      <c r="BT98" s="10">
        <v>2.1949078138970218E-2</v>
      </c>
      <c r="BU98" s="11">
        <v>-6.7816675122610723</v>
      </c>
      <c r="BV98" s="9">
        <v>-1.1998580049695846</v>
      </c>
      <c r="BW98" s="10">
        <v>-3.0079681274899088</v>
      </c>
      <c r="BX98" s="10">
        <v>4.1202672605792223</v>
      </c>
      <c r="BY98" s="10">
        <v>1.7951840358252191</v>
      </c>
      <c r="BZ98" s="10"/>
      <c r="CA98" s="10">
        <v>-1.5438475665748022</v>
      </c>
      <c r="CB98" s="10">
        <v>0.19577985642832149</v>
      </c>
      <c r="CC98" s="11">
        <v>-6.6998932004269376</v>
      </c>
      <c r="CE98" s="66"/>
      <c r="CF98" s="70"/>
      <c r="CG98" s="39" t="s">
        <v>26</v>
      </c>
      <c r="CH98" s="9">
        <v>37.144821264894631</v>
      </c>
      <c r="CI98" s="10">
        <v>34.367480233757767</v>
      </c>
      <c r="CJ98" s="10">
        <v>177.90868924889546</v>
      </c>
      <c r="CK98" s="10">
        <v>350.53399322740296</v>
      </c>
      <c r="CL98" s="10">
        <v>-87.768088616544873</v>
      </c>
      <c r="CM98" s="10">
        <v>59.882327304423946</v>
      </c>
      <c r="CN98" s="10">
        <v>48.71794871794873</v>
      </c>
      <c r="CO98" s="11">
        <v>44.655581947743819</v>
      </c>
      <c r="CP98" s="9">
        <v>37.750630726331252</v>
      </c>
      <c r="CQ98" s="10">
        <v>33.92857142857185</v>
      </c>
      <c r="CR98" s="10">
        <v>176.96737044145979</v>
      </c>
      <c r="CS98" s="10">
        <v>349.98508798091291</v>
      </c>
      <c r="CT98" s="10">
        <v>-87.530119241303979</v>
      </c>
      <c r="CU98" s="10">
        <v>56.924050632911751</v>
      </c>
      <c r="CV98" s="10">
        <v>48.71794871794873</v>
      </c>
      <c r="CW98" s="11">
        <v>46.480386888769708</v>
      </c>
      <c r="CY98" s="66"/>
      <c r="CZ98" s="70"/>
      <c r="DA98" s="39" t="s">
        <v>26</v>
      </c>
      <c r="DB98" s="9">
        <v>114.31055468614177</v>
      </c>
      <c r="DC98" s="10">
        <v>342.27949869945695</v>
      </c>
      <c r="DD98" s="10">
        <v>1155.3501945525315</v>
      </c>
      <c r="DE98" s="10">
        <v>286.4059590316574</v>
      </c>
      <c r="DF98" s="10">
        <v>63.354037267081743</v>
      </c>
      <c r="DG98" s="10">
        <v>104.3988269794728</v>
      </c>
      <c r="DH98" s="10">
        <v>473.69565217391454</v>
      </c>
      <c r="DI98" s="11">
        <v>586.05174353206189</v>
      </c>
      <c r="DJ98" s="9">
        <v>116.03342810373165</v>
      </c>
      <c r="DK98" s="10">
        <v>350.40688212043773</v>
      </c>
      <c r="DL98" s="10">
        <v>1156.8214456677854</v>
      </c>
      <c r="DM98" s="10">
        <v>284.76821192053285</v>
      </c>
      <c r="DN98" s="10">
        <v>63.354037267081743</v>
      </c>
      <c r="DO98" s="10">
        <v>100.5167378117286</v>
      </c>
      <c r="DP98" s="10">
        <v>475.45551982851021</v>
      </c>
      <c r="DQ98" s="11">
        <v>583.48017621145391</v>
      </c>
      <c r="DS98" s="66"/>
      <c r="DT98" s="70"/>
      <c r="DU98" s="39" t="s">
        <v>26</v>
      </c>
      <c r="DV98" s="9">
        <v>73.258537788189287</v>
      </c>
      <c r="DW98" s="10">
        <v>278.35497835497904</v>
      </c>
      <c r="DX98" s="10">
        <v>202.57879656160461</v>
      </c>
      <c r="DY98" s="10">
        <v>86.815275617763987</v>
      </c>
      <c r="DZ98" s="10">
        <v>167.35578526175544</v>
      </c>
      <c r="EA98" s="10">
        <v>186.14883215643795</v>
      </c>
      <c r="EB98" s="10">
        <v>387.95180722891564</v>
      </c>
      <c r="EC98" s="11">
        <v>82.718894009217308</v>
      </c>
      <c r="ED98" s="9">
        <v>71.902140672783844</v>
      </c>
      <c r="EE98" s="10">
        <v>277.42663656884872</v>
      </c>
      <c r="EF98" s="10">
        <v>205.33066975081616</v>
      </c>
      <c r="EG98" s="10">
        <v>88.618784530387174</v>
      </c>
      <c r="EH98" s="10">
        <v>167.86444324906023</v>
      </c>
      <c r="EI98" s="10">
        <v>129.15734526472849</v>
      </c>
      <c r="EJ98" s="10">
        <v>395.00000000000045</v>
      </c>
      <c r="EK98" s="11">
        <v>80.124929017604259</v>
      </c>
      <c r="EM98" s="66"/>
      <c r="EN98" s="70"/>
      <c r="EO98" s="39" t="s">
        <v>26</v>
      </c>
      <c r="EP98" s="9">
        <v>404.72865756902604</v>
      </c>
      <c r="EQ98" s="10">
        <v>-41.44880829264774</v>
      </c>
      <c r="ER98" s="10">
        <v>1154.9851506151906</v>
      </c>
      <c r="ES98" s="10">
        <v>283.22981366459857</v>
      </c>
      <c r="ET98" s="10">
        <v>60.991817233236446</v>
      </c>
      <c r="EU98" s="10">
        <v>20.065789473684205</v>
      </c>
      <c r="EV98" s="10">
        <v>476.47058823529403</v>
      </c>
      <c r="EW98" s="11">
        <v>108.56208220736747</v>
      </c>
      <c r="EX98" s="9">
        <v>404.72865756902604</v>
      </c>
      <c r="EY98" s="10">
        <v>-41.448742795298351</v>
      </c>
      <c r="EZ98" s="10">
        <v>1201.4705882352973</v>
      </c>
      <c r="FA98" s="10">
        <v>270.00526038926938</v>
      </c>
      <c r="FB98" s="10">
        <v>49.902843117202039</v>
      </c>
      <c r="FC98" s="10">
        <v>20.065789473684205</v>
      </c>
      <c r="FD98" s="10">
        <v>476.99680511182135</v>
      </c>
      <c r="FE98" s="11">
        <v>112.4293785310748</v>
      </c>
    </row>
    <row r="99" spans="3:161" ht="28.8" x14ac:dyDescent="0.3">
      <c r="C99" s="66"/>
      <c r="D99" s="70" t="s">
        <v>28</v>
      </c>
      <c r="E99" s="40" t="s">
        <v>24</v>
      </c>
      <c r="F99" s="27">
        <v>5.28</v>
      </c>
      <c r="G99" s="28">
        <v>2.98</v>
      </c>
      <c r="H99" s="28">
        <v>4.83</v>
      </c>
      <c r="I99" s="28">
        <v>3.71</v>
      </c>
      <c r="J99" s="28">
        <v>1.74</v>
      </c>
      <c r="K99" s="28">
        <v>5.14</v>
      </c>
      <c r="L99" s="28">
        <v>1.7</v>
      </c>
      <c r="M99" s="29">
        <v>1.73</v>
      </c>
      <c r="N99" s="27">
        <v>5.28</v>
      </c>
      <c r="O99" s="28">
        <v>2.98</v>
      </c>
      <c r="P99" s="28">
        <v>4.83</v>
      </c>
      <c r="Q99" s="28">
        <v>3.71</v>
      </c>
      <c r="R99" s="28">
        <v>1.74</v>
      </c>
      <c r="S99" s="28">
        <v>5.14</v>
      </c>
      <c r="T99" s="28">
        <v>1.7</v>
      </c>
      <c r="U99" s="29">
        <v>1.73</v>
      </c>
      <c r="W99" s="66"/>
      <c r="X99" s="70" t="s">
        <v>28</v>
      </c>
      <c r="Y99" s="40" t="s">
        <v>24</v>
      </c>
      <c r="Z99" s="27">
        <v>4.24</v>
      </c>
      <c r="AA99" s="28">
        <v>3.37</v>
      </c>
      <c r="AB99" s="28">
        <v>4.49</v>
      </c>
      <c r="AC99" s="28">
        <v>4.1900000000000004</v>
      </c>
      <c r="AD99" s="28">
        <v>2.66</v>
      </c>
      <c r="AE99" s="28">
        <v>4.3</v>
      </c>
      <c r="AF99" s="28">
        <v>0.87</v>
      </c>
      <c r="AG99" s="29">
        <v>1.05</v>
      </c>
      <c r="AH99" s="27">
        <v>4.24</v>
      </c>
      <c r="AI99" s="28">
        <v>3.37</v>
      </c>
      <c r="AJ99" s="28">
        <v>4.49</v>
      </c>
      <c r="AK99" s="28">
        <v>4.1900000000000004</v>
      </c>
      <c r="AL99" s="28">
        <v>2.66</v>
      </c>
      <c r="AM99" s="28">
        <v>4.3</v>
      </c>
      <c r="AN99" s="28">
        <v>0.87</v>
      </c>
      <c r="AO99" s="29">
        <v>1.05</v>
      </c>
      <c r="AQ99" s="66"/>
      <c r="AR99" s="70" t="s">
        <v>28</v>
      </c>
      <c r="AS99" s="40" t="s">
        <v>24</v>
      </c>
      <c r="AT99" s="27">
        <v>2.99</v>
      </c>
      <c r="AU99" s="28"/>
      <c r="AV99" s="28">
        <v>5.3</v>
      </c>
      <c r="AW99" s="28">
        <v>5.73</v>
      </c>
      <c r="AX99" s="28">
        <v>4.24</v>
      </c>
      <c r="AY99" s="28">
        <v>4.45</v>
      </c>
      <c r="AZ99" s="28">
        <v>1.61</v>
      </c>
      <c r="BA99" s="29">
        <v>2.42</v>
      </c>
      <c r="BB99" s="27">
        <v>2.99</v>
      </c>
      <c r="BC99" s="28"/>
      <c r="BD99" s="28">
        <v>5.3</v>
      </c>
      <c r="BE99" s="28">
        <v>5.73</v>
      </c>
      <c r="BF99" s="28">
        <v>4.24</v>
      </c>
      <c r="BG99" s="28">
        <v>4.45</v>
      </c>
      <c r="BH99" s="28">
        <v>1.61</v>
      </c>
      <c r="BI99" s="29">
        <v>2.42</v>
      </c>
      <c r="BK99" s="66"/>
      <c r="BL99" s="70" t="s">
        <v>28</v>
      </c>
      <c r="BM99" s="40" t="s">
        <v>24</v>
      </c>
      <c r="BN99" s="27">
        <v>2.88</v>
      </c>
      <c r="BO99" s="28">
        <v>5.38</v>
      </c>
      <c r="BP99" s="28">
        <v>5.0999999999999996</v>
      </c>
      <c r="BQ99" s="28">
        <v>6.21</v>
      </c>
      <c r="BR99" s="28"/>
      <c r="BS99" s="28">
        <v>3.71</v>
      </c>
      <c r="BT99" s="28">
        <v>2.87</v>
      </c>
      <c r="BU99" s="29">
        <v>3.05</v>
      </c>
      <c r="BV99" s="27">
        <v>2.88</v>
      </c>
      <c r="BW99" s="28">
        <v>5.38</v>
      </c>
      <c r="BX99" s="28">
        <v>5.0999999999999996</v>
      </c>
      <c r="BY99" s="28">
        <v>6.21</v>
      </c>
      <c r="BZ99" s="28"/>
      <c r="CA99" s="28">
        <v>3.71</v>
      </c>
      <c r="CB99" s="28">
        <v>2.87</v>
      </c>
      <c r="CC99" s="29">
        <v>3.05</v>
      </c>
      <c r="CE99" s="66"/>
      <c r="CF99" s="70" t="s">
        <v>28</v>
      </c>
      <c r="CG99" s="40" t="s">
        <v>24</v>
      </c>
      <c r="CH99" s="27">
        <v>5.28</v>
      </c>
      <c r="CI99" s="28">
        <v>2.98</v>
      </c>
      <c r="CJ99" s="28">
        <v>4.83</v>
      </c>
      <c r="CK99" s="28">
        <v>3.71</v>
      </c>
      <c r="CL99" s="28">
        <v>1.74</v>
      </c>
      <c r="CM99" s="28">
        <v>5.14</v>
      </c>
      <c r="CN99" s="28">
        <v>1.7</v>
      </c>
      <c r="CO99" s="29">
        <v>1.73</v>
      </c>
      <c r="CP99" s="27">
        <v>5.28</v>
      </c>
      <c r="CQ99" s="28">
        <v>2.98</v>
      </c>
      <c r="CR99" s="28">
        <v>4.83</v>
      </c>
      <c r="CS99" s="28">
        <v>3.71</v>
      </c>
      <c r="CT99" s="28">
        <v>1.74</v>
      </c>
      <c r="CU99" s="28">
        <v>5.14</v>
      </c>
      <c r="CV99" s="28">
        <v>1.7</v>
      </c>
      <c r="CW99" s="29">
        <v>1.73</v>
      </c>
      <c r="CY99" s="66"/>
      <c r="CZ99" s="70" t="s">
        <v>28</v>
      </c>
      <c r="DA99" s="40" t="s">
        <v>24</v>
      </c>
      <c r="DB99" s="27">
        <v>4.24</v>
      </c>
      <c r="DC99" s="28">
        <v>3.37</v>
      </c>
      <c r="DD99" s="28">
        <v>4.49</v>
      </c>
      <c r="DE99" s="28">
        <v>4.1900000000000004</v>
      </c>
      <c r="DF99" s="28">
        <v>2.66</v>
      </c>
      <c r="DG99" s="28">
        <v>4.3</v>
      </c>
      <c r="DH99" s="28">
        <v>0.87</v>
      </c>
      <c r="DI99" s="29">
        <v>1.05</v>
      </c>
      <c r="DJ99" s="27">
        <v>4.24</v>
      </c>
      <c r="DK99" s="28">
        <v>3.37</v>
      </c>
      <c r="DL99" s="28">
        <v>4.49</v>
      </c>
      <c r="DM99" s="28">
        <v>4.1900000000000004</v>
      </c>
      <c r="DN99" s="28">
        <v>2.66</v>
      </c>
      <c r="DO99" s="28">
        <v>4.3</v>
      </c>
      <c r="DP99" s="28">
        <v>0.87</v>
      </c>
      <c r="DQ99" s="29">
        <v>1.05</v>
      </c>
      <c r="DS99" s="66"/>
      <c r="DT99" s="70" t="s">
        <v>28</v>
      </c>
      <c r="DU99" s="40" t="s">
        <v>24</v>
      </c>
      <c r="DV99" s="27">
        <v>2.99</v>
      </c>
      <c r="DW99" s="28">
        <v>4.1900000000000004</v>
      </c>
      <c r="DX99" s="28">
        <v>5.3</v>
      </c>
      <c r="DY99" s="28">
        <v>5.73</v>
      </c>
      <c r="DZ99" s="28">
        <v>4.24</v>
      </c>
      <c r="EA99" s="28">
        <v>4.45</v>
      </c>
      <c r="EB99" s="28">
        <v>1.61</v>
      </c>
      <c r="EC99" s="29">
        <v>2.42</v>
      </c>
      <c r="ED99" s="27">
        <v>2.99</v>
      </c>
      <c r="EE99" s="28">
        <v>4.1900000000000004</v>
      </c>
      <c r="EF99" s="28">
        <v>5.3</v>
      </c>
      <c r="EG99" s="28">
        <v>5.73</v>
      </c>
      <c r="EH99" s="28">
        <v>4.24</v>
      </c>
      <c r="EI99" s="28">
        <v>4.45</v>
      </c>
      <c r="EJ99" s="28">
        <v>1.61</v>
      </c>
      <c r="EK99" s="29">
        <v>2.42</v>
      </c>
      <c r="EM99" s="66"/>
      <c r="EN99" s="70" t="s">
        <v>28</v>
      </c>
      <c r="EO99" s="40" t="s">
        <v>24</v>
      </c>
      <c r="EP99" s="27">
        <v>2.88</v>
      </c>
      <c r="EQ99" s="28">
        <v>5.38</v>
      </c>
      <c r="ER99" s="28">
        <v>5.0999999999999996</v>
      </c>
      <c r="ES99" s="28">
        <v>6.21</v>
      </c>
      <c r="ET99" s="28">
        <v>5.33</v>
      </c>
      <c r="EU99" s="28">
        <v>3.71</v>
      </c>
      <c r="EV99" s="28">
        <v>2.87</v>
      </c>
      <c r="EW99" s="29">
        <v>3.05</v>
      </c>
      <c r="EX99" s="27">
        <v>2.88</v>
      </c>
      <c r="EY99" s="28">
        <v>5.38</v>
      </c>
      <c r="EZ99" s="28">
        <v>5.0999999999999996</v>
      </c>
      <c r="FA99" s="28">
        <v>6.21</v>
      </c>
      <c r="FB99" s="28">
        <v>5.33</v>
      </c>
      <c r="FC99" s="28">
        <v>3.71</v>
      </c>
      <c r="FD99" s="28">
        <v>2.87</v>
      </c>
      <c r="FE99" s="29">
        <v>3.05</v>
      </c>
    </row>
    <row r="100" spans="3:161" x14ac:dyDescent="0.3">
      <c r="C100" s="66"/>
      <c r="D100" s="70"/>
      <c r="E100" s="39" t="s">
        <v>25</v>
      </c>
      <c r="F100" s="9">
        <v>-0.67996527777780003</v>
      </c>
      <c r="G100" s="10">
        <v>0.18996527777779004</v>
      </c>
      <c r="H100" s="10">
        <v>0.37996441281137994</v>
      </c>
      <c r="I100" s="10">
        <v>0.13352313167259977</v>
      </c>
      <c r="J100" s="10">
        <v>0.10013651877133989</v>
      </c>
      <c r="K100" s="10">
        <v>-0.2665397923875501</v>
      </c>
      <c r="L100" s="10">
        <v>-0.22792253521125994</v>
      </c>
      <c r="M100" s="11">
        <v>9.2909698996660017E-2</v>
      </c>
      <c r="N100" s="9">
        <v>-0.68499999999998984</v>
      </c>
      <c r="O100" s="10">
        <v>0.18613636363636976</v>
      </c>
      <c r="P100" s="10">
        <v>0.35585365853659034</v>
      </c>
      <c r="Q100" s="10">
        <v>0.125</v>
      </c>
      <c r="R100" s="10">
        <v>0.10431818181818997</v>
      </c>
      <c r="S100" s="10">
        <v>-0.24534883720930001</v>
      </c>
      <c r="T100" s="10">
        <v>-0.22860465116278994</v>
      </c>
      <c r="U100" s="11">
        <v>9.3428571428580076E-2</v>
      </c>
      <c r="W100" s="66"/>
      <c r="X100" s="70"/>
      <c r="Y100" s="39" t="s">
        <v>25</v>
      </c>
      <c r="Z100" s="9">
        <v>-0.41717948717947984</v>
      </c>
      <c r="AA100" s="10">
        <v>3.4499999999999531E-3</v>
      </c>
      <c r="AB100" s="10">
        <v>0.1666315789473698</v>
      </c>
      <c r="AC100" s="10">
        <v>0.15716577540108023</v>
      </c>
      <c r="AD100" s="10">
        <v>0.13924731182796002</v>
      </c>
      <c r="AE100" s="10">
        <v>-0.18466666666666054</v>
      </c>
      <c r="AF100" s="10">
        <v>0.10265822784810097</v>
      </c>
      <c r="AG100" s="11">
        <v>0.13839024390244004</v>
      </c>
      <c r="AH100" s="9">
        <v>-0.42380952380951964</v>
      </c>
      <c r="AI100" s="10">
        <v>1.5909090909103085E-3</v>
      </c>
      <c r="AJ100" s="10">
        <v>0.17195121951220038</v>
      </c>
      <c r="AK100" s="10">
        <v>0.15146341463415069</v>
      </c>
      <c r="AL100" s="10">
        <v>0.13149999999999995</v>
      </c>
      <c r="AM100" s="10">
        <v>-0.16666666666665986</v>
      </c>
      <c r="AN100" s="10">
        <v>0.10275862068965602</v>
      </c>
      <c r="AO100" s="11">
        <v>0.13967741935483902</v>
      </c>
      <c r="AQ100" s="66"/>
      <c r="AR100" s="70"/>
      <c r="AS100" s="39" t="s">
        <v>25</v>
      </c>
      <c r="AT100" s="9">
        <v>-2.0317460317459624E-2</v>
      </c>
      <c r="AU100" s="10"/>
      <c r="AV100" s="10">
        <v>-7.0491803278605047E-3</v>
      </c>
      <c r="AW100" s="10">
        <v>5.7500000000010765E-2</v>
      </c>
      <c r="AX100" s="10">
        <v>-2.8360655737699858E-2</v>
      </c>
      <c r="AY100" s="10">
        <v>0.13709677419354982</v>
      </c>
      <c r="AZ100" s="10">
        <v>-0.18636363636362985</v>
      </c>
      <c r="BA100" s="11">
        <v>-3.9206349206339919E-2</v>
      </c>
      <c r="BB100" s="9">
        <v>-2.093023255813975E-2</v>
      </c>
      <c r="BC100" s="10"/>
      <c r="BD100" s="10">
        <v>1.4634146341494514E-3</v>
      </c>
      <c r="BE100" s="10">
        <v>4.2250000000010779E-2</v>
      </c>
      <c r="BF100" s="10">
        <v>-3.4250000000000114E-2</v>
      </c>
      <c r="BG100" s="10">
        <v>0.12317073170732051</v>
      </c>
      <c r="BH100" s="10">
        <v>-0.18909090909089987</v>
      </c>
      <c r="BI100" s="11">
        <v>-3.8780487804869868E-2</v>
      </c>
      <c r="BK100" s="66"/>
      <c r="BL100" s="70"/>
      <c r="BM100" s="39" t="s">
        <v>25</v>
      </c>
      <c r="BN100" s="9">
        <v>5.6249999999997691E-3</v>
      </c>
      <c r="BO100" s="10">
        <v>-0.1958333333333302</v>
      </c>
      <c r="BP100" s="10">
        <v>0.17750000000000998</v>
      </c>
      <c r="BQ100" s="10">
        <v>0.15736842105263982</v>
      </c>
      <c r="BR100" s="10"/>
      <c r="BS100" s="10">
        <v>4.5161290322601744E-3</v>
      </c>
      <c r="BT100" s="10">
        <v>-6.9354838709669853E-2</v>
      </c>
      <c r="BU100" s="11">
        <v>-0.29698113207547028</v>
      </c>
      <c r="BV100" s="9">
        <v>5.5102040816397135E-3</v>
      </c>
      <c r="BW100" s="10">
        <v>-0.1977777777777705</v>
      </c>
      <c r="BX100" s="10">
        <v>0.20181818181818922</v>
      </c>
      <c r="BY100" s="10">
        <v>0.14880952380952994</v>
      </c>
      <c r="BZ100" s="10"/>
      <c r="CA100" s="10">
        <v>2.7659574468099635E-3</v>
      </c>
      <c r="CB100" s="10">
        <v>-6.4255319148929679E-2</v>
      </c>
      <c r="CC100" s="11">
        <v>-0.29404761904761001</v>
      </c>
      <c r="CE100" s="66"/>
      <c r="CF100" s="70"/>
      <c r="CG100" s="39" t="s">
        <v>25</v>
      </c>
      <c r="CH100" s="9">
        <v>1.4008888888888902</v>
      </c>
      <c r="CI100" s="10">
        <v>0.78452830188679989</v>
      </c>
      <c r="CJ100" s="10">
        <v>3.0992156862745102</v>
      </c>
      <c r="CK100" s="10">
        <v>2.8931914893617021</v>
      </c>
      <c r="CL100" s="10">
        <v>-12.4033333333333</v>
      </c>
      <c r="CM100" s="10">
        <v>1.9751724137931097</v>
      </c>
      <c r="CN100" s="10">
        <v>0.53</v>
      </c>
      <c r="CO100" s="11">
        <v>0.52714285714286002</v>
      </c>
      <c r="CP100" s="9">
        <v>1.4179487179487205</v>
      </c>
      <c r="CQ100" s="10">
        <v>0.77733333333334009</v>
      </c>
      <c r="CR100" s="10">
        <v>3.0933333333333399</v>
      </c>
      <c r="CS100" s="10">
        <v>2.8921951219512199</v>
      </c>
      <c r="CT100" s="10">
        <v>-12.1334285714285</v>
      </c>
      <c r="CU100" s="10">
        <v>1.9155102040816399</v>
      </c>
      <c r="CV100" s="10">
        <v>0.53</v>
      </c>
      <c r="CW100" s="11">
        <v>0.54212765957446996</v>
      </c>
      <c r="CY100" s="66"/>
      <c r="CZ100" s="70"/>
      <c r="DA100" s="39" t="s">
        <v>25</v>
      </c>
      <c r="DB100" s="9">
        <v>2.2568965517241404</v>
      </c>
      <c r="DC100" s="10">
        <v>2.61482142857143</v>
      </c>
      <c r="DD100" s="10">
        <v>4.1355172413793113</v>
      </c>
      <c r="DE100" s="10">
        <v>3.1160000000000005</v>
      </c>
      <c r="DF100" s="10">
        <v>1.05000000000001</v>
      </c>
      <c r="DG100" s="10">
        <v>2.2207317073170798</v>
      </c>
      <c r="DH100" s="10">
        <v>0.71137931034482804</v>
      </c>
      <c r="DI100" s="11">
        <v>0.89403508771929907</v>
      </c>
      <c r="DJ100" s="9">
        <v>2.2727118644067903</v>
      </c>
      <c r="DK100" s="10">
        <v>2.6284482758620702</v>
      </c>
      <c r="DL100" s="10">
        <v>4.1359322033898316</v>
      </c>
      <c r="DM100" s="10">
        <v>3.1114285714285801</v>
      </c>
      <c r="DN100" s="10">
        <v>1.05000000000001</v>
      </c>
      <c r="DO100" s="10">
        <v>2.1804761904761998</v>
      </c>
      <c r="DP100" s="10">
        <v>0.71186440677966101</v>
      </c>
      <c r="DQ100" s="11">
        <v>0.89344827586206899</v>
      </c>
      <c r="DS100" s="66"/>
      <c r="DT100" s="70"/>
      <c r="DU100" s="39" t="s">
        <v>25</v>
      </c>
      <c r="DV100" s="9">
        <v>1.2642553191489403</v>
      </c>
      <c r="DW100" s="10">
        <v>3.0852173913043504</v>
      </c>
      <c r="DX100" s="10">
        <v>3.5549999999999997</v>
      </c>
      <c r="DY100" s="10">
        <v>2.6842105263157903</v>
      </c>
      <c r="DZ100" s="10">
        <v>2.6615789473684304</v>
      </c>
      <c r="EA100" s="10">
        <v>2.9158333333333402</v>
      </c>
      <c r="EB100" s="10">
        <v>1.278</v>
      </c>
      <c r="EC100" s="11">
        <v>1.0846153846153899</v>
      </c>
      <c r="ED100" s="9">
        <v>1.2506382978723503</v>
      </c>
      <c r="EE100" s="10">
        <v>3.0825000000000005</v>
      </c>
      <c r="EF100" s="10">
        <v>3.5707272727272796</v>
      </c>
      <c r="EG100" s="10">
        <v>2.7133333333333405</v>
      </c>
      <c r="EH100" s="10">
        <v>2.6645762711864505</v>
      </c>
      <c r="EI100" s="10">
        <v>2.53428571428572</v>
      </c>
      <c r="EJ100" s="10">
        <v>1.2827272727272732</v>
      </c>
      <c r="EK100" s="11">
        <v>1.06538461538462</v>
      </c>
      <c r="EM100" s="66"/>
      <c r="EN100" s="70"/>
      <c r="EO100" s="39" t="s">
        <v>25</v>
      </c>
      <c r="EP100" s="9">
        <v>2.3173214285714288</v>
      </c>
      <c r="EQ100" s="10">
        <v>-3.8597777777777802</v>
      </c>
      <c r="ER100" s="10">
        <v>4.6936206896551731</v>
      </c>
      <c r="ES100" s="10">
        <v>4.6000000000000103</v>
      </c>
      <c r="ET100" s="10">
        <v>2.01927272727273</v>
      </c>
      <c r="EU100" s="10">
        <v>0.66999999999999993</v>
      </c>
      <c r="EV100" s="10">
        <v>2.3600000000000003</v>
      </c>
      <c r="EW100" s="11">
        <v>1.5540425531914899</v>
      </c>
      <c r="EX100" s="9">
        <v>2.3173214285714288</v>
      </c>
      <c r="EY100" s="10">
        <v>-3.8597674418604599</v>
      </c>
      <c r="EZ100" s="10">
        <v>4.7081355932203399</v>
      </c>
      <c r="FA100" s="10">
        <v>4.5424561403508799</v>
      </c>
      <c r="FB100" s="10">
        <v>1.7743636363636401</v>
      </c>
      <c r="FC100" s="10">
        <v>0.66999999999999993</v>
      </c>
      <c r="FD100" s="10">
        <v>2.36046511627907</v>
      </c>
      <c r="FE100" s="11">
        <v>1.5812765957446899</v>
      </c>
    </row>
    <row r="101" spans="3:161" ht="15" thickBot="1" x14ac:dyDescent="0.35">
      <c r="C101" s="66"/>
      <c r="D101" s="74"/>
      <c r="E101" s="41" t="s">
        <v>26</v>
      </c>
      <c r="F101" s="12">
        <v>-11.40887985225525</v>
      </c>
      <c r="G101" s="13">
        <v>6.8087065822064847</v>
      </c>
      <c r="H101" s="13">
        <v>8.5384578475119213</v>
      </c>
      <c r="I101" s="13">
        <v>3.7333704812983766</v>
      </c>
      <c r="J101" s="13">
        <v>6.1063936063941773</v>
      </c>
      <c r="K101" s="13">
        <v>-4.9299515516900518</v>
      </c>
      <c r="L101" s="13">
        <v>-11.822183259364433</v>
      </c>
      <c r="M101" s="14">
        <v>5.6752946944782163</v>
      </c>
      <c r="N101" s="12">
        <v>-11.483654652137318</v>
      </c>
      <c r="O101" s="13">
        <v>6.6623281542343511</v>
      </c>
      <c r="P101" s="13">
        <v>7.9535542956826317</v>
      </c>
      <c r="Q101" s="13">
        <v>3.4867503486750349</v>
      </c>
      <c r="R101" s="13">
        <v>6.3776573572327102</v>
      </c>
      <c r="S101" s="13">
        <v>-4.5558578399619574</v>
      </c>
      <c r="T101" s="13">
        <v>-11.853370312311554</v>
      </c>
      <c r="U101" s="14">
        <v>5.7087988826821228</v>
      </c>
      <c r="W101" s="66"/>
      <c r="X101" s="74"/>
      <c r="Y101" s="41" t="s">
        <v>26</v>
      </c>
      <c r="Z101" s="12">
        <v>-8.9577712932884097</v>
      </c>
      <c r="AA101" s="13">
        <v>0.10247879877025301</v>
      </c>
      <c r="AB101" s="13">
        <v>3.8542072458122649</v>
      </c>
      <c r="AC101" s="13">
        <v>3.8971543745195958</v>
      </c>
      <c r="AD101" s="13">
        <v>5.5240370259780303</v>
      </c>
      <c r="AE101" s="13">
        <v>-4.1177345027499808</v>
      </c>
      <c r="AF101" s="13">
        <v>13.378422962718531</v>
      </c>
      <c r="AG101" s="14">
        <v>15.180864726027524</v>
      </c>
      <c r="AH101" s="12">
        <v>-9.0871962425974271</v>
      </c>
      <c r="AI101" s="13">
        <v>4.723028135756939E-2</v>
      </c>
      <c r="AJ101" s="13">
        <v>3.9821509263444557</v>
      </c>
      <c r="AK101" s="13">
        <v>3.7504529532553357</v>
      </c>
      <c r="AL101" s="13">
        <v>5.2007118845165099</v>
      </c>
      <c r="AM101" s="13">
        <v>-3.7313432835819427</v>
      </c>
      <c r="AN101" s="13">
        <v>13.393258426966417</v>
      </c>
      <c r="AO101" s="14">
        <v>15.343727852586856</v>
      </c>
      <c r="AQ101" s="66"/>
      <c r="AR101" s="74"/>
      <c r="AS101" s="41" t="s">
        <v>26</v>
      </c>
      <c r="AT101" s="12">
        <v>-0.6749274980226504</v>
      </c>
      <c r="AU101" s="13"/>
      <c r="AV101" s="13">
        <v>-0.1328267383311684</v>
      </c>
      <c r="AW101" s="13">
        <v>1.0136624063465998</v>
      </c>
      <c r="AX101" s="13">
        <v>-0.66443906748077475</v>
      </c>
      <c r="AY101" s="13">
        <v>3.1787584143605425</v>
      </c>
      <c r="AZ101" s="13">
        <v>-10.374493927125181</v>
      </c>
      <c r="BA101" s="14">
        <v>-1.5942683792676851</v>
      </c>
      <c r="BB101" s="12">
        <v>-0.69514173167529858</v>
      </c>
      <c r="BC101" s="13"/>
      <c r="BD101" s="13">
        <v>2.7619222979252227E-2</v>
      </c>
      <c r="BE101" s="13">
        <v>0.74282449123134553</v>
      </c>
      <c r="BF101" s="13">
        <v>-0.80131017137509764</v>
      </c>
      <c r="BG101" s="13">
        <v>2.8466741826381878</v>
      </c>
      <c r="BH101" s="13">
        <v>-10.510358767053608</v>
      </c>
      <c r="BI101" s="14">
        <v>-1.5772244816979166</v>
      </c>
      <c r="BK101" s="66"/>
      <c r="BL101" s="74"/>
      <c r="BM101" s="41" t="s">
        <v>26</v>
      </c>
      <c r="BN101" s="12">
        <v>0.19569471624265342</v>
      </c>
      <c r="BO101" s="13">
        <v>-3.5121805410252032</v>
      </c>
      <c r="BP101" s="13">
        <v>3.6058913153887326</v>
      </c>
      <c r="BQ101" s="13">
        <v>2.6000000000001395</v>
      </c>
      <c r="BR101" s="13"/>
      <c r="BS101" s="13">
        <v>0.12187690432668712</v>
      </c>
      <c r="BT101" s="13">
        <v>-2.3595258999119526</v>
      </c>
      <c r="BU101" s="14">
        <v>-8.8731044591013752</v>
      </c>
      <c r="BV101" s="12">
        <v>0.19169329073507038</v>
      </c>
      <c r="BW101" s="13">
        <v>-3.5458167330676034</v>
      </c>
      <c r="BX101" s="13">
        <v>4.1202672605792223</v>
      </c>
      <c r="BY101" s="13">
        <v>2.4551203991044757</v>
      </c>
      <c r="BZ101" s="13"/>
      <c r="CA101" s="13">
        <v>7.460973370068201E-2</v>
      </c>
      <c r="CB101" s="13">
        <v>-2.1898339496771091</v>
      </c>
      <c r="CC101" s="14">
        <v>-8.7931648273404441</v>
      </c>
      <c r="CE101" s="66"/>
      <c r="CF101" s="74"/>
      <c r="CG101" s="41" t="s">
        <v>26</v>
      </c>
      <c r="CH101" s="12">
        <v>36.11365719523377</v>
      </c>
      <c r="CI101" s="13">
        <v>35.733929185287501</v>
      </c>
      <c r="CJ101" s="13">
        <v>179.06423473433787</v>
      </c>
      <c r="CK101" s="13">
        <v>354.20682469393068</v>
      </c>
      <c r="CL101" s="13">
        <v>-87.697383926467083</v>
      </c>
      <c r="CM101" s="13">
        <v>62.41011113532393</v>
      </c>
      <c r="CN101" s="13">
        <v>45.299145299145302</v>
      </c>
      <c r="CO101" s="14">
        <v>43.82422802850391</v>
      </c>
      <c r="CP101" s="12">
        <v>36.71491169831372</v>
      </c>
      <c r="CQ101" s="13">
        <v>35.290556900726806</v>
      </c>
      <c r="CR101" s="13">
        <v>178.11900191938687</v>
      </c>
      <c r="CS101" s="13">
        <v>353.65344467640944</v>
      </c>
      <c r="CT101" s="13">
        <v>-87.458039005704563</v>
      </c>
      <c r="CU101" s="13">
        <v>59.405063291139605</v>
      </c>
      <c r="CV101" s="13">
        <v>45.299145299145302</v>
      </c>
      <c r="CW101" s="14">
        <v>45.638545584811261</v>
      </c>
      <c r="CY101" s="66"/>
      <c r="CZ101" s="74"/>
      <c r="DA101" s="41" t="s">
        <v>26</v>
      </c>
      <c r="DB101" s="12">
        <v>113.80629455746852</v>
      </c>
      <c r="DC101" s="13">
        <v>346.25206904705686</v>
      </c>
      <c r="DD101" s="13">
        <v>1166.6342412451386</v>
      </c>
      <c r="DE101" s="13">
        <v>290.13035381750467</v>
      </c>
      <c r="DF101" s="13">
        <v>65.217391304348851</v>
      </c>
      <c r="DG101" s="13">
        <v>106.80351906158425</v>
      </c>
      <c r="DH101" s="13">
        <v>448.47826086956661</v>
      </c>
      <c r="DI101" s="14">
        <v>573.22834645669627</v>
      </c>
      <c r="DJ101" s="12">
        <v>115.52511415525228</v>
      </c>
      <c r="DK101" s="13">
        <v>354.45245291792673</v>
      </c>
      <c r="DL101" s="13">
        <v>1168.1187170895184</v>
      </c>
      <c r="DM101" s="13">
        <v>288.47682119205604</v>
      </c>
      <c r="DN101" s="13">
        <v>65.217391304348851</v>
      </c>
      <c r="DO101" s="13">
        <v>102.87575825657245</v>
      </c>
      <c r="DP101" s="13">
        <v>450.16077170417998</v>
      </c>
      <c r="DQ101" s="14">
        <v>570.70484581497806</v>
      </c>
      <c r="DS101" s="66"/>
      <c r="DT101" s="74"/>
      <c r="DU101" s="41" t="s">
        <v>26</v>
      </c>
      <c r="DV101" s="12">
        <v>73.258537788189287</v>
      </c>
      <c r="DW101" s="13">
        <v>279.26013380558913</v>
      </c>
      <c r="DX101" s="13">
        <v>203.72492836676216</v>
      </c>
      <c r="DY101" s="13">
        <v>88.128564022809783</v>
      </c>
      <c r="DZ101" s="13">
        <v>168.62287429143203</v>
      </c>
      <c r="EA101" s="13">
        <v>190.05975013579703</v>
      </c>
      <c r="EB101" s="13">
        <v>384.93975903614455</v>
      </c>
      <c r="EC101" s="14">
        <v>81.221198156682732</v>
      </c>
      <c r="ED101" s="12">
        <v>71.902140672783844</v>
      </c>
      <c r="EE101" s="13">
        <v>278.32957110609487</v>
      </c>
      <c r="EF101" s="13">
        <v>206.48722531805404</v>
      </c>
      <c r="EG101" s="13">
        <v>89.944751381215909</v>
      </c>
      <c r="EH101" s="13">
        <v>169.13394298009845</v>
      </c>
      <c r="EI101" s="13">
        <v>132.28933631618264</v>
      </c>
      <c r="EJ101" s="13">
        <v>391.94444444444491</v>
      </c>
      <c r="EK101" s="14">
        <v>78.648495173197659</v>
      </c>
      <c r="EM101" s="66"/>
      <c r="EN101" s="74"/>
      <c r="EO101" s="41" t="s">
        <v>26</v>
      </c>
      <c r="EP101" s="12">
        <v>411.83751190098417</v>
      </c>
      <c r="EQ101" s="13">
        <v>-41.773491425960238</v>
      </c>
      <c r="ER101" s="13">
        <v>1154.9851506151906</v>
      </c>
      <c r="ES101" s="13">
        <v>285.71428571428811</v>
      </c>
      <c r="ET101" s="13">
        <v>60.991817233236446</v>
      </c>
      <c r="EU101" s="13">
        <v>22.039473684210524</v>
      </c>
      <c r="EV101" s="13">
        <v>462.74509803921575</v>
      </c>
      <c r="EW101" s="14">
        <v>103.88280472194576</v>
      </c>
      <c r="EX101" s="12">
        <v>411.83751190098417</v>
      </c>
      <c r="EY101" s="13">
        <v>-41.773426291812406</v>
      </c>
      <c r="EZ101" s="13">
        <v>1201.4705882352973</v>
      </c>
      <c r="FA101" s="13">
        <v>272.4039978958449</v>
      </c>
      <c r="FB101" s="13">
        <v>49.902843117202039</v>
      </c>
      <c r="FC101" s="13">
        <v>22.039473684210524</v>
      </c>
      <c r="FD101" s="13">
        <v>463.25878594249224</v>
      </c>
      <c r="FE101" s="14">
        <v>107.66333478198014</v>
      </c>
    </row>
    <row r="102" spans="3:161" x14ac:dyDescent="0.3">
      <c r="C102" s="65">
        <v>2</v>
      </c>
      <c r="D102" s="71" t="s">
        <v>20</v>
      </c>
      <c r="E102" s="72"/>
      <c r="F102" s="21">
        <v>5.7245846153846403</v>
      </c>
      <c r="G102" s="22">
        <v>2.7270769230769099</v>
      </c>
      <c r="H102" s="22">
        <v>4.1896923076923196</v>
      </c>
      <c r="I102" s="22">
        <v>3.4144923076923002</v>
      </c>
      <c r="J102" s="22">
        <v>1.6068944099378799</v>
      </c>
      <c r="K102" s="22">
        <v>5.1953230769230903</v>
      </c>
      <c r="L102" s="22">
        <v>1.8784000000000001</v>
      </c>
      <c r="M102" s="23">
        <v>1.61304615384615</v>
      </c>
      <c r="N102" s="21">
        <v>5.61899999999999</v>
      </c>
      <c r="O102" s="22">
        <v>2.7688000000000001</v>
      </c>
      <c r="P102" s="22">
        <v>4.3845999999999901</v>
      </c>
      <c r="Q102" s="22">
        <v>3.472</v>
      </c>
      <c r="R102" s="22">
        <v>1.61265306122449</v>
      </c>
      <c r="S102" s="22">
        <v>5.1869999999999896</v>
      </c>
      <c r="T102" s="22">
        <v>1.8626</v>
      </c>
      <c r="U102" s="23">
        <v>1.6053999999999999</v>
      </c>
      <c r="W102" s="65">
        <v>2</v>
      </c>
      <c r="X102" s="71" t="s">
        <v>20</v>
      </c>
      <c r="Y102" s="72"/>
      <c r="Z102" s="21">
        <v>4.3231034482758499</v>
      </c>
      <c r="AA102" s="22">
        <v>3.3428855721392998</v>
      </c>
      <c r="AB102" s="22">
        <v>4.1968811881188097</v>
      </c>
      <c r="AC102" s="22">
        <v>3.8029207920791999</v>
      </c>
      <c r="AD102" s="22">
        <v>2.4167980295566398</v>
      </c>
      <c r="AE102" s="22">
        <v>4.3365024630541802</v>
      </c>
      <c r="AF102" s="22">
        <v>0.77039408866994996</v>
      </c>
      <c r="AG102" s="23">
        <v>0.90524752475247405</v>
      </c>
      <c r="AH102" s="21">
        <v>4.165</v>
      </c>
      <c r="AI102" s="22">
        <v>3.3693749999999998</v>
      </c>
      <c r="AJ102" s="22">
        <v>4.0705999999999998</v>
      </c>
      <c r="AK102" s="22">
        <v>3.8845999999999998</v>
      </c>
      <c r="AL102" s="22">
        <v>2.4154</v>
      </c>
      <c r="AM102" s="22">
        <v>4.2497999999999996</v>
      </c>
      <c r="AN102" s="22">
        <v>0.76919999999999999</v>
      </c>
      <c r="AO102" s="23">
        <v>0.90836734693877497</v>
      </c>
      <c r="AQ102" s="65">
        <v>2</v>
      </c>
      <c r="AR102" s="71" t="s">
        <v>20</v>
      </c>
      <c r="AS102" s="72"/>
      <c r="AT102" s="21">
        <v>2.91597014925373</v>
      </c>
      <c r="AU102" s="22"/>
      <c r="AV102" s="22">
        <v>5.1028358208955202</v>
      </c>
      <c r="AW102" s="22">
        <v>5.1356716417910402</v>
      </c>
      <c r="AX102" s="22">
        <v>4.0846031746031697</v>
      </c>
      <c r="AY102" s="22">
        <v>4.2432835820895498</v>
      </c>
      <c r="AZ102" s="22">
        <v>1.7410447761193999</v>
      </c>
      <c r="BA102" s="23">
        <v>2.4101515151515098</v>
      </c>
      <c r="BB102" s="21">
        <v>2.97675</v>
      </c>
      <c r="BC102" s="22"/>
      <c r="BD102" s="22">
        <v>5.1619999999999999</v>
      </c>
      <c r="BE102" s="22">
        <v>5.1377499999999996</v>
      </c>
      <c r="BF102" s="22">
        <v>4.0508108108108098</v>
      </c>
      <c r="BG102" s="22">
        <v>4.2125000000000004</v>
      </c>
      <c r="BH102" s="22">
        <v>1.74474999999999</v>
      </c>
      <c r="BI102" s="23">
        <v>2.43282051282051</v>
      </c>
      <c r="BK102" s="65">
        <v>2</v>
      </c>
      <c r="BL102" s="71" t="s">
        <v>20</v>
      </c>
      <c r="BM102" s="72"/>
      <c r="BN102" s="21">
        <v>2.72970149253731</v>
      </c>
      <c r="BO102" s="22">
        <v>5.3985074626865597</v>
      </c>
      <c r="BP102" s="22">
        <v>4.9047058823529399</v>
      </c>
      <c r="BQ102" s="22">
        <v>5.7755223880597004</v>
      </c>
      <c r="BR102" s="22"/>
      <c r="BS102" s="22">
        <v>3.5304477611940199</v>
      </c>
      <c r="BT102" s="22">
        <v>2.8583076923076902</v>
      </c>
      <c r="BU102" s="23">
        <v>3.3187500000000001</v>
      </c>
      <c r="BV102" s="21">
        <v>2.7275</v>
      </c>
      <c r="BW102" s="22">
        <v>5.3875000000000002</v>
      </c>
      <c r="BX102" s="22">
        <v>4.7960000000000003</v>
      </c>
      <c r="BY102" s="22">
        <v>5.7014999999999896</v>
      </c>
      <c r="BZ102" s="22"/>
      <c r="CA102" s="22">
        <v>3.4514999999999998</v>
      </c>
      <c r="CB102" s="22">
        <v>2.7863157894736799</v>
      </c>
      <c r="CC102" s="23">
        <v>3.2753846153846098</v>
      </c>
      <c r="CE102" s="65">
        <v>2</v>
      </c>
      <c r="CF102" s="71" t="s">
        <v>20</v>
      </c>
      <c r="CG102" s="72"/>
      <c r="CH102" s="21">
        <v>3.3174576271186398</v>
      </c>
      <c r="CI102" s="22">
        <v>3.78949152542372</v>
      </c>
      <c r="CJ102" s="22">
        <v>1.59779661016949</v>
      </c>
      <c r="CK102" s="22">
        <v>0.932881355932203</v>
      </c>
      <c r="CL102" s="22">
        <v>12.9772881355932</v>
      </c>
      <c r="CM102" s="22">
        <v>3.65389830508474</v>
      </c>
      <c r="CN102" s="22">
        <v>1.2333898305084701</v>
      </c>
      <c r="CO102" s="23">
        <v>1.4769491525423699</v>
      </c>
      <c r="CP102" s="21">
        <v>3.2848333333333302</v>
      </c>
      <c r="CQ102" s="22">
        <v>3.74399999999999</v>
      </c>
      <c r="CR102" s="22">
        <v>1.5753333333333299</v>
      </c>
      <c r="CS102" s="22">
        <v>0.94199999999999995</v>
      </c>
      <c r="CT102" s="22">
        <v>12.720833333333299</v>
      </c>
      <c r="CU102" s="22">
        <v>3.6419999999999999</v>
      </c>
      <c r="CV102" s="22">
        <v>1.23566666666666</v>
      </c>
      <c r="CW102" s="23">
        <v>1.4844999999999999</v>
      </c>
      <c r="CY102" s="65">
        <v>2</v>
      </c>
      <c r="CZ102" s="71" t="s">
        <v>20</v>
      </c>
      <c r="DA102" s="72"/>
      <c r="DB102" s="21">
        <v>2.5903448275862</v>
      </c>
      <c r="DC102" s="22">
        <v>1.2330508474576201</v>
      </c>
      <c r="DD102" s="22">
        <v>0.36694915254237198</v>
      </c>
      <c r="DE102" s="22">
        <v>1.78</v>
      </c>
      <c r="DF102" s="22">
        <v>1.59339622641509</v>
      </c>
      <c r="DG102" s="22">
        <v>1.9394117647058799</v>
      </c>
      <c r="DH102" s="22">
        <v>0.17271186440677899</v>
      </c>
      <c r="DI102" s="23">
        <v>0.165762711864406</v>
      </c>
      <c r="DJ102" s="21">
        <v>3.0188135593220302</v>
      </c>
      <c r="DK102" s="22">
        <v>1.25216666666666</v>
      </c>
      <c r="DL102" s="22">
        <v>0.38366666666666599</v>
      </c>
      <c r="DM102" s="22">
        <v>1.7503846153846101</v>
      </c>
      <c r="DN102" s="22">
        <v>1.5981481481481401</v>
      </c>
      <c r="DO102" s="22">
        <v>1.9292592592592499</v>
      </c>
      <c r="DP102" s="22">
        <v>0.171666666666666</v>
      </c>
      <c r="DQ102" s="23">
        <v>0.16466666666666599</v>
      </c>
      <c r="DS102" s="65">
        <v>2</v>
      </c>
      <c r="DT102" s="71" t="s">
        <v>20</v>
      </c>
      <c r="DU102" s="72"/>
      <c r="DV102" s="21">
        <v>3.1936363636363598</v>
      </c>
      <c r="DW102" s="22">
        <v>1.16625</v>
      </c>
      <c r="DX102" s="22">
        <v>1.88036363636363</v>
      </c>
      <c r="DY102" s="22">
        <v>3.4495</v>
      </c>
      <c r="DZ102" s="22">
        <v>1.8619999999999901</v>
      </c>
      <c r="EA102" s="22">
        <v>6.9714999999999998</v>
      </c>
      <c r="EB102" s="22">
        <v>0.47599999999999998</v>
      </c>
      <c r="EC102" s="23">
        <v>1.8029310344827501</v>
      </c>
      <c r="ED102" s="21">
        <v>3.18272727272727</v>
      </c>
      <c r="EE102" s="22">
        <v>1.1622413793103401</v>
      </c>
      <c r="EF102" s="22">
        <v>1.9065454545454501</v>
      </c>
      <c r="EG102" s="22">
        <v>3.5031666666666599</v>
      </c>
      <c r="EH102" s="22">
        <v>1.9228333333333301</v>
      </c>
      <c r="EI102" s="22">
        <v>7.07</v>
      </c>
      <c r="EJ102" s="22">
        <v>0.47266666666666601</v>
      </c>
      <c r="EK102" s="23">
        <v>1.89372881355932</v>
      </c>
      <c r="EM102" s="65">
        <v>2</v>
      </c>
      <c r="EN102" s="71" t="s">
        <v>20</v>
      </c>
      <c r="EO102" s="72"/>
      <c r="EP102" s="21">
        <v>0.60440677966101697</v>
      </c>
      <c r="EQ102" s="22">
        <v>6.1842372881355896</v>
      </c>
      <c r="ER102" s="22">
        <v>0.475762711864406</v>
      </c>
      <c r="ES102" s="22">
        <v>1.77813559322033</v>
      </c>
      <c r="ET102" s="22">
        <v>6.4464406779661001</v>
      </c>
      <c r="EU102" s="22">
        <v>2.9950847457627101</v>
      </c>
      <c r="EV102" s="22">
        <v>0.54551724137931001</v>
      </c>
      <c r="EW102" s="23">
        <v>1.8122807017543801</v>
      </c>
      <c r="EX102" s="21">
        <v>0.59454545454545404</v>
      </c>
      <c r="EY102" s="22">
        <v>6.3419999999999899</v>
      </c>
      <c r="EZ102" s="22">
        <v>0.48272727272727201</v>
      </c>
      <c r="FA102" s="22">
        <v>1.78781818181818</v>
      </c>
      <c r="FB102" s="22">
        <v>6.0018181818181802</v>
      </c>
      <c r="FC102" s="22">
        <v>3.0276363636363599</v>
      </c>
      <c r="FD102" s="22">
        <v>0.53981818181818197</v>
      </c>
      <c r="FE102" s="23">
        <v>1.83113207547169</v>
      </c>
    </row>
    <row r="103" spans="3:161" ht="15" customHeight="1" x14ac:dyDescent="0.3">
      <c r="C103" s="66"/>
      <c r="D103" s="68" t="s">
        <v>21</v>
      </c>
      <c r="E103" s="69"/>
      <c r="F103" s="24">
        <v>0.90540100579896299</v>
      </c>
      <c r="G103" s="25">
        <v>0.35900770541087001</v>
      </c>
      <c r="H103" s="25">
        <v>0.90282116677202295</v>
      </c>
      <c r="I103" s="25">
        <v>0.61334703749375596</v>
      </c>
      <c r="J103" s="25">
        <v>0.18546813700613701</v>
      </c>
      <c r="K103" s="25">
        <v>0.85586643651901795</v>
      </c>
      <c r="L103" s="25">
        <v>0.26287972096057</v>
      </c>
      <c r="M103" s="26">
        <v>0.174980300497313</v>
      </c>
      <c r="N103" s="24">
        <v>1.0518312602314099</v>
      </c>
      <c r="O103" s="25">
        <v>0.190469315114009</v>
      </c>
      <c r="P103" s="25">
        <v>0.41025460387422802</v>
      </c>
      <c r="Q103" s="25">
        <v>0.458397207670378</v>
      </c>
      <c r="R103" s="25">
        <v>0.145234160121298</v>
      </c>
      <c r="S103" s="25">
        <v>0.73122705092194096</v>
      </c>
      <c r="T103" s="25">
        <v>0.35463113230510301</v>
      </c>
      <c r="U103" s="26">
        <v>0.19952152766055001</v>
      </c>
      <c r="W103" s="66"/>
      <c r="X103" s="68" t="s">
        <v>21</v>
      </c>
      <c r="Y103" s="69"/>
      <c r="Z103" s="24">
        <v>1.00619300273684</v>
      </c>
      <c r="AA103" s="25">
        <v>0.27512571860082002</v>
      </c>
      <c r="AB103" s="25">
        <v>0.55530535328653796</v>
      </c>
      <c r="AC103" s="25">
        <v>0.80813370356334902</v>
      </c>
      <c r="AD103" s="25">
        <v>0.40873599895703799</v>
      </c>
      <c r="AE103" s="25">
        <v>0.81553456961086901</v>
      </c>
      <c r="AF103" s="25">
        <v>2.46720831952656E-2</v>
      </c>
      <c r="AG103" s="26">
        <v>4.64927133523442E-2</v>
      </c>
      <c r="AH103" s="24">
        <v>1.18674386453016</v>
      </c>
      <c r="AI103" s="25">
        <v>1.5864826136246599E-2</v>
      </c>
      <c r="AJ103" s="25">
        <v>0.708181925778962</v>
      </c>
      <c r="AK103" s="25">
        <v>0.58924768985546305</v>
      </c>
      <c r="AL103" s="25">
        <v>0.415337019780322</v>
      </c>
      <c r="AM103" s="25">
        <v>0.90752298042528901</v>
      </c>
      <c r="AN103" s="25">
        <v>2.5047155527125199E-2</v>
      </c>
      <c r="AO103" s="26">
        <v>2.4104105736770801E-2</v>
      </c>
      <c r="AQ103" s="66"/>
      <c r="AR103" s="68" t="s">
        <v>21</v>
      </c>
      <c r="AS103" s="69"/>
      <c r="AT103" s="24">
        <v>0.39180051161270502</v>
      </c>
      <c r="AU103" s="25"/>
      <c r="AV103" s="25">
        <v>0.84364314088637204</v>
      </c>
      <c r="AW103" s="25">
        <v>1.3548224798409401</v>
      </c>
      <c r="AX103" s="25">
        <v>0.71678919306272204</v>
      </c>
      <c r="AY103" s="25">
        <v>0.44542244935248598</v>
      </c>
      <c r="AZ103" s="25">
        <v>0.25325424855865603</v>
      </c>
      <c r="BA103" s="26">
        <v>0.29913761110313702</v>
      </c>
      <c r="BB103" s="24">
        <v>0.133498829582884</v>
      </c>
      <c r="BC103" s="25"/>
      <c r="BD103" s="25">
        <v>0.62944896536573902</v>
      </c>
      <c r="BE103" s="25">
        <v>1.42266912439259</v>
      </c>
      <c r="BF103" s="25">
        <v>0.73916087697150701</v>
      </c>
      <c r="BG103" s="25">
        <v>0.552162793023941</v>
      </c>
      <c r="BH103" s="25">
        <v>0.25598815890583598</v>
      </c>
      <c r="BI103" s="26">
        <v>0.16420669772949001</v>
      </c>
      <c r="BK103" s="66"/>
      <c r="BL103" s="68" t="s">
        <v>21</v>
      </c>
      <c r="BM103" s="69"/>
      <c r="BN103" s="24">
        <v>0.46662961165723699</v>
      </c>
      <c r="BO103" s="25">
        <v>0.64978125763993</v>
      </c>
      <c r="BP103" s="25">
        <v>0.75029106232227705</v>
      </c>
      <c r="BQ103" s="25">
        <v>1.1059706125243201</v>
      </c>
      <c r="BR103" s="25"/>
      <c r="BS103" s="25">
        <v>0.69314217024116298</v>
      </c>
      <c r="BT103" s="25">
        <v>0.47992489550495698</v>
      </c>
      <c r="BU103" s="26">
        <v>0.41587821234106498</v>
      </c>
      <c r="BV103" s="24">
        <v>0.42236092385541502</v>
      </c>
      <c r="BW103" s="25">
        <v>0.62070020944091797</v>
      </c>
      <c r="BX103" s="25">
        <v>0.94640054945038998</v>
      </c>
      <c r="BY103" s="25">
        <v>1.35066196733305</v>
      </c>
      <c r="BZ103" s="25"/>
      <c r="CA103" s="25">
        <v>0.87634910281234402</v>
      </c>
      <c r="CB103" s="25">
        <v>0.61733050540904499</v>
      </c>
      <c r="CC103" s="26">
        <v>0.56030598853568803</v>
      </c>
      <c r="CE103" s="66"/>
      <c r="CF103" s="68" t="s">
        <v>21</v>
      </c>
      <c r="CG103" s="69"/>
      <c r="CH103" s="24">
        <v>0.85455230269132598</v>
      </c>
      <c r="CI103" s="25">
        <v>4.2498205041771797</v>
      </c>
      <c r="CJ103" s="25">
        <v>0.53980557641385196</v>
      </c>
      <c r="CK103" s="25">
        <v>0.20540205177343701</v>
      </c>
      <c r="CL103" s="25">
        <v>4.1541752859994201</v>
      </c>
      <c r="CM103" s="25">
        <v>3.5161549766992</v>
      </c>
      <c r="CN103" s="25">
        <v>0.20810370760013</v>
      </c>
      <c r="CO103" s="26">
        <v>0.81054753253543399</v>
      </c>
      <c r="CP103" s="24">
        <v>0.94343431438312397</v>
      </c>
      <c r="CQ103" s="25">
        <v>4.2249545165204596</v>
      </c>
      <c r="CR103" s="25">
        <v>0.551009578460806</v>
      </c>
      <c r="CS103" s="25">
        <v>0.20890827333226</v>
      </c>
      <c r="CT103" s="25">
        <v>4.2859784148105797</v>
      </c>
      <c r="CU103" s="25">
        <v>3.4860908383651301</v>
      </c>
      <c r="CV103" s="25">
        <v>0.20710196093282701</v>
      </c>
      <c r="CW103" s="26">
        <v>0.80080880989159897</v>
      </c>
      <c r="CY103" s="66"/>
      <c r="CZ103" s="68" t="s">
        <v>21</v>
      </c>
      <c r="DA103" s="69"/>
      <c r="DB103" s="24">
        <v>3.4981541760926702</v>
      </c>
      <c r="DC103" s="25">
        <v>2.05046853202002</v>
      </c>
      <c r="DD103" s="25">
        <v>0.14152024754565501</v>
      </c>
      <c r="DE103" s="25">
        <v>1.64991393714945</v>
      </c>
      <c r="DF103" s="25">
        <v>9.5935186379972406E-2</v>
      </c>
      <c r="DG103" s="25">
        <v>0.26938864529621998</v>
      </c>
      <c r="DH103" s="25">
        <v>8.4789480249207599E-2</v>
      </c>
      <c r="DI103" s="26">
        <v>6.3598406062280594E-2</v>
      </c>
      <c r="DJ103" s="24">
        <v>4.7810718196760904</v>
      </c>
      <c r="DK103" s="25">
        <v>2.0378085383295601</v>
      </c>
      <c r="DL103" s="25">
        <v>0.19021887977333399</v>
      </c>
      <c r="DM103" s="25">
        <v>1.6249390065931399</v>
      </c>
      <c r="DN103" s="25">
        <v>8.9980946009245596E-2</v>
      </c>
      <c r="DO103" s="25">
        <v>0.284252442915017</v>
      </c>
      <c r="DP103" s="25">
        <v>8.4225227152492005E-2</v>
      </c>
      <c r="DQ103" s="26">
        <v>6.3073149772484099E-2</v>
      </c>
      <c r="DS103" s="66"/>
      <c r="DT103" s="68" t="s">
        <v>21</v>
      </c>
      <c r="DU103" s="69"/>
      <c r="DV103" s="24">
        <v>5.4544061800400803</v>
      </c>
      <c r="DW103" s="25">
        <v>0.49029714933176699</v>
      </c>
      <c r="DX103" s="25">
        <v>0.85866484865402903</v>
      </c>
      <c r="DY103" s="25">
        <v>1.6363133613909799</v>
      </c>
      <c r="DZ103" s="25">
        <v>1.0400237176782701</v>
      </c>
      <c r="EA103" s="25">
        <v>12.076953648030001</v>
      </c>
      <c r="EB103" s="25">
        <v>0.30394736386420501</v>
      </c>
      <c r="EC103" s="26">
        <v>1.6057268293256399</v>
      </c>
      <c r="ED103" s="24">
        <v>5.45992389375711</v>
      </c>
      <c r="EE103" s="25">
        <v>0.485883635506764</v>
      </c>
      <c r="EF103" s="25">
        <v>0.84751018911937304</v>
      </c>
      <c r="EG103" s="25">
        <v>1.6190259331530801</v>
      </c>
      <c r="EH103" s="25">
        <v>1.1547685073448899</v>
      </c>
      <c r="EI103" s="25">
        <v>12.2977866572268</v>
      </c>
      <c r="EJ103" s="25">
        <v>0.30579877188911098</v>
      </c>
      <c r="EK103" s="26">
        <v>1.71173704845927</v>
      </c>
      <c r="EM103" s="66"/>
      <c r="EN103" s="68" t="s">
        <v>21</v>
      </c>
      <c r="EO103" s="69"/>
      <c r="EP103" s="24">
        <v>0.186331863469098</v>
      </c>
      <c r="EQ103" s="25">
        <v>3.14036228256044</v>
      </c>
      <c r="ER103" s="25">
        <v>0.40838750038903199</v>
      </c>
      <c r="ES103" s="25">
        <v>0.46648877609718298</v>
      </c>
      <c r="ET103" s="25">
        <v>6.4979954569347997</v>
      </c>
      <c r="EU103" s="25">
        <v>0.50618002050371202</v>
      </c>
      <c r="EV103" s="25">
        <v>6.5972105228286199E-2</v>
      </c>
      <c r="EW103" s="26">
        <v>1.0394853948559299</v>
      </c>
      <c r="EX103" s="24">
        <v>0.16182839600041099</v>
      </c>
      <c r="EY103" s="25">
        <v>3.2746516261622798</v>
      </c>
      <c r="EZ103" s="25">
        <v>0.42086255387738902</v>
      </c>
      <c r="FA103" s="25">
        <v>0.46923415712720201</v>
      </c>
      <c r="FB103" s="25">
        <v>6.1335352673668497</v>
      </c>
      <c r="FC103" s="25">
        <v>0.53341426383206503</v>
      </c>
      <c r="FD103" s="25">
        <v>6.4483709263119901E-2</v>
      </c>
      <c r="FE103" s="26">
        <v>1.00931820884546</v>
      </c>
    </row>
    <row r="104" spans="3:161" ht="15" customHeight="1" x14ac:dyDescent="0.3">
      <c r="C104" s="66"/>
      <c r="D104" s="68" t="s">
        <v>22</v>
      </c>
      <c r="E104" s="69"/>
      <c r="F104" s="33">
        <v>5.9487828947368699</v>
      </c>
      <c r="G104" s="34">
        <v>2.7944051446945202</v>
      </c>
      <c r="H104" s="34">
        <v>4.4475420875421001</v>
      </c>
      <c r="I104" s="34">
        <v>3.5765780730897001</v>
      </c>
      <c r="J104" s="34">
        <v>1.63893548387096</v>
      </c>
      <c r="K104" s="34">
        <v>5.3978032786885404</v>
      </c>
      <c r="L104" s="34">
        <v>1.9346278317152099</v>
      </c>
      <c r="M104" s="35">
        <v>1.6409841269841201</v>
      </c>
      <c r="N104" s="33">
        <v>5.9508888888888798</v>
      </c>
      <c r="O104" s="34">
        <v>2.7959183673469301</v>
      </c>
      <c r="P104" s="34">
        <v>4.4670833333333304</v>
      </c>
      <c r="Q104" s="34">
        <v>3.5872340425531899</v>
      </c>
      <c r="R104" s="34">
        <v>1.63829787234042</v>
      </c>
      <c r="S104" s="34">
        <v>5.3971111111110996</v>
      </c>
      <c r="T104" s="34">
        <v>1.93479166666666</v>
      </c>
      <c r="U104" s="35">
        <v>1.64083333333333</v>
      </c>
      <c r="W104" s="66"/>
      <c r="X104" s="68" t="s">
        <v>22</v>
      </c>
      <c r="Y104" s="69"/>
      <c r="Z104" s="33">
        <v>4.6318478260869398</v>
      </c>
      <c r="AA104" s="34">
        <v>3.3703517587939702</v>
      </c>
      <c r="AB104" s="34">
        <v>4.3169791666666697</v>
      </c>
      <c r="AC104" s="34">
        <v>4.0416847826086801</v>
      </c>
      <c r="AD104" s="34">
        <v>2.5283422459892999</v>
      </c>
      <c r="AE104" s="34">
        <v>4.4164406779660998</v>
      </c>
      <c r="AF104" s="34">
        <v>0.76843283582089605</v>
      </c>
      <c r="AG104" s="35">
        <v>0.90979274611398897</v>
      </c>
      <c r="AH104" s="33">
        <v>4.6181395348837198</v>
      </c>
      <c r="AI104" s="34">
        <v>3.3696774193548298</v>
      </c>
      <c r="AJ104" s="34">
        <v>4.2988888888888797</v>
      </c>
      <c r="AK104" s="34">
        <v>4.0274468085106303</v>
      </c>
      <c r="AL104" s="34">
        <v>2.5280434782608601</v>
      </c>
      <c r="AM104" s="34">
        <v>4.4204444444444402</v>
      </c>
      <c r="AN104" s="34">
        <v>0.76848484848484799</v>
      </c>
      <c r="AO104" s="35">
        <v>0.91142857142857103</v>
      </c>
      <c r="AQ104" s="66"/>
      <c r="AR104" s="68" t="s">
        <v>22</v>
      </c>
      <c r="AS104" s="69"/>
      <c r="AT104" s="33">
        <v>3.0038709677419302</v>
      </c>
      <c r="AU104" s="34"/>
      <c r="AV104" s="34">
        <v>5.3104838709677402</v>
      </c>
      <c r="AW104" s="34">
        <v>5.5639999999999903</v>
      </c>
      <c r="AX104" s="34">
        <v>4.2694915254237298</v>
      </c>
      <c r="AY104" s="34">
        <v>4.3237500000000004</v>
      </c>
      <c r="AZ104" s="34">
        <v>1.8003174603174501</v>
      </c>
      <c r="BA104" s="35">
        <v>2.4595312499999999</v>
      </c>
      <c r="BB104" s="33">
        <v>3.00684210526315</v>
      </c>
      <c r="BC104" s="34"/>
      <c r="BD104" s="34">
        <v>5.3164864864864798</v>
      </c>
      <c r="BE104" s="34">
        <v>5.6440000000000001</v>
      </c>
      <c r="BF104" s="34">
        <v>4.2699999999999996</v>
      </c>
      <c r="BG104" s="34">
        <v>4.3218421052631504</v>
      </c>
      <c r="BH104" s="34">
        <v>1.79684210526315</v>
      </c>
      <c r="BI104" s="35">
        <v>2.45921052631578</v>
      </c>
      <c r="BK104" s="66"/>
      <c r="BL104" s="68" t="s">
        <v>22</v>
      </c>
      <c r="BM104" s="69"/>
      <c r="BN104" s="33">
        <v>2.8580327868852402</v>
      </c>
      <c r="BO104" s="34">
        <v>5.5937704918032702</v>
      </c>
      <c r="BP104" s="34">
        <v>5.0096875000000001</v>
      </c>
      <c r="BQ104" s="34">
        <v>6.0844262295081899</v>
      </c>
      <c r="BR104" s="34"/>
      <c r="BS104" s="34">
        <v>3.6776562499999899</v>
      </c>
      <c r="BT104" s="34">
        <v>2.9590322580645099</v>
      </c>
      <c r="BU104" s="35">
        <v>3.3386885245901601</v>
      </c>
      <c r="BV104" s="33">
        <v>2.8577777777777702</v>
      </c>
      <c r="BW104" s="34">
        <v>5.5891666666666602</v>
      </c>
      <c r="BX104" s="34">
        <v>5.0078947368420996</v>
      </c>
      <c r="BY104" s="34">
        <v>6.0654054054054001</v>
      </c>
      <c r="BZ104" s="34"/>
      <c r="CA104" s="34">
        <v>3.69972972972973</v>
      </c>
      <c r="CB104" s="34">
        <v>2.9585714285714202</v>
      </c>
      <c r="CC104" s="35">
        <v>3.3374285714285699</v>
      </c>
      <c r="CE104" s="66"/>
      <c r="CF104" s="68" t="s">
        <v>22</v>
      </c>
      <c r="CG104" s="69"/>
      <c r="CH104" s="33">
        <v>3.5339999999999998</v>
      </c>
      <c r="CI104" s="34">
        <v>2.2486538461538399</v>
      </c>
      <c r="CJ104" s="34">
        <v>1.8839130434782601</v>
      </c>
      <c r="CK104" s="34">
        <v>0.82488372093023299</v>
      </c>
      <c r="CL104" s="34">
        <v>14.6978947368421</v>
      </c>
      <c r="CM104" s="34">
        <v>3.0035087719298201</v>
      </c>
      <c r="CN104" s="34">
        <v>1.1825000000000001</v>
      </c>
      <c r="CO104" s="35">
        <v>1.2674545454545401</v>
      </c>
      <c r="CP104" s="33">
        <v>3.7138775510204098</v>
      </c>
      <c r="CQ104" s="34">
        <v>2.2262264150943398</v>
      </c>
      <c r="CR104" s="34">
        <v>1.87782608695652</v>
      </c>
      <c r="CS104" s="34">
        <v>0.85</v>
      </c>
      <c r="CT104" s="34">
        <v>14.693243243243201</v>
      </c>
      <c r="CU104" s="34">
        <v>3.0024137931034498</v>
      </c>
      <c r="CV104" s="34">
        <v>1.1863265306122399</v>
      </c>
      <c r="CW104" s="35">
        <v>1.2792857142857099</v>
      </c>
      <c r="CY104" s="66"/>
      <c r="CZ104" s="68" t="s">
        <v>22</v>
      </c>
      <c r="DA104" s="69"/>
      <c r="DB104" s="33">
        <v>1.9439285714285699</v>
      </c>
      <c r="DC104" s="34">
        <v>0.89157894736842003</v>
      </c>
      <c r="DD104" s="34">
        <v>0.34965517241379201</v>
      </c>
      <c r="DE104" s="34">
        <v>1.0661904761904699</v>
      </c>
      <c r="DF104" s="34">
        <v>1.6099999999999901</v>
      </c>
      <c r="DG104" s="34">
        <v>1.89</v>
      </c>
      <c r="DH104" s="34">
        <v>0.157017543859649</v>
      </c>
      <c r="DI104" s="35">
        <v>0.15649122807017499</v>
      </c>
      <c r="DJ104" s="33">
        <v>1.94035714285714</v>
      </c>
      <c r="DK104" s="34">
        <v>0.917241379310344</v>
      </c>
      <c r="DL104" s="34">
        <v>0.34965517241379201</v>
      </c>
      <c r="DM104" s="34">
        <v>1.0636363636363599</v>
      </c>
      <c r="DN104" s="34">
        <v>1.6099999999999901</v>
      </c>
      <c r="DO104" s="34">
        <v>2.0193617021276502</v>
      </c>
      <c r="DP104" s="34">
        <v>0.15620689655172401</v>
      </c>
      <c r="DQ104" s="35">
        <v>0.15551724137931</v>
      </c>
      <c r="DS104" s="66"/>
      <c r="DT104" s="68" t="s">
        <v>22</v>
      </c>
      <c r="DU104" s="69"/>
      <c r="DV104" s="33">
        <v>1.9053846153846099</v>
      </c>
      <c r="DW104" s="34">
        <v>1.0862264150943399</v>
      </c>
      <c r="DX104" s="34">
        <v>1.76925925925925</v>
      </c>
      <c r="DY104" s="34">
        <v>3.1629310344827499</v>
      </c>
      <c r="DZ104" s="34">
        <v>1.58499999999999</v>
      </c>
      <c r="EA104" s="34">
        <v>1.6781999999999999</v>
      </c>
      <c r="EB104" s="34">
        <v>0.33916666666666601</v>
      </c>
      <c r="EC104" s="35">
        <v>1.31716981132075</v>
      </c>
      <c r="ED104" s="33">
        <v>1.89384615384615</v>
      </c>
      <c r="EE104" s="34">
        <v>1.0849090909090899</v>
      </c>
      <c r="EF104" s="34">
        <v>1.7959259259259199</v>
      </c>
      <c r="EG104" s="34">
        <v>3.2184482758620598</v>
      </c>
      <c r="EH104" s="34">
        <v>1.57581818181818</v>
      </c>
      <c r="EI104" s="34">
        <v>1.6830000000000001</v>
      </c>
      <c r="EJ104" s="34">
        <v>0.33500000000000002</v>
      </c>
      <c r="EK104" s="35">
        <v>1.3254716981132</v>
      </c>
      <c r="EM104" s="66"/>
      <c r="EN104" s="68" t="s">
        <v>22</v>
      </c>
      <c r="EO104" s="69"/>
      <c r="EP104" s="33">
        <v>0.56339285714285703</v>
      </c>
      <c r="EQ104" s="34">
        <v>7.9066666666666601</v>
      </c>
      <c r="ER104" s="34">
        <v>0.40157894736841998</v>
      </c>
      <c r="ES104" s="34">
        <v>1.66703703703703</v>
      </c>
      <c r="ET104" s="34">
        <v>3.4185416666666599</v>
      </c>
      <c r="EU104" s="34">
        <v>2.79543478260869</v>
      </c>
      <c r="EV104" s="34">
        <v>0.52999999999999903</v>
      </c>
      <c r="EW104" s="35">
        <v>1.49999999999999</v>
      </c>
      <c r="EX104" s="33">
        <v>0.56528301886792398</v>
      </c>
      <c r="EY104" s="34">
        <v>7.9729999999999999</v>
      </c>
      <c r="EZ104" s="34">
        <v>0.403207547169811</v>
      </c>
      <c r="FA104" s="34">
        <v>1.68686274509803</v>
      </c>
      <c r="FB104" s="34">
        <v>3.4010869565217399</v>
      </c>
      <c r="FC104" s="34">
        <v>2.9122448979591802</v>
      </c>
      <c r="FD104" s="34">
        <v>0.52999999999999903</v>
      </c>
      <c r="FE104" s="35">
        <v>1.5125</v>
      </c>
    </row>
    <row r="105" spans="3:161" ht="28.8" x14ac:dyDescent="0.3">
      <c r="C105" s="66"/>
      <c r="D105" s="73" t="s">
        <v>23</v>
      </c>
      <c r="E105" s="38" t="s">
        <v>24</v>
      </c>
      <c r="F105" s="27">
        <v>5.36</v>
      </c>
      <c r="G105" s="28">
        <v>2.94</v>
      </c>
      <c r="H105" s="28">
        <v>4.8</v>
      </c>
      <c r="I105" s="28">
        <v>3.73</v>
      </c>
      <c r="J105" s="28">
        <v>1.71</v>
      </c>
      <c r="K105" s="28">
        <v>5.0599999999999996</v>
      </c>
      <c r="L105" s="28">
        <v>1.69</v>
      </c>
      <c r="M105" s="29">
        <v>1.68</v>
      </c>
      <c r="N105" s="27">
        <v>5.36</v>
      </c>
      <c r="O105" s="28">
        <v>2.94</v>
      </c>
      <c r="P105" s="28">
        <v>4.8</v>
      </c>
      <c r="Q105" s="28">
        <v>3.73</v>
      </c>
      <c r="R105" s="28">
        <v>1.71</v>
      </c>
      <c r="S105" s="28">
        <v>5.0599999999999996</v>
      </c>
      <c r="T105" s="28">
        <v>1.69</v>
      </c>
      <c r="U105" s="29">
        <v>1.68</v>
      </c>
      <c r="W105" s="66"/>
      <c r="X105" s="73" t="s">
        <v>23</v>
      </c>
      <c r="Y105" s="38" t="s">
        <v>24</v>
      </c>
      <c r="Z105" s="27">
        <v>4.3099999999999996</v>
      </c>
      <c r="AA105" s="28">
        <v>3.34</v>
      </c>
      <c r="AB105" s="28">
        <v>4.4000000000000004</v>
      </c>
      <c r="AC105" s="28">
        <v>4.18</v>
      </c>
      <c r="AD105" s="28">
        <v>2.63</v>
      </c>
      <c r="AE105" s="28">
        <v>4.3600000000000003</v>
      </c>
      <c r="AF105" s="28">
        <v>0.84</v>
      </c>
      <c r="AG105" s="29">
        <v>1.02</v>
      </c>
      <c r="AH105" s="27">
        <v>4.3099999999999996</v>
      </c>
      <c r="AI105" s="28">
        <v>3.34</v>
      </c>
      <c r="AJ105" s="28">
        <v>4.4000000000000004</v>
      </c>
      <c r="AK105" s="28">
        <v>4.18</v>
      </c>
      <c r="AL105" s="28">
        <v>2.63</v>
      </c>
      <c r="AM105" s="28">
        <v>4.3600000000000003</v>
      </c>
      <c r="AN105" s="28">
        <v>0.84</v>
      </c>
      <c r="AO105" s="29">
        <v>1.02</v>
      </c>
      <c r="AQ105" s="66"/>
      <c r="AR105" s="73" t="s">
        <v>23</v>
      </c>
      <c r="AS105" s="38" t="s">
        <v>24</v>
      </c>
      <c r="AT105" s="27">
        <v>3.04</v>
      </c>
      <c r="AU105" s="28"/>
      <c r="AV105" s="28">
        <v>5.24</v>
      </c>
      <c r="AW105" s="28">
        <v>5.77</v>
      </c>
      <c r="AX105" s="28">
        <v>4.1900000000000004</v>
      </c>
      <c r="AY105" s="28">
        <v>4.38</v>
      </c>
      <c r="AZ105" s="28">
        <v>1.55</v>
      </c>
      <c r="BA105" s="29">
        <v>2.41</v>
      </c>
      <c r="BB105" s="27">
        <v>3.04</v>
      </c>
      <c r="BC105" s="28"/>
      <c r="BD105" s="28">
        <v>5.24</v>
      </c>
      <c r="BE105" s="28">
        <v>5.77</v>
      </c>
      <c r="BF105" s="28">
        <v>4.1900000000000004</v>
      </c>
      <c r="BG105" s="28">
        <v>4.38</v>
      </c>
      <c r="BH105" s="28">
        <v>1.55</v>
      </c>
      <c r="BI105" s="29">
        <v>2.41</v>
      </c>
      <c r="BK105" s="66"/>
      <c r="BL105" s="73" t="s">
        <v>23</v>
      </c>
      <c r="BM105" s="38" t="s">
        <v>24</v>
      </c>
      <c r="BN105" s="27">
        <v>2.88</v>
      </c>
      <c r="BO105" s="28">
        <v>5.31</v>
      </c>
      <c r="BP105" s="28">
        <v>5.04</v>
      </c>
      <c r="BQ105" s="28">
        <v>6.21</v>
      </c>
      <c r="BR105" s="28"/>
      <c r="BS105" s="28">
        <v>3.65</v>
      </c>
      <c r="BT105" s="28">
        <v>2.85</v>
      </c>
      <c r="BU105" s="29">
        <v>3.06</v>
      </c>
      <c r="BV105" s="27">
        <v>2.88</v>
      </c>
      <c r="BW105" s="28">
        <v>5.31</v>
      </c>
      <c r="BX105" s="28">
        <v>5.04</v>
      </c>
      <c r="BY105" s="28">
        <v>6.21</v>
      </c>
      <c r="BZ105" s="28"/>
      <c r="CA105" s="28">
        <v>3.65</v>
      </c>
      <c r="CB105" s="28">
        <v>2.85</v>
      </c>
      <c r="CC105" s="29">
        <v>3.06</v>
      </c>
      <c r="CE105" s="66"/>
      <c r="CF105" s="73" t="s">
        <v>23</v>
      </c>
      <c r="CG105" s="38" t="s">
        <v>24</v>
      </c>
      <c r="CH105" s="27">
        <v>5.36</v>
      </c>
      <c r="CI105" s="28">
        <v>2.94</v>
      </c>
      <c r="CJ105" s="28">
        <v>4.8</v>
      </c>
      <c r="CK105" s="28">
        <v>3.73</v>
      </c>
      <c r="CL105" s="28">
        <v>1.71</v>
      </c>
      <c r="CM105" s="28">
        <v>5.0599999999999996</v>
      </c>
      <c r="CN105" s="28">
        <v>1.69</v>
      </c>
      <c r="CO105" s="29">
        <v>1.68</v>
      </c>
      <c r="CP105" s="27">
        <v>5.36</v>
      </c>
      <c r="CQ105" s="28">
        <v>2.94</v>
      </c>
      <c r="CR105" s="28">
        <v>4.8</v>
      </c>
      <c r="CS105" s="28">
        <v>3.73</v>
      </c>
      <c r="CT105" s="28">
        <v>1.71</v>
      </c>
      <c r="CU105" s="28">
        <v>5.0599999999999996</v>
      </c>
      <c r="CV105" s="28">
        <v>1.69</v>
      </c>
      <c r="CW105" s="29">
        <v>1.68</v>
      </c>
      <c r="CY105" s="66"/>
      <c r="CZ105" s="73" t="s">
        <v>23</v>
      </c>
      <c r="DA105" s="38" t="s">
        <v>24</v>
      </c>
      <c r="DB105" s="27">
        <v>4.3099999999999996</v>
      </c>
      <c r="DC105" s="28">
        <v>3.34</v>
      </c>
      <c r="DD105" s="28">
        <v>4.4000000000000004</v>
      </c>
      <c r="DE105" s="28">
        <v>4.18</v>
      </c>
      <c r="DF105" s="28">
        <v>2.63</v>
      </c>
      <c r="DG105" s="28">
        <v>4.3600000000000003</v>
      </c>
      <c r="DH105" s="28">
        <v>0.84</v>
      </c>
      <c r="DI105" s="29">
        <v>1.02</v>
      </c>
      <c r="DJ105" s="27">
        <v>4.3099999999999996</v>
      </c>
      <c r="DK105" s="28">
        <v>3.34</v>
      </c>
      <c r="DL105" s="28">
        <v>4.4000000000000004</v>
      </c>
      <c r="DM105" s="28">
        <v>4.18</v>
      </c>
      <c r="DN105" s="28">
        <v>2.63</v>
      </c>
      <c r="DO105" s="28">
        <v>4.3600000000000003</v>
      </c>
      <c r="DP105" s="28">
        <v>0.84</v>
      </c>
      <c r="DQ105" s="29">
        <v>1.02</v>
      </c>
      <c r="DS105" s="66"/>
      <c r="DT105" s="73" t="s">
        <v>23</v>
      </c>
      <c r="DU105" s="38" t="s">
        <v>24</v>
      </c>
      <c r="DV105" s="27">
        <v>3.04</v>
      </c>
      <c r="DW105" s="28">
        <v>4.01</v>
      </c>
      <c r="DX105" s="28">
        <v>5.24</v>
      </c>
      <c r="DY105" s="28">
        <v>5.77</v>
      </c>
      <c r="DZ105" s="28">
        <v>4.1900000000000004</v>
      </c>
      <c r="EA105" s="28">
        <v>4.38</v>
      </c>
      <c r="EB105" s="28">
        <v>1.55</v>
      </c>
      <c r="EC105" s="29">
        <v>2.41</v>
      </c>
      <c r="ED105" s="27">
        <v>3.04</v>
      </c>
      <c r="EE105" s="28">
        <v>4.01</v>
      </c>
      <c r="EF105" s="28">
        <v>5.24</v>
      </c>
      <c r="EG105" s="28">
        <v>5.77</v>
      </c>
      <c r="EH105" s="28">
        <v>4.1900000000000004</v>
      </c>
      <c r="EI105" s="28">
        <v>4.38</v>
      </c>
      <c r="EJ105" s="28">
        <v>1.55</v>
      </c>
      <c r="EK105" s="29">
        <v>2.41</v>
      </c>
      <c r="EM105" s="66"/>
      <c r="EN105" s="73" t="s">
        <v>23</v>
      </c>
      <c r="EO105" s="38" t="s">
        <v>24</v>
      </c>
      <c r="EP105" s="27">
        <v>2.88</v>
      </c>
      <c r="EQ105" s="28">
        <v>5.31</v>
      </c>
      <c r="ER105" s="28">
        <v>5.04</v>
      </c>
      <c r="ES105" s="28">
        <v>6.21</v>
      </c>
      <c r="ET105" s="28">
        <v>5.29</v>
      </c>
      <c r="EU105" s="28">
        <v>3.65</v>
      </c>
      <c r="EV105" s="28">
        <v>2.85</v>
      </c>
      <c r="EW105" s="29">
        <v>3.06</v>
      </c>
      <c r="EX105" s="27">
        <v>2.88</v>
      </c>
      <c r="EY105" s="28">
        <v>5.31</v>
      </c>
      <c r="EZ105" s="28">
        <v>5.04</v>
      </c>
      <c r="FA105" s="28">
        <v>6.21</v>
      </c>
      <c r="FB105" s="28">
        <v>5.29</v>
      </c>
      <c r="FC105" s="28">
        <v>3.65</v>
      </c>
      <c r="FD105" s="28">
        <v>2.85</v>
      </c>
      <c r="FE105" s="29">
        <v>3.06</v>
      </c>
    </row>
    <row r="106" spans="3:161" x14ac:dyDescent="0.3">
      <c r="C106" s="66"/>
      <c r="D106" s="70"/>
      <c r="E106" s="39" t="s">
        <v>25</v>
      </c>
      <c r="F106" s="9">
        <v>-0.58878289473686962</v>
      </c>
      <c r="G106" s="10">
        <v>0.14559485530547978</v>
      </c>
      <c r="H106" s="10">
        <v>0.3524579124578997</v>
      </c>
      <c r="I106" s="10">
        <v>0.15342192691029988</v>
      </c>
      <c r="J106" s="10">
        <v>7.1064516129039967E-2</v>
      </c>
      <c r="K106" s="10">
        <v>-0.33780327868854076</v>
      </c>
      <c r="L106" s="10">
        <v>-0.24462783171520996</v>
      </c>
      <c r="M106" s="11">
        <v>3.9015873015879832E-2</v>
      </c>
      <c r="N106" s="9">
        <v>-0.59088888888887947</v>
      </c>
      <c r="O106" s="10">
        <v>0.14408163265306984</v>
      </c>
      <c r="P106" s="10">
        <v>0.33291666666666941</v>
      </c>
      <c r="Q106" s="10">
        <v>0.14276595744681009</v>
      </c>
      <c r="R106" s="10">
        <v>7.1702127659579951E-2</v>
      </c>
      <c r="S106" s="10">
        <v>-0.33711111111110004</v>
      </c>
      <c r="T106" s="10">
        <v>-0.24479166666666008</v>
      </c>
      <c r="U106" s="11">
        <v>3.9166666666669903E-2</v>
      </c>
      <c r="W106" s="66"/>
      <c r="X106" s="70"/>
      <c r="Y106" s="39" t="s">
        <v>25</v>
      </c>
      <c r="Z106" s="9">
        <v>-0.32184782608694018</v>
      </c>
      <c r="AA106" s="10">
        <v>-3.035175879397034E-2</v>
      </c>
      <c r="AB106" s="10">
        <v>8.3020833333330657E-2</v>
      </c>
      <c r="AC106" s="10">
        <v>0.13831521739131958</v>
      </c>
      <c r="AD106" s="10">
        <v>0.10165775401069999</v>
      </c>
      <c r="AE106" s="10">
        <v>-5.6440677966099528E-2</v>
      </c>
      <c r="AF106" s="10">
        <v>7.1567164179103915E-2</v>
      </c>
      <c r="AG106" s="11">
        <v>0.11020725388601105</v>
      </c>
      <c r="AH106" s="9">
        <v>-0.30813953488372015</v>
      </c>
      <c r="AI106" s="10">
        <v>-2.9677419354829926E-2</v>
      </c>
      <c r="AJ106" s="10">
        <v>0.1011111111111207</v>
      </c>
      <c r="AK106" s="10">
        <v>0.15255319148936941</v>
      </c>
      <c r="AL106" s="10">
        <v>0.10195652173913983</v>
      </c>
      <c r="AM106" s="10">
        <v>-6.044444444443986E-2</v>
      </c>
      <c r="AN106" s="10">
        <v>7.1515151515151976E-2</v>
      </c>
      <c r="AO106" s="11">
        <v>0.10857142857142899</v>
      </c>
      <c r="AQ106" s="66"/>
      <c r="AR106" s="70"/>
      <c r="AS106" s="39" t="s">
        <v>25</v>
      </c>
      <c r="AT106" s="9">
        <v>3.6129032258069849E-2</v>
      </c>
      <c r="AU106" s="10"/>
      <c r="AV106" s="10">
        <v>-7.0483870967740003E-2</v>
      </c>
      <c r="AW106" s="10">
        <v>0.20600000000000929</v>
      </c>
      <c r="AX106" s="10">
        <v>-7.9491525423729392E-2</v>
      </c>
      <c r="AY106" s="10">
        <v>5.6249999999999467E-2</v>
      </c>
      <c r="AZ106" s="10">
        <v>-0.25031746031745006</v>
      </c>
      <c r="BA106" s="11">
        <v>-4.9531249999999805E-2</v>
      </c>
      <c r="BB106" s="9">
        <v>3.3157894736850047E-2</v>
      </c>
      <c r="BC106" s="10"/>
      <c r="BD106" s="10">
        <v>-7.6486486486479599E-2</v>
      </c>
      <c r="BE106" s="10">
        <v>0.12599999999999945</v>
      </c>
      <c r="BF106" s="10">
        <v>-7.9999999999999183E-2</v>
      </c>
      <c r="BG106" s="10">
        <v>5.8157894736849514E-2</v>
      </c>
      <c r="BH106" s="10">
        <v>-0.24684210526314998</v>
      </c>
      <c r="BI106" s="11">
        <v>-4.9210526315779823E-2</v>
      </c>
      <c r="BK106" s="66"/>
      <c r="BL106" s="70"/>
      <c r="BM106" s="39" t="s">
        <v>25</v>
      </c>
      <c r="BN106" s="9">
        <v>2.1967213114759687E-2</v>
      </c>
      <c r="BO106" s="10">
        <v>-0.28377049180327063</v>
      </c>
      <c r="BP106" s="10">
        <v>3.0312499999999964E-2</v>
      </c>
      <c r="BQ106" s="10">
        <v>0.12557377049181007</v>
      </c>
      <c r="BR106" s="10"/>
      <c r="BS106" s="10">
        <v>-2.7656249999989946E-2</v>
      </c>
      <c r="BT106" s="10">
        <v>-0.10903225806450978</v>
      </c>
      <c r="BU106" s="11">
        <v>-0.27868852459016002</v>
      </c>
      <c r="BV106" s="9">
        <v>2.2222222222229693E-2</v>
      </c>
      <c r="BW106" s="10">
        <v>-0.27916666666666057</v>
      </c>
      <c r="BX106" s="10">
        <v>3.210526315790041E-2</v>
      </c>
      <c r="BY106" s="10">
        <v>0.14459459459459989</v>
      </c>
      <c r="BZ106" s="10"/>
      <c r="CA106" s="10">
        <v>-4.972972972973011E-2</v>
      </c>
      <c r="CB106" s="10">
        <v>-0.1085714285714201</v>
      </c>
      <c r="CC106" s="11">
        <v>-0.2774285714285698</v>
      </c>
      <c r="CE106" s="66"/>
      <c r="CF106" s="70"/>
      <c r="CG106" s="39" t="s">
        <v>25</v>
      </c>
      <c r="CH106" s="9">
        <v>1.8260000000000005</v>
      </c>
      <c r="CI106" s="10">
        <v>0.69134615384616005</v>
      </c>
      <c r="CJ106" s="10">
        <v>2.91608695652174</v>
      </c>
      <c r="CK106" s="10">
        <v>2.9051162790697669</v>
      </c>
      <c r="CL106" s="10">
        <v>-12.987894736842101</v>
      </c>
      <c r="CM106" s="10">
        <v>2.0564912280701795</v>
      </c>
      <c r="CN106" s="10">
        <v>0.50749999999999984</v>
      </c>
      <c r="CO106" s="11">
        <v>0.41254545454545988</v>
      </c>
      <c r="CP106" s="9">
        <v>1.6461224489795905</v>
      </c>
      <c r="CQ106" s="10">
        <v>0.71377358490566012</v>
      </c>
      <c r="CR106" s="10">
        <v>2.9221739130434798</v>
      </c>
      <c r="CS106" s="10">
        <v>2.88</v>
      </c>
      <c r="CT106" s="10">
        <v>-12.983243243243201</v>
      </c>
      <c r="CU106" s="10">
        <v>2.0575862068965498</v>
      </c>
      <c r="CV106" s="10">
        <v>0.50367346938776003</v>
      </c>
      <c r="CW106" s="11">
        <v>0.40071428571429002</v>
      </c>
      <c r="CY106" s="66"/>
      <c r="CZ106" s="70"/>
      <c r="DA106" s="39" t="s">
        <v>25</v>
      </c>
      <c r="DB106" s="9">
        <v>-46.227634408602171</v>
      </c>
      <c r="DC106" s="10">
        <v>-27.849600615753388</v>
      </c>
      <c r="DD106" s="10">
        <v>-150.91963997230567</v>
      </c>
      <c r="DE106" s="10">
        <v>-341.94348463490252</v>
      </c>
      <c r="DF106" s="10">
        <v>90.859606818019046</v>
      </c>
      <c r="DG106" s="10">
        <v>-64.109626168224537</v>
      </c>
      <c r="DH106" s="10">
        <v>-46.305877378435497</v>
      </c>
      <c r="DI106" s="11">
        <v>-36.26302969444901</v>
      </c>
      <c r="DJ106" s="9">
        <v>2.3696428571428596</v>
      </c>
      <c r="DK106" s="10">
        <v>2.4227586206896561</v>
      </c>
      <c r="DL106" s="10">
        <v>4.0503448275862084</v>
      </c>
      <c r="DM106" s="10">
        <v>3.1163636363636398</v>
      </c>
      <c r="DN106" s="10">
        <v>1.0200000000000098</v>
      </c>
      <c r="DO106" s="10">
        <v>2.3406382978723501</v>
      </c>
      <c r="DP106" s="10">
        <v>0.68379310344827593</v>
      </c>
      <c r="DQ106" s="11">
        <v>0.86448275862069002</v>
      </c>
      <c r="DS106" s="66"/>
      <c r="DT106" s="70"/>
      <c r="DU106" s="39" t="s">
        <v>25</v>
      </c>
      <c r="DV106" s="9">
        <v>1.1346153846153901</v>
      </c>
      <c r="DW106" s="10">
        <v>2.9237735849056596</v>
      </c>
      <c r="DX106" s="10">
        <v>3.4707407407407502</v>
      </c>
      <c r="DY106" s="10">
        <v>2.6070689655172496</v>
      </c>
      <c r="DZ106" s="10">
        <v>2.6050000000000102</v>
      </c>
      <c r="EA106" s="10">
        <v>2.7018</v>
      </c>
      <c r="EB106" s="10">
        <v>1.2108333333333341</v>
      </c>
      <c r="EC106" s="11">
        <v>1.0928301886792502</v>
      </c>
      <c r="ED106" s="9">
        <v>1.1461538461538501</v>
      </c>
      <c r="EE106" s="10">
        <v>2.9250909090909101</v>
      </c>
      <c r="EF106" s="10">
        <v>3.4440740740740803</v>
      </c>
      <c r="EG106" s="10">
        <v>2.5515517241379397</v>
      </c>
      <c r="EH106" s="10">
        <v>2.6141818181818204</v>
      </c>
      <c r="EI106" s="10">
        <v>2.6970000000000001</v>
      </c>
      <c r="EJ106" s="10">
        <v>1.2150000000000001</v>
      </c>
      <c r="EK106" s="11">
        <v>1.0845283018868002</v>
      </c>
      <c r="EM106" s="66"/>
      <c r="EN106" s="70"/>
      <c r="EO106" s="39" t="s">
        <v>25</v>
      </c>
      <c r="EP106" s="9">
        <v>2.3166071428571429</v>
      </c>
      <c r="EQ106" s="10">
        <v>-2.5966666666666605</v>
      </c>
      <c r="ER106" s="10">
        <v>4.6384210526315801</v>
      </c>
      <c r="ES106" s="10">
        <v>4.54296296296297</v>
      </c>
      <c r="ET106" s="10">
        <v>1.8714583333333401</v>
      </c>
      <c r="EU106" s="10">
        <v>0.85456521739130986</v>
      </c>
      <c r="EV106" s="10">
        <v>2.3200000000000012</v>
      </c>
      <c r="EW106" s="11">
        <v>1.56000000000001</v>
      </c>
      <c r="EX106" s="9">
        <v>2.3147169811320758</v>
      </c>
      <c r="EY106" s="10">
        <v>-2.6630000000000003</v>
      </c>
      <c r="EZ106" s="10">
        <v>4.6367924528301891</v>
      </c>
      <c r="FA106" s="10">
        <v>4.5231372549019699</v>
      </c>
      <c r="FB106" s="10">
        <v>1.8889130434782602</v>
      </c>
      <c r="FC106" s="10">
        <v>0.73775510204081973</v>
      </c>
      <c r="FD106" s="10">
        <v>2.3200000000000012</v>
      </c>
      <c r="FE106" s="11">
        <v>1.5475000000000001</v>
      </c>
    </row>
    <row r="107" spans="3:161" x14ac:dyDescent="0.3">
      <c r="C107" s="66"/>
      <c r="D107" s="70"/>
      <c r="E107" s="39" t="s">
        <v>26</v>
      </c>
      <c r="F107" s="9">
        <v>-9.8975354312861175</v>
      </c>
      <c r="G107" s="10">
        <v>5.2102271419699937</v>
      </c>
      <c r="H107" s="10">
        <v>7.9247796989973587</v>
      </c>
      <c r="I107" s="10">
        <v>4.2896289071571472</v>
      </c>
      <c r="J107" s="10">
        <v>4.336016690613989</v>
      </c>
      <c r="K107" s="10">
        <v>-6.258162093869676</v>
      </c>
      <c r="L107" s="10">
        <v>-12.644697223151539</v>
      </c>
      <c r="M107" s="11">
        <v>2.3775899092689632</v>
      </c>
      <c r="N107" s="9">
        <v>-9.9294223085251954</v>
      </c>
      <c r="O107" s="10">
        <v>5.1532846715331706</v>
      </c>
      <c r="P107" s="10">
        <v>7.4526629978547438</v>
      </c>
      <c r="Q107" s="10">
        <v>3.979833926453189</v>
      </c>
      <c r="R107" s="10">
        <v>4.3766233766237264</v>
      </c>
      <c r="S107" s="10">
        <v>-6.2461399102398545</v>
      </c>
      <c r="T107" s="10">
        <v>-12.652094325400801</v>
      </c>
      <c r="U107" s="11">
        <v>2.3869984763841532</v>
      </c>
      <c r="W107" s="66"/>
      <c r="X107" s="70"/>
      <c r="Y107" s="39" t="s">
        <v>26</v>
      </c>
      <c r="Z107" s="9">
        <v>-6.9485837655172373</v>
      </c>
      <c r="AA107" s="10">
        <v>-0.90055166244223905</v>
      </c>
      <c r="AB107" s="10">
        <v>1.92312332601398</v>
      </c>
      <c r="AC107" s="10">
        <v>3.4222168434927993</v>
      </c>
      <c r="AD107" s="10">
        <v>4.0207275803724487</v>
      </c>
      <c r="AE107" s="10">
        <v>-1.2779675327166879</v>
      </c>
      <c r="AF107" s="10">
        <v>9.3133922501698727</v>
      </c>
      <c r="AG107" s="11">
        <v>12.113446096019221</v>
      </c>
      <c r="AH107" s="9">
        <v>-6.6723738543659827</v>
      </c>
      <c r="AI107" s="10">
        <v>-0.88071989278166785</v>
      </c>
      <c r="AJ107" s="10">
        <v>2.3520289480488192</v>
      </c>
      <c r="AK107" s="10">
        <v>3.7878387659149331</v>
      </c>
      <c r="AL107" s="10">
        <v>4.0330208960361595</v>
      </c>
      <c r="AM107" s="10">
        <v>-1.3673838729136318</v>
      </c>
      <c r="AN107" s="10">
        <v>9.3059936908518015</v>
      </c>
      <c r="AO107" s="11">
        <v>11.912225705329204</v>
      </c>
      <c r="AQ107" s="66"/>
      <c r="AR107" s="70"/>
      <c r="AS107" s="39" t="s">
        <v>26</v>
      </c>
      <c r="AT107" s="9">
        <v>1.2027491408936504</v>
      </c>
      <c r="AU107" s="10"/>
      <c r="AV107" s="10">
        <v>-1.3272589217919155</v>
      </c>
      <c r="AW107" s="10">
        <v>3.702372393961352</v>
      </c>
      <c r="AX107" s="10">
        <v>-1.8618499404525737</v>
      </c>
      <c r="AY107" s="10">
        <v>1.3009540329574898</v>
      </c>
      <c r="AZ107" s="10">
        <v>-13.904073355668704</v>
      </c>
      <c r="BA107" s="11">
        <v>-2.0138491836604966</v>
      </c>
      <c r="BB107" s="9">
        <v>1.1027481183268906</v>
      </c>
      <c r="BC107" s="10"/>
      <c r="BD107" s="10">
        <v>-1.438666056631462</v>
      </c>
      <c r="BE107" s="10">
        <v>2.232459248759735</v>
      </c>
      <c r="BF107" s="10">
        <v>-1.8735362997657889</v>
      </c>
      <c r="BG107" s="10">
        <v>1.3456737502285121</v>
      </c>
      <c r="BH107" s="10">
        <v>-13.737551259519245</v>
      </c>
      <c r="BI107" s="11">
        <v>-2.0010700909573469</v>
      </c>
      <c r="BK107" s="66"/>
      <c r="BL107" s="70"/>
      <c r="BM107" s="39" t="s">
        <v>26</v>
      </c>
      <c r="BN107" s="9">
        <v>0.76861305495029464</v>
      </c>
      <c r="BO107" s="10">
        <v>-5.0729734482150919</v>
      </c>
      <c r="BP107" s="10">
        <v>0.6050776620298165</v>
      </c>
      <c r="BQ107" s="10">
        <v>2.063855583995803</v>
      </c>
      <c r="BR107" s="10"/>
      <c r="BS107" s="10">
        <v>-0.75200747758820641</v>
      </c>
      <c r="BT107" s="10">
        <v>-3.6847269159487737</v>
      </c>
      <c r="BU107" s="11">
        <v>-8.3472454090149188</v>
      </c>
      <c r="BV107" s="9">
        <v>0.77760497667211415</v>
      </c>
      <c r="BW107" s="10">
        <v>-4.9947815714923678</v>
      </c>
      <c r="BX107" s="10">
        <v>0.64109301103532157</v>
      </c>
      <c r="BY107" s="10">
        <v>2.3839230015151061</v>
      </c>
      <c r="BZ107" s="10"/>
      <c r="CA107" s="10">
        <v>-1.3441449338885338</v>
      </c>
      <c r="CB107" s="10">
        <v>-3.6697247706419258</v>
      </c>
      <c r="CC107" s="11">
        <v>-8.3126444653710703</v>
      </c>
      <c r="CE107" s="66"/>
      <c r="CF107" s="70"/>
      <c r="CG107" s="39" t="s">
        <v>26</v>
      </c>
      <c r="CH107" s="9">
        <v>51.669496321448804</v>
      </c>
      <c r="CI107" s="10">
        <v>30.744890105191502</v>
      </c>
      <c r="CJ107" s="10">
        <v>154.78882990999318</v>
      </c>
      <c r="CK107" s="10">
        <v>352.18494502396368</v>
      </c>
      <c r="CL107" s="10">
        <v>-88.365680727637326</v>
      </c>
      <c r="CM107" s="10">
        <v>68.469626168224536</v>
      </c>
      <c r="CN107" s="10">
        <v>42.91754756871034</v>
      </c>
      <c r="CO107" s="11">
        <v>32.549132118778353</v>
      </c>
      <c r="CP107" s="9">
        <v>44.323552038685513</v>
      </c>
      <c r="CQ107" s="10">
        <v>32.062039155860653</v>
      </c>
      <c r="CR107" s="10">
        <v>155.61472563093332</v>
      </c>
      <c r="CS107" s="10">
        <v>338.8235294117647</v>
      </c>
      <c r="CT107" s="10">
        <v>-88.361997608755601</v>
      </c>
      <c r="CU107" s="10">
        <v>68.531066957620197</v>
      </c>
      <c r="CV107" s="10">
        <v>42.456562876312312</v>
      </c>
      <c r="CW107" s="11">
        <v>31.323283082077495</v>
      </c>
      <c r="CY107" s="66"/>
      <c r="CZ107" s="70"/>
      <c r="DA107" s="39" t="s">
        <v>26</v>
      </c>
      <c r="DB107" s="9">
        <v>-91.471702127659569</v>
      </c>
      <c r="DC107" s="10">
        <v>-89.291302440362074</v>
      </c>
      <c r="DD107" s="10">
        <v>-97.167132243684989</v>
      </c>
      <c r="DE107" s="10">
        <v>-98.792338519182209</v>
      </c>
      <c r="DF107" s="10">
        <v>-102.98085880108769</v>
      </c>
      <c r="DG107" s="10">
        <v>-93.632212932946629</v>
      </c>
      <c r="DH107" s="10">
        <v>-98.218295964125559</v>
      </c>
      <c r="DI107" s="11">
        <v>-97.26417083493655</v>
      </c>
      <c r="DJ107" s="9">
        <v>122.12405669059483</v>
      </c>
      <c r="DK107" s="10">
        <v>264.13533834586497</v>
      </c>
      <c r="DL107" s="10">
        <v>1158.3826429980315</v>
      </c>
      <c r="DM107" s="10">
        <v>292.99145299145437</v>
      </c>
      <c r="DN107" s="10">
        <v>63.354037267081743</v>
      </c>
      <c r="DO107" s="10">
        <v>115.90980929301544</v>
      </c>
      <c r="DP107" s="10">
        <v>437.74834437086139</v>
      </c>
      <c r="DQ107" s="11">
        <v>555.87583148558906</v>
      </c>
      <c r="DS107" s="66"/>
      <c r="DT107" s="70"/>
      <c r="DU107" s="39" t="s">
        <v>26</v>
      </c>
      <c r="DV107" s="9">
        <v>59.547840129188998</v>
      </c>
      <c r="DW107" s="10">
        <v>269.16796942852164</v>
      </c>
      <c r="DX107" s="10">
        <v>196.16914381411084</v>
      </c>
      <c r="DY107" s="10">
        <v>82.425729081494083</v>
      </c>
      <c r="DZ107" s="10">
        <v>164.35331230284081</v>
      </c>
      <c r="EA107" s="10">
        <v>160.9939220593493</v>
      </c>
      <c r="EB107" s="10">
        <v>357.0024570024579</v>
      </c>
      <c r="EC107" s="11">
        <v>82.968056152414377</v>
      </c>
      <c r="ED107" s="9">
        <v>60.519902518278158</v>
      </c>
      <c r="EE107" s="10">
        <v>269.61622255739934</v>
      </c>
      <c r="EF107" s="10">
        <v>191.77149927820267</v>
      </c>
      <c r="EG107" s="10">
        <v>79.278941447474651</v>
      </c>
      <c r="EH107" s="10">
        <v>165.89361947617431</v>
      </c>
      <c r="EI107" s="10">
        <v>160.24955436720143</v>
      </c>
      <c r="EJ107" s="10">
        <v>362.68656716417911</v>
      </c>
      <c r="EK107" s="11">
        <v>81.822064056940548</v>
      </c>
      <c r="EM107" s="66"/>
      <c r="EN107" s="70"/>
      <c r="EO107" s="39" t="s">
        <v>26</v>
      </c>
      <c r="EP107" s="9">
        <v>411.18858954041218</v>
      </c>
      <c r="EQ107" s="10">
        <v>-32.841483979763865</v>
      </c>
      <c r="ER107" s="10">
        <v>1155.0458715596365</v>
      </c>
      <c r="ES107" s="10">
        <v>272.51721839591363</v>
      </c>
      <c r="ET107" s="10">
        <v>54.74434761411451</v>
      </c>
      <c r="EU107" s="10">
        <v>30.57002877362185</v>
      </c>
      <c r="EV107" s="10">
        <v>437.73584905660482</v>
      </c>
      <c r="EW107" s="11">
        <v>104.00000000000136</v>
      </c>
      <c r="EX107" s="9">
        <v>409.47930574098842</v>
      </c>
      <c r="EY107" s="10">
        <v>-33.400225761946572</v>
      </c>
      <c r="EZ107" s="10">
        <v>1149.9766027140861</v>
      </c>
      <c r="FA107" s="10">
        <v>268.13902127165142</v>
      </c>
      <c r="FB107" s="10">
        <v>55.538510706295909</v>
      </c>
      <c r="FC107" s="10">
        <v>25.33286615276819</v>
      </c>
      <c r="FD107" s="10">
        <v>437.73584905660482</v>
      </c>
      <c r="FE107" s="11">
        <v>102.31404958677687</v>
      </c>
    </row>
    <row r="108" spans="3:161" ht="28.8" x14ac:dyDescent="0.3">
      <c r="C108" s="66"/>
      <c r="D108" s="70" t="s">
        <v>27</v>
      </c>
      <c r="E108" s="40" t="s">
        <v>24</v>
      </c>
      <c r="F108" s="27">
        <v>5.32</v>
      </c>
      <c r="G108" s="28">
        <v>2.95</v>
      </c>
      <c r="H108" s="28">
        <v>4.8099999999999996</v>
      </c>
      <c r="I108" s="28">
        <v>3.68</v>
      </c>
      <c r="J108" s="28">
        <v>1.73</v>
      </c>
      <c r="K108" s="28">
        <v>5.0599999999999996</v>
      </c>
      <c r="L108" s="28">
        <v>1.74</v>
      </c>
      <c r="M108" s="29">
        <v>1.74</v>
      </c>
      <c r="N108" s="27">
        <v>5.32</v>
      </c>
      <c r="O108" s="28">
        <v>2.95</v>
      </c>
      <c r="P108" s="28">
        <v>4.8099999999999996</v>
      </c>
      <c r="Q108" s="28">
        <v>3.68</v>
      </c>
      <c r="R108" s="28">
        <v>1.73</v>
      </c>
      <c r="S108" s="28">
        <v>5.0599999999999996</v>
      </c>
      <c r="T108" s="28">
        <v>1.74</v>
      </c>
      <c r="U108" s="29">
        <v>1.74</v>
      </c>
      <c r="W108" s="66"/>
      <c r="X108" s="70" t="s">
        <v>27</v>
      </c>
      <c r="Y108" s="40" t="s">
        <v>24</v>
      </c>
      <c r="Z108" s="27">
        <v>4.25</v>
      </c>
      <c r="AA108" s="28">
        <v>3.34</v>
      </c>
      <c r="AB108" s="28">
        <v>4.45</v>
      </c>
      <c r="AC108" s="28">
        <v>4.1500000000000004</v>
      </c>
      <c r="AD108" s="28">
        <v>2.63</v>
      </c>
      <c r="AE108" s="28">
        <v>4.25</v>
      </c>
      <c r="AF108" s="28">
        <v>0.91</v>
      </c>
      <c r="AG108" s="29">
        <v>1.07</v>
      </c>
      <c r="AH108" s="27">
        <v>4.25</v>
      </c>
      <c r="AI108" s="28">
        <v>3.34</v>
      </c>
      <c r="AJ108" s="28">
        <v>4.45</v>
      </c>
      <c r="AK108" s="28">
        <v>4.1500000000000004</v>
      </c>
      <c r="AL108" s="28">
        <v>2.63</v>
      </c>
      <c r="AM108" s="28">
        <v>4.25</v>
      </c>
      <c r="AN108" s="28">
        <v>0.91</v>
      </c>
      <c r="AO108" s="29">
        <v>1.07</v>
      </c>
      <c r="AQ108" s="66"/>
      <c r="AR108" s="70" t="s">
        <v>27</v>
      </c>
      <c r="AS108" s="40" t="s">
        <v>24</v>
      </c>
      <c r="AT108" s="27">
        <v>2.99</v>
      </c>
      <c r="AU108" s="28"/>
      <c r="AV108" s="28">
        <v>5.28</v>
      </c>
      <c r="AW108" s="28">
        <v>5.69</v>
      </c>
      <c r="AX108" s="28">
        <v>4.22</v>
      </c>
      <c r="AY108" s="28">
        <v>4.3899999999999997</v>
      </c>
      <c r="AZ108" s="28">
        <v>1.62</v>
      </c>
      <c r="BA108" s="29">
        <v>2.44</v>
      </c>
      <c r="BB108" s="27">
        <v>2.99</v>
      </c>
      <c r="BC108" s="28"/>
      <c r="BD108" s="28">
        <v>5.28</v>
      </c>
      <c r="BE108" s="28">
        <v>5.69</v>
      </c>
      <c r="BF108" s="28">
        <v>4.22</v>
      </c>
      <c r="BG108" s="28">
        <v>4.3899999999999997</v>
      </c>
      <c r="BH108" s="28">
        <v>1.62</v>
      </c>
      <c r="BI108" s="29">
        <v>2.44</v>
      </c>
      <c r="BK108" s="66"/>
      <c r="BL108" s="70" t="s">
        <v>27</v>
      </c>
      <c r="BM108" s="40" t="s">
        <v>24</v>
      </c>
      <c r="BN108" s="27">
        <v>2.84</v>
      </c>
      <c r="BO108" s="28">
        <v>5.41</v>
      </c>
      <c r="BP108" s="28">
        <v>5.0999999999999996</v>
      </c>
      <c r="BQ108" s="28">
        <v>6.17</v>
      </c>
      <c r="BR108" s="28"/>
      <c r="BS108" s="28">
        <v>3.65</v>
      </c>
      <c r="BT108" s="28">
        <v>2.94</v>
      </c>
      <c r="BU108" s="29">
        <v>3.12</v>
      </c>
      <c r="BV108" s="27">
        <v>2.84</v>
      </c>
      <c r="BW108" s="28">
        <v>5.41</v>
      </c>
      <c r="BX108" s="28">
        <v>5.0999999999999996</v>
      </c>
      <c r="BY108" s="28">
        <v>6.17</v>
      </c>
      <c r="BZ108" s="28"/>
      <c r="CA108" s="28">
        <v>3.65</v>
      </c>
      <c r="CB108" s="28">
        <v>2.94</v>
      </c>
      <c r="CC108" s="29">
        <v>3.12</v>
      </c>
      <c r="CE108" s="66"/>
      <c r="CF108" s="70" t="s">
        <v>27</v>
      </c>
      <c r="CG108" s="40" t="s">
        <v>24</v>
      </c>
      <c r="CH108" s="27">
        <v>5.32</v>
      </c>
      <c r="CI108" s="28">
        <v>2.95</v>
      </c>
      <c r="CJ108" s="28">
        <v>4.8099999999999996</v>
      </c>
      <c r="CK108" s="28">
        <v>3.68</v>
      </c>
      <c r="CL108" s="28">
        <v>1.73</v>
      </c>
      <c r="CM108" s="28">
        <v>5.0599999999999996</v>
      </c>
      <c r="CN108" s="28">
        <v>1.74</v>
      </c>
      <c r="CO108" s="29">
        <v>1.74</v>
      </c>
      <c r="CP108" s="27">
        <v>5.32</v>
      </c>
      <c r="CQ108" s="28">
        <v>2.95</v>
      </c>
      <c r="CR108" s="28">
        <v>4.8099999999999996</v>
      </c>
      <c r="CS108" s="28">
        <v>3.68</v>
      </c>
      <c r="CT108" s="28">
        <v>1.73</v>
      </c>
      <c r="CU108" s="28">
        <v>5.0599999999999996</v>
      </c>
      <c r="CV108" s="28">
        <v>1.74</v>
      </c>
      <c r="CW108" s="29">
        <v>1.74</v>
      </c>
      <c r="CY108" s="66"/>
      <c r="CZ108" s="70" t="s">
        <v>27</v>
      </c>
      <c r="DA108" s="40" t="s">
        <v>24</v>
      </c>
      <c r="DB108" s="27">
        <v>4.25</v>
      </c>
      <c r="DC108" s="28">
        <v>3.34</v>
      </c>
      <c r="DD108" s="28">
        <v>4.45</v>
      </c>
      <c r="DE108" s="28">
        <v>4.1500000000000004</v>
      </c>
      <c r="DF108" s="28">
        <v>2.63</v>
      </c>
      <c r="DG108" s="28">
        <v>4.25</v>
      </c>
      <c r="DH108" s="28">
        <v>0.91</v>
      </c>
      <c r="DI108" s="29">
        <v>1.07</v>
      </c>
      <c r="DJ108" s="27">
        <v>4.25</v>
      </c>
      <c r="DK108" s="28">
        <v>3.34</v>
      </c>
      <c r="DL108" s="28">
        <v>4.45</v>
      </c>
      <c r="DM108" s="28">
        <v>4.1500000000000004</v>
      </c>
      <c r="DN108" s="28">
        <v>2.63</v>
      </c>
      <c r="DO108" s="28">
        <v>4.25</v>
      </c>
      <c r="DP108" s="28">
        <v>0.91</v>
      </c>
      <c r="DQ108" s="29">
        <v>1.07</v>
      </c>
      <c r="DS108" s="66"/>
      <c r="DT108" s="70" t="s">
        <v>27</v>
      </c>
      <c r="DU108" s="40" t="s">
        <v>24</v>
      </c>
      <c r="DV108" s="27">
        <v>2.99</v>
      </c>
      <c r="DW108" s="28">
        <v>4.18</v>
      </c>
      <c r="DX108" s="28">
        <v>5.28</v>
      </c>
      <c r="DY108" s="28">
        <v>5.69</v>
      </c>
      <c r="DZ108" s="28">
        <v>4.22</v>
      </c>
      <c r="EA108" s="28">
        <v>4.3899999999999997</v>
      </c>
      <c r="EB108" s="28">
        <v>1.62</v>
      </c>
      <c r="EC108" s="29">
        <v>2.44</v>
      </c>
      <c r="ED108" s="27">
        <v>2.99</v>
      </c>
      <c r="EE108" s="28">
        <v>4.18</v>
      </c>
      <c r="EF108" s="28">
        <v>5.28</v>
      </c>
      <c r="EG108" s="28">
        <v>5.69</v>
      </c>
      <c r="EH108" s="28">
        <v>4.22</v>
      </c>
      <c r="EI108" s="28">
        <v>4.3899999999999997</v>
      </c>
      <c r="EJ108" s="28">
        <v>1.62</v>
      </c>
      <c r="EK108" s="29">
        <v>2.44</v>
      </c>
      <c r="EM108" s="66"/>
      <c r="EN108" s="70" t="s">
        <v>27</v>
      </c>
      <c r="EO108" s="40" t="s">
        <v>24</v>
      </c>
      <c r="EP108" s="27">
        <v>2.84</v>
      </c>
      <c r="EQ108" s="28">
        <v>5.41</v>
      </c>
      <c r="ER108" s="28">
        <v>5.0999999999999996</v>
      </c>
      <c r="ES108" s="28">
        <v>6.17</v>
      </c>
      <c r="ET108" s="28">
        <v>5.33</v>
      </c>
      <c r="EU108" s="28">
        <v>3.65</v>
      </c>
      <c r="EV108" s="28">
        <v>2.94</v>
      </c>
      <c r="EW108" s="29">
        <v>3.12</v>
      </c>
      <c r="EX108" s="27">
        <v>2.84</v>
      </c>
      <c r="EY108" s="28">
        <v>5.41</v>
      </c>
      <c r="EZ108" s="28">
        <v>5.0999999999999996</v>
      </c>
      <c r="FA108" s="28">
        <v>6.17</v>
      </c>
      <c r="FB108" s="28">
        <v>5.33</v>
      </c>
      <c r="FC108" s="28">
        <v>3.65</v>
      </c>
      <c r="FD108" s="28">
        <v>2.94</v>
      </c>
      <c r="FE108" s="29">
        <v>3.12</v>
      </c>
    </row>
    <row r="109" spans="3:161" x14ac:dyDescent="0.3">
      <c r="C109" s="66"/>
      <c r="D109" s="70"/>
      <c r="E109" s="39" t="s">
        <v>25</v>
      </c>
      <c r="F109" s="9">
        <v>-0.62878289473686966</v>
      </c>
      <c r="G109" s="10">
        <v>0.15559485530548001</v>
      </c>
      <c r="H109" s="10">
        <v>0.36245791245789949</v>
      </c>
      <c r="I109" s="10">
        <v>0.10342192691030005</v>
      </c>
      <c r="J109" s="10">
        <v>9.1064516129039985E-2</v>
      </c>
      <c r="K109" s="10">
        <v>-0.33780327868854076</v>
      </c>
      <c r="L109" s="10">
        <v>-0.19462783171520992</v>
      </c>
      <c r="M109" s="11">
        <v>9.9015873015879885E-2</v>
      </c>
      <c r="N109" s="9">
        <v>-0.63088888888887951</v>
      </c>
      <c r="O109" s="10">
        <v>0.15408163265307007</v>
      </c>
      <c r="P109" s="10">
        <v>0.3429166666666692</v>
      </c>
      <c r="Q109" s="10">
        <v>9.2765957446810265E-2</v>
      </c>
      <c r="R109" s="10">
        <v>9.1702127659579968E-2</v>
      </c>
      <c r="S109" s="10">
        <v>-0.33711111111110004</v>
      </c>
      <c r="T109" s="10">
        <v>-0.19479166666666003</v>
      </c>
      <c r="U109" s="11">
        <v>9.9166666666669956E-2</v>
      </c>
      <c r="W109" s="66"/>
      <c r="X109" s="70"/>
      <c r="Y109" s="39" t="s">
        <v>25</v>
      </c>
      <c r="Z109" s="9">
        <v>-0.38184782608693979</v>
      </c>
      <c r="AA109" s="10">
        <v>-3.035175879397034E-2</v>
      </c>
      <c r="AB109" s="10">
        <v>0.13302083333333048</v>
      </c>
      <c r="AC109" s="10">
        <v>0.10831521739132022</v>
      </c>
      <c r="AD109" s="10">
        <v>0.10165775401069999</v>
      </c>
      <c r="AE109" s="10">
        <v>-0.16644067796609985</v>
      </c>
      <c r="AF109" s="10">
        <v>0.14156716417910398</v>
      </c>
      <c r="AG109" s="11">
        <v>0.16020725388601109</v>
      </c>
      <c r="AH109" s="9">
        <v>-0.36813953488371975</v>
      </c>
      <c r="AI109" s="10">
        <v>-2.9677419354829926E-2</v>
      </c>
      <c r="AJ109" s="10">
        <v>0.15111111111112052</v>
      </c>
      <c r="AK109" s="10">
        <v>0.12255319148937005</v>
      </c>
      <c r="AL109" s="10">
        <v>0.10195652173913983</v>
      </c>
      <c r="AM109" s="10">
        <v>-0.17044444444444018</v>
      </c>
      <c r="AN109" s="10">
        <v>0.14151515151515204</v>
      </c>
      <c r="AO109" s="11">
        <v>0.15857142857142903</v>
      </c>
      <c r="AQ109" s="66"/>
      <c r="AR109" s="70"/>
      <c r="AS109" s="39" t="s">
        <v>25</v>
      </c>
      <c r="AT109" s="9">
        <v>-1.3870967741929974E-2</v>
      </c>
      <c r="AU109" s="10"/>
      <c r="AV109" s="10">
        <v>-3.0483870967739968E-2</v>
      </c>
      <c r="AW109" s="10">
        <v>0.1260000000000101</v>
      </c>
      <c r="AX109" s="10">
        <v>-4.9491525423730032E-2</v>
      </c>
      <c r="AY109" s="10">
        <v>6.6249999999999254E-2</v>
      </c>
      <c r="AZ109" s="10">
        <v>-0.18031746031745</v>
      </c>
      <c r="BA109" s="11">
        <v>-1.953125E-2</v>
      </c>
      <c r="BB109" s="9">
        <v>-1.6842105263149776E-2</v>
      </c>
      <c r="BC109" s="10"/>
      <c r="BD109" s="10">
        <v>-3.6486486486479563E-2</v>
      </c>
      <c r="BE109" s="10">
        <v>4.6000000000000263E-2</v>
      </c>
      <c r="BF109" s="10">
        <v>-4.9999999999999822E-2</v>
      </c>
      <c r="BG109" s="10">
        <v>6.81578947368493E-2</v>
      </c>
      <c r="BH109" s="10">
        <v>-0.17684210526314992</v>
      </c>
      <c r="BI109" s="11">
        <v>-1.9210526315780019E-2</v>
      </c>
      <c r="BK109" s="66"/>
      <c r="BL109" s="70"/>
      <c r="BM109" s="39" t="s">
        <v>25</v>
      </c>
      <c r="BN109" s="9">
        <v>-1.8032786885240348E-2</v>
      </c>
      <c r="BO109" s="10">
        <v>-0.1837704918032701</v>
      </c>
      <c r="BP109" s="10">
        <v>9.0312499999999574E-2</v>
      </c>
      <c r="BQ109" s="10">
        <v>8.5573770491810031E-2</v>
      </c>
      <c r="BR109" s="10"/>
      <c r="BS109" s="10">
        <v>-2.7656249999989946E-2</v>
      </c>
      <c r="BT109" s="10">
        <v>-1.9032258064509922E-2</v>
      </c>
      <c r="BU109" s="11">
        <v>-0.21868852459015997</v>
      </c>
      <c r="BV109" s="9">
        <v>-1.7777777777770343E-2</v>
      </c>
      <c r="BW109" s="10">
        <v>-0.17916666666666003</v>
      </c>
      <c r="BX109" s="10">
        <v>9.2105263157900019E-2</v>
      </c>
      <c r="BY109" s="10">
        <v>0.10459459459459985</v>
      </c>
      <c r="BZ109" s="10"/>
      <c r="CA109" s="10">
        <v>-4.972972972973011E-2</v>
      </c>
      <c r="CB109" s="10">
        <v>-1.8571428571420245E-2</v>
      </c>
      <c r="CC109" s="11">
        <v>-0.21742857142856975</v>
      </c>
      <c r="CE109" s="66"/>
      <c r="CF109" s="70"/>
      <c r="CG109" s="39" t="s">
        <v>25</v>
      </c>
      <c r="CH109" s="9">
        <v>1.7860000000000005</v>
      </c>
      <c r="CI109" s="10">
        <v>0.70134615384616028</v>
      </c>
      <c r="CJ109" s="10">
        <v>2.9260869565217398</v>
      </c>
      <c r="CK109" s="10">
        <v>2.8551162790697671</v>
      </c>
      <c r="CL109" s="10">
        <v>-12.9678947368421</v>
      </c>
      <c r="CM109" s="10">
        <v>2.0564912280701795</v>
      </c>
      <c r="CN109" s="10">
        <v>0.55749999999999988</v>
      </c>
      <c r="CO109" s="11">
        <v>0.47254545454545993</v>
      </c>
      <c r="CP109" s="9">
        <v>1.6061224489795904</v>
      </c>
      <c r="CQ109" s="10">
        <v>0.72377358490566035</v>
      </c>
      <c r="CR109" s="10">
        <v>2.9321739130434796</v>
      </c>
      <c r="CS109" s="10">
        <v>2.83</v>
      </c>
      <c r="CT109" s="10">
        <v>-12.9632432432432</v>
      </c>
      <c r="CU109" s="10">
        <v>2.0575862068965498</v>
      </c>
      <c r="CV109" s="10">
        <v>0.55367346938776008</v>
      </c>
      <c r="CW109" s="11">
        <v>0.46071428571429007</v>
      </c>
      <c r="CY109" s="66"/>
      <c r="CZ109" s="70"/>
      <c r="DA109" s="39" t="s">
        <v>25</v>
      </c>
      <c r="DB109" s="9">
        <v>-46.287634408602173</v>
      </c>
      <c r="DC109" s="10">
        <v>-27.849600615753388</v>
      </c>
      <c r="DD109" s="10">
        <v>-150.86963997230569</v>
      </c>
      <c r="DE109" s="10">
        <v>-341.97348463490255</v>
      </c>
      <c r="DF109" s="10">
        <v>90.859606818019046</v>
      </c>
      <c r="DG109" s="10">
        <v>-64.219626168224536</v>
      </c>
      <c r="DH109" s="10">
        <v>-46.235877378435504</v>
      </c>
      <c r="DI109" s="11">
        <v>-36.213029694449013</v>
      </c>
      <c r="DJ109" s="9">
        <v>2.30964285714286</v>
      </c>
      <c r="DK109" s="10">
        <v>2.4227586206896561</v>
      </c>
      <c r="DL109" s="10">
        <v>4.1003448275862082</v>
      </c>
      <c r="DM109" s="10">
        <v>3.0863636363636404</v>
      </c>
      <c r="DN109" s="10">
        <v>1.0200000000000098</v>
      </c>
      <c r="DO109" s="10">
        <v>2.2306382978723498</v>
      </c>
      <c r="DP109" s="10">
        <v>0.75379310344827599</v>
      </c>
      <c r="DQ109" s="11">
        <v>0.91448275862069006</v>
      </c>
      <c r="DS109" s="66"/>
      <c r="DT109" s="70"/>
      <c r="DU109" s="39" t="s">
        <v>25</v>
      </c>
      <c r="DV109" s="9">
        <v>1.0846153846153903</v>
      </c>
      <c r="DW109" s="10">
        <v>3.0937735849056596</v>
      </c>
      <c r="DX109" s="10">
        <v>3.5107407407407503</v>
      </c>
      <c r="DY109" s="10">
        <v>2.5270689655172505</v>
      </c>
      <c r="DZ109" s="10">
        <v>2.6350000000000096</v>
      </c>
      <c r="EA109" s="10">
        <v>2.7117999999999998</v>
      </c>
      <c r="EB109" s="10">
        <v>1.2808333333333342</v>
      </c>
      <c r="EC109" s="11">
        <v>1.12283018867925</v>
      </c>
      <c r="ED109" s="9">
        <v>1.0961538461538503</v>
      </c>
      <c r="EE109" s="10">
        <v>3.09509090909091</v>
      </c>
      <c r="EF109" s="10">
        <v>3.4840740740740803</v>
      </c>
      <c r="EG109" s="10">
        <v>2.4715517241379406</v>
      </c>
      <c r="EH109" s="10">
        <v>2.6441818181818197</v>
      </c>
      <c r="EI109" s="10">
        <v>2.7069999999999999</v>
      </c>
      <c r="EJ109" s="10">
        <v>1.2850000000000001</v>
      </c>
      <c r="EK109" s="11">
        <v>1.1145283018868</v>
      </c>
      <c r="EM109" s="66"/>
      <c r="EN109" s="70"/>
      <c r="EO109" s="39" t="s">
        <v>25</v>
      </c>
      <c r="EP109" s="9">
        <v>2.2766071428571428</v>
      </c>
      <c r="EQ109" s="10">
        <v>-2.4966666666666599</v>
      </c>
      <c r="ER109" s="10">
        <v>4.6984210526315797</v>
      </c>
      <c r="ES109" s="10">
        <v>4.5029629629629699</v>
      </c>
      <c r="ET109" s="10">
        <v>1.9114583333333401</v>
      </c>
      <c r="EU109" s="10">
        <v>0.85456521739130986</v>
      </c>
      <c r="EV109" s="10">
        <v>2.410000000000001</v>
      </c>
      <c r="EW109" s="11">
        <v>1.6200000000000101</v>
      </c>
      <c r="EX109" s="9">
        <v>2.2747169811320758</v>
      </c>
      <c r="EY109" s="10">
        <v>-2.5629999999999997</v>
      </c>
      <c r="EZ109" s="10">
        <v>4.6967924528301888</v>
      </c>
      <c r="FA109" s="10">
        <v>4.4831372549019699</v>
      </c>
      <c r="FB109" s="10">
        <v>1.9289130434782602</v>
      </c>
      <c r="FC109" s="10">
        <v>0.73775510204081973</v>
      </c>
      <c r="FD109" s="10">
        <v>2.410000000000001</v>
      </c>
      <c r="FE109" s="11">
        <v>1.6075000000000002</v>
      </c>
    </row>
    <row r="110" spans="3:161" x14ac:dyDescent="0.3">
      <c r="C110" s="66"/>
      <c r="D110" s="70"/>
      <c r="E110" s="39" t="s">
        <v>26</v>
      </c>
      <c r="F110" s="9">
        <v>-10.569941883291445</v>
      </c>
      <c r="G110" s="10">
        <v>5.5680850574188794</v>
      </c>
      <c r="H110" s="10">
        <v>8.1496229900369332</v>
      </c>
      <c r="I110" s="10">
        <v>2.8916446054526332</v>
      </c>
      <c r="J110" s="10">
        <v>5.5563209793931012</v>
      </c>
      <c r="K110" s="10">
        <v>-6.258162093869676</v>
      </c>
      <c r="L110" s="10">
        <v>-10.060220809635309</v>
      </c>
      <c r="M110" s="11">
        <v>6.0339324060285726</v>
      </c>
      <c r="N110" s="9">
        <v>-10.601590798760082</v>
      </c>
      <c r="O110" s="10">
        <v>5.5109489051098217</v>
      </c>
      <c r="P110" s="10">
        <v>7.6765227124336031</v>
      </c>
      <c r="Q110" s="10">
        <v>2.5860023724792911</v>
      </c>
      <c r="R110" s="10">
        <v>5.5974025974029518</v>
      </c>
      <c r="S110" s="10">
        <v>-6.2461399102398545</v>
      </c>
      <c r="T110" s="10">
        <v>-10.067836761063544</v>
      </c>
      <c r="U110" s="11">
        <v>6.0436769933978765</v>
      </c>
      <c r="W110" s="66"/>
      <c r="X110" s="70"/>
      <c r="Y110" s="39" t="s">
        <v>26</v>
      </c>
      <c r="Z110" s="9">
        <v>-8.2439631098487762</v>
      </c>
      <c r="AA110" s="10">
        <v>-0.90055166244223905</v>
      </c>
      <c r="AB110" s="10">
        <v>3.0813406365368619</v>
      </c>
      <c r="AC110" s="10">
        <v>2.6799521293050677</v>
      </c>
      <c r="AD110" s="10">
        <v>4.0207275803724487</v>
      </c>
      <c r="AE110" s="10">
        <v>-3.768661012395861</v>
      </c>
      <c r="AF110" s="10">
        <v>18.422841604350705</v>
      </c>
      <c r="AG110" s="11">
        <v>17.609203257588792</v>
      </c>
      <c r="AH110" s="9">
        <v>-7.9715983482727122</v>
      </c>
      <c r="AI110" s="10">
        <v>-0.88071989278166785</v>
      </c>
      <c r="AJ110" s="10">
        <v>3.5151201860948245</v>
      </c>
      <c r="AK110" s="10">
        <v>3.0429499709442673</v>
      </c>
      <c r="AL110" s="10">
        <v>4.0330208960361595</v>
      </c>
      <c r="AM110" s="10">
        <v>-3.8558214357529734</v>
      </c>
      <c r="AN110" s="10">
        <v>18.414826498422794</v>
      </c>
      <c r="AO110" s="11">
        <v>17.398119122257111</v>
      </c>
      <c r="AQ110" s="66"/>
      <c r="AR110" s="70"/>
      <c r="AS110" s="39" t="s">
        <v>26</v>
      </c>
      <c r="AT110" s="9">
        <v>-0.46176975944998916</v>
      </c>
      <c r="AU110" s="10"/>
      <c r="AV110" s="10">
        <v>-0.57403189066055538</v>
      </c>
      <c r="AW110" s="10">
        <v>2.2645578720346933</v>
      </c>
      <c r="AX110" s="10">
        <v>-1.1591901548233707</v>
      </c>
      <c r="AY110" s="10">
        <v>1.5322347499277074</v>
      </c>
      <c r="AZ110" s="10">
        <v>-10.015870216892447</v>
      </c>
      <c r="BA110" s="11">
        <v>-0.79410456768947335</v>
      </c>
      <c r="BB110" s="9">
        <v>-0.56012602835611169</v>
      </c>
      <c r="BC110" s="10"/>
      <c r="BD110" s="10">
        <v>-0.68628946164391524</v>
      </c>
      <c r="BE110" s="10">
        <v>0.81502480510276865</v>
      </c>
      <c r="BF110" s="10">
        <v>-1.1709601873536259</v>
      </c>
      <c r="BG110" s="10">
        <v>1.5770565670098509</v>
      </c>
      <c r="BH110" s="10">
        <v>-9.8418277680136583</v>
      </c>
      <c r="BI110" s="11">
        <v>-0.7811663991435458</v>
      </c>
      <c r="BK110" s="66"/>
      <c r="BL110" s="70"/>
      <c r="BM110" s="39" t="s">
        <v>26</v>
      </c>
      <c r="BN110" s="9">
        <v>-0.63095101525734976</v>
      </c>
      <c r="BO110" s="10">
        <v>-3.2852704999705447</v>
      </c>
      <c r="BP110" s="10">
        <v>1.8027571580063542</v>
      </c>
      <c r="BQ110" s="10">
        <v>1.4064394449684543</v>
      </c>
      <c r="BR110" s="10"/>
      <c r="BS110" s="10">
        <v>-0.75200747758820641</v>
      </c>
      <c r="BT110" s="10">
        <v>-0.64319197645242432</v>
      </c>
      <c r="BU110" s="11">
        <v>-6.550132573897562</v>
      </c>
      <c r="BV110" s="9">
        <v>-0.62208398133722198</v>
      </c>
      <c r="BW110" s="10">
        <v>-3.2056060831965452</v>
      </c>
      <c r="BX110" s="10">
        <v>1.8392012611666866</v>
      </c>
      <c r="BY110" s="10">
        <v>1.724445236610016</v>
      </c>
      <c r="BZ110" s="10"/>
      <c r="CA110" s="10">
        <v>-1.3441449338885338</v>
      </c>
      <c r="CB110" s="10">
        <v>-0.62771607918851802</v>
      </c>
      <c r="CC110" s="11">
        <v>-6.5148531803783456</v>
      </c>
      <c r="CE110" s="66"/>
      <c r="CF110" s="70"/>
      <c r="CG110" s="39" t="s">
        <v>26</v>
      </c>
      <c r="CH110" s="9">
        <v>50.537634408602173</v>
      </c>
      <c r="CI110" s="10">
        <v>31.189600615753388</v>
      </c>
      <c r="CJ110" s="10">
        <v>155.31963997230568</v>
      </c>
      <c r="CK110" s="10">
        <v>346.12348463490252</v>
      </c>
      <c r="CL110" s="10">
        <v>-88.22960681801905</v>
      </c>
      <c r="CM110" s="10">
        <v>68.469626168224536</v>
      </c>
      <c r="CN110" s="10">
        <v>47.1458773784355</v>
      </c>
      <c r="CO110" s="11">
        <v>37.283029694449013</v>
      </c>
      <c r="CP110" s="9">
        <v>43.246510605560992</v>
      </c>
      <c r="CQ110" s="10">
        <v>32.51122976523434</v>
      </c>
      <c r="CR110" s="10">
        <v>156.14725630933108</v>
      </c>
      <c r="CS110" s="10">
        <v>332.94117647058823</v>
      </c>
      <c r="CT110" s="10">
        <v>-88.225880621723491</v>
      </c>
      <c r="CU110" s="10">
        <v>68.531066957620197</v>
      </c>
      <c r="CV110" s="10">
        <v>46.671254085670668</v>
      </c>
      <c r="CW110" s="11">
        <v>36.013400335008839</v>
      </c>
      <c r="CY110" s="66"/>
      <c r="CZ110" s="70"/>
      <c r="DA110" s="39" t="s">
        <v>26</v>
      </c>
      <c r="DB110" s="9">
        <v>-91.590425531914903</v>
      </c>
      <c r="DC110" s="10">
        <v>-89.291302440362074</v>
      </c>
      <c r="DD110" s="10">
        <v>-97.134940564635968</v>
      </c>
      <c r="DE110" s="10">
        <v>-98.801005946078035</v>
      </c>
      <c r="DF110" s="10">
        <v>-102.98085880108769</v>
      </c>
      <c r="DG110" s="10">
        <v>-93.792868111243834</v>
      </c>
      <c r="DH110" s="10">
        <v>-98.069820627802699</v>
      </c>
      <c r="DI110" s="11">
        <v>-97.130061562139332</v>
      </c>
      <c r="DJ110" s="9">
        <v>119.03184244432205</v>
      </c>
      <c r="DK110" s="10">
        <v>264.13533834586497</v>
      </c>
      <c r="DL110" s="10">
        <v>1172.682445759373</v>
      </c>
      <c r="DM110" s="10">
        <v>290.17094017094161</v>
      </c>
      <c r="DN110" s="10">
        <v>63.354037267081743</v>
      </c>
      <c r="DO110" s="10">
        <v>110.46254346222835</v>
      </c>
      <c r="DP110" s="10">
        <v>482.56070640176648</v>
      </c>
      <c r="DQ110" s="11">
        <v>588.02660753880423</v>
      </c>
      <c r="DS110" s="66"/>
      <c r="DT110" s="70"/>
      <c r="DU110" s="39" t="s">
        <v>26</v>
      </c>
      <c r="DV110" s="9">
        <v>56.92369802180103</v>
      </c>
      <c r="DW110" s="10">
        <v>284.81848184818466</v>
      </c>
      <c r="DX110" s="10">
        <v>198.42997697299717</v>
      </c>
      <c r="DY110" s="10">
        <v>79.896429544835613</v>
      </c>
      <c r="DZ110" s="10">
        <v>166.24605678233604</v>
      </c>
      <c r="EA110" s="10">
        <v>161.58979859373136</v>
      </c>
      <c r="EB110" s="10">
        <v>377.64127764127863</v>
      </c>
      <c r="EC110" s="11">
        <v>85.245666809913288</v>
      </c>
      <c r="ED110" s="9">
        <v>57.879772542648588</v>
      </c>
      <c r="EE110" s="10">
        <v>285.28573822691504</v>
      </c>
      <c r="EF110" s="10">
        <v>193.99876263147141</v>
      </c>
      <c r="EG110" s="10">
        <v>76.793271548722856</v>
      </c>
      <c r="EH110" s="10">
        <v>167.7973924079846</v>
      </c>
      <c r="EI110" s="10">
        <v>160.84373143196672</v>
      </c>
      <c r="EJ110" s="10">
        <v>383.58208955223881</v>
      </c>
      <c r="EK110" s="11">
        <v>84.08540925267009</v>
      </c>
      <c r="EM110" s="66"/>
      <c r="EN110" s="70"/>
      <c r="EO110" s="39" t="s">
        <v>26</v>
      </c>
      <c r="EP110" s="9">
        <v>404.08874801901754</v>
      </c>
      <c r="EQ110" s="10">
        <v>-31.576728499156768</v>
      </c>
      <c r="ER110" s="10">
        <v>1169.9868938401082</v>
      </c>
      <c r="ES110" s="10">
        <v>270.11775161075474</v>
      </c>
      <c r="ET110" s="10">
        <v>55.914437199098366</v>
      </c>
      <c r="EU110" s="10">
        <v>30.57002877362185</v>
      </c>
      <c r="EV110" s="10">
        <v>454.71698113207646</v>
      </c>
      <c r="EW110" s="11">
        <v>108.00000000000138</v>
      </c>
      <c r="EX110" s="9">
        <v>402.40320427236361</v>
      </c>
      <c r="EY110" s="10">
        <v>-32.145992725448387</v>
      </c>
      <c r="EZ110" s="10">
        <v>1164.8572765559204</v>
      </c>
      <c r="FA110" s="10">
        <v>265.76775543415289</v>
      </c>
      <c r="FB110" s="10">
        <v>56.714605305209297</v>
      </c>
      <c r="FC110" s="10">
        <v>25.33286615276819</v>
      </c>
      <c r="FD110" s="10">
        <v>454.71698113207646</v>
      </c>
      <c r="FE110" s="11">
        <v>106.2809917355372</v>
      </c>
    </row>
    <row r="111" spans="3:161" ht="28.8" x14ac:dyDescent="0.3">
      <c r="C111" s="66"/>
      <c r="D111" s="70" t="s">
        <v>28</v>
      </c>
      <c r="E111" s="40" t="s">
        <v>24</v>
      </c>
      <c r="F111" s="27">
        <v>5.28</v>
      </c>
      <c r="G111" s="28">
        <v>2.98</v>
      </c>
      <c r="H111" s="28">
        <v>4.83</v>
      </c>
      <c r="I111" s="28">
        <v>3.71</v>
      </c>
      <c r="J111" s="28">
        <v>1.74</v>
      </c>
      <c r="K111" s="28">
        <v>5.14</v>
      </c>
      <c r="L111" s="28">
        <v>1.7</v>
      </c>
      <c r="M111" s="29">
        <v>1.73</v>
      </c>
      <c r="N111" s="27">
        <v>5.28</v>
      </c>
      <c r="O111" s="28">
        <v>2.98</v>
      </c>
      <c r="P111" s="28">
        <v>4.83</v>
      </c>
      <c r="Q111" s="28">
        <v>3.71</v>
      </c>
      <c r="R111" s="28">
        <v>1.74</v>
      </c>
      <c r="S111" s="28">
        <v>5.14</v>
      </c>
      <c r="T111" s="28">
        <v>1.7</v>
      </c>
      <c r="U111" s="29">
        <v>1.73</v>
      </c>
      <c r="W111" s="66"/>
      <c r="X111" s="70" t="s">
        <v>28</v>
      </c>
      <c r="Y111" s="40" t="s">
        <v>24</v>
      </c>
      <c r="Z111" s="27">
        <v>4.24</v>
      </c>
      <c r="AA111" s="28">
        <v>3.37</v>
      </c>
      <c r="AB111" s="28">
        <v>4.49</v>
      </c>
      <c r="AC111" s="28">
        <v>4.1900000000000004</v>
      </c>
      <c r="AD111" s="28">
        <v>2.66</v>
      </c>
      <c r="AE111" s="28">
        <v>4.3</v>
      </c>
      <c r="AF111" s="28">
        <v>0.87</v>
      </c>
      <c r="AG111" s="29">
        <v>1.05</v>
      </c>
      <c r="AH111" s="27">
        <v>4.24</v>
      </c>
      <c r="AI111" s="28">
        <v>3.37</v>
      </c>
      <c r="AJ111" s="28">
        <v>4.49</v>
      </c>
      <c r="AK111" s="28">
        <v>4.1900000000000004</v>
      </c>
      <c r="AL111" s="28">
        <v>2.66</v>
      </c>
      <c r="AM111" s="28">
        <v>4.3</v>
      </c>
      <c r="AN111" s="28">
        <v>0.87</v>
      </c>
      <c r="AO111" s="29">
        <v>1.05</v>
      </c>
      <c r="AQ111" s="66"/>
      <c r="AR111" s="70" t="s">
        <v>28</v>
      </c>
      <c r="AS111" s="40" t="s">
        <v>24</v>
      </c>
      <c r="AT111" s="27">
        <v>2.99</v>
      </c>
      <c r="AU111" s="28"/>
      <c r="AV111" s="28">
        <v>5.3</v>
      </c>
      <c r="AW111" s="28">
        <v>5.73</v>
      </c>
      <c r="AX111" s="28">
        <v>4.24</v>
      </c>
      <c r="AY111" s="28">
        <v>4.45</v>
      </c>
      <c r="AZ111" s="28">
        <v>1.61</v>
      </c>
      <c r="BA111" s="29">
        <v>2.42</v>
      </c>
      <c r="BB111" s="27">
        <v>2.99</v>
      </c>
      <c r="BC111" s="28"/>
      <c r="BD111" s="28">
        <v>5.3</v>
      </c>
      <c r="BE111" s="28">
        <v>5.73</v>
      </c>
      <c r="BF111" s="28">
        <v>4.24</v>
      </c>
      <c r="BG111" s="28">
        <v>4.45</v>
      </c>
      <c r="BH111" s="28">
        <v>1.61</v>
      </c>
      <c r="BI111" s="29">
        <v>2.42</v>
      </c>
      <c r="BK111" s="66"/>
      <c r="BL111" s="70" t="s">
        <v>28</v>
      </c>
      <c r="BM111" s="40" t="s">
        <v>24</v>
      </c>
      <c r="BN111" s="27">
        <v>2.88</v>
      </c>
      <c r="BO111" s="28">
        <v>5.38</v>
      </c>
      <c r="BP111" s="28">
        <v>5.0999999999999996</v>
      </c>
      <c r="BQ111" s="28">
        <v>6.21</v>
      </c>
      <c r="BR111" s="28"/>
      <c r="BS111" s="28">
        <v>3.71</v>
      </c>
      <c r="BT111" s="28">
        <v>2.87</v>
      </c>
      <c r="BU111" s="29">
        <v>3.05</v>
      </c>
      <c r="BV111" s="27">
        <v>2.88</v>
      </c>
      <c r="BW111" s="28">
        <v>5.38</v>
      </c>
      <c r="BX111" s="28">
        <v>5.0999999999999996</v>
      </c>
      <c r="BY111" s="28">
        <v>6.21</v>
      </c>
      <c r="BZ111" s="28"/>
      <c r="CA111" s="28">
        <v>3.71</v>
      </c>
      <c r="CB111" s="28">
        <v>2.87</v>
      </c>
      <c r="CC111" s="29">
        <v>3.05</v>
      </c>
      <c r="CE111" s="66"/>
      <c r="CF111" s="70" t="s">
        <v>28</v>
      </c>
      <c r="CG111" s="40" t="s">
        <v>24</v>
      </c>
      <c r="CH111" s="27">
        <v>5.28</v>
      </c>
      <c r="CI111" s="28">
        <v>2.98</v>
      </c>
      <c r="CJ111" s="28">
        <v>4.83</v>
      </c>
      <c r="CK111" s="28">
        <v>3.71</v>
      </c>
      <c r="CL111" s="28">
        <v>1.74</v>
      </c>
      <c r="CM111" s="28">
        <v>5.14</v>
      </c>
      <c r="CN111" s="28">
        <v>1.7</v>
      </c>
      <c r="CO111" s="29">
        <v>1.73</v>
      </c>
      <c r="CP111" s="27">
        <v>5.28</v>
      </c>
      <c r="CQ111" s="28">
        <v>2.98</v>
      </c>
      <c r="CR111" s="28">
        <v>4.83</v>
      </c>
      <c r="CS111" s="28">
        <v>3.71</v>
      </c>
      <c r="CT111" s="28">
        <v>1.74</v>
      </c>
      <c r="CU111" s="28">
        <v>5.14</v>
      </c>
      <c r="CV111" s="28">
        <v>1.7</v>
      </c>
      <c r="CW111" s="29">
        <v>1.73</v>
      </c>
      <c r="CY111" s="66"/>
      <c r="CZ111" s="70" t="s">
        <v>28</v>
      </c>
      <c r="DA111" s="40" t="s">
        <v>24</v>
      </c>
      <c r="DB111" s="27">
        <v>4.24</v>
      </c>
      <c r="DC111" s="28">
        <v>3.37</v>
      </c>
      <c r="DD111" s="28">
        <v>4.49</v>
      </c>
      <c r="DE111" s="28">
        <v>4.1900000000000004</v>
      </c>
      <c r="DF111" s="28">
        <v>2.66</v>
      </c>
      <c r="DG111" s="28">
        <v>4.3</v>
      </c>
      <c r="DH111" s="28">
        <v>0.87</v>
      </c>
      <c r="DI111" s="29">
        <v>1.05</v>
      </c>
      <c r="DJ111" s="27">
        <v>4.24</v>
      </c>
      <c r="DK111" s="28">
        <v>3.37</v>
      </c>
      <c r="DL111" s="28">
        <v>4.49</v>
      </c>
      <c r="DM111" s="28">
        <v>4.1900000000000004</v>
      </c>
      <c r="DN111" s="28">
        <v>2.66</v>
      </c>
      <c r="DO111" s="28">
        <v>4.3</v>
      </c>
      <c r="DP111" s="28">
        <v>0.87</v>
      </c>
      <c r="DQ111" s="29">
        <v>1.05</v>
      </c>
      <c r="DS111" s="66"/>
      <c r="DT111" s="70" t="s">
        <v>28</v>
      </c>
      <c r="DU111" s="40" t="s">
        <v>24</v>
      </c>
      <c r="DV111" s="27">
        <v>2.99</v>
      </c>
      <c r="DW111" s="28">
        <v>4.1900000000000004</v>
      </c>
      <c r="DX111" s="28">
        <v>5.3</v>
      </c>
      <c r="DY111" s="28">
        <v>5.73</v>
      </c>
      <c r="DZ111" s="28">
        <v>4.24</v>
      </c>
      <c r="EA111" s="28">
        <v>4.45</v>
      </c>
      <c r="EB111" s="28">
        <v>1.61</v>
      </c>
      <c r="EC111" s="29">
        <v>2.42</v>
      </c>
      <c r="ED111" s="27">
        <v>2.99</v>
      </c>
      <c r="EE111" s="28">
        <v>4.1900000000000004</v>
      </c>
      <c r="EF111" s="28">
        <v>5.3</v>
      </c>
      <c r="EG111" s="28">
        <v>5.73</v>
      </c>
      <c r="EH111" s="28">
        <v>4.24</v>
      </c>
      <c r="EI111" s="28">
        <v>4.45</v>
      </c>
      <c r="EJ111" s="28">
        <v>1.61</v>
      </c>
      <c r="EK111" s="29">
        <v>2.42</v>
      </c>
      <c r="EM111" s="66"/>
      <c r="EN111" s="70" t="s">
        <v>28</v>
      </c>
      <c r="EO111" s="40" t="s">
        <v>24</v>
      </c>
      <c r="EP111" s="27">
        <v>2.88</v>
      </c>
      <c r="EQ111" s="28">
        <v>5.38</v>
      </c>
      <c r="ER111" s="28">
        <v>5.0999999999999996</v>
      </c>
      <c r="ES111" s="28">
        <v>6.21</v>
      </c>
      <c r="ET111" s="28">
        <v>5.33</v>
      </c>
      <c r="EU111" s="28">
        <v>3.71</v>
      </c>
      <c r="EV111" s="28">
        <v>2.87</v>
      </c>
      <c r="EW111" s="29">
        <v>3.05</v>
      </c>
      <c r="EX111" s="27">
        <v>2.88</v>
      </c>
      <c r="EY111" s="28">
        <v>5.38</v>
      </c>
      <c r="EZ111" s="28">
        <v>5.0999999999999996</v>
      </c>
      <c r="FA111" s="28">
        <v>6.21</v>
      </c>
      <c r="FB111" s="28">
        <v>5.33</v>
      </c>
      <c r="FC111" s="28">
        <v>3.71</v>
      </c>
      <c r="FD111" s="28">
        <v>2.87</v>
      </c>
      <c r="FE111" s="29">
        <v>3.05</v>
      </c>
    </row>
    <row r="112" spans="3:161" x14ac:dyDescent="0.3">
      <c r="C112" s="66"/>
      <c r="D112" s="70"/>
      <c r="E112" s="39" t="s">
        <v>25</v>
      </c>
      <c r="F112" s="9">
        <v>-0.66878289473686969</v>
      </c>
      <c r="G112" s="10">
        <v>0.18559485530547981</v>
      </c>
      <c r="H112" s="10">
        <v>0.38245791245789995</v>
      </c>
      <c r="I112" s="10">
        <v>0.13342192691029986</v>
      </c>
      <c r="J112" s="10">
        <v>0.10106451612903999</v>
      </c>
      <c r="K112" s="10">
        <v>-0.25780327868854069</v>
      </c>
      <c r="L112" s="10">
        <v>-0.23462783171520996</v>
      </c>
      <c r="M112" s="11">
        <v>8.9015873015879876E-2</v>
      </c>
      <c r="N112" s="9">
        <v>-0.67088888888887954</v>
      </c>
      <c r="O112" s="10">
        <v>0.18408163265306987</v>
      </c>
      <c r="P112" s="10">
        <v>0.36291666666666966</v>
      </c>
      <c r="Q112" s="10">
        <v>0.12276595744681007</v>
      </c>
      <c r="R112" s="10">
        <v>0.10170212765957998</v>
      </c>
      <c r="S112" s="10">
        <v>-0.25711111111109997</v>
      </c>
      <c r="T112" s="10">
        <v>-0.23479166666666007</v>
      </c>
      <c r="U112" s="11">
        <v>8.9166666666669947E-2</v>
      </c>
      <c r="W112" s="66"/>
      <c r="X112" s="70"/>
      <c r="Y112" s="39" t="s">
        <v>25</v>
      </c>
      <c r="Z112" s="9">
        <v>-0.39184782608693958</v>
      </c>
      <c r="AA112" s="10">
        <v>-3.5175879397009169E-4</v>
      </c>
      <c r="AB112" s="10">
        <v>0.17302083333333051</v>
      </c>
      <c r="AC112" s="10">
        <v>0.14831521739132025</v>
      </c>
      <c r="AD112" s="10">
        <v>0.13165775401070023</v>
      </c>
      <c r="AE112" s="10">
        <v>-0.11644067796610003</v>
      </c>
      <c r="AF112" s="10">
        <v>0.10156716417910394</v>
      </c>
      <c r="AG112" s="11">
        <v>0.14020725388601107</v>
      </c>
      <c r="AH112" s="9">
        <v>-0.37813953488371954</v>
      </c>
      <c r="AI112" s="10">
        <v>3.2258064517032281E-4</v>
      </c>
      <c r="AJ112" s="10">
        <v>0.19111111111112056</v>
      </c>
      <c r="AK112" s="10">
        <v>0.16255319148937009</v>
      </c>
      <c r="AL112" s="10">
        <v>0.13195652173914008</v>
      </c>
      <c r="AM112" s="10">
        <v>-0.12044444444444036</v>
      </c>
      <c r="AN112" s="10">
        <v>0.101515151515152</v>
      </c>
      <c r="AO112" s="11">
        <v>0.13857142857142901</v>
      </c>
      <c r="AQ112" s="66"/>
      <c r="AR112" s="70"/>
      <c r="AS112" s="39" t="s">
        <v>25</v>
      </c>
      <c r="AT112" s="9">
        <v>-1.3870967741929974E-2</v>
      </c>
      <c r="AU112" s="10"/>
      <c r="AV112" s="10">
        <v>-1.0483870967740394E-2</v>
      </c>
      <c r="AW112" s="10">
        <v>0.16600000000001014</v>
      </c>
      <c r="AX112" s="10">
        <v>-2.949152542372957E-2</v>
      </c>
      <c r="AY112" s="10">
        <v>0.12624999999999975</v>
      </c>
      <c r="AZ112" s="10">
        <v>-0.19031746031745</v>
      </c>
      <c r="BA112" s="11">
        <v>-3.9531250000000018E-2</v>
      </c>
      <c r="BB112" s="9">
        <v>-1.6842105263149776E-2</v>
      </c>
      <c r="BC112" s="10"/>
      <c r="BD112" s="10">
        <v>-1.648648648647999E-2</v>
      </c>
      <c r="BE112" s="10">
        <v>8.6000000000000298E-2</v>
      </c>
      <c r="BF112" s="10">
        <v>-2.9999999999999361E-2</v>
      </c>
      <c r="BG112" s="10">
        <v>0.1281578947368498</v>
      </c>
      <c r="BH112" s="10">
        <v>-0.18684210526314993</v>
      </c>
      <c r="BI112" s="11">
        <v>-3.9210526315780037E-2</v>
      </c>
      <c r="BK112" s="66"/>
      <c r="BL112" s="70"/>
      <c r="BM112" s="39" t="s">
        <v>25</v>
      </c>
      <c r="BN112" s="9">
        <v>2.1967213114759687E-2</v>
      </c>
      <c r="BO112" s="10">
        <v>-0.21377049180327035</v>
      </c>
      <c r="BP112" s="10">
        <v>9.0312499999999574E-2</v>
      </c>
      <c r="BQ112" s="10">
        <v>0.12557377049181007</v>
      </c>
      <c r="BR112" s="10"/>
      <c r="BS112" s="10">
        <v>3.2343750000010107E-2</v>
      </c>
      <c r="BT112" s="10">
        <v>-8.9032258064509762E-2</v>
      </c>
      <c r="BU112" s="11">
        <v>-0.28868852459016026</v>
      </c>
      <c r="BV112" s="9">
        <v>2.2222222222229693E-2</v>
      </c>
      <c r="BW112" s="10">
        <v>-0.20916666666666028</v>
      </c>
      <c r="BX112" s="10">
        <v>9.2105263157900019E-2</v>
      </c>
      <c r="BY112" s="10">
        <v>0.14459459459459989</v>
      </c>
      <c r="BZ112" s="10"/>
      <c r="CA112" s="10">
        <v>1.0270270270269943E-2</v>
      </c>
      <c r="CB112" s="10">
        <v>-8.8571428571420086E-2</v>
      </c>
      <c r="CC112" s="11">
        <v>-0.28742857142857003</v>
      </c>
      <c r="CE112" s="66"/>
      <c r="CF112" s="70"/>
      <c r="CG112" s="39" t="s">
        <v>25</v>
      </c>
      <c r="CH112" s="9">
        <v>1.7460000000000004</v>
      </c>
      <c r="CI112" s="10">
        <v>0.73134615384616009</v>
      </c>
      <c r="CJ112" s="10">
        <v>2.9460869565217402</v>
      </c>
      <c r="CK112" s="10">
        <v>2.8851162790697669</v>
      </c>
      <c r="CL112" s="10">
        <v>-12.9578947368421</v>
      </c>
      <c r="CM112" s="10">
        <v>2.1364912280701795</v>
      </c>
      <c r="CN112" s="10">
        <v>0.51749999999999985</v>
      </c>
      <c r="CO112" s="11">
        <v>0.46254545454545992</v>
      </c>
      <c r="CP112" s="9">
        <v>1.5661224489795904</v>
      </c>
      <c r="CQ112" s="10">
        <v>0.75377358490566015</v>
      </c>
      <c r="CR112" s="10">
        <v>2.9521739130434801</v>
      </c>
      <c r="CS112" s="10">
        <v>2.86</v>
      </c>
      <c r="CT112" s="10">
        <v>-12.9532432432432</v>
      </c>
      <c r="CU112" s="10">
        <v>2.1375862068965499</v>
      </c>
      <c r="CV112" s="10">
        <v>0.51367346938776004</v>
      </c>
      <c r="CW112" s="11">
        <v>0.45071428571429006</v>
      </c>
      <c r="CY112" s="66"/>
      <c r="CZ112" s="70"/>
      <c r="DA112" s="39" t="s">
        <v>25</v>
      </c>
      <c r="DB112" s="9">
        <v>2.2960714285714303</v>
      </c>
      <c r="DC112" s="10">
        <v>2.47842105263158</v>
      </c>
      <c r="DD112" s="10">
        <v>4.1403448275862083</v>
      </c>
      <c r="DE112" s="10">
        <v>3.1238095238095305</v>
      </c>
      <c r="DF112" s="10">
        <v>1.05000000000001</v>
      </c>
      <c r="DG112" s="10">
        <v>2.41</v>
      </c>
      <c r="DH112" s="10">
        <v>0.71298245614035105</v>
      </c>
      <c r="DI112" s="11">
        <v>0.89350877192982503</v>
      </c>
      <c r="DJ112" s="9">
        <v>2.2996428571428602</v>
      </c>
      <c r="DK112" s="10">
        <v>2.4527586206896563</v>
      </c>
      <c r="DL112" s="10">
        <v>4.1403448275862083</v>
      </c>
      <c r="DM112" s="10">
        <v>3.1263636363636405</v>
      </c>
      <c r="DN112" s="10">
        <v>1.05000000000001</v>
      </c>
      <c r="DO112" s="10">
        <v>2.2806382978723496</v>
      </c>
      <c r="DP112" s="10">
        <v>0.71379310344827596</v>
      </c>
      <c r="DQ112" s="11">
        <v>0.89448275862069004</v>
      </c>
      <c r="DS112" s="66"/>
      <c r="DT112" s="70"/>
      <c r="DU112" s="39" t="s">
        <v>25</v>
      </c>
      <c r="DV112" s="9">
        <v>1.0846153846153903</v>
      </c>
      <c r="DW112" s="10">
        <v>3.1037735849056602</v>
      </c>
      <c r="DX112" s="10">
        <v>3.5307407407407498</v>
      </c>
      <c r="DY112" s="10">
        <v>2.5670689655172505</v>
      </c>
      <c r="DZ112" s="10">
        <v>2.65500000000001</v>
      </c>
      <c r="EA112" s="10">
        <v>2.7718000000000003</v>
      </c>
      <c r="EB112" s="10">
        <v>1.2708333333333341</v>
      </c>
      <c r="EC112" s="11">
        <v>1.10283018867925</v>
      </c>
      <c r="ED112" s="9">
        <v>1.0961538461538503</v>
      </c>
      <c r="EE112" s="10">
        <v>3.1050909090909107</v>
      </c>
      <c r="EF112" s="10">
        <v>3.5040740740740799</v>
      </c>
      <c r="EG112" s="10">
        <v>2.5115517241379406</v>
      </c>
      <c r="EH112" s="10">
        <v>2.6641818181818202</v>
      </c>
      <c r="EI112" s="10">
        <v>2.7670000000000003</v>
      </c>
      <c r="EJ112" s="10">
        <v>1.2750000000000001</v>
      </c>
      <c r="EK112" s="11">
        <v>1.0945283018867999</v>
      </c>
      <c r="EM112" s="66"/>
      <c r="EN112" s="70"/>
      <c r="EO112" s="39" t="s">
        <v>25</v>
      </c>
      <c r="EP112" s="9">
        <v>2.3166071428571429</v>
      </c>
      <c r="EQ112" s="10">
        <v>-2.5266666666666602</v>
      </c>
      <c r="ER112" s="10">
        <v>4.6984210526315797</v>
      </c>
      <c r="ES112" s="10">
        <v>4.54296296296297</v>
      </c>
      <c r="ET112" s="10">
        <v>1.9114583333333401</v>
      </c>
      <c r="EU112" s="10">
        <v>0.91456521739130991</v>
      </c>
      <c r="EV112" s="10">
        <v>2.3400000000000012</v>
      </c>
      <c r="EW112" s="11">
        <v>1.5500000000000098</v>
      </c>
      <c r="EX112" s="9">
        <v>2.3147169811320758</v>
      </c>
      <c r="EY112" s="10">
        <v>-2.593</v>
      </c>
      <c r="EZ112" s="10">
        <v>4.6967924528301888</v>
      </c>
      <c r="FA112" s="10">
        <v>4.5231372549019699</v>
      </c>
      <c r="FB112" s="10">
        <v>1.9289130434782602</v>
      </c>
      <c r="FC112" s="10">
        <v>0.79775510204081979</v>
      </c>
      <c r="FD112" s="10">
        <v>2.3400000000000012</v>
      </c>
      <c r="FE112" s="11">
        <v>1.5374999999999999</v>
      </c>
    </row>
    <row r="113" spans="3:161" ht="15" thickBot="1" x14ac:dyDescent="0.35">
      <c r="C113" s="66"/>
      <c r="D113" s="74"/>
      <c r="E113" s="41" t="s">
        <v>26</v>
      </c>
      <c r="F113" s="12">
        <v>-11.242348335296773</v>
      </c>
      <c r="G113" s="13">
        <v>6.6416588037655062</v>
      </c>
      <c r="H113" s="13">
        <v>8.5993095721160984</v>
      </c>
      <c r="I113" s="13">
        <v>3.7304351864753391</v>
      </c>
      <c r="J113" s="13">
        <v>6.1664731237826569</v>
      </c>
      <c r="K113" s="13">
        <v>-4.7760777000968622</v>
      </c>
      <c r="L113" s="13">
        <v>-12.127801940448292</v>
      </c>
      <c r="M113" s="14">
        <v>5.4245419899019707</v>
      </c>
      <c r="N113" s="12">
        <v>-11.273759288994968</v>
      </c>
      <c r="O113" s="13">
        <v>6.5839416058397449</v>
      </c>
      <c r="P113" s="13">
        <v>8.1242421415913419</v>
      </c>
      <c r="Q113" s="13">
        <v>3.4223013048636273</v>
      </c>
      <c r="R113" s="13">
        <v>6.2077922077925649</v>
      </c>
      <c r="S113" s="13">
        <v>-4.7638654424175577</v>
      </c>
      <c r="T113" s="13">
        <v>-12.135242812533351</v>
      </c>
      <c r="U113" s="14">
        <v>5.4342305738955892</v>
      </c>
      <c r="W113" s="66"/>
      <c r="X113" s="74"/>
      <c r="Y113" s="41" t="s">
        <v>26</v>
      </c>
      <c r="Z113" s="12">
        <v>-8.459859667237362</v>
      </c>
      <c r="AA113" s="13">
        <v>-1.0436857015066086E-2</v>
      </c>
      <c r="AB113" s="13">
        <v>4.0079144849551716</v>
      </c>
      <c r="AC113" s="13">
        <v>3.6696384148887318</v>
      </c>
      <c r="AD113" s="13">
        <v>5.2072758037227143</v>
      </c>
      <c r="AE113" s="13">
        <v>-2.6365276125416988</v>
      </c>
      <c r="AF113" s="13">
        <v>13.217441973390228</v>
      </c>
      <c r="AG113" s="14">
        <v>15.410900392960963</v>
      </c>
      <c r="AH113" s="12">
        <v>-8.1881357639238317</v>
      </c>
      <c r="AI113" s="13">
        <v>9.5730423131151002E-3</v>
      </c>
      <c r="AJ113" s="13">
        <v>4.4455931765316326</v>
      </c>
      <c r="AK113" s="13">
        <v>4.0361350309051769</v>
      </c>
      <c r="AL113" s="13">
        <v>5.2197093473217526</v>
      </c>
      <c r="AM113" s="13">
        <v>-2.7247134526441892</v>
      </c>
      <c r="AN113" s="13">
        <v>13.209779179810797</v>
      </c>
      <c r="AO113" s="14">
        <v>15.203761755485948</v>
      </c>
      <c r="AQ113" s="66"/>
      <c r="AR113" s="74"/>
      <c r="AS113" s="41" t="s">
        <v>26</v>
      </c>
      <c r="AT113" s="12">
        <v>-0.46176975944998916</v>
      </c>
      <c r="AU113" s="13"/>
      <c r="AV113" s="13">
        <v>-0.19741837509488369</v>
      </c>
      <c r="AW113" s="13">
        <v>2.9834651329980306</v>
      </c>
      <c r="AX113" s="13">
        <v>-0.69075029773721486</v>
      </c>
      <c r="AY113" s="13">
        <v>2.9199190517490545</v>
      </c>
      <c r="AZ113" s="13">
        <v>-10.571327808146199</v>
      </c>
      <c r="BA113" s="14">
        <v>-1.6072676450034948</v>
      </c>
      <c r="BB113" s="12">
        <v>-0.56012602835611169</v>
      </c>
      <c r="BC113" s="13"/>
      <c r="BD113" s="13">
        <v>-0.31010116415015015</v>
      </c>
      <c r="BE113" s="13">
        <v>1.5237420269312596</v>
      </c>
      <c r="BF113" s="13">
        <v>-0.70257611241216311</v>
      </c>
      <c r="BG113" s="13">
        <v>2.9653534676979243</v>
      </c>
      <c r="BH113" s="13">
        <v>-10.3983596953716</v>
      </c>
      <c r="BI113" s="14">
        <v>-1.594435527019419</v>
      </c>
      <c r="BK113" s="66"/>
      <c r="BL113" s="74"/>
      <c r="BM113" s="41" t="s">
        <v>26</v>
      </c>
      <c r="BN113" s="12">
        <v>0.76861305495029464</v>
      </c>
      <c r="BO113" s="13">
        <v>-3.8215813844439102</v>
      </c>
      <c r="BP113" s="13">
        <v>1.8027571580063542</v>
      </c>
      <c r="BQ113" s="13">
        <v>2.063855583995803</v>
      </c>
      <c r="BR113" s="13"/>
      <c r="BS113" s="13">
        <v>0.87946637209527656</v>
      </c>
      <c r="BT113" s="13">
        <v>-3.0088302627273613</v>
      </c>
      <c r="BU113" s="14">
        <v>-8.646764214867817</v>
      </c>
      <c r="BV113" s="12">
        <v>0.77760497667211415</v>
      </c>
      <c r="BW113" s="13">
        <v>-3.7423587296852934</v>
      </c>
      <c r="BX113" s="13">
        <v>1.8392012611666866</v>
      </c>
      <c r="BY113" s="13">
        <v>2.3839230015151061</v>
      </c>
      <c r="BZ113" s="13"/>
      <c r="CA113" s="13">
        <v>0.27759514939001229</v>
      </c>
      <c r="CB113" s="13">
        <v>-2.9937228392078339</v>
      </c>
      <c r="CC113" s="14">
        <v>-8.612276346203199</v>
      </c>
      <c r="CE113" s="66"/>
      <c r="CF113" s="74"/>
      <c r="CG113" s="41" t="s">
        <v>26</v>
      </c>
      <c r="CH113" s="12">
        <v>49.405772495755535</v>
      </c>
      <c r="CI113" s="13">
        <v>32.523732147439006</v>
      </c>
      <c r="CJ113" s="13">
        <v>156.38126009693065</v>
      </c>
      <c r="CK113" s="13">
        <v>349.76036086833921</v>
      </c>
      <c r="CL113" s="13">
        <v>-88.161569863209905</v>
      </c>
      <c r="CM113" s="13">
        <v>71.133177570093693</v>
      </c>
      <c r="CN113" s="13">
        <v>43.763213530655378</v>
      </c>
      <c r="CO113" s="14">
        <v>36.494046765170566</v>
      </c>
      <c r="CP113" s="12">
        <v>42.169469172436472</v>
      </c>
      <c r="CQ113" s="13">
        <v>33.858801593355352</v>
      </c>
      <c r="CR113" s="13">
        <v>157.21231766612667</v>
      </c>
      <c r="CS113" s="13">
        <v>336.47058823529414</v>
      </c>
      <c r="CT113" s="13">
        <v>-88.157822128207457</v>
      </c>
      <c r="CU113" s="13">
        <v>71.195589755369156</v>
      </c>
      <c r="CV113" s="13">
        <v>43.299501118183983</v>
      </c>
      <c r="CW113" s="14">
        <v>35.231714126186944</v>
      </c>
      <c r="CY113" s="66"/>
      <c r="CZ113" s="74"/>
      <c r="DA113" s="41" t="s">
        <v>26</v>
      </c>
      <c r="DB113" s="12">
        <v>118.11501010472185</v>
      </c>
      <c r="DC113" s="13">
        <v>277.98110979929203</v>
      </c>
      <c r="DD113" s="13">
        <v>1184.1222879684458</v>
      </c>
      <c r="DE113" s="13">
        <v>292.98794104511177</v>
      </c>
      <c r="DF113" s="13">
        <v>65.217391304348851</v>
      </c>
      <c r="DG113" s="13">
        <v>127.51322751322753</v>
      </c>
      <c r="DH113" s="13">
        <v>454.0782122905033</v>
      </c>
      <c r="DI113" s="14">
        <v>570.96412556054008</v>
      </c>
      <c r="DJ113" s="12">
        <v>118.51647340327661</v>
      </c>
      <c r="DK113" s="13">
        <v>267.40601503759433</v>
      </c>
      <c r="DL113" s="13">
        <v>1184.1222879684458</v>
      </c>
      <c r="DM113" s="13">
        <v>293.93162393162532</v>
      </c>
      <c r="DN113" s="13">
        <v>65.217391304348851</v>
      </c>
      <c r="DO113" s="13">
        <v>112.93857338531339</v>
      </c>
      <c r="DP113" s="13">
        <v>456.95364238410639</v>
      </c>
      <c r="DQ113" s="14">
        <v>575.16629711751818</v>
      </c>
      <c r="DS113" s="66"/>
      <c r="DT113" s="74"/>
      <c r="DU113" s="41" t="s">
        <v>26</v>
      </c>
      <c r="DV113" s="12">
        <v>56.92369802180103</v>
      </c>
      <c r="DW113" s="13">
        <v>285.73910022581197</v>
      </c>
      <c r="DX113" s="13">
        <v>199.56039355244033</v>
      </c>
      <c r="DY113" s="13">
        <v>81.161079313164862</v>
      </c>
      <c r="DZ113" s="13">
        <v>167.50788643533292</v>
      </c>
      <c r="EA113" s="13">
        <v>165.16505780002387</v>
      </c>
      <c r="EB113" s="13">
        <v>374.69287469287565</v>
      </c>
      <c r="EC113" s="14">
        <v>83.72725970491399</v>
      </c>
      <c r="ED113" s="12">
        <v>57.879772542648588</v>
      </c>
      <c r="EE113" s="13">
        <v>286.20747444276896</v>
      </c>
      <c r="EF113" s="13">
        <v>195.11239430810573</v>
      </c>
      <c r="EG113" s="13">
        <v>78.036106498098761</v>
      </c>
      <c r="EH113" s="13">
        <v>169.06657436252485</v>
      </c>
      <c r="EI113" s="13">
        <v>164.40879382055854</v>
      </c>
      <c r="EJ113" s="13">
        <v>380.59701492537317</v>
      </c>
      <c r="EK113" s="14">
        <v>82.576512455517047</v>
      </c>
      <c r="EM113" s="66"/>
      <c r="EN113" s="74"/>
      <c r="EO113" s="41" t="s">
        <v>26</v>
      </c>
      <c r="EP113" s="12">
        <v>411.18858954041218</v>
      </c>
      <c r="EQ113" s="13">
        <v>-31.956155143338901</v>
      </c>
      <c r="ER113" s="13">
        <v>1169.9868938401082</v>
      </c>
      <c r="ES113" s="13">
        <v>272.51721839591363</v>
      </c>
      <c r="ET113" s="13">
        <v>55.914437199098366</v>
      </c>
      <c r="EU113" s="13">
        <v>32.716385410996459</v>
      </c>
      <c r="EV113" s="13">
        <v>441.50943396226518</v>
      </c>
      <c r="EW113" s="14">
        <v>103.33333333333468</v>
      </c>
      <c r="EX113" s="12">
        <v>409.47930574098842</v>
      </c>
      <c r="EY113" s="13">
        <v>-32.522262636397841</v>
      </c>
      <c r="EZ113" s="13">
        <v>1164.8572765559204</v>
      </c>
      <c r="FA113" s="13">
        <v>268.13902127165142</v>
      </c>
      <c r="FB113" s="13">
        <v>56.714605305209297</v>
      </c>
      <c r="FC113" s="13">
        <v>27.393132445690409</v>
      </c>
      <c r="FD113" s="13">
        <v>441.50943396226518</v>
      </c>
      <c r="FE113" s="14">
        <v>101.65289256198346</v>
      </c>
    </row>
    <row r="114" spans="3:161" x14ac:dyDescent="0.3">
      <c r="C114" s="65">
        <v>3</v>
      </c>
      <c r="D114" s="71" t="s">
        <v>20</v>
      </c>
      <c r="E114" s="72"/>
      <c r="F114" s="21">
        <v>5.6958385093167898</v>
      </c>
      <c r="G114" s="22">
        <v>2.7060061919504501</v>
      </c>
      <c r="H114" s="22">
        <v>4.23965944272447</v>
      </c>
      <c r="I114" s="22">
        <v>3.4677708978328101</v>
      </c>
      <c r="J114" s="22">
        <v>1.58744548286604</v>
      </c>
      <c r="K114" s="22">
        <v>5.2916770186335498</v>
      </c>
      <c r="L114" s="22">
        <v>1.8865217391304301</v>
      </c>
      <c r="M114" s="23">
        <v>1.6117337461300301</v>
      </c>
      <c r="N114" s="21">
        <v>5.7982499999999897</v>
      </c>
      <c r="O114" s="22">
        <v>2.6577500000000001</v>
      </c>
      <c r="P114" s="22">
        <v>3.9942499999999899</v>
      </c>
      <c r="Q114" s="22">
        <v>3.3964999999999899</v>
      </c>
      <c r="R114" s="22">
        <v>1.64025</v>
      </c>
      <c r="S114" s="22">
        <v>5.3247499999999999</v>
      </c>
      <c r="T114" s="22">
        <v>1.83574999999999</v>
      </c>
      <c r="U114" s="23">
        <v>1.6219999999999899</v>
      </c>
      <c r="W114" s="65">
        <v>3</v>
      </c>
      <c r="X114" s="71" t="s">
        <v>20</v>
      </c>
      <c r="Y114" s="72"/>
      <c r="Z114" s="21">
        <v>4.4528717948717897</v>
      </c>
      <c r="AA114" s="22">
        <v>3.2900520833333302</v>
      </c>
      <c r="AB114" s="22">
        <v>4.1681151832460701</v>
      </c>
      <c r="AC114" s="22">
        <v>3.8908762886597801</v>
      </c>
      <c r="AD114" s="22">
        <v>2.3885863874345499</v>
      </c>
      <c r="AE114" s="22">
        <v>4.4706701030927798</v>
      </c>
      <c r="AF114" s="22">
        <v>0.77225641025641001</v>
      </c>
      <c r="AG114" s="23">
        <v>0.889384615384614</v>
      </c>
      <c r="AH114" s="21">
        <v>4.5581818181818097</v>
      </c>
      <c r="AI114" s="22">
        <v>3.3645283018867902</v>
      </c>
      <c r="AJ114" s="22">
        <v>4.2689090909090899</v>
      </c>
      <c r="AK114" s="22">
        <v>3.8357407407407398</v>
      </c>
      <c r="AL114" s="22">
        <v>2.4325925925925902</v>
      </c>
      <c r="AM114" s="22">
        <v>4.5487272727272696</v>
      </c>
      <c r="AN114" s="22">
        <v>0.75636363636363602</v>
      </c>
      <c r="AO114" s="23">
        <v>0.89418181818181797</v>
      </c>
      <c r="AQ114" s="65">
        <v>3</v>
      </c>
      <c r="AR114" s="71" t="s">
        <v>20</v>
      </c>
      <c r="AS114" s="72"/>
      <c r="AT114" s="21">
        <v>2.9701492537313401</v>
      </c>
      <c r="AU114" s="22"/>
      <c r="AV114" s="22">
        <v>5.2328358208955201</v>
      </c>
      <c r="AW114" s="22">
        <v>5.39925373134328</v>
      </c>
      <c r="AX114" s="22">
        <v>4.1657812500000002</v>
      </c>
      <c r="AY114" s="22">
        <v>4.0592537313432802</v>
      </c>
      <c r="AZ114" s="22">
        <v>1.74166666666666</v>
      </c>
      <c r="BA114" s="23">
        <v>2.4587692307692302</v>
      </c>
      <c r="BB114" s="21">
        <v>2.9526666666666599</v>
      </c>
      <c r="BC114" s="22"/>
      <c r="BD114" s="22">
        <v>5.3308888888888797</v>
      </c>
      <c r="BE114" s="22">
        <v>5.4831111111111097</v>
      </c>
      <c r="BF114" s="22">
        <v>4.2154545454545396</v>
      </c>
      <c r="BG114" s="22">
        <v>4.0486666666666604</v>
      </c>
      <c r="BH114" s="22">
        <v>1.76111111111111</v>
      </c>
      <c r="BI114" s="23">
        <v>2.45976744186046</v>
      </c>
      <c r="BK114" s="65">
        <v>3</v>
      </c>
      <c r="BL114" s="71" t="s">
        <v>20</v>
      </c>
      <c r="BM114" s="72"/>
      <c r="BN114" s="21">
        <v>2.7586567164178999</v>
      </c>
      <c r="BO114" s="22">
        <v>5.3895384615384598</v>
      </c>
      <c r="BP114" s="22">
        <v>4.9826666666666597</v>
      </c>
      <c r="BQ114" s="22">
        <v>5.5704477611940302</v>
      </c>
      <c r="BR114" s="22"/>
      <c r="BS114" s="22">
        <v>3.5662686567164101</v>
      </c>
      <c r="BT114" s="22">
        <v>2.8314925373134301</v>
      </c>
      <c r="BU114" s="23">
        <v>3.3831818181818099</v>
      </c>
      <c r="BV114" s="21">
        <v>2.7195555555555502</v>
      </c>
      <c r="BW114" s="22">
        <v>5.39511627906976</v>
      </c>
      <c r="BX114" s="22">
        <v>4.9659374999999999</v>
      </c>
      <c r="BY114" s="22">
        <v>5.6231111111110996</v>
      </c>
      <c r="BZ114" s="22"/>
      <c r="CA114" s="22">
        <v>3.5577777777777699</v>
      </c>
      <c r="CB114" s="22">
        <v>2.89622222222222</v>
      </c>
      <c r="CC114" s="23">
        <v>3.3818181818181801</v>
      </c>
      <c r="CE114" s="65">
        <v>3</v>
      </c>
      <c r="CF114" s="71" t="s">
        <v>20</v>
      </c>
      <c r="CG114" s="72"/>
      <c r="CH114" s="21">
        <v>3.1522033898305102</v>
      </c>
      <c r="CI114" s="22">
        <v>3.3806779661016901</v>
      </c>
      <c r="CJ114" s="22">
        <v>1.51050847457627</v>
      </c>
      <c r="CK114" s="22">
        <v>0.91237288135593198</v>
      </c>
      <c r="CL114" s="22">
        <v>14.870677966101599</v>
      </c>
      <c r="CM114" s="22">
        <v>3.38389830508474</v>
      </c>
      <c r="CN114" s="22">
        <v>1.25446428571428</v>
      </c>
      <c r="CO114" s="23">
        <v>1.3866101694915201</v>
      </c>
      <c r="CP114" s="21">
        <v>3.1589999999999998</v>
      </c>
      <c r="CQ114" s="22">
        <v>3.1758333333333302</v>
      </c>
      <c r="CR114" s="22">
        <v>1.5215000000000001</v>
      </c>
      <c r="CS114" s="22">
        <v>0.92</v>
      </c>
      <c r="CT114" s="22">
        <v>14.8938333333333</v>
      </c>
      <c r="CU114" s="22">
        <v>3.3620000000000001</v>
      </c>
      <c r="CV114" s="22">
        <v>1.2549999999999999</v>
      </c>
      <c r="CW114" s="23">
        <v>1.3221666666666601</v>
      </c>
      <c r="CY114" s="65">
        <v>3</v>
      </c>
      <c r="CZ114" s="71" t="s">
        <v>20</v>
      </c>
      <c r="DA114" s="72"/>
      <c r="DB114" s="21">
        <v>2.18322033898305</v>
      </c>
      <c r="DC114" s="22">
        <v>1.04728813559321</v>
      </c>
      <c r="DD114" s="22">
        <v>0.44881355932203298</v>
      </c>
      <c r="DE114" s="22">
        <v>1.4137735849056601</v>
      </c>
      <c r="DF114" s="22">
        <v>1.5822033898304999</v>
      </c>
      <c r="DG114" s="22">
        <v>1.8492307692307599</v>
      </c>
      <c r="DH114" s="22">
        <v>0.18067796610169501</v>
      </c>
      <c r="DI114" s="23">
        <v>0.19033898305084701</v>
      </c>
      <c r="DJ114" s="21">
        <v>2.1769999999999898</v>
      </c>
      <c r="DK114" s="22">
        <v>1.0353333333333301</v>
      </c>
      <c r="DL114" s="22">
        <v>0.45166666666666599</v>
      </c>
      <c r="DM114" s="22">
        <v>1.46672727272727</v>
      </c>
      <c r="DN114" s="22">
        <v>1.5913333333333299</v>
      </c>
      <c r="DO114" s="22">
        <v>1.8243396226415001</v>
      </c>
      <c r="DP114" s="22">
        <v>0.195833333333333</v>
      </c>
      <c r="DQ114" s="23">
        <v>0.192</v>
      </c>
      <c r="DS114" s="65">
        <v>3</v>
      </c>
      <c r="DT114" s="71" t="s">
        <v>20</v>
      </c>
      <c r="DU114" s="72"/>
      <c r="DV114" s="21">
        <v>1.8101785714285701</v>
      </c>
      <c r="DW114" s="22">
        <v>1.31207547169811</v>
      </c>
      <c r="DX114" s="22">
        <v>2.1421818181818102</v>
      </c>
      <c r="DY114" s="22">
        <v>4.2355932203389797</v>
      </c>
      <c r="DZ114" s="22">
        <v>1.7471186440677899</v>
      </c>
      <c r="EA114" s="22">
        <v>8.2159322033898299</v>
      </c>
      <c r="EB114" s="22">
        <v>0.60374999999999901</v>
      </c>
      <c r="EC114" s="23">
        <v>1.7638983050847401</v>
      </c>
      <c r="ED114" s="21">
        <v>1.7512280701754299</v>
      </c>
      <c r="EE114" s="22">
        <v>1.3116666666666601</v>
      </c>
      <c r="EF114" s="22">
        <v>2.13767857142857</v>
      </c>
      <c r="EG114" s="22">
        <v>4.1118333333333297</v>
      </c>
      <c r="EH114" s="22">
        <v>1.7448333333333299</v>
      </c>
      <c r="EI114" s="22">
        <v>8.5388333333333293</v>
      </c>
      <c r="EJ114" s="22">
        <v>0.59999999999999898</v>
      </c>
      <c r="EK114" s="23">
        <v>1.766</v>
      </c>
      <c r="EM114" s="65">
        <v>3</v>
      </c>
      <c r="EN114" s="71" t="s">
        <v>20</v>
      </c>
      <c r="EO114" s="72"/>
      <c r="EP114" s="21">
        <v>0.54355932203389801</v>
      </c>
      <c r="EQ114" s="22">
        <v>7.9677966101694899</v>
      </c>
      <c r="ER114" s="22">
        <v>0.39593220338982998</v>
      </c>
      <c r="ES114" s="22">
        <v>1.82779661016949</v>
      </c>
      <c r="ET114" s="22">
        <v>6.06864406779661</v>
      </c>
      <c r="EU114" s="22">
        <v>3.0023728813559298</v>
      </c>
      <c r="EV114" s="22">
        <v>0.52338983050847399</v>
      </c>
      <c r="EW114" s="23">
        <v>1.75207547169811</v>
      </c>
      <c r="EX114" s="21">
        <v>0.543333333333333</v>
      </c>
      <c r="EY114" s="22">
        <v>7.75233333333333</v>
      </c>
      <c r="EZ114" s="22">
        <v>0.39733333333333298</v>
      </c>
      <c r="FA114" s="22">
        <v>1.7913333333333299</v>
      </c>
      <c r="FB114" s="22">
        <v>6.1115000000000004</v>
      </c>
      <c r="FC114" s="22">
        <v>2.9954999999999998</v>
      </c>
      <c r="FD114" s="22">
        <v>0.52400000000000002</v>
      </c>
      <c r="FE114" s="23">
        <v>1.76705882352941</v>
      </c>
    </row>
    <row r="115" spans="3:161" ht="15" customHeight="1" x14ac:dyDescent="0.3">
      <c r="C115" s="66"/>
      <c r="D115" s="68" t="s">
        <v>21</v>
      </c>
      <c r="E115" s="69"/>
      <c r="F115" s="24">
        <v>0.94777186172151695</v>
      </c>
      <c r="G115" s="25">
        <v>0.40728561565206001</v>
      </c>
      <c r="H115" s="25">
        <v>0.796957571071919</v>
      </c>
      <c r="I115" s="25">
        <v>0.54840719275022698</v>
      </c>
      <c r="J115" s="25">
        <v>0.24785751921541599</v>
      </c>
      <c r="K115" s="25">
        <v>0.62367298727932596</v>
      </c>
      <c r="L115" s="25">
        <v>0.25139427564196098</v>
      </c>
      <c r="M115" s="26">
        <v>0.18711289536112799</v>
      </c>
      <c r="N115" s="24">
        <v>0.81020950222766397</v>
      </c>
      <c r="O115" s="25">
        <v>0.45858743713712802</v>
      </c>
      <c r="P115" s="25">
        <v>1.0843151928752</v>
      </c>
      <c r="Q115" s="25">
        <v>0.66956161030931205</v>
      </c>
      <c r="R115" s="25">
        <v>1.8906017560554499E-2</v>
      </c>
      <c r="S115" s="25">
        <v>0.59960815329680095</v>
      </c>
      <c r="T115" s="25">
        <v>0.32982485882661999</v>
      </c>
      <c r="U115" s="26">
        <v>0.108517279730004</v>
      </c>
      <c r="W115" s="66"/>
      <c r="X115" s="68" t="s">
        <v>21</v>
      </c>
      <c r="Y115" s="69"/>
      <c r="Z115" s="24">
        <v>0.76688444552892898</v>
      </c>
      <c r="AA115" s="25">
        <v>0.44565903609597401</v>
      </c>
      <c r="AB115" s="25">
        <v>0.66030819975977295</v>
      </c>
      <c r="AC115" s="25">
        <v>0.62251382227409902</v>
      </c>
      <c r="AD115" s="25">
        <v>0.48866908858582903</v>
      </c>
      <c r="AE115" s="25">
        <v>0.70652267708112904</v>
      </c>
      <c r="AF115" s="25">
        <v>2.7156448871656001E-2</v>
      </c>
      <c r="AG115" s="26">
        <v>0.10570219787264799</v>
      </c>
      <c r="AH115" s="24">
        <v>0.45390463920035301</v>
      </c>
      <c r="AI115" s="25">
        <v>2.1854237336709801E-2</v>
      </c>
      <c r="AJ115" s="25">
        <v>0.42905254065746701</v>
      </c>
      <c r="AK115" s="25">
        <v>0.73863889300937702</v>
      </c>
      <c r="AL115" s="25">
        <v>0.40081484219388402</v>
      </c>
      <c r="AM115" s="25">
        <v>0.74121289922900702</v>
      </c>
      <c r="AN115" s="25">
        <v>0.11968691940928999</v>
      </c>
      <c r="AO115" s="26">
        <v>7.9856482837899007E-2</v>
      </c>
      <c r="AQ115" s="66"/>
      <c r="AR115" s="68" t="s">
        <v>21</v>
      </c>
      <c r="AS115" s="69"/>
      <c r="AT115" s="24">
        <v>0.20827287308629999</v>
      </c>
      <c r="AU115" s="25"/>
      <c r="AV115" s="25">
        <v>0.49919279908384201</v>
      </c>
      <c r="AW115" s="25">
        <v>1.0743402188178801</v>
      </c>
      <c r="AX115" s="25">
        <v>0.54056048657706901</v>
      </c>
      <c r="AY115" s="25">
        <v>0.83206148135503399</v>
      </c>
      <c r="AZ115" s="25">
        <v>0.24069711466924701</v>
      </c>
      <c r="BA115" s="26">
        <v>2.5023539213966099E-2</v>
      </c>
      <c r="BB115" s="24">
        <v>0.25188533546481401</v>
      </c>
      <c r="BC115" s="25"/>
      <c r="BD115" s="25">
        <v>2.4928539844231299E-2</v>
      </c>
      <c r="BE115" s="25">
        <v>1.0301473944640001</v>
      </c>
      <c r="BF115" s="25">
        <v>0.206149267913221</v>
      </c>
      <c r="BG115" s="25">
        <v>0.85466718668730901</v>
      </c>
      <c r="BH115" s="25">
        <v>0.15385739749986699</v>
      </c>
      <c r="BI115" s="26">
        <v>2.6280098765612301E-2</v>
      </c>
      <c r="BK115" s="66"/>
      <c r="BL115" s="68" t="s">
        <v>21</v>
      </c>
      <c r="BM115" s="69"/>
      <c r="BN115" s="24">
        <v>0.44809678965894301</v>
      </c>
      <c r="BO115" s="25">
        <v>0.700077865491746</v>
      </c>
      <c r="BP115" s="25">
        <v>0.31300266239549202</v>
      </c>
      <c r="BQ115" s="25">
        <v>1.3089706937597301</v>
      </c>
      <c r="BR115" s="25"/>
      <c r="BS115" s="25">
        <v>0.52510080289093297</v>
      </c>
      <c r="BT115" s="25">
        <v>0.51265260918628097</v>
      </c>
      <c r="BU115" s="26">
        <v>0.17702216169177101</v>
      </c>
      <c r="BV115" s="24">
        <v>0.52869632348744</v>
      </c>
      <c r="BW115" s="25">
        <v>0.63308169167939399</v>
      </c>
      <c r="BX115" s="25">
        <v>0.24577504164123301</v>
      </c>
      <c r="BY115" s="25">
        <v>1.35499212334278</v>
      </c>
      <c r="BZ115" s="25"/>
      <c r="CA115" s="25">
        <v>0.49315261955386502</v>
      </c>
      <c r="CB115" s="25">
        <v>0.39387132071775699</v>
      </c>
      <c r="CC115" s="26">
        <v>0.175658148470166</v>
      </c>
      <c r="CE115" s="66"/>
      <c r="CF115" s="68" t="s">
        <v>21</v>
      </c>
      <c r="CG115" s="69"/>
      <c r="CH115" s="24">
        <v>0.93598867839851796</v>
      </c>
      <c r="CI115" s="25">
        <v>3.6746326298135901</v>
      </c>
      <c r="CJ115" s="25">
        <v>0.55082195508110199</v>
      </c>
      <c r="CK115" s="25">
        <v>0.18371255166008801</v>
      </c>
      <c r="CL115" s="25">
        <v>4.8851285445005503</v>
      </c>
      <c r="CM115" s="25">
        <v>2.7283775628111502</v>
      </c>
      <c r="CN115" s="25">
        <v>0.26946322067383899</v>
      </c>
      <c r="CO115" s="26">
        <v>0.74586228148863198</v>
      </c>
      <c r="CP115" s="24">
        <v>0.92962304188310596</v>
      </c>
      <c r="CQ115" s="25">
        <v>3.4446471960935998</v>
      </c>
      <c r="CR115" s="25">
        <v>0.55032967392282195</v>
      </c>
      <c r="CS115" s="25">
        <v>0.191363528395564</v>
      </c>
      <c r="CT115" s="25">
        <v>4.7556738364703799</v>
      </c>
      <c r="CU115" s="25">
        <v>2.7076661537198299</v>
      </c>
      <c r="CV115" s="25">
        <v>0.26544205160188999</v>
      </c>
      <c r="CW115" s="26">
        <v>0.64929215731868695</v>
      </c>
      <c r="CY115" s="66"/>
      <c r="CZ115" s="68" t="s">
        <v>21</v>
      </c>
      <c r="DA115" s="69"/>
      <c r="DB115" s="24">
        <v>2.4178702217194799</v>
      </c>
      <c r="DC115" s="25">
        <v>1.97132823717228</v>
      </c>
      <c r="DD115" s="25">
        <v>0.313017488793711</v>
      </c>
      <c r="DE115" s="25">
        <v>1.1897141347067799</v>
      </c>
      <c r="DF115" s="25">
        <v>0.145672814217575</v>
      </c>
      <c r="DG115" s="25">
        <v>0.32998744821027798</v>
      </c>
      <c r="DH115" s="25">
        <v>9.5914234407437807E-2</v>
      </c>
      <c r="DI115" s="26">
        <v>0.11214346292553901</v>
      </c>
      <c r="DJ115" s="24">
        <v>2.4006022161116101</v>
      </c>
      <c r="DK115" s="25">
        <v>1.95698702658505</v>
      </c>
      <c r="DL115" s="25">
        <v>0.309618941424598</v>
      </c>
      <c r="DM115" s="25">
        <v>1.2596176253067699</v>
      </c>
      <c r="DN115" s="25">
        <v>0.14705403390892999</v>
      </c>
      <c r="DO115" s="25">
        <v>0.331773447559502</v>
      </c>
      <c r="DP115" s="25">
        <v>0.12342732904651001</v>
      </c>
      <c r="DQ115" s="26">
        <v>0.11120251795710299</v>
      </c>
      <c r="DS115" s="66"/>
      <c r="DT115" s="68" t="s">
        <v>21</v>
      </c>
      <c r="DU115" s="69"/>
      <c r="DV115" s="24">
        <v>0.49219802588355899</v>
      </c>
      <c r="DW115" s="25">
        <v>0.71286389844082398</v>
      </c>
      <c r="DX115" s="25">
        <v>1.40833194809784</v>
      </c>
      <c r="DY115" s="25">
        <v>2.8642727779306698</v>
      </c>
      <c r="DZ115" s="25">
        <v>0.67986551722881505</v>
      </c>
      <c r="EA115" s="25">
        <v>12.8459428560075</v>
      </c>
      <c r="EB115" s="25">
        <v>0.37094263370499703</v>
      </c>
      <c r="EC115" s="26">
        <v>1.52743833069126</v>
      </c>
      <c r="ED115" s="24">
        <v>0.52928309731825196</v>
      </c>
      <c r="EE115" s="25">
        <v>0.70417998015027605</v>
      </c>
      <c r="EF115" s="25">
        <v>1.39610042499946</v>
      </c>
      <c r="EG115" s="25">
        <v>2.7067018624558901</v>
      </c>
      <c r="EH115" s="25">
        <v>0.67440465515066506</v>
      </c>
      <c r="EI115" s="25">
        <v>12.9938842142071</v>
      </c>
      <c r="EJ115" s="25">
        <v>0.37413232953060799</v>
      </c>
      <c r="EK115" s="26">
        <v>1.51474222229394</v>
      </c>
      <c r="EM115" s="66"/>
      <c r="EN115" s="68" t="s">
        <v>21</v>
      </c>
      <c r="EO115" s="69"/>
      <c r="EP115" s="24">
        <v>0.12668876465995599</v>
      </c>
      <c r="EQ115" s="25">
        <v>3.8634186441090601</v>
      </c>
      <c r="ER115" s="25">
        <v>0.10257892610856099</v>
      </c>
      <c r="ES115" s="25">
        <v>0.59991543979444495</v>
      </c>
      <c r="ET115" s="25">
        <v>5.9213258529119202</v>
      </c>
      <c r="EU115" s="25">
        <v>0.50748078024239096</v>
      </c>
      <c r="EV115" s="25">
        <v>6.2344319178811898E-2</v>
      </c>
      <c r="EW115" s="26">
        <v>0.98846051159531301</v>
      </c>
      <c r="EX115" s="24">
        <v>0.125640580846936</v>
      </c>
      <c r="EY115" s="25">
        <v>4.0642019990262401</v>
      </c>
      <c r="EZ115" s="25">
        <v>0.10091030120304301</v>
      </c>
      <c r="FA115" s="25">
        <v>0.51340194346686596</v>
      </c>
      <c r="FB115" s="25">
        <v>5.92914519555727</v>
      </c>
      <c r="FC115" s="25">
        <v>0.50599547099422404</v>
      </c>
      <c r="FD115" s="25">
        <v>6.4683846515184898E-2</v>
      </c>
      <c r="FE115" s="26">
        <v>1.00469933873058</v>
      </c>
    </row>
    <row r="116" spans="3:161" ht="15" customHeight="1" x14ac:dyDescent="0.3">
      <c r="C116" s="66"/>
      <c r="D116" s="68" t="s">
        <v>22</v>
      </c>
      <c r="E116" s="69"/>
      <c r="F116" s="33">
        <v>5.9151815181518401</v>
      </c>
      <c r="G116" s="34">
        <v>2.7930718954248199</v>
      </c>
      <c r="H116" s="34">
        <v>4.45488215488216</v>
      </c>
      <c r="I116" s="34">
        <v>3.58676470588235</v>
      </c>
      <c r="J116" s="34">
        <v>1.6368506493506401</v>
      </c>
      <c r="K116" s="34">
        <v>5.4112377850162998</v>
      </c>
      <c r="L116" s="34">
        <v>1.94266447368421</v>
      </c>
      <c r="M116" s="35">
        <v>1.6449679487179401</v>
      </c>
      <c r="N116" s="33">
        <v>5.92794871794871</v>
      </c>
      <c r="O116" s="34">
        <v>2.7743243243243199</v>
      </c>
      <c r="P116" s="34">
        <v>4.3705714285714201</v>
      </c>
      <c r="Q116" s="34">
        <v>3.57567567567567</v>
      </c>
      <c r="R116" s="34">
        <v>1.63919999999999</v>
      </c>
      <c r="S116" s="34">
        <v>5.4197435897435797</v>
      </c>
      <c r="T116" s="34">
        <v>1.94166666666666</v>
      </c>
      <c r="U116" s="35">
        <v>1.6452631578947301</v>
      </c>
      <c r="W116" s="66"/>
      <c r="X116" s="68" t="s">
        <v>22</v>
      </c>
      <c r="Y116" s="69"/>
      <c r="Z116" s="33">
        <v>4.6507142857142796</v>
      </c>
      <c r="AA116" s="34">
        <v>3.36688172043011</v>
      </c>
      <c r="AB116" s="34">
        <v>4.3228888888888903</v>
      </c>
      <c r="AC116" s="34">
        <v>4.0376373626373496</v>
      </c>
      <c r="AD116" s="34">
        <v>2.5291999999999901</v>
      </c>
      <c r="AE116" s="34">
        <v>4.4315432098765397</v>
      </c>
      <c r="AF116" s="34">
        <v>0.76764705882353002</v>
      </c>
      <c r="AG116" s="35">
        <v>0.90557894736842004</v>
      </c>
      <c r="AH116" s="33">
        <v>4.6692156862744998</v>
      </c>
      <c r="AI116" s="34">
        <v>3.36324324324324</v>
      </c>
      <c r="AJ116" s="34">
        <v>4.3272222222222201</v>
      </c>
      <c r="AK116" s="34">
        <v>4.0502040816326499</v>
      </c>
      <c r="AL116" s="34">
        <v>2.5288235294117598</v>
      </c>
      <c r="AM116" s="34">
        <v>4.4761363636363596</v>
      </c>
      <c r="AN116" s="34">
        <v>0.77905660377358499</v>
      </c>
      <c r="AO116" s="35">
        <v>0.90425925925925899</v>
      </c>
      <c r="AQ116" s="66"/>
      <c r="AR116" s="68" t="s">
        <v>22</v>
      </c>
      <c r="AS116" s="69"/>
      <c r="AT116" s="33">
        <v>3.0064615384615299</v>
      </c>
      <c r="AU116" s="34"/>
      <c r="AV116" s="34">
        <v>5.3312499999999998</v>
      </c>
      <c r="AW116" s="34">
        <v>5.6917741935483797</v>
      </c>
      <c r="AX116" s="34">
        <v>4.2573770491803202</v>
      </c>
      <c r="AY116" s="34">
        <v>4.3246666666666602</v>
      </c>
      <c r="AZ116" s="34">
        <v>1.7874603174603101</v>
      </c>
      <c r="BA116" s="35">
        <v>2.4587804878048698</v>
      </c>
      <c r="BB116" s="33">
        <v>3.0067441860465101</v>
      </c>
      <c r="BC116" s="34"/>
      <c r="BD116" s="34">
        <v>5.3305882352941101</v>
      </c>
      <c r="BE116" s="34">
        <v>5.7037209302325502</v>
      </c>
      <c r="BF116" s="34">
        <v>4.2690243902439002</v>
      </c>
      <c r="BG116" s="34">
        <v>4.3247499999999999</v>
      </c>
      <c r="BH116" s="34">
        <v>1.79093023255814</v>
      </c>
      <c r="BI116" s="35">
        <v>2.45814814814814</v>
      </c>
      <c r="BK116" s="66"/>
      <c r="BL116" s="68" t="s">
        <v>22</v>
      </c>
      <c r="BM116" s="69"/>
      <c r="BN116" s="33">
        <v>2.8857377049180299</v>
      </c>
      <c r="BO116" s="34">
        <v>5.5920338983050799</v>
      </c>
      <c r="BP116" s="34">
        <v>4.9771794871794803</v>
      </c>
      <c r="BQ116" s="34">
        <v>6.03689655172413</v>
      </c>
      <c r="BR116" s="34"/>
      <c r="BS116" s="34">
        <v>3.6947619047618998</v>
      </c>
      <c r="BT116" s="34">
        <v>2.95587301587301</v>
      </c>
      <c r="BU116" s="35">
        <v>3.34492063492063</v>
      </c>
      <c r="BV116" s="33">
        <v>2.8907499999999899</v>
      </c>
      <c r="BW116" s="34">
        <v>5.5753846153846096</v>
      </c>
      <c r="BX116" s="34">
        <v>4.9357142857142797</v>
      </c>
      <c r="BY116" s="34">
        <v>6.0617499999999902</v>
      </c>
      <c r="BZ116" s="34"/>
      <c r="CA116" s="34">
        <v>3.7014634146341399</v>
      </c>
      <c r="CB116" s="34">
        <v>2.9554545454545398</v>
      </c>
      <c r="CC116" s="35">
        <v>3.34380952380952</v>
      </c>
      <c r="CE116" s="66"/>
      <c r="CF116" s="68" t="s">
        <v>22</v>
      </c>
      <c r="CG116" s="69"/>
      <c r="CH116" s="33">
        <v>3.5476190476190399</v>
      </c>
      <c r="CI116" s="34">
        <v>2.1622641509433902</v>
      </c>
      <c r="CJ116" s="34">
        <v>1.82636363636363</v>
      </c>
      <c r="CK116" s="34">
        <v>0.828666666666667</v>
      </c>
      <c r="CL116" s="34">
        <v>17.1918604651162</v>
      </c>
      <c r="CM116" s="34">
        <v>3.02931034482758</v>
      </c>
      <c r="CN116" s="34">
        <v>1.2047826086956499</v>
      </c>
      <c r="CO116" s="35">
        <v>1.22428571428571</v>
      </c>
      <c r="CP116" s="33">
        <v>3.54790697674418</v>
      </c>
      <c r="CQ116" s="34">
        <v>2.15236363636363</v>
      </c>
      <c r="CR116" s="34">
        <v>1.8340000000000001</v>
      </c>
      <c r="CS116" s="34">
        <v>0.828666666666667</v>
      </c>
      <c r="CT116" s="34">
        <v>17.202444444444399</v>
      </c>
      <c r="CU116" s="34">
        <v>3.0130508474576199</v>
      </c>
      <c r="CV116" s="34">
        <v>1.2075</v>
      </c>
      <c r="CW116" s="35">
        <v>1.21137931034482</v>
      </c>
      <c r="CY116" s="66"/>
      <c r="CZ116" s="68" t="s">
        <v>22</v>
      </c>
      <c r="DA116" s="69"/>
      <c r="DB116" s="33">
        <v>1.86862068965517</v>
      </c>
      <c r="DC116" s="34">
        <v>0.70403508771929701</v>
      </c>
      <c r="DD116" s="34">
        <v>0.34452830188679201</v>
      </c>
      <c r="DE116" s="34">
        <v>1.0779591836734701</v>
      </c>
      <c r="DF116" s="34">
        <v>1.6099999999999901</v>
      </c>
      <c r="DG116" s="34">
        <v>1.89</v>
      </c>
      <c r="DH116" s="34">
        <v>0.15875</v>
      </c>
      <c r="DI116" s="35">
        <v>0.160727272727272</v>
      </c>
      <c r="DJ116" s="33">
        <v>1.8676271186440601</v>
      </c>
      <c r="DK116" s="34">
        <v>0.69758620689655104</v>
      </c>
      <c r="DL116" s="34">
        <v>0.34962962962962901</v>
      </c>
      <c r="DM116" s="34">
        <v>1.0733999999999999</v>
      </c>
      <c r="DN116" s="34">
        <v>1.6099999999999901</v>
      </c>
      <c r="DO116" s="34">
        <v>1.89</v>
      </c>
      <c r="DP116" s="34">
        <v>0.15890909090909</v>
      </c>
      <c r="DQ116" s="35">
        <v>0.16303571428571401</v>
      </c>
      <c r="DS116" s="66"/>
      <c r="DT116" s="68" t="s">
        <v>22</v>
      </c>
      <c r="DU116" s="69"/>
      <c r="DV116" s="33">
        <v>2.0291304347826</v>
      </c>
      <c r="DW116" s="34">
        <v>1.0887500000000001</v>
      </c>
      <c r="DX116" s="34">
        <v>1.8111538461538399</v>
      </c>
      <c r="DY116" s="34">
        <v>3.1282352941176401</v>
      </c>
      <c r="DZ116" s="34">
        <v>1.6219298245614</v>
      </c>
      <c r="EA116" s="34">
        <v>1.99702127659574</v>
      </c>
      <c r="EB116" s="34">
        <v>0.41499999999999998</v>
      </c>
      <c r="EC116" s="35">
        <v>1.3612727272727201</v>
      </c>
      <c r="ED116" s="33">
        <v>2.0281818181818099</v>
      </c>
      <c r="EE116" s="34">
        <v>1.0928571428571401</v>
      </c>
      <c r="EF116" s="34">
        <v>1.8126415094339601</v>
      </c>
      <c r="EG116" s="34">
        <v>3.1543396226415101</v>
      </c>
      <c r="EH116" s="34">
        <v>1.6217241379310301</v>
      </c>
      <c r="EI116" s="34">
        <v>1.98680851063829</v>
      </c>
      <c r="EJ116" s="34">
        <v>0.41</v>
      </c>
      <c r="EK116" s="35">
        <v>1.37071428571428</v>
      </c>
      <c r="EM116" s="66"/>
      <c r="EN116" s="68" t="s">
        <v>22</v>
      </c>
      <c r="EO116" s="69"/>
      <c r="EP116" s="33">
        <v>0.52392857142857097</v>
      </c>
      <c r="EQ116" s="34">
        <v>9.7248888888888896</v>
      </c>
      <c r="ER116" s="34">
        <v>0.441428571428571</v>
      </c>
      <c r="ES116" s="34">
        <v>1.68563636363636</v>
      </c>
      <c r="ET116" s="34">
        <v>3.52918367346938</v>
      </c>
      <c r="EU116" s="34">
        <v>2.8780000000000001</v>
      </c>
      <c r="EV116" s="34">
        <v>0.52999999999999903</v>
      </c>
      <c r="EW116" s="35">
        <v>1.47857142857142</v>
      </c>
      <c r="EX116" s="33">
        <v>0.52403508771929797</v>
      </c>
      <c r="EY116" s="34">
        <v>9.8029545454545399</v>
      </c>
      <c r="EZ116" s="34">
        <v>0.44159999999999899</v>
      </c>
      <c r="FA116" s="34">
        <v>1.6935087719298201</v>
      </c>
      <c r="FB116" s="34">
        <v>3.6314000000000002</v>
      </c>
      <c r="FC116" s="34">
        <v>2.8723529411764699</v>
      </c>
      <c r="FD116" s="34">
        <v>0.52999999999999903</v>
      </c>
      <c r="FE116" s="35">
        <v>1.4831914893617</v>
      </c>
    </row>
    <row r="117" spans="3:161" ht="28.8" x14ac:dyDescent="0.3">
      <c r="C117" s="66"/>
      <c r="D117" s="73" t="s">
        <v>23</v>
      </c>
      <c r="E117" s="38" t="s">
        <v>24</v>
      </c>
      <c r="F117" s="30">
        <v>5.36</v>
      </c>
      <c r="G117" s="31">
        <v>2.94</v>
      </c>
      <c r="H117" s="31">
        <v>4.8</v>
      </c>
      <c r="I117" s="31">
        <v>3.73</v>
      </c>
      <c r="J117" s="31">
        <v>1.71</v>
      </c>
      <c r="K117" s="31">
        <v>5.0599999999999996</v>
      </c>
      <c r="L117" s="31">
        <v>1.69</v>
      </c>
      <c r="M117" s="32">
        <v>1.68</v>
      </c>
      <c r="N117" s="30">
        <v>5.36</v>
      </c>
      <c r="O117" s="31">
        <v>2.94</v>
      </c>
      <c r="P117" s="31">
        <v>4.8</v>
      </c>
      <c r="Q117" s="31">
        <v>3.73</v>
      </c>
      <c r="R117" s="31">
        <v>1.71</v>
      </c>
      <c r="S117" s="31">
        <v>5.0599999999999996</v>
      </c>
      <c r="T117" s="31">
        <v>1.69</v>
      </c>
      <c r="U117" s="32">
        <v>1.68</v>
      </c>
      <c r="W117" s="66"/>
      <c r="X117" s="73" t="s">
        <v>23</v>
      </c>
      <c r="Y117" s="38" t="s">
        <v>24</v>
      </c>
      <c r="Z117" s="30">
        <v>4.3099999999999996</v>
      </c>
      <c r="AA117" s="31">
        <v>3.34</v>
      </c>
      <c r="AB117" s="31">
        <v>4.4000000000000004</v>
      </c>
      <c r="AC117" s="31">
        <v>4.18</v>
      </c>
      <c r="AD117" s="31">
        <v>2.63</v>
      </c>
      <c r="AE117" s="31">
        <v>4.3600000000000003</v>
      </c>
      <c r="AF117" s="31">
        <v>0.84</v>
      </c>
      <c r="AG117" s="32">
        <v>1.02</v>
      </c>
      <c r="AH117" s="30">
        <v>4.3099999999999996</v>
      </c>
      <c r="AI117" s="31">
        <v>3.34</v>
      </c>
      <c r="AJ117" s="31">
        <v>4.4000000000000004</v>
      </c>
      <c r="AK117" s="31">
        <v>4.18</v>
      </c>
      <c r="AL117" s="31">
        <v>2.63</v>
      </c>
      <c r="AM117" s="31">
        <v>4.3600000000000003</v>
      </c>
      <c r="AN117" s="31">
        <v>0.84</v>
      </c>
      <c r="AO117" s="32">
        <v>1.02</v>
      </c>
      <c r="AQ117" s="66"/>
      <c r="AR117" s="73" t="s">
        <v>23</v>
      </c>
      <c r="AS117" s="38" t="s">
        <v>24</v>
      </c>
      <c r="AT117" s="30">
        <v>3.04</v>
      </c>
      <c r="AU117" s="31"/>
      <c r="AV117" s="31">
        <v>5.24</v>
      </c>
      <c r="AW117" s="31">
        <v>5.77</v>
      </c>
      <c r="AX117" s="31">
        <v>4.1900000000000004</v>
      </c>
      <c r="AY117" s="31">
        <v>4.38</v>
      </c>
      <c r="AZ117" s="31">
        <v>1.55</v>
      </c>
      <c r="BA117" s="32">
        <v>2.41</v>
      </c>
      <c r="BB117" s="30">
        <v>3.04</v>
      </c>
      <c r="BC117" s="31"/>
      <c r="BD117" s="31">
        <v>5.24</v>
      </c>
      <c r="BE117" s="31">
        <v>5.77</v>
      </c>
      <c r="BF117" s="31">
        <v>4.1900000000000004</v>
      </c>
      <c r="BG117" s="31">
        <v>4.38</v>
      </c>
      <c r="BH117" s="31">
        <v>1.55</v>
      </c>
      <c r="BI117" s="32">
        <v>2.41</v>
      </c>
      <c r="BK117" s="66"/>
      <c r="BL117" s="73" t="s">
        <v>23</v>
      </c>
      <c r="BM117" s="38" t="s">
        <v>24</v>
      </c>
      <c r="BN117" s="30">
        <v>2.88</v>
      </c>
      <c r="BO117" s="31">
        <v>5.31</v>
      </c>
      <c r="BP117" s="31">
        <v>5.04</v>
      </c>
      <c r="BQ117" s="31">
        <v>6.21</v>
      </c>
      <c r="BR117" s="31"/>
      <c r="BS117" s="31">
        <v>3.65</v>
      </c>
      <c r="BT117" s="31">
        <v>2.85</v>
      </c>
      <c r="BU117" s="32">
        <v>3.06</v>
      </c>
      <c r="BV117" s="30">
        <v>2.88</v>
      </c>
      <c r="BW117" s="31">
        <v>5.31</v>
      </c>
      <c r="BX117" s="31">
        <v>5.04</v>
      </c>
      <c r="BY117" s="31">
        <v>6.21</v>
      </c>
      <c r="BZ117" s="31"/>
      <c r="CA117" s="31">
        <v>3.65</v>
      </c>
      <c r="CB117" s="31">
        <v>2.85</v>
      </c>
      <c r="CC117" s="32">
        <v>3.06</v>
      </c>
      <c r="CE117" s="66"/>
      <c r="CF117" s="73" t="s">
        <v>23</v>
      </c>
      <c r="CG117" s="38" t="s">
        <v>24</v>
      </c>
      <c r="CH117" s="30">
        <v>5.36</v>
      </c>
      <c r="CI117" s="31">
        <v>2.94</v>
      </c>
      <c r="CJ117" s="31">
        <v>4.8</v>
      </c>
      <c r="CK117" s="31">
        <v>3.73</v>
      </c>
      <c r="CL117" s="31">
        <v>1.71</v>
      </c>
      <c r="CM117" s="31">
        <v>5.0599999999999996</v>
      </c>
      <c r="CN117" s="31">
        <v>1.69</v>
      </c>
      <c r="CO117" s="32">
        <v>1.68</v>
      </c>
      <c r="CP117" s="30">
        <v>5.36</v>
      </c>
      <c r="CQ117" s="31">
        <v>2.94</v>
      </c>
      <c r="CR117" s="31">
        <v>4.8</v>
      </c>
      <c r="CS117" s="31">
        <v>3.73</v>
      </c>
      <c r="CT117" s="31">
        <v>1.71</v>
      </c>
      <c r="CU117" s="31">
        <v>5.0599999999999996</v>
      </c>
      <c r="CV117" s="31">
        <v>1.69</v>
      </c>
      <c r="CW117" s="32">
        <v>1.68</v>
      </c>
      <c r="CY117" s="66"/>
      <c r="CZ117" s="73" t="s">
        <v>23</v>
      </c>
      <c r="DA117" s="38" t="s">
        <v>24</v>
      </c>
      <c r="DB117" s="30">
        <v>4.3099999999999996</v>
      </c>
      <c r="DC117" s="31">
        <v>3.34</v>
      </c>
      <c r="DD117" s="31">
        <v>4.4000000000000004</v>
      </c>
      <c r="DE117" s="31">
        <v>4.18</v>
      </c>
      <c r="DF117" s="31">
        <v>2.63</v>
      </c>
      <c r="DG117" s="31">
        <v>4.3600000000000003</v>
      </c>
      <c r="DH117" s="31">
        <v>0.84</v>
      </c>
      <c r="DI117" s="32">
        <v>1.02</v>
      </c>
      <c r="DJ117" s="30">
        <v>4.3099999999999996</v>
      </c>
      <c r="DK117" s="31">
        <v>3.34</v>
      </c>
      <c r="DL117" s="31">
        <v>4.4000000000000004</v>
      </c>
      <c r="DM117" s="31">
        <v>4.18</v>
      </c>
      <c r="DN117" s="31">
        <v>2.63</v>
      </c>
      <c r="DO117" s="31">
        <v>4.3600000000000003</v>
      </c>
      <c r="DP117" s="31">
        <v>0.84</v>
      </c>
      <c r="DQ117" s="32">
        <v>1.02</v>
      </c>
      <c r="DS117" s="66"/>
      <c r="DT117" s="73" t="s">
        <v>23</v>
      </c>
      <c r="DU117" s="38" t="s">
        <v>24</v>
      </c>
      <c r="DV117" s="30">
        <v>3.04</v>
      </c>
      <c r="DW117" s="31">
        <v>4.01</v>
      </c>
      <c r="DX117" s="31">
        <v>5.24</v>
      </c>
      <c r="DY117" s="31">
        <v>5.77</v>
      </c>
      <c r="DZ117" s="31">
        <v>4.1900000000000004</v>
      </c>
      <c r="EA117" s="31">
        <v>4.38</v>
      </c>
      <c r="EB117" s="31">
        <v>1.55</v>
      </c>
      <c r="EC117" s="32">
        <v>2.41</v>
      </c>
      <c r="ED117" s="30">
        <v>3.04</v>
      </c>
      <c r="EE117" s="31">
        <v>4.01</v>
      </c>
      <c r="EF117" s="31">
        <v>5.24</v>
      </c>
      <c r="EG117" s="31">
        <v>5.77</v>
      </c>
      <c r="EH117" s="31">
        <v>4.1900000000000004</v>
      </c>
      <c r="EI117" s="31">
        <v>4.38</v>
      </c>
      <c r="EJ117" s="31">
        <v>1.55</v>
      </c>
      <c r="EK117" s="32">
        <v>2.41</v>
      </c>
      <c r="EM117" s="66"/>
      <c r="EN117" s="73" t="s">
        <v>23</v>
      </c>
      <c r="EO117" s="38" t="s">
        <v>24</v>
      </c>
      <c r="EP117" s="30">
        <v>2.88</v>
      </c>
      <c r="EQ117" s="31">
        <v>5.31</v>
      </c>
      <c r="ER117" s="31">
        <v>5.04</v>
      </c>
      <c r="ES117" s="31">
        <v>6.21</v>
      </c>
      <c r="ET117" s="31">
        <v>5.29</v>
      </c>
      <c r="EU117" s="31">
        <v>3.65</v>
      </c>
      <c r="EV117" s="31">
        <v>2.85</v>
      </c>
      <c r="EW117" s="32">
        <v>3.06</v>
      </c>
      <c r="EX117" s="30">
        <v>2.88</v>
      </c>
      <c r="EY117" s="31">
        <v>5.31</v>
      </c>
      <c r="EZ117" s="31">
        <v>5.04</v>
      </c>
      <c r="FA117" s="31">
        <v>6.21</v>
      </c>
      <c r="FB117" s="31">
        <v>5.29</v>
      </c>
      <c r="FC117" s="31">
        <v>3.65</v>
      </c>
      <c r="FD117" s="31">
        <v>2.85</v>
      </c>
      <c r="FE117" s="32">
        <v>3.06</v>
      </c>
    </row>
    <row r="118" spans="3:161" x14ac:dyDescent="0.3">
      <c r="C118" s="66"/>
      <c r="D118" s="70"/>
      <c r="E118" s="39" t="s">
        <v>25</v>
      </c>
      <c r="F118" s="15">
        <v>-0.5551815181518398</v>
      </c>
      <c r="G118" s="16">
        <v>0.14692810457518002</v>
      </c>
      <c r="H118" s="16">
        <v>0.34511784511783983</v>
      </c>
      <c r="I118" s="16">
        <v>0.14323529411765001</v>
      </c>
      <c r="J118" s="16">
        <v>7.3149350649359901E-2</v>
      </c>
      <c r="K118" s="16">
        <v>-0.35123778501630021</v>
      </c>
      <c r="L118" s="16">
        <v>-0.25266447368421008</v>
      </c>
      <c r="M118" s="17">
        <v>3.5032051282059884E-2</v>
      </c>
      <c r="N118" s="15">
        <v>-0.56794871794870971</v>
      </c>
      <c r="O118" s="16">
        <v>0.16567567567568009</v>
      </c>
      <c r="P118" s="16">
        <v>0.42942857142857971</v>
      </c>
      <c r="Q118" s="16">
        <v>0.15432432432432996</v>
      </c>
      <c r="R118" s="16">
        <v>7.0800000000009966E-2</v>
      </c>
      <c r="S118" s="16">
        <v>-0.35974358974358012</v>
      </c>
      <c r="T118" s="16">
        <v>-0.25166666666666004</v>
      </c>
      <c r="U118" s="17">
        <v>3.4736842105269838E-2</v>
      </c>
      <c r="W118" s="66"/>
      <c r="X118" s="70"/>
      <c r="Y118" s="39" t="s">
        <v>25</v>
      </c>
      <c r="Z118" s="15">
        <v>-0.34071428571427997</v>
      </c>
      <c r="AA118" s="16">
        <v>-2.6881720430110168E-2</v>
      </c>
      <c r="AB118" s="16">
        <v>7.711111111111002E-2</v>
      </c>
      <c r="AC118" s="16">
        <v>0.14236263736265009</v>
      </c>
      <c r="AD118" s="16">
        <v>0.10080000000000977</v>
      </c>
      <c r="AE118" s="16">
        <v>-7.1543209876539393E-2</v>
      </c>
      <c r="AF118" s="16">
        <v>7.2352941176469954E-2</v>
      </c>
      <c r="AG118" s="17">
        <v>0.11442105263157998</v>
      </c>
      <c r="AH118" s="15">
        <v>-0.35921568627450018</v>
      </c>
      <c r="AI118" s="16">
        <v>-2.3243243243240119E-2</v>
      </c>
      <c r="AJ118" s="16">
        <v>7.2777777777780273E-2</v>
      </c>
      <c r="AK118" s="16">
        <v>0.12979591836734983</v>
      </c>
      <c r="AL118" s="16">
        <v>0.10117647058824009</v>
      </c>
      <c r="AM118" s="16">
        <v>-0.11613636363635926</v>
      </c>
      <c r="AN118" s="16">
        <v>6.0943396226414981E-2</v>
      </c>
      <c r="AO118" s="17">
        <v>0.11574074074074103</v>
      </c>
      <c r="AQ118" s="66"/>
      <c r="AR118" s="70"/>
      <c r="AS118" s="39" t="s">
        <v>25</v>
      </c>
      <c r="AT118" s="15">
        <v>3.3538461538470177E-2</v>
      </c>
      <c r="AU118" s="16"/>
      <c r="AV118" s="16">
        <v>-9.1249999999999609E-2</v>
      </c>
      <c r="AW118" s="16">
        <v>7.8225806451619917E-2</v>
      </c>
      <c r="AX118" s="16">
        <v>-6.7377049180319837E-2</v>
      </c>
      <c r="AY118" s="16">
        <v>5.5333333333339674E-2</v>
      </c>
      <c r="AZ118" s="16">
        <v>-0.23746031746031004</v>
      </c>
      <c r="BA118" s="17">
        <v>-4.8780487804869654E-2</v>
      </c>
      <c r="BB118" s="15">
        <v>3.3255813953489977E-2</v>
      </c>
      <c r="BC118" s="16"/>
      <c r="BD118" s="16">
        <v>-9.0588235294109865E-2</v>
      </c>
      <c r="BE118" s="16">
        <v>6.627906976744935E-2</v>
      </c>
      <c r="BF118" s="16">
        <v>-7.9024390243899845E-2</v>
      </c>
      <c r="BG118" s="16">
        <v>5.5250000000000021E-2</v>
      </c>
      <c r="BH118" s="16">
        <v>-0.24093023255813995</v>
      </c>
      <c r="BI118" s="17">
        <v>-4.8148148148139835E-2</v>
      </c>
      <c r="BK118" s="66"/>
      <c r="BL118" s="70"/>
      <c r="BM118" s="39" t="s">
        <v>25</v>
      </c>
      <c r="BN118" s="15">
        <v>-5.737704918030051E-3</v>
      </c>
      <c r="BO118" s="16">
        <v>-0.2820338983050803</v>
      </c>
      <c r="BP118" s="16">
        <v>6.2820512820519703E-2</v>
      </c>
      <c r="BQ118" s="16">
        <v>0.17310344827586999</v>
      </c>
      <c r="BR118" s="16"/>
      <c r="BS118" s="16">
        <v>-4.4761904761899896E-2</v>
      </c>
      <c r="BT118" s="16">
        <v>-0.1058730158730099</v>
      </c>
      <c r="BU118" s="17">
        <v>-0.28492063492062991</v>
      </c>
      <c r="BV118" s="15">
        <v>-1.0749999999990045E-2</v>
      </c>
      <c r="BW118" s="16">
        <v>-0.26538461538461</v>
      </c>
      <c r="BX118" s="16">
        <v>0.10428571428572031</v>
      </c>
      <c r="BY118" s="16">
        <v>0.14825000000000976</v>
      </c>
      <c r="BZ118" s="16"/>
      <c r="CA118" s="16">
        <v>-5.1463414634139948E-2</v>
      </c>
      <c r="CB118" s="16">
        <v>-0.10545454545453969</v>
      </c>
      <c r="CC118" s="17">
        <v>-0.28380952380951996</v>
      </c>
      <c r="CE118" s="66"/>
      <c r="CF118" s="70"/>
      <c r="CG118" s="39" t="s">
        <v>25</v>
      </c>
      <c r="CH118" s="15">
        <v>1.8123809523809604</v>
      </c>
      <c r="CI118" s="16">
        <v>0.77773584905660975</v>
      </c>
      <c r="CJ118" s="16">
        <v>2.9736363636363699</v>
      </c>
      <c r="CK118" s="16">
        <v>2.9013333333333331</v>
      </c>
      <c r="CL118" s="16">
        <v>-15.481860465116199</v>
      </c>
      <c r="CM118" s="16">
        <v>2.0306896551724196</v>
      </c>
      <c r="CN118" s="16">
        <v>0.48521739130435004</v>
      </c>
      <c r="CO118" s="17">
        <v>0.45571428571428996</v>
      </c>
      <c r="CP118" s="15">
        <v>1.8120930232558203</v>
      </c>
      <c r="CQ118" s="16">
        <v>0.78763636363636991</v>
      </c>
      <c r="CR118" s="16">
        <v>2.9659999999999997</v>
      </c>
      <c r="CS118" s="16">
        <v>2.9013333333333331</v>
      </c>
      <c r="CT118" s="16">
        <v>-15.492444444444398</v>
      </c>
      <c r="CU118" s="16">
        <v>2.0469491525423797</v>
      </c>
      <c r="CV118" s="16">
        <v>0.48249999999999993</v>
      </c>
      <c r="CW118" s="17">
        <v>0.46862068965517989</v>
      </c>
      <c r="CY118" s="66"/>
      <c r="CZ118" s="70"/>
      <c r="DA118" s="39" t="s">
        <v>25</v>
      </c>
      <c r="DB118" s="15">
        <v>2.4413793103448294</v>
      </c>
      <c r="DC118" s="16">
        <v>2.635964912280703</v>
      </c>
      <c r="DD118" s="16">
        <v>4.055471698113208</v>
      </c>
      <c r="DE118" s="16">
        <v>3.1020408163265296</v>
      </c>
      <c r="DF118" s="16">
        <v>1.0200000000000098</v>
      </c>
      <c r="DG118" s="16">
        <v>2.4700000000000006</v>
      </c>
      <c r="DH118" s="16">
        <v>0.68124999999999991</v>
      </c>
      <c r="DI118" s="17">
        <v>0.85927272727272808</v>
      </c>
      <c r="DJ118" s="15">
        <v>2.4423728813559396</v>
      </c>
      <c r="DK118" s="16">
        <v>2.642413793103449</v>
      </c>
      <c r="DL118" s="16">
        <v>4.0503703703703717</v>
      </c>
      <c r="DM118" s="16">
        <v>3.1065999999999998</v>
      </c>
      <c r="DN118" s="16">
        <v>1.0200000000000098</v>
      </c>
      <c r="DO118" s="16">
        <v>2.4700000000000006</v>
      </c>
      <c r="DP118" s="16">
        <v>0.68109090909090997</v>
      </c>
      <c r="DQ118" s="17">
        <v>0.85696428571428607</v>
      </c>
      <c r="DS118" s="66"/>
      <c r="DT118" s="70"/>
      <c r="DU118" s="39" t="s">
        <v>25</v>
      </c>
      <c r="DV118" s="15">
        <v>1.0108695652174</v>
      </c>
      <c r="DW118" s="16">
        <v>2.9212499999999997</v>
      </c>
      <c r="DX118" s="16">
        <v>3.4288461538461603</v>
      </c>
      <c r="DY118" s="16">
        <v>2.6417647058823595</v>
      </c>
      <c r="DZ118" s="16">
        <v>2.5680701754386002</v>
      </c>
      <c r="EA118" s="16">
        <v>2.3829787234042596</v>
      </c>
      <c r="EB118" s="16">
        <v>1.135</v>
      </c>
      <c r="EC118" s="17">
        <v>1.0487272727272801</v>
      </c>
      <c r="ED118" s="15">
        <v>1.0118181818181902</v>
      </c>
      <c r="EE118" s="16">
        <v>2.9171428571428599</v>
      </c>
      <c r="EF118" s="16">
        <v>3.4273584905660401</v>
      </c>
      <c r="EG118" s="16">
        <v>2.6156603773584894</v>
      </c>
      <c r="EH118" s="16">
        <v>2.5682758620689703</v>
      </c>
      <c r="EI118" s="16">
        <v>2.3931914893617101</v>
      </c>
      <c r="EJ118" s="16">
        <v>1.1400000000000001</v>
      </c>
      <c r="EK118" s="17">
        <v>1.0392857142857201</v>
      </c>
      <c r="EM118" s="66"/>
      <c r="EN118" s="70"/>
      <c r="EO118" s="39" t="s">
        <v>25</v>
      </c>
      <c r="EP118" s="15">
        <v>2.356071428571429</v>
      </c>
      <c r="EQ118" s="16">
        <v>-4.41488888888889</v>
      </c>
      <c r="ER118" s="16">
        <v>4.5985714285714288</v>
      </c>
      <c r="ES118" s="16">
        <v>4.5243636363636401</v>
      </c>
      <c r="ET118" s="16">
        <v>1.76081632653062</v>
      </c>
      <c r="EU118" s="16">
        <v>0.7719999999999998</v>
      </c>
      <c r="EV118" s="16">
        <v>2.3200000000000012</v>
      </c>
      <c r="EW118" s="17">
        <v>1.5814285714285801</v>
      </c>
      <c r="EX118" s="15">
        <v>2.3559649122807018</v>
      </c>
      <c r="EY118" s="16">
        <v>-4.4929545454545403</v>
      </c>
      <c r="EZ118" s="16">
        <v>4.5984000000000007</v>
      </c>
      <c r="FA118" s="16">
        <v>4.5164912280701799</v>
      </c>
      <c r="FB118" s="16">
        <v>1.6585999999999999</v>
      </c>
      <c r="FC118" s="16">
        <v>0.77764705882353002</v>
      </c>
      <c r="FD118" s="16">
        <v>2.3200000000000012</v>
      </c>
      <c r="FE118" s="17">
        <v>1.5768085106383001</v>
      </c>
    </row>
    <row r="119" spans="3:161" x14ac:dyDescent="0.3">
      <c r="C119" s="66"/>
      <c r="D119" s="70"/>
      <c r="E119" s="39" t="s">
        <v>26</v>
      </c>
      <c r="F119" s="15">
        <v>-9.385705518049809</v>
      </c>
      <c r="G119" s="16">
        <v>5.260448354940487</v>
      </c>
      <c r="H119" s="16">
        <v>7.7469579018969323</v>
      </c>
      <c r="I119" s="16">
        <v>3.9934399343994293</v>
      </c>
      <c r="J119" s="16">
        <v>4.4689080630770563</v>
      </c>
      <c r="K119" s="16">
        <v>-6.4908954100830041</v>
      </c>
      <c r="L119" s="16">
        <v>-13.006078872953228</v>
      </c>
      <c r="M119" s="17">
        <v>2.1296494748948307</v>
      </c>
      <c r="N119" s="15">
        <v>-9.5808642242310249</v>
      </c>
      <c r="O119" s="16">
        <v>5.9717486604970027</v>
      </c>
      <c r="P119" s="16">
        <v>9.8254559717593768</v>
      </c>
      <c r="Q119" s="16">
        <v>4.3159486016630524</v>
      </c>
      <c r="R119" s="16">
        <v>4.3191800878483653</v>
      </c>
      <c r="S119" s="16">
        <v>-6.6376496191510856</v>
      </c>
      <c r="T119" s="16">
        <v>-12.961373390557643</v>
      </c>
      <c r="U119" s="17">
        <v>2.1113243762000309</v>
      </c>
      <c r="W119" s="66"/>
      <c r="X119" s="70"/>
      <c r="Y119" s="39" t="s">
        <v>26</v>
      </c>
      <c r="Z119" s="15">
        <v>-7.3260635847026965</v>
      </c>
      <c r="AA119" s="16">
        <v>-0.79841594276962302</v>
      </c>
      <c r="AB119" s="16">
        <v>1.7837865624839098</v>
      </c>
      <c r="AC119" s="16">
        <v>3.5258896373412805</v>
      </c>
      <c r="AD119" s="16">
        <v>3.9854499446469309</v>
      </c>
      <c r="AE119" s="16">
        <v>-1.6144084913149825</v>
      </c>
      <c r="AF119" s="16">
        <v>9.4252873563217481</v>
      </c>
      <c r="AG119" s="17">
        <v>12.635127281181111</v>
      </c>
      <c r="AH119" s="15">
        <v>-7.6932767815896987</v>
      </c>
      <c r="AI119" s="16">
        <v>-0.69109611057528542</v>
      </c>
      <c r="AJ119" s="16">
        <v>1.6818590319682187</v>
      </c>
      <c r="AK119" s="16">
        <v>3.2046760052404246</v>
      </c>
      <c r="AL119" s="16">
        <v>4.0009304489418112</v>
      </c>
      <c r="AM119" s="16">
        <v>-2.5945671490224993</v>
      </c>
      <c r="AN119" s="16">
        <v>7.8227173649793977</v>
      </c>
      <c r="AO119" s="17">
        <v>12.79950849887368</v>
      </c>
      <c r="AQ119" s="66"/>
      <c r="AR119" s="70"/>
      <c r="AS119" s="39" t="s">
        <v>26</v>
      </c>
      <c r="AT119" s="15">
        <v>1.1155460034799751</v>
      </c>
      <c r="AU119" s="16"/>
      <c r="AV119" s="16">
        <v>-1.7116060961312942</v>
      </c>
      <c r="AW119" s="16">
        <v>1.3743659497295024</v>
      </c>
      <c r="AX119" s="16">
        <v>-1.5825953022716661</v>
      </c>
      <c r="AY119" s="16">
        <v>1.2794820410052357</v>
      </c>
      <c r="AZ119" s="16">
        <v>-13.284788207086043</v>
      </c>
      <c r="BA119" s="17">
        <v>-1.9839301656578341</v>
      </c>
      <c r="BB119" s="15">
        <v>1.1060406837342949</v>
      </c>
      <c r="BC119" s="16"/>
      <c r="BD119" s="16">
        <v>-1.6994041050539281</v>
      </c>
      <c r="BE119" s="16">
        <v>1.162032129169178</v>
      </c>
      <c r="BF119" s="16">
        <v>-1.8511112380734132</v>
      </c>
      <c r="BG119" s="16">
        <v>1.2775304930920868</v>
      </c>
      <c r="BH119" s="16">
        <v>-13.452798337878216</v>
      </c>
      <c r="BI119" s="17">
        <v>-1.958716287478951</v>
      </c>
      <c r="BK119" s="66"/>
      <c r="BL119" s="70"/>
      <c r="BM119" s="39" t="s">
        <v>26</v>
      </c>
      <c r="BN119" s="15">
        <v>-0.19882974492974689</v>
      </c>
      <c r="BO119" s="16">
        <v>-5.0434940745005763</v>
      </c>
      <c r="BP119" s="16">
        <v>1.2621709340066312</v>
      </c>
      <c r="BQ119" s="16">
        <v>2.8674244587880482</v>
      </c>
      <c r="BR119" s="16"/>
      <c r="BS119" s="16">
        <v>-1.211496326846113</v>
      </c>
      <c r="BT119" s="16">
        <v>-3.5817849855008257</v>
      </c>
      <c r="BU119" s="17">
        <v>-8.518008826460262</v>
      </c>
      <c r="BV119" s="15">
        <v>-0.37187581077540716</v>
      </c>
      <c r="BW119" s="16">
        <v>-4.7599337748343453</v>
      </c>
      <c r="BX119" s="16">
        <v>2.1128798842258845</v>
      </c>
      <c r="BY119" s="16">
        <v>2.4456633810369945</v>
      </c>
      <c r="BZ119" s="16"/>
      <c r="CA119" s="16">
        <v>-1.3903531892460079</v>
      </c>
      <c r="CB119" s="16">
        <v>-3.5681328821899077</v>
      </c>
      <c r="CC119" s="17">
        <v>-8.4876103674165844</v>
      </c>
      <c r="CE119" s="66"/>
      <c r="CF119" s="70"/>
      <c r="CG119" s="39" t="s">
        <v>26</v>
      </c>
      <c r="CH119" s="15">
        <v>51.087248322147992</v>
      </c>
      <c r="CI119" s="16">
        <v>35.968586387434932</v>
      </c>
      <c r="CJ119" s="16">
        <v>162.81732205077245</v>
      </c>
      <c r="CK119" s="16">
        <v>350.12067578439246</v>
      </c>
      <c r="CL119" s="16">
        <v>-90.05343253297255</v>
      </c>
      <c r="CM119" s="16">
        <v>67.034718269778352</v>
      </c>
      <c r="CN119" s="16">
        <v>40.274269216889472</v>
      </c>
      <c r="CO119" s="17">
        <v>37.222870478413547</v>
      </c>
      <c r="CP119" s="15">
        <v>51.074986890404041</v>
      </c>
      <c r="CQ119" s="16">
        <v>36.594019260010533</v>
      </c>
      <c r="CR119" s="16">
        <v>161.72300981461285</v>
      </c>
      <c r="CS119" s="16">
        <v>350.12067578439246</v>
      </c>
      <c r="CT119" s="16">
        <v>-90.059552260014698</v>
      </c>
      <c r="CU119" s="16">
        <v>67.936097204253073</v>
      </c>
      <c r="CV119" s="16">
        <v>39.958592132505174</v>
      </c>
      <c r="CW119" s="17">
        <v>38.684884713920589</v>
      </c>
      <c r="CY119" s="66"/>
      <c r="CZ119" s="70"/>
      <c r="DA119" s="39" t="s">
        <v>26</v>
      </c>
      <c r="DB119" s="15">
        <v>130.65141169957585</v>
      </c>
      <c r="DC119" s="16">
        <v>374.40817343633273</v>
      </c>
      <c r="DD119" s="16">
        <v>1177.1084337349414</v>
      </c>
      <c r="DE119" s="16">
        <v>287.76978417266162</v>
      </c>
      <c r="DF119" s="16">
        <v>63.354037267081743</v>
      </c>
      <c r="DG119" s="16">
        <v>130.68783068783071</v>
      </c>
      <c r="DH119" s="16">
        <v>429.1338582677165</v>
      </c>
      <c r="DI119" s="17">
        <v>534.61538461538748</v>
      </c>
      <c r="DJ119" s="15">
        <v>130.77411743352485</v>
      </c>
      <c r="DK119" s="16">
        <v>378.79387048937269</v>
      </c>
      <c r="DL119" s="16">
        <v>1158.4745762711889</v>
      </c>
      <c r="DM119" s="16">
        <v>289.41680640953979</v>
      </c>
      <c r="DN119" s="16">
        <v>63.354037267081743</v>
      </c>
      <c r="DO119" s="16">
        <v>130.68783068783071</v>
      </c>
      <c r="DP119" s="16">
        <v>428.604118993138</v>
      </c>
      <c r="DQ119" s="17">
        <v>525.62979189485327</v>
      </c>
      <c r="DS119" s="66"/>
      <c r="DT119" s="70"/>
      <c r="DU119" s="39" t="s">
        <v>26</v>
      </c>
      <c r="DV119" s="15">
        <v>49.817870152132635</v>
      </c>
      <c r="DW119" s="16">
        <v>268.31228473019513</v>
      </c>
      <c r="DX119" s="16">
        <v>189.31832660862281</v>
      </c>
      <c r="DY119" s="16">
        <v>84.449040992854847</v>
      </c>
      <c r="DZ119" s="16">
        <v>158.33423472147163</v>
      </c>
      <c r="EA119" s="16">
        <v>119.32665672277911</v>
      </c>
      <c r="EB119" s="16">
        <v>273.49397590361446</v>
      </c>
      <c r="EC119" s="17">
        <v>77.040203018566459</v>
      </c>
      <c r="ED119" s="15">
        <v>49.887942626625446</v>
      </c>
      <c r="EE119" s="16">
        <v>266.9281045751643</v>
      </c>
      <c r="EF119" s="16">
        <v>189.08087852607508</v>
      </c>
      <c r="EG119" s="16">
        <v>82.922598396937374</v>
      </c>
      <c r="EH119" s="16">
        <v>158.36699978737047</v>
      </c>
      <c r="EI119" s="16">
        <v>120.45405868494412</v>
      </c>
      <c r="EJ119" s="16">
        <v>278.04878048780489</v>
      </c>
      <c r="EK119" s="17">
        <v>75.820739968734458</v>
      </c>
      <c r="EM119" s="66"/>
      <c r="EN119" s="70"/>
      <c r="EO119" s="39" t="s">
        <v>26</v>
      </c>
      <c r="EP119" s="15">
        <v>449.6932515337428</v>
      </c>
      <c r="EQ119" s="16">
        <v>-45.397833737032137</v>
      </c>
      <c r="ER119" s="16">
        <v>1041.747572815535</v>
      </c>
      <c r="ES119" s="16">
        <v>268.40686010139223</v>
      </c>
      <c r="ET119" s="16">
        <v>49.893020297230422</v>
      </c>
      <c r="EU119" s="16">
        <v>26.824183460736617</v>
      </c>
      <c r="EV119" s="16">
        <v>437.73584905660482</v>
      </c>
      <c r="EW119" s="17">
        <v>106.95652173913163</v>
      </c>
      <c r="EX119" s="15">
        <v>449.58151991965212</v>
      </c>
      <c r="EY119" s="16">
        <v>-45.832657130271457</v>
      </c>
      <c r="EZ119" s="16">
        <v>1041.3043478260895</v>
      </c>
      <c r="FA119" s="16">
        <v>266.69429192997092</v>
      </c>
      <c r="FB119" s="16">
        <v>45.673844798149467</v>
      </c>
      <c r="FC119" s="16">
        <v>27.073520376817555</v>
      </c>
      <c r="FD119" s="16">
        <v>437.73584905660482</v>
      </c>
      <c r="FE119" s="17">
        <v>106.31186343422783</v>
      </c>
    </row>
    <row r="120" spans="3:161" ht="28.8" x14ac:dyDescent="0.3">
      <c r="C120" s="66"/>
      <c r="D120" s="70" t="s">
        <v>27</v>
      </c>
      <c r="E120" s="40" t="s">
        <v>24</v>
      </c>
      <c r="F120" s="30">
        <v>5.32</v>
      </c>
      <c r="G120" s="31">
        <v>2.95</v>
      </c>
      <c r="H120" s="31">
        <v>4.8099999999999996</v>
      </c>
      <c r="I120" s="31">
        <v>3.68</v>
      </c>
      <c r="J120" s="31">
        <v>1.73</v>
      </c>
      <c r="K120" s="31">
        <v>5.0599999999999996</v>
      </c>
      <c r="L120" s="31">
        <v>1.74</v>
      </c>
      <c r="M120" s="32">
        <v>1.74</v>
      </c>
      <c r="N120" s="30">
        <v>5.32</v>
      </c>
      <c r="O120" s="31">
        <v>2.95</v>
      </c>
      <c r="P120" s="31">
        <v>4.8099999999999996</v>
      </c>
      <c r="Q120" s="31">
        <v>3.68</v>
      </c>
      <c r="R120" s="31">
        <v>1.73</v>
      </c>
      <c r="S120" s="31">
        <v>5.0599999999999996</v>
      </c>
      <c r="T120" s="31">
        <v>1.74</v>
      </c>
      <c r="U120" s="32">
        <v>1.74</v>
      </c>
      <c r="W120" s="66"/>
      <c r="X120" s="70" t="s">
        <v>27</v>
      </c>
      <c r="Y120" s="40" t="s">
        <v>24</v>
      </c>
      <c r="Z120" s="30">
        <v>4.25</v>
      </c>
      <c r="AA120" s="31">
        <v>3.34</v>
      </c>
      <c r="AB120" s="31">
        <v>4.45</v>
      </c>
      <c r="AC120" s="31">
        <v>4.1500000000000004</v>
      </c>
      <c r="AD120" s="31">
        <v>2.63</v>
      </c>
      <c r="AE120" s="31">
        <v>4.25</v>
      </c>
      <c r="AF120" s="31">
        <v>0.91</v>
      </c>
      <c r="AG120" s="32">
        <v>1.07</v>
      </c>
      <c r="AH120" s="30">
        <v>4.25</v>
      </c>
      <c r="AI120" s="31">
        <v>3.34</v>
      </c>
      <c r="AJ120" s="31">
        <v>4.45</v>
      </c>
      <c r="AK120" s="31">
        <v>4.1500000000000004</v>
      </c>
      <c r="AL120" s="31">
        <v>2.63</v>
      </c>
      <c r="AM120" s="31">
        <v>4.25</v>
      </c>
      <c r="AN120" s="31">
        <v>0.91</v>
      </c>
      <c r="AO120" s="32">
        <v>1.07</v>
      </c>
      <c r="AQ120" s="66"/>
      <c r="AR120" s="70" t="s">
        <v>27</v>
      </c>
      <c r="AS120" s="40" t="s">
        <v>24</v>
      </c>
      <c r="AT120" s="30">
        <v>2.99</v>
      </c>
      <c r="AU120" s="31"/>
      <c r="AV120" s="31">
        <v>5.28</v>
      </c>
      <c r="AW120" s="31">
        <v>5.69</v>
      </c>
      <c r="AX120" s="31">
        <v>4.22</v>
      </c>
      <c r="AY120" s="31">
        <v>4.3899999999999997</v>
      </c>
      <c r="AZ120" s="31">
        <v>1.62</v>
      </c>
      <c r="BA120" s="32">
        <v>2.44</v>
      </c>
      <c r="BB120" s="30">
        <v>2.99</v>
      </c>
      <c r="BC120" s="31"/>
      <c r="BD120" s="31">
        <v>5.28</v>
      </c>
      <c r="BE120" s="31">
        <v>5.69</v>
      </c>
      <c r="BF120" s="31">
        <v>4.22</v>
      </c>
      <c r="BG120" s="31">
        <v>4.3899999999999997</v>
      </c>
      <c r="BH120" s="31">
        <v>1.62</v>
      </c>
      <c r="BI120" s="32">
        <v>2.44</v>
      </c>
      <c r="BK120" s="66"/>
      <c r="BL120" s="70" t="s">
        <v>27</v>
      </c>
      <c r="BM120" s="40" t="s">
        <v>24</v>
      </c>
      <c r="BN120" s="30">
        <v>2.84</v>
      </c>
      <c r="BO120" s="31">
        <v>5.41</v>
      </c>
      <c r="BP120" s="31">
        <v>5.0999999999999996</v>
      </c>
      <c r="BQ120" s="31">
        <v>6.17</v>
      </c>
      <c r="BR120" s="31"/>
      <c r="BS120" s="31">
        <v>3.65</v>
      </c>
      <c r="BT120" s="31">
        <v>2.94</v>
      </c>
      <c r="BU120" s="32">
        <v>3.12</v>
      </c>
      <c r="BV120" s="30">
        <v>2.84</v>
      </c>
      <c r="BW120" s="31">
        <v>5.41</v>
      </c>
      <c r="BX120" s="31">
        <v>5.0999999999999996</v>
      </c>
      <c r="BY120" s="31">
        <v>6.17</v>
      </c>
      <c r="BZ120" s="31"/>
      <c r="CA120" s="31">
        <v>3.65</v>
      </c>
      <c r="CB120" s="31">
        <v>2.94</v>
      </c>
      <c r="CC120" s="32">
        <v>3.12</v>
      </c>
      <c r="CE120" s="66"/>
      <c r="CF120" s="70" t="s">
        <v>27</v>
      </c>
      <c r="CG120" s="40" t="s">
        <v>24</v>
      </c>
      <c r="CH120" s="30">
        <v>5.32</v>
      </c>
      <c r="CI120" s="31">
        <v>2.95</v>
      </c>
      <c r="CJ120" s="31">
        <v>4.8099999999999996</v>
      </c>
      <c r="CK120" s="31">
        <v>3.68</v>
      </c>
      <c r="CL120" s="31">
        <v>1.73</v>
      </c>
      <c r="CM120" s="31">
        <v>5.0599999999999996</v>
      </c>
      <c r="CN120" s="31">
        <v>1.74</v>
      </c>
      <c r="CO120" s="32">
        <v>1.74</v>
      </c>
      <c r="CP120" s="30">
        <v>5.32</v>
      </c>
      <c r="CQ120" s="31">
        <v>2.95</v>
      </c>
      <c r="CR120" s="31">
        <v>4.8099999999999996</v>
      </c>
      <c r="CS120" s="31">
        <v>3.68</v>
      </c>
      <c r="CT120" s="31">
        <v>1.73</v>
      </c>
      <c r="CU120" s="31">
        <v>5.0599999999999996</v>
      </c>
      <c r="CV120" s="31">
        <v>1.74</v>
      </c>
      <c r="CW120" s="32">
        <v>1.74</v>
      </c>
      <c r="CY120" s="66"/>
      <c r="CZ120" s="70" t="s">
        <v>27</v>
      </c>
      <c r="DA120" s="40" t="s">
        <v>24</v>
      </c>
      <c r="DB120" s="30">
        <v>4.25</v>
      </c>
      <c r="DC120" s="31">
        <v>3.34</v>
      </c>
      <c r="DD120" s="31">
        <v>4.45</v>
      </c>
      <c r="DE120" s="31">
        <v>4.1500000000000004</v>
      </c>
      <c r="DF120" s="31">
        <v>2.63</v>
      </c>
      <c r="DG120" s="31">
        <v>4.25</v>
      </c>
      <c r="DH120" s="31">
        <v>0.91</v>
      </c>
      <c r="DI120" s="32">
        <v>1.07</v>
      </c>
      <c r="DJ120" s="30">
        <v>4.25</v>
      </c>
      <c r="DK120" s="31">
        <v>3.34</v>
      </c>
      <c r="DL120" s="31">
        <v>4.45</v>
      </c>
      <c r="DM120" s="31">
        <v>4.1500000000000004</v>
      </c>
      <c r="DN120" s="31">
        <v>2.63</v>
      </c>
      <c r="DO120" s="31">
        <v>4.25</v>
      </c>
      <c r="DP120" s="31">
        <v>0.91</v>
      </c>
      <c r="DQ120" s="32">
        <v>1.07</v>
      </c>
      <c r="DS120" s="66"/>
      <c r="DT120" s="70" t="s">
        <v>27</v>
      </c>
      <c r="DU120" s="40" t="s">
        <v>24</v>
      </c>
      <c r="DV120" s="30">
        <v>2.99</v>
      </c>
      <c r="DW120" s="31">
        <v>4.18</v>
      </c>
      <c r="DX120" s="31">
        <v>5.28</v>
      </c>
      <c r="DY120" s="31">
        <v>5.69</v>
      </c>
      <c r="DZ120" s="31">
        <v>4.22</v>
      </c>
      <c r="EA120" s="31">
        <v>4.3899999999999997</v>
      </c>
      <c r="EB120" s="31">
        <v>1.62</v>
      </c>
      <c r="EC120" s="32">
        <v>2.44</v>
      </c>
      <c r="ED120" s="30">
        <v>2.99</v>
      </c>
      <c r="EE120" s="31">
        <v>4.18</v>
      </c>
      <c r="EF120" s="31">
        <v>5.28</v>
      </c>
      <c r="EG120" s="31">
        <v>5.69</v>
      </c>
      <c r="EH120" s="31">
        <v>4.22</v>
      </c>
      <c r="EI120" s="31">
        <v>4.3899999999999997</v>
      </c>
      <c r="EJ120" s="31">
        <v>1.62</v>
      </c>
      <c r="EK120" s="32">
        <v>2.44</v>
      </c>
      <c r="EM120" s="66"/>
      <c r="EN120" s="70" t="s">
        <v>27</v>
      </c>
      <c r="EO120" s="40" t="s">
        <v>24</v>
      </c>
      <c r="EP120" s="30">
        <v>2.84</v>
      </c>
      <c r="EQ120" s="31">
        <v>5.41</v>
      </c>
      <c r="ER120" s="31">
        <v>5.0999999999999996</v>
      </c>
      <c r="ES120" s="31">
        <v>6.17</v>
      </c>
      <c r="ET120" s="31">
        <v>5.33</v>
      </c>
      <c r="EU120" s="31">
        <v>3.65</v>
      </c>
      <c r="EV120" s="31">
        <v>2.94</v>
      </c>
      <c r="EW120" s="32">
        <v>3.12</v>
      </c>
      <c r="EX120" s="30">
        <v>2.84</v>
      </c>
      <c r="EY120" s="31">
        <v>5.41</v>
      </c>
      <c r="EZ120" s="31">
        <v>5.0999999999999996</v>
      </c>
      <c r="FA120" s="31">
        <v>6.17</v>
      </c>
      <c r="FB120" s="31">
        <v>5.33</v>
      </c>
      <c r="FC120" s="31">
        <v>3.65</v>
      </c>
      <c r="FD120" s="31">
        <v>2.94</v>
      </c>
      <c r="FE120" s="32">
        <v>3.12</v>
      </c>
    </row>
    <row r="121" spans="3:161" x14ac:dyDescent="0.3">
      <c r="C121" s="66"/>
      <c r="D121" s="70"/>
      <c r="E121" s="39" t="s">
        <v>25</v>
      </c>
      <c r="F121" s="15">
        <v>-0.59518151815183984</v>
      </c>
      <c r="G121" s="16">
        <v>0.15692810457518025</v>
      </c>
      <c r="H121" s="16">
        <v>0.35511784511783961</v>
      </c>
      <c r="I121" s="16">
        <v>9.3235294117650191E-2</v>
      </c>
      <c r="J121" s="16">
        <v>9.3149350649359919E-2</v>
      </c>
      <c r="K121" s="16">
        <v>-0.35123778501630021</v>
      </c>
      <c r="L121" s="16">
        <v>-0.20266447368421003</v>
      </c>
      <c r="M121" s="17">
        <v>9.5032051282059937E-2</v>
      </c>
      <c r="N121" s="15">
        <v>-0.60794871794870975</v>
      </c>
      <c r="O121" s="16">
        <v>0.17567567567568032</v>
      </c>
      <c r="P121" s="16">
        <v>0.4394285714285795</v>
      </c>
      <c r="Q121" s="16">
        <v>0.10432432432433014</v>
      </c>
      <c r="R121" s="16">
        <v>9.0800000000009984E-2</v>
      </c>
      <c r="S121" s="16">
        <v>-0.35974358974358012</v>
      </c>
      <c r="T121" s="16">
        <v>-0.20166666666666</v>
      </c>
      <c r="U121" s="17">
        <v>9.4736842105269892E-2</v>
      </c>
      <c r="W121" s="66"/>
      <c r="X121" s="70"/>
      <c r="Y121" s="39" t="s">
        <v>25</v>
      </c>
      <c r="Z121" s="15">
        <v>-0.40071428571427958</v>
      </c>
      <c r="AA121" s="16">
        <v>-2.6881720430110168E-2</v>
      </c>
      <c r="AB121" s="16">
        <v>0.12711111111110984</v>
      </c>
      <c r="AC121" s="16">
        <v>0.11236263736265073</v>
      </c>
      <c r="AD121" s="16">
        <v>0.10080000000000977</v>
      </c>
      <c r="AE121" s="16">
        <v>-0.18154320987653971</v>
      </c>
      <c r="AF121" s="16">
        <v>0.14235294117647002</v>
      </c>
      <c r="AG121" s="17">
        <v>0.16442105263158002</v>
      </c>
      <c r="AH121" s="15">
        <v>-0.41921568627449979</v>
      </c>
      <c r="AI121" s="16">
        <v>-2.3243243243240119E-2</v>
      </c>
      <c r="AJ121" s="16">
        <v>0.12277777777778009</v>
      </c>
      <c r="AK121" s="16">
        <v>9.9795918367350467E-2</v>
      </c>
      <c r="AL121" s="16">
        <v>0.10117647058824009</v>
      </c>
      <c r="AM121" s="16">
        <v>-0.22613636363635958</v>
      </c>
      <c r="AN121" s="16">
        <v>0.13094339622641504</v>
      </c>
      <c r="AO121" s="17">
        <v>0.16574074074074108</v>
      </c>
      <c r="AQ121" s="66"/>
      <c r="AR121" s="70"/>
      <c r="AS121" s="39" t="s">
        <v>25</v>
      </c>
      <c r="AT121" s="15">
        <v>-1.6461538461529646E-2</v>
      </c>
      <c r="AU121" s="16"/>
      <c r="AV121" s="16">
        <v>-5.1249999999999574E-2</v>
      </c>
      <c r="AW121" s="16">
        <v>-1.7741935483792659E-3</v>
      </c>
      <c r="AX121" s="16">
        <v>-3.7377049180320476E-2</v>
      </c>
      <c r="AY121" s="16">
        <v>6.5333333333339461E-2</v>
      </c>
      <c r="AZ121" s="16">
        <v>-0.16746031746030998</v>
      </c>
      <c r="BA121" s="17">
        <v>-1.878048780486985E-2</v>
      </c>
      <c r="BB121" s="15">
        <v>-1.6744186046509846E-2</v>
      </c>
      <c r="BC121" s="16"/>
      <c r="BD121" s="16">
        <v>-5.0588235294109829E-2</v>
      </c>
      <c r="BE121" s="16">
        <v>-1.3720930232549833E-2</v>
      </c>
      <c r="BF121" s="16">
        <v>-4.9024390243900484E-2</v>
      </c>
      <c r="BG121" s="16">
        <v>6.5249999999999808E-2</v>
      </c>
      <c r="BH121" s="16">
        <v>-0.17093023255813988</v>
      </c>
      <c r="BI121" s="17">
        <v>-1.8148148148140031E-2</v>
      </c>
      <c r="BK121" s="66"/>
      <c r="BL121" s="70"/>
      <c r="BM121" s="39" t="s">
        <v>25</v>
      </c>
      <c r="BN121" s="15">
        <v>-4.5737704918030087E-2</v>
      </c>
      <c r="BO121" s="16">
        <v>-0.18203389830507977</v>
      </c>
      <c r="BP121" s="16">
        <v>0.12282051282051931</v>
      </c>
      <c r="BQ121" s="16">
        <v>0.13310344827586995</v>
      </c>
      <c r="BR121" s="16"/>
      <c r="BS121" s="16">
        <v>-4.4761904761899896E-2</v>
      </c>
      <c r="BT121" s="16">
        <v>-1.5873015873010043E-2</v>
      </c>
      <c r="BU121" s="17">
        <v>-0.22492063492062986</v>
      </c>
      <c r="BV121" s="15">
        <v>-5.0749999999990081E-2</v>
      </c>
      <c r="BW121" s="16">
        <v>-0.16538461538460947</v>
      </c>
      <c r="BX121" s="16">
        <v>0.16428571428571992</v>
      </c>
      <c r="BY121" s="16">
        <v>0.10825000000000973</v>
      </c>
      <c r="BZ121" s="16"/>
      <c r="CA121" s="16">
        <v>-5.1463414634139948E-2</v>
      </c>
      <c r="CB121" s="16">
        <v>-1.5454545454539836E-2</v>
      </c>
      <c r="CC121" s="17">
        <v>-0.22380952380951991</v>
      </c>
      <c r="CE121" s="66"/>
      <c r="CF121" s="70"/>
      <c r="CG121" s="39" t="s">
        <v>25</v>
      </c>
      <c r="CH121" s="15">
        <v>1.7723809523809604</v>
      </c>
      <c r="CI121" s="16">
        <v>0.78773584905660998</v>
      </c>
      <c r="CJ121" s="16">
        <v>2.9836363636363696</v>
      </c>
      <c r="CK121" s="16">
        <v>2.8513333333333333</v>
      </c>
      <c r="CL121" s="16">
        <v>-15.461860465116199</v>
      </c>
      <c r="CM121" s="16">
        <v>2.0306896551724196</v>
      </c>
      <c r="CN121" s="16">
        <v>0.53521739130435009</v>
      </c>
      <c r="CO121" s="17">
        <v>0.51571428571429001</v>
      </c>
      <c r="CP121" s="15">
        <v>1.7720930232558203</v>
      </c>
      <c r="CQ121" s="16">
        <v>0.79763636363637014</v>
      </c>
      <c r="CR121" s="16">
        <v>2.9759999999999995</v>
      </c>
      <c r="CS121" s="16">
        <v>2.8513333333333333</v>
      </c>
      <c r="CT121" s="16">
        <v>-15.472444444444399</v>
      </c>
      <c r="CU121" s="16">
        <v>2.0469491525423797</v>
      </c>
      <c r="CV121" s="16">
        <v>0.53249999999999997</v>
      </c>
      <c r="CW121" s="17">
        <v>0.52862068965517994</v>
      </c>
      <c r="CY121" s="66"/>
      <c r="CZ121" s="70"/>
      <c r="DA121" s="39" t="s">
        <v>25</v>
      </c>
      <c r="DB121" s="15">
        <v>2.3813793103448297</v>
      </c>
      <c r="DC121" s="16">
        <v>2.635964912280703</v>
      </c>
      <c r="DD121" s="16">
        <v>4.1054716981132078</v>
      </c>
      <c r="DE121" s="16">
        <v>3.0720408163265303</v>
      </c>
      <c r="DF121" s="16">
        <v>1.0200000000000098</v>
      </c>
      <c r="DG121" s="16">
        <v>2.3600000000000003</v>
      </c>
      <c r="DH121" s="16">
        <v>0.75124999999999997</v>
      </c>
      <c r="DI121" s="17">
        <v>0.90927272727272812</v>
      </c>
      <c r="DJ121" s="15">
        <v>2.3823728813559399</v>
      </c>
      <c r="DK121" s="16">
        <v>2.642413793103449</v>
      </c>
      <c r="DL121" s="16">
        <v>4.1003703703703716</v>
      </c>
      <c r="DM121" s="16">
        <v>3.0766000000000004</v>
      </c>
      <c r="DN121" s="16">
        <v>1.0200000000000098</v>
      </c>
      <c r="DO121" s="16">
        <v>2.3600000000000003</v>
      </c>
      <c r="DP121" s="16">
        <v>0.75109090909091003</v>
      </c>
      <c r="DQ121" s="17">
        <v>0.90696428571428611</v>
      </c>
      <c r="DS121" s="66"/>
      <c r="DT121" s="70"/>
      <c r="DU121" s="39" t="s">
        <v>25</v>
      </c>
      <c r="DV121" s="15">
        <v>0.96086956521740019</v>
      </c>
      <c r="DW121" s="16">
        <v>3.0912499999999996</v>
      </c>
      <c r="DX121" s="16">
        <v>3.4688461538461604</v>
      </c>
      <c r="DY121" s="16">
        <v>2.5617647058823603</v>
      </c>
      <c r="DZ121" s="16">
        <v>2.5980701754385995</v>
      </c>
      <c r="EA121" s="16">
        <v>2.3929787234042594</v>
      </c>
      <c r="EB121" s="16">
        <v>1.2050000000000001</v>
      </c>
      <c r="EC121" s="17">
        <v>1.0787272727272799</v>
      </c>
      <c r="ED121" s="15">
        <v>0.96181818181819034</v>
      </c>
      <c r="EE121" s="16">
        <v>3.0871428571428599</v>
      </c>
      <c r="EF121" s="16">
        <v>3.4673584905660402</v>
      </c>
      <c r="EG121" s="16">
        <v>2.5356603773584903</v>
      </c>
      <c r="EH121" s="16">
        <v>2.5982758620689697</v>
      </c>
      <c r="EI121" s="16">
        <v>2.4031914893617099</v>
      </c>
      <c r="EJ121" s="16">
        <v>1.2100000000000002</v>
      </c>
      <c r="EK121" s="17">
        <v>1.0692857142857199</v>
      </c>
      <c r="EM121" s="66"/>
      <c r="EN121" s="70"/>
      <c r="EO121" s="39" t="s">
        <v>25</v>
      </c>
      <c r="EP121" s="15">
        <v>2.316071428571429</v>
      </c>
      <c r="EQ121" s="16">
        <v>-4.3148888888888894</v>
      </c>
      <c r="ER121" s="16">
        <v>4.6585714285714284</v>
      </c>
      <c r="ES121" s="16">
        <v>4.4843636363636401</v>
      </c>
      <c r="ET121" s="16">
        <v>1.8008163265306201</v>
      </c>
      <c r="EU121" s="16">
        <v>0.7719999999999998</v>
      </c>
      <c r="EV121" s="16">
        <v>2.410000000000001</v>
      </c>
      <c r="EW121" s="17">
        <v>1.6414285714285801</v>
      </c>
      <c r="EX121" s="15">
        <v>2.3159649122807018</v>
      </c>
      <c r="EY121" s="16">
        <v>-4.3929545454545398</v>
      </c>
      <c r="EZ121" s="16">
        <v>4.6584000000000003</v>
      </c>
      <c r="FA121" s="16">
        <v>4.4764912280701799</v>
      </c>
      <c r="FB121" s="16">
        <v>1.6985999999999999</v>
      </c>
      <c r="FC121" s="16">
        <v>0.77764705882353002</v>
      </c>
      <c r="FD121" s="16">
        <v>2.410000000000001</v>
      </c>
      <c r="FE121" s="17">
        <v>1.6368085106383001</v>
      </c>
    </row>
    <row r="122" spans="3:161" x14ac:dyDescent="0.3">
      <c r="C122" s="66"/>
      <c r="D122" s="70"/>
      <c r="E122" s="39" t="s">
        <v>26</v>
      </c>
      <c r="F122" s="15">
        <v>-10.06193159627332</v>
      </c>
      <c r="G122" s="16">
        <v>5.6184770908416528</v>
      </c>
      <c r="H122" s="16">
        <v>7.9714307308592121</v>
      </c>
      <c r="I122" s="16">
        <v>2.5994259942600317</v>
      </c>
      <c r="J122" s="16">
        <v>5.6907666369142156</v>
      </c>
      <c r="K122" s="16">
        <v>-6.4908954100830041</v>
      </c>
      <c r="L122" s="16">
        <v>-10.432294224224032</v>
      </c>
      <c r="M122" s="17">
        <v>5.7771369561410779</v>
      </c>
      <c r="N122" s="15">
        <v>-10.255633894199452</v>
      </c>
      <c r="O122" s="16">
        <v>6.3321967851925791</v>
      </c>
      <c r="P122" s="16">
        <v>10.05425900503387</v>
      </c>
      <c r="Q122" s="16">
        <v>2.9176114890402278</v>
      </c>
      <c r="R122" s="16">
        <v>5.5392874572968847</v>
      </c>
      <c r="S122" s="16">
        <v>-6.6376496191510856</v>
      </c>
      <c r="T122" s="16">
        <v>-10.386266094420293</v>
      </c>
      <c r="U122" s="17">
        <v>5.7581573896357501</v>
      </c>
      <c r="W122" s="66"/>
      <c r="X122" s="70"/>
      <c r="Y122" s="39" t="s">
        <v>26</v>
      </c>
      <c r="Z122" s="15">
        <v>-8.6161879895560158</v>
      </c>
      <c r="AA122" s="16">
        <v>-0.79841594276962302</v>
      </c>
      <c r="AB122" s="16">
        <v>2.9404205006939499</v>
      </c>
      <c r="AC122" s="16">
        <v>2.7828808600398038</v>
      </c>
      <c r="AD122" s="16">
        <v>3.9854499446469309</v>
      </c>
      <c r="AE122" s="16">
        <v>-4.0966137816717216</v>
      </c>
      <c r="AF122" s="16">
        <v>18.544061302681904</v>
      </c>
      <c r="AG122" s="17">
        <v>18.156457049866464</v>
      </c>
      <c r="AH122" s="15">
        <v>-8.9782891697810161</v>
      </c>
      <c r="AI122" s="16">
        <v>-0.69109611057528542</v>
      </c>
      <c r="AJ122" s="16">
        <v>2.8373347027860354</v>
      </c>
      <c r="AK122" s="16">
        <v>2.4639725889348871</v>
      </c>
      <c r="AL122" s="16">
        <v>4.0009304489418112</v>
      </c>
      <c r="AM122" s="16">
        <v>-5.0520436659049661</v>
      </c>
      <c r="AN122" s="16">
        <v>16.807943812061023</v>
      </c>
      <c r="AO122" s="17">
        <v>18.3288961703871</v>
      </c>
      <c r="AQ122" s="66"/>
      <c r="AR122" s="70"/>
      <c r="AS122" s="39" t="s">
        <v>26</v>
      </c>
      <c r="AT122" s="15">
        <v>-0.54753863473514996</v>
      </c>
      <c r="AU122" s="16"/>
      <c r="AV122" s="16">
        <v>-0.96131301289565441</v>
      </c>
      <c r="AW122" s="16">
        <v>-3.117118648856999E-2</v>
      </c>
      <c r="AX122" s="16">
        <v>-0.87793608009224222</v>
      </c>
      <c r="AY122" s="16">
        <v>1.5107137351627768</v>
      </c>
      <c r="AZ122" s="16">
        <v>-9.3686173519221843</v>
      </c>
      <c r="BA122" s="17">
        <v>-0.76381311377806416</v>
      </c>
      <c r="BB122" s="15">
        <v>-0.55688761698501332</v>
      </c>
      <c r="BC122" s="16"/>
      <c r="BD122" s="16">
        <v>-0.94901787684823247</v>
      </c>
      <c r="BE122" s="16">
        <v>-0.24056103726642894</v>
      </c>
      <c r="BF122" s="16">
        <v>-1.1483745643603502</v>
      </c>
      <c r="BG122" s="16">
        <v>1.5087577316607852</v>
      </c>
      <c r="BH122" s="16">
        <v>-9.5442150370081986</v>
      </c>
      <c r="BI122" s="17">
        <v>-0.73828536989570959</v>
      </c>
      <c r="BK122" s="66"/>
      <c r="BL122" s="70"/>
      <c r="BM122" s="39" t="s">
        <v>26</v>
      </c>
      <c r="BN122" s="15">
        <v>-1.5849571095835018</v>
      </c>
      <c r="BO122" s="16">
        <v>-3.2552359591427624</v>
      </c>
      <c r="BP122" s="16">
        <v>2.4676729689352737</v>
      </c>
      <c r="BQ122" s="16">
        <v>2.2048323527733098</v>
      </c>
      <c r="BR122" s="16"/>
      <c r="BS122" s="16">
        <v>-1.211496326846113</v>
      </c>
      <c r="BT122" s="16">
        <v>-0.53699924820085643</v>
      </c>
      <c r="BU122" s="17">
        <v>-6.7242442936457563</v>
      </c>
      <c r="BV122" s="15">
        <v>-1.7555997578479723</v>
      </c>
      <c r="BW122" s="16">
        <v>-2.9663355408387488</v>
      </c>
      <c r="BX122" s="16">
        <v>3.3285094066571368</v>
      </c>
      <c r="BY122" s="16">
        <v>1.7857879325278987</v>
      </c>
      <c r="BZ122" s="16"/>
      <c r="CA122" s="16">
        <v>-1.3903531892460079</v>
      </c>
      <c r="CB122" s="16">
        <v>-0.52291602583801455</v>
      </c>
      <c r="CC122" s="17">
        <v>-6.693249786385536</v>
      </c>
      <c r="CE122" s="66"/>
      <c r="CF122" s="70"/>
      <c r="CG122" s="39" t="s">
        <v>26</v>
      </c>
      <c r="CH122" s="15">
        <v>49.9597315436245</v>
      </c>
      <c r="CI122" s="16">
        <v>36.431064572426223</v>
      </c>
      <c r="CJ122" s="16">
        <v>163.3648581383782</v>
      </c>
      <c r="CK122" s="16">
        <v>344.08688656476249</v>
      </c>
      <c r="CL122" s="16">
        <v>-89.937098410551187</v>
      </c>
      <c r="CM122" s="16">
        <v>67.034718269778352</v>
      </c>
      <c r="CN122" s="16">
        <v>44.424395525081465</v>
      </c>
      <c r="CO122" s="17">
        <v>42.123687281214032</v>
      </c>
      <c r="CP122" s="15">
        <v>49.947561615102522</v>
      </c>
      <c r="CQ122" s="16">
        <v>37.058624767697658</v>
      </c>
      <c r="CR122" s="16">
        <v>162.26826608505996</v>
      </c>
      <c r="CS122" s="16">
        <v>344.08688656476249</v>
      </c>
      <c r="CT122" s="16">
        <v>-89.943289713348207</v>
      </c>
      <c r="CU122" s="16">
        <v>67.936097204253073</v>
      </c>
      <c r="CV122" s="16">
        <v>44.099378881987569</v>
      </c>
      <c r="CW122" s="17">
        <v>43.637916310846322</v>
      </c>
      <c r="CY122" s="66"/>
      <c r="CZ122" s="70"/>
      <c r="DA122" s="39" t="s">
        <v>26</v>
      </c>
      <c r="DB122" s="15">
        <v>127.44048717475577</v>
      </c>
      <c r="DC122" s="16">
        <v>374.40817343633273</v>
      </c>
      <c r="DD122" s="16">
        <v>1191.6210295728383</v>
      </c>
      <c r="DE122" s="16">
        <v>284.98674744414973</v>
      </c>
      <c r="DF122" s="16">
        <v>63.354037267081743</v>
      </c>
      <c r="DG122" s="16">
        <v>124.86772486772489</v>
      </c>
      <c r="DH122" s="16">
        <v>473.22834645669286</v>
      </c>
      <c r="DI122" s="17">
        <v>565.72398190045567</v>
      </c>
      <c r="DJ122" s="15">
        <v>127.56148470823219</v>
      </c>
      <c r="DK122" s="16">
        <v>378.79387048937269</v>
      </c>
      <c r="DL122" s="16">
        <v>1172.7754237288159</v>
      </c>
      <c r="DM122" s="16">
        <v>286.62194894727043</v>
      </c>
      <c r="DN122" s="16">
        <v>63.354037267081743</v>
      </c>
      <c r="DO122" s="16">
        <v>124.86772486772489</v>
      </c>
      <c r="DP122" s="16">
        <v>472.65446224256624</v>
      </c>
      <c r="DQ122" s="17">
        <v>556.29791894852247</v>
      </c>
      <c r="DS122" s="66"/>
      <c r="DT122" s="70"/>
      <c r="DU122" s="39" t="s">
        <v>26</v>
      </c>
      <c r="DV122" s="15">
        <v>47.353760445683093</v>
      </c>
      <c r="DW122" s="16">
        <v>283.92652123995401</v>
      </c>
      <c r="DX122" s="16">
        <v>191.52686345296343</v>
      </c>
      <c r="DY122" s="16">
        <v>81.891688604739045</v>
      </c>
      <c r="DZ122" s="16">
        <v>160.18388318009789</v>
      </c>
      <c r="EA122" s="16">
        <v>119.82740251438362</v>
      </c>
      <c r="EB122" s="16">
        <v>290.36144578313252</v>
      </c>
      <c r="EC122" s="17">
        <v>79.244022973154401</v>
      </c>
      <c r="ED122" s="15">
        <v>47.422680412371747</v>
      </c>
      <c r="EE122" s="16">
        <v>282.4836601307199</v>
      </c>
      <c r="EF122" s="16">
        <v>191.28760278963293</v>
      </c>
      <c r="EG122" s="16">
        <v>80.386409857638441</v>
      </c>
      <c r="EH122" s="16">
        <v>160.21688284074065</v>
      </c>
      <c r="EI122" s="16">
        <v>120.95737845363119</v>
      </c>
      <c r="EJ122" s="16">
        <v>295.12195121951225</v>
      </c>
      <c r="EK122" s="17">
        <v>78.009379885357703</v>
      </c>
      <c r="EM122" s="66"/>
      <c r="EN122" s="70"/>
      <c r="EO122" s="39" t="s">
        <v>26</v>
      </c>
      <c r="EP122" s="15">
        <v>442.05862304021866</v>
      </c>
      <c r="EQ122" s="16">
        <v>-44.369544353548747</v>
      </c>
      <c r="ER122" s="16">
        <v>1055.3398058252437</v>
      </c>
      <c r="ES122" s="16">
        <v>266.03386905404022</v>
      </c>
      <c r="ET122" s="16">
        <v>51.026426877927818</v>
      </c>
      <c r="EU122" s="16">
        <v>26.824183460736617</v>
      </c>
      <c r="EV122" s="16">
        <v>454.71698113207646</v>
      </c>
      <c r="EW122" s="17">
        <v>111.01449275362442</v>
      </c>
      <c r="EX122" s="15">
        <v>441.94844325410133</v>
      </c>
      <c r="EY122" s="16">
        <v>-44.812556511255849</v>
      </c>
      <c r="EZ122" s="16">
        <v>1054.8913043478287</v>
      </c>
      <c r="FA122" s="16">
        <v>264.33233191753953</v>
      </c>
      <c r="FB122" s="16">
        <v>46.775348350498426</v>
      </c>
      <c r="FC122" s="16">
        <v>27.073520376817555</v>
      </c>
      <c r="FD122" s="16">
        <v>454.71698113207646</v>
      </c>
      <c r="FE122" s="17">
        <v>110.35719408980091</v>
      </c>
    </row>
    <row r="123" spans="3:161" ht="28.8" x14ac:dyDescent="0.3">
      <c r="C123" s="66"/>
      <c r="D123" s="70" t="s">
        <v>28</v>
      </c>
      <c r="E123" s="40" t="s">
        <v>24</v>
      </c>
      <c r="F123" s="30">
        <v>5.28</v>
      </c>
      <c r="G123" s="31">
        <v>2.98</v>
      </c>
      <c r="H123" s="31">
        <v>4.83</v>
      </c>
      <c r="I123" s="31">
        <v>3.71</v>
      </c>
      <c r="J123" s="31">
        <v>1.74</v>
      </c>
      <c r="K123" s="31">
        <v>5.14</v>
      </c>
      <c r="L123" s="31">
        <v>1.7</v>
      </c>
      <c r="M123" s="32">
        <v>1.73</v>
      </c>
      <c r="N123" s="30">
        <v>5.28</v>
      </c>
      <c r="O123" s="31">
        <v>2.98</v>
      </c>
      <c r="P123" s="31">
        <v>4.83</v>
      </c>
      <c r="Q123" s="31">
        <v>3.71</v>
      </c>
      <c r="R123" s="31">
        <v>1.74</v>
      </c>
      <c r="S123" s="31">
        <v>5.14</v>
      </c>
      <c r="T123" s="31">
        <v>1.7</v>
      </c>
      <c r="U123" s="32">
        <v>1.73</v>
      </c>
      <c r="W123" s="66"/>
      <c r="X123" s="70" t="s">
        <v>28</v>
      </c>
      <c r="Y123" s="40" t="s">
        <v>24</v>
      </c>
      <c r="Z123" s="30">
        <v>4.24</v>
      </c>
      <c r="AA123" s="31">
        <v>3.37</v>
      </c>
      <c r="AB123" s="31">
        <v>4.49</v>
      </c>
      <c r="AC123" s="31">
        <v>4.1900000000000004</v>
      </c>
      <c r="AD123" s="31">
        <v>2.66</v>
      </c>
      <c r="AE123" s="31">
        <v>4.3</v>
      </c>
      <c r="AF123" s="31">
        <v>0.87</v>
      </c>
      <c r="AG123" s="32">
        <v>1.05</v>
      </c>
      <c r="AH123" s="30">
        <v>4.24</v>
      </c>
      <c r="AI123" s="31">
        <v>3.37</v>
      </c>
      <c r="AJ123" s="31">
        <v>4.49</v>
      </c>
      <c r="AK123" s="31">
        <v>4.1900000000000004</v>
      </c>
      <c r="AL123" s="31">
        <v>2.66</v>
      </c>
      <c r="AM123" s="31">
        <v>4.3</v>
      </c>
      <c r="AN123" s="31">
        <v>0.87</v>
      </c>
      <c r="AO123" s="32">
        <v>1.05</v>
      </c>
      <c r="AQ123" s="66"/>
      <c r="AR123" s="70" t="s">
        <v>28</v>
      </c>
      <c r="AS123" s="40" t="s">
        <v>24</v>
      </c>
      <c r="AT123" s="30">
        <v>2.99</v>
      </c>
      <c r="AU123" s="31"/>
      <c r="AV123" s="31">
        <v>5.3</v>
      </c>
      <c r="AW123" s="31">
        <v>5.73</v>
      </c>
      <c r="AX123" s="31">
        <v>4.24</v>
      </c>
      <c r="AY123" s="31">
        <v>4.45</v>
      </c>
      <c r="AZ123" s="31">
        <v>1.61</v>
      </c>
      <c r="BA123" s="32">
        <v>2.42</v>
      </c>
      <c r="BB123" s="30">
        <v>2.99</v>
      </c>
      <c r="BC123" s="31"/>
      <c r="BD123" s="31">
        <v>5.3</v>
      </c>
      <c r="BE123" s="31">
        <v>5.73</v>
      </c>
      <c r="BF123" s="31">
        <v>4.24</v>
      </c>
      <c r="BG123" s="31">
        <v>4.45</v>
      </c>
      <c r="BH123" s="31">
        <v>1.61</v>
      </c>
      <c r="BI123" s="32">
        <v>2.42</v>
      </c>
      <c r="BK123" s="66"/>
      <c r="BL123" s="70" t="s">
        <v>28</v>
      </c>
      <c r="BM123" s="40" t="s">
        <v>24</v>
      </c>
      <c r="BN123" s="30">
        <v>2.88</v>
      </c>
      <c r="BO123" s="31">
        <v>5.38</v>
      </c>
      <c r="BP123" s="31">
        <v>5.0999999999999996</v>
      </c>
      <c r="BQ123" s="31">
        <v>6.21</v>
      </c>
      <c r="BR123" s="31"/>
      <c r="BS123" s="31">
        <v>3.71</v>
      </c>
      <c r="BT123" s="31">
        <v>2.87</v>
      </c>
      <c r="BU123" s="32">
        <v>3.05</v>
      </c>
      <c r="BV123" s="30">
        <v>2.88</v>
      </c>
      <c r="BW123" s="31">
        <v>5.38</v>
      </c>
      <c r="BX123" s="31">
        <v>5.0999999999999996</v>
      </c>
      <c r="BY123" s="31">
        <v>6.21</v>
      </c>
      <c r="BZ123" s="31"/>
      <c r="CA123" s="31">
        <v>3.71</v>
      </c>
      <c r="CB123" s="31">
        <v>2.87</v>
      </c>
      <c r="CC123" s="32">
        <v>3.05</v>
      </c>
      <c r="CE123" s="66"/>
      <c r="CF123" s="70" t="s">
        <v>28</v>
      </c>
      <c r="CG123" s="40" t="s">
        <v>24</v>
      </c>
      <c r="CH123" s="30">
        <v>5.28</v>
      </c>
      <c r="CI123" s="31">
        <v>2.98</v>
      </c>
      <c r="CJ123" s="31">
        <v>4.83</v>
      </c>
      <c r="CK123" s="31">
        <v>3.71</v>
      </c>
      <c r="CL123" s="31">
        <v>1.74</v>
      </c>
      <c r="CM123" s="31">
        <v>5.14</v>
      </c>
      <c r="CN123" s="31">
        <v>1.7</v>
      </c>
      <c r="CO123" s="32">
        <v>1.73</v>
      </c>
      <c r="CP123" s="30">
        <v>5.28</v>
      </c>
      <c r="CQ123" s="31">
        <v>2.98</v>
      </c>
      <c r="CR123" s="31">
        <v>4.83</v>
      </c>
      <c r="CS123" s="31">
        <v>3.71</v>
      </c>
      <c r="CT123" s="31">
        <v>1.74</v>
      </c>
      <c r="CU123" s="31">
        <v>5.14</v>
      </c>
      <c r="CV123" s="31">
        <v>1.7</v>
      </c>
      <c r="CW123" s="32">
        <v>1.73</v>
      </c>
      <c r="CY123" s="66"/>
      <c r="CZ123" s="70" t="s">
        <v>28</v>
      </c>
      <c r="DA123" s="40" t="s">
        <v>24</v>
      </c>
      <c r="DB123" s="30">
        <v>4.24</v>
      </c>
      <c r="DC123" s="31">
        <v>3.37</v>
      </c>
      <c r="DD123" s="31">
        <v>4.49</v>
      </c>
      <c r="DE123" s="31">
        <v>4.1900000000000004</v>
      </c>
      <c r="DF123" s="31">
        <v>2.66</v>
      </c>
      <c r="DG123" s="31">
        <v>4.3</v>
      </c>
      <c r="DH123" s="31">
        <v>0.87</v>
      </c>
      <c r="DI123" s="32">
        <v>1.05</v>
      </c>
      <c r="DJ123" s="30">
        <v>4.24</v>
      </c>
      <c r="DK123" s="31">
        <v>3.37</v>
      </c>
      <c r="DL123" s="31">
        <v>4.49</v>
      </c>
      <c r="DM123" s="31">
        <v>4.1900000000000004</v>
      </c>
      <c r="DN123" s="31">
        <v>2.66</v>
      </c>
      <c r="DO123" s="31">
        <v>4.3</v>
      </c>
      <c r="DP123" s="31">
        <v>0.87</v>
      </c>
      <c r="DQ123" s="32">
        <v>1.05</v>
      </c>
      <c r="DS123" s="66"/>
      <c r="DT123" s="70" t="s">
        <v>28</v>
      </c>
      <c r="DU123" s="40" t="s">
        <v>24</v>
      </c>
      <c r="DV123" s="30">
        <v>2.99</v>
      </c>
      <c r="DW123" s="31">
        <v>4.1900000000000004</v>
      </c>
      <c r="DX123" s="31">
        <v>5.3</v>
      </c>
      <c r="DY123" s="31">
        <v>5.73</v>
      </c>
      <c r="DZ123" s="31">
        <v>4.24</v>
      </c>
      <c r="EA123" s="31">
        <v>4.45</v>
      </c>
      <c r="EB123" s="31">
        <v>1.61</v>
      </c>
      <c r="EC123" s="32">
        <v>2.42</v>
      </c>
      <c r="ED123" s="30">
        <v>2.99</v>
      </c>
      <c r="EE123" s="31">
        <v>4.1900000000000004</v>
      </c>
      <c r="EF123" s="31">
        <v>5.3</v>
      </c>
      <c r="EG123" s="31">
        <v>5.73</v>
      </c>
      <c r="EH123" s="31">
        <v>4.24</v>
      </c>
      <c r="EI123" s="31">
        <v>4.45</v>
      </c>
      <c r="EJ123" s="31">
        <v>1.61</v>
      </c>
      <c r="EK123" s="32">
        <v>2.42</v>
      </c>
      <c r="EM123" s="66"/>
      <c r="EN123" s="70" t="s">
        <v>28</v>
      </c>
      <c r="EO123" s="40" t="s">
        <v>24</v>
      </c>
      <c r="EP123" s="30">
        <v>2.88</v>
      </c>
      <c r="EQ123" s="31">
        <v>5.38</v>
      </c>
      <c r="ER123" s="31">
        <v>5.0999999999999996</v>
      </c>
      <c r="ES123" s="31">
        <v>6.21</v>
      </c>
      <c r="ET123" s="31">
        <v>5.33</v>
      </c>
      <c r="EU123" s="31">
        <v>3.71</v>
      </c>
      <c r="EV123" s="31">
        <v>2.87</v>
      </c>
      <c r="EW123" s="32">
        <v>3.05</v>
      </c>
      <c r="EX123" s="30">
        <v>2.88</v>
      </c>
      <c r="EY123" s="31">
        <v>5.38</v>
      </c>
      <c r="EZ123" s="31">
        <v>5.0999999999999996</v>
      </c>
      <c r="FA123" s="31">
        <v>6.21</v>
      </c>
      <c r="FB123" s="31">
        <v>5.33</v>
      </c>
      <c r="FC123" s="31">
        <v>3.71</v>
      </c>
      <c r="FD123" s="31">
        <v>2.87</v>
      </c>
      <c r="FE123" s="32">
        <v>3.05</v>
      </c>
    </row>
    <row r="124" spans="3:161" x14ac:dyDescent="0.3">
      <c r="C124" s="66"/>
      <c r="D124" s="70"/>
      <c r="E124" s="39" t="s">
        <v>25</v>
      </c>
      <c r="F124" s="15">
        <v>-0.63518151815183987</v>
      </c>
      <c r="G124" s="16">
        <v>0.18692810457518005</v>
      </c>
      <c r="H124" s="16">
        <v>0.37511784511784008</v>
      </c>
      <c r="I124" s="16">
        <v>0.12323529411765</v>
      </c>
      <c r="J124" s="16">
        <v>0.10314935064935993</v>
      </c>
      <c r="K124" s="16">
        <v>-0.27123778501630014</v>
      </c>
      <c r="L124" s="16">
        <v>-0.24266447368421007</v>
      </c>
      <c r="M124" s="17">
        <v>8.5032051282059928E-2</v>
      </c>
      <c r="N124" s="15">
        <v>-0.64794871794870978</v>
      </c>
      <c r="O124" s="16">
        <v>0.20567567567568013</v>
      </c>
      <c r="P124" s="16">
        <v>0.45942857142857996</v>
      </c>
      <c r="Q124" s="16">
        <v>0.13432432432432995</v>
      </c>
      <c r="R124" s="16">
        <v>0.10080000000000999</v>
      </c>
      <c r="S124" s="16">
        <v>-0.27974358974358005</v>
      </c>
      <c r="T124" s="16">
        <v>-0.24166666666666003</v>
      </c>
      <c r="U124" s="17">
        <v>8.4736842105269883E-2</v>
      </c>
      <c r="W124" s="66"/>
      <c r="X124" s="70"/>
      <c r="Y124" s="39" t="s">
        <v>25</v>
      </c>
      <c r="Z124" s="15">
        <v>-0.41071428571427937</v>
      </c>
      <c r="AA124" s="16">
        <v>3.1182795698900811E-3</v>
      </c>
      <c r="AB124" s="16">
        <v>0.16711111111110988</v>
      </c>
      <c r="AC124" s="16">
        <v>0.15236263736265077</v>
      </c>
      <c r="AD124" s="16">
        <v>0.13080000000001002</v>
      </c>
      <c r="AE124" s="16">
        <v>-0.13154320987653989</v>
      </c>
      <c r="AF124" s="16">
        <v>0.10235294117646998</v>
      </c>
      <c r="AG124" s="17">
        <v>0.14442105263158</v>
      </c>
      <c r="AH124" s="15">
        <v>-0.42921568627449957</v>
      </c>
      <c r="AI124" s="16">
        <v>6.7567567567601294E-3</v>
      </c>
      <c r="AJ124" s="16">
        <v>0.16277777777778013</v>
      </c>
      <c r="AK124" s="16">
        <v>0.1397959183673505</v>
      </c>
      <c r="AL124" s="16">
        <v>0.13117647058824033</v>
      </c>
      <c r="AM124" s="16">
        <v>-0.17613636363635976</v>
      </c>
      <c r="AN124" s="16">
        <v>9.0943396226415008E-2</v>
      </c>
      <c r="AO124" s="17">
        <v>0.14574074074074106</v>
      </c>
      <c r="AQ124" s="66"/>
      <c r="AR124" s="70"/>
      <c r="AS124" s="39" t="s">
        <v>25</v>
      </c>
      <c r="AT124" s="15">
        <v>-1.6461538461529646E-2</v>
      </c>
      <c r="AU124" s="16"/>
      <c r="AV124" s="16">
        <v>-3.125E-2</v>
      </c>
      <c r="AW124" s="16">
        <v>3.822580645162077E-2</v>
      </c>
      <c r="AX124" s="16">
        <v>-1.7377049180320014E-2</v>
      </c>
      <c r="AY124" s="16">
        <v>0.12533333333333996</v>
      </c>
      <c r="AZ124" s="16">
        <v>-0.17746031746030999</v>
      </c>
      <c r="BA124" s="17">
        <v>-3.8780487804869868E-2</v>
      </c>
      <c r="BB124" s="15">
        <v>-1.6744186046509846E-2</v>
      </c>
      <c r="BC124" s="16"/>
      <c r="BD124" s="16">
        <v>-3.0588235294110255E-2</v>
      </c>
      <c r="BE124" s="16">
        <v>2.6279069767450203E-2</v>
      </c>
      <c r="BF124" s="16">
        <v>-2.9024390243900022E-2</v>
      </c>
      <c r="BG124" s="16">
        <v>0.12525000000000031</v>
      </c>
      <c r="BH124" s="16">
        <v>-0.18093023255813989</v>
      </c>
      <c r="BI124" s="17">
        <v>-3.8148148148140049E-2</v>
      </c>
      <c r="BK124" s="66"/>
      <c r="BL124" s="70"/>
      <c r="BM124" s="39" t="s">
        <v>25</v>
      </c>
      <c r="BN124" s="15">
        <v>-5.737704918030051E-3</v>
      </c>
      <c r="BO124" s="16">
        <v>-0.21203389830508002</v>
      </c>
      <c r="BP124" s="16">
        <v>0.12282051282051931</v>
      </c>
      <c r="BQ124" s="16">
        <v>0.17310344827586999</v>
      </c>
      <c r="BR124" s="16"/>
      <c r="BS124" s="16">
        <v>1.5238095238100158E-2</v>
      </c>
      <c r="BT124" s="16">
        <v>-8.5873015873009884E-2</v>
      </c>
      <c r="BU124" s="17">
        <v>-0.29492063492063014</v>
      </c>
      <c r="BV124" s="15">
        <v>-1.0749999999990045E-2</v>
      </c>
      <c r="BW124" s="16">
        <v>-0.19538461538460972</v>
      </c>
      <c r="BX124" s="16">
        <v>0.16428571428571992</v>
      </c>
      <c r="BY124" s="16">
        <v>0.14825000000000976</v>
      </c>
      <c r="BZ124" s="16"/>
      <c r="CA124" s="16">
        <v>8.5365853658601054E-3</v>
      </c>
      <c r="CB124" s="16">
        <v>-8.5454545454539677E-2</v>
      </c>
      <c r="CC124" s="17">
        <v>-0.29380952380952019</v>
      </c>
      <c r="CE124" s="66"/>
      <c r="CF124" s="70"/>
      <c r="CG124" s="39" t="s">
        <v>25</v>
      </c>
      <c r="CH124" s="15">
        <v>1.7323809523809603</v>
      </c>
      <c r="CI124" s="16">
        <v>0.81773584905660979</v>
      </c>
      <c r="CJ124" s="16">
        <v>3.0036363636363701</v>
      </c>
      <c r="CK124" s="16">
        <v>2.8813333333333331</v>
      </c>
      <c r="CL124" s="16">
        <v>-15.4518604651162</v>
      </c>
      <c r="CM124" s="16">
        <v>2.1106896551724197</v>
      </c>
      <c r="CN124" s="16">
        <v>0.49521739130435005</v>
      </c>
      <c r="CO124" s="17">
        <v>0.50571428571429</v>
      </c>
      <c r="CP124" s="15">
        <v>1.7320930232558203</v>
      </c>
      <c r="CQ124" s="16">
        <v>0.82763636363636994</v>
      </c>
      <c r="CR124" s="16">
        <v>2.996</v>
      </c>
      <c r="CS124" s="16">
        <v>2.8813333333333331</v>
      </c>
      <c r="CT124" s="16">
        <v>-15.462444444444399</v>
      </c>
      <c r="CU124" s="16">
        <v>2.1269491525423798</v>
      </c>
      <c r="CV124" s="16">
        <v>0.49249999999999994</v>
      </c>
      <c r="CW124" s="17">
        <v>0.51862068965517993</v>
      </c>
      <c r="CY124" s="66"/>
      <c r="CZ124" s="70"/>
      <c r="DA124" s="39" t="s">
        <v>25</v>
      </c>
      <c r="DB124" s="15">
        <v>2.37137931034483</v>
      </c>
      <c r="DC124" s="16">
        <v>2.6659649122807032</v>
      </c>
      <c r="DD124" s="16">
        <v>4.1454716981132078</v>
      </c>
      <c r="DE124" s="16">
        <v>3.1120408163265303</v>
      </c>
      <c r="DF124" s="16">
        <v>1.05000000000001</v>
      </c>
      <c r="DG124" s="16">
        <v>2.41</v>
      </c>
      <c r="DH124" s="16">
        <v>0.71124999999999994</v>
      </c>
      <c r="DI124" s="17">
        <v>0.8892727272727281</v>
      </c>
      <c r="DJ124" s="15">
        <v>2.3723728813559402</v>
      </c>
      <c r="DK124" s="16">
        <v>2.6724137931034493</v>
      </c>
      <c r="DL124" s="16">
        <v>4.1403703703703716</v>
      </c>
      <c r="DM124" s="16">
        <v>3.1166000000000005</v>
      </c>
      <c r="DN124" s="16">
        <v>1.05000000000001</v>
      </c>
      <c r="DO124" s="16">
        <v>2.41</v>
      </c>
      <c r="DP124" s="16">
        <v>0.71109090909090999</v>
      </c>
      <c r="DQ124" s="17">
        <v>0.88696428571428609</v>
      </c>
      <c r="DS124" s="66"/>
      <c r="DT124" s="70"/>
      <c r="DU124" s="39" t="s">
        <v>25</v>
      </c>
      <c r="DV124" s="15">
        <v>0.96086956521740019</v>
      </c>
      <c r="DW124" s="16">
        <v>3.1012500000000003</v>
      </c>
      <c r="DX124" s="16">
        <v>3.4888461538461599</v>
      </c>
      <c r="DY124" s="16">
        <v>2.6017647058823603</v>
      </c>
      <c r="DZ124" s="16">
        <v>2.6180701754386</v>
      </c>
      <c r="EA124" s="16">
        <v>2.4529787234042599</v>
      </c>
      <c r="EB124" s="16">
        <v>1.1950000000000001</v>
      </c>
      <c r="EC124" s="17">
        <v>1.0587272727272798</v>
      </c>
      <c r="ED124" s="15">
        <v>0.96181818181819034</v>
      </c>
      <c r="EE124" s="16">
        <v>3.0971428571428605</v>
      </c>
      <c r="EF124" s="16">
        <v>3.4873584905660397</v>
      </c>
      <c r="EG124" s="16">
        <v>2.5756603773584903</v>
      </c>
      <c r="EH124" s="16">
        <v>2.6182758620689701</v>
      </c>
      <c r="EI124" s="16">
        <v>2.4631914893617104</v>
      </c>
      <c r="EJ124" s="16">
        <v>1.2000000000000002</v>
      </c>
      <c r="EK124" s="17">
        <v>1.0492857142857199</v>
      </c>
      <c r="EM124" s="66"/>
      <c r="EN124" s="70"/>
      <c r="EO124" s="39" t="s">
        <v>25</v>
      </c>
      <c r="EP124" s="15">
        <v>2.356071428571429</v>
      </c>
      <c r="EQ124" s="16">
        <v>-4.3448888888888897</v>
      </c>
      <c r="ER124" s="16">
        <v>4.6585714285714284</v>
      </c>
      <c r="ES124" s="16">
        <v>4.5243636363636401</v>
      </c>
      <c r="ET124" s="16">
        <v>1.8008163265306201</v>
      </c>
      <c r="EU124" s="16">
        <v>0.83199999999999985</v>
      </c>
      <c r="EV124" s="16">
        <v>2.3400000000000012</v>
      </c>
      <c r="EW124" s="17">
        <v>1.5714285714285798</v>
      </c>
      <c r="EX124" s="15">
        <v>2.3559649122807018</v>
      </c>
      <c r="EY124" s="16">
        <v>-4.42295454545454</v>
      </c>
      <c r="EZ124" s="16">
        <v>4.6584000000000003</v>
      </c>
      <c r="FA124" s="16">
        <v>4.5164912280701799</v>
      </c>
      <c r="FB124" s="16">
        <v>1.6985999999999999</v>
      </c>
      <c r="FC124" s="16">
        <v>0.83764705882353008</v>
      </c>
      <c r="FD124" s="16">
        <v>2.3400000000000012</v>
      </c>
      <c r="FE124" s="17">
        <v>1.5668085106382998</v>
      </c>
    </row>
    <row r="125" spans="3:161" ht="15" thickBot="1" x14ac:dyDescent="0.35">
      <c r="C125" s="67"/>
      <c r="D125" s="74"/>
      <c r="E125" s="41" t="s">
        <v>26</v>
      </c>
      <c r="F125" s="18">
        <v>-10.738157674496829</v>
      </c>
      <c r="G125" s="19">
        <v>6.6925632985451209</v>
      </c>
      <c r="H125" s="19">
        <v>8.4203763887837937</v>
      </c>
      <c r="I125" s="19">
        <v>3.4358343583436679</v>
      </c>
      <c r="J125" s="19">
        <v>6.3016959238327956</v>
      </c>
      <c r="K125" s="19">
        <v>-5.0124905944321414</v>
      </c>
      <c r="L125" s="19">
        <v>-12.491321943207389</v>
      </c>
      <c r="M125" s="20">
        <v>5.1692223759333702</v>
      </c>
      <c r="N125" s="18">
        <v>-10.930403564167877</v>
      </c>
      <c r="O125" s="19">
        <v>7.4135411592792755</v>
      </c>
      <c r="P125" s="19">
        <v>10.511865071582879</v>
      </c>
      <c r="Q125" s="19">
        <v>3.7566137566139197</v>
      </c>
      <c r="R125" s="19">
        <v>6.1493411420211448</v>
      </c>
      <c r="S125" s="19">
        <v>-5.1615650281495205</v>
      </c>
      <c r="T125" s="19">
        <v>-12.446351931330174</v>
      </c>
      <c r="U125" s="20">
        <v>5.1503518873964627</v>
      </c>
      <c r="W125" s="67"/>
      <c r="X125" s="74"/>
      <c r="Y125" s="41" t="s">
        <v>26</v>
      </c>
      <c r="Z125" s="18">
        <v>-8.8312087236982322</v>
      </c>
      <c r="AA125" s="19">
        <v>9.2616249361196126E-2</v>
      </c>
      <c r="AB125" s="19">
        <v>3.8657276512619863</v>
      </c>
      <c r="AC125" s="19">
        <v>3.7735592297751279</v>
      </c>
      <c r="AD125" s="19">
        <v>5.1715957615060306</v>
      </c>
      <c r="AE125" s="19">
        <v>-2.9683386496913928</v>
      </c>
      <c r="AF125" s="19">
        <v>13.333333333333245</v>
      </c>
      <c r="AG125" s="20">
        <v>15.947925142392325</v>
      </c>
      <c r="AH125" s="18">
        <v>-9.1924579011462342</v>
      </c>
      <c r="AI125" s="19">
        <v>0.20090003214410559</v>
      </c>
      <c r="AJ125" s="19">
        <v>3.7617152394402926</v>
      </c>
      <c r="AK125" s="19">
        <v>3.4515771440089589</v>
      </c>
      <c r="AL125" s="19">
        <v>5.1872528495000934</v>
      </c>
      <c r="AM125" s="19">
        <v>-3.9350088855038519</v>
      </c>
      <c r="AN125" s="19">
        <v>11.673528699442953</v>
      </c>
      <c r="AO125" s="20">
        <v>16.117141101781733</v>
      </c>
      <c r="AQ125" s="67"/>
      <c r="AR125" s="74"/>
      <c r="AS125" s="41" t="s">
        <v>26</v>
      </c>
      <c r="AT125" s="18">
        <v>-0.54753863473514996</v>
      </c>
      <c r="AU125" s="19"/>
      <c r="AV125" s="19">
        <v>-0.58616647127784294</v>
      </c>
      <c r="AW125" s="19">
        <v>0.671597381620474</v>
      </c>
      <c r="AX125" s="19">
        <v>-0.40816326530593872</v>
      </c>
      <c r="AY125" s="19">
        <v>2.8981039001080657</v>
      </c>
      <c r="AZ125" s="19">
        <v>-9.9280703312313072</v>
      </c>
      <c r="BA125" s="20">
        <v>-1.5772244816979166</v>
      </c>
      <c r="BB125" s="18">
        <v>-0.55688761698501332</v>
      </c>
      <c r="BC125" s="19"/>
      <c r="BD125" s="19">
        <v>-0.57382476274539296</v>
      </c>
      <c r="BE125" s="19">
        <v>0.46073554595138233</v>
      </c>
      <c r="BF125" s="19">
        <v>-0.67988344855162064</v>
      </c>
      <c r="BG125" s="19">
        <v>2.8961211630730168</v>
      </c>
      <c r="BH125" s="19">
        <v>-10.102584079989629</v>
      </c>
      <c r="BI125" s="20">
        <v>-1.5519059816178766</v>
      </c>
      <c r="BK125" s="67"/>
      <c r="BL125" s="74"/>
      <c r="BM125" s="41" t="s">
        <v>26</v>
      </c>
      <c r="BN125" s="18">
        <v>-0.19882974492974689</v>
      </c>
      <c r="BO125" s="19">
        <v>-3.7917133937501082</v>
      </c>
      <c r="BP125" s="19">
        <v>2.4676729689352737</v>
      </c>
      <c r="BQ125" s="19">
        <v>2.8674244587880482</v>
      </c>
      <c r="BR125" s="19"/>
      <c r="BS125" s="19">
        <v>0.41242428147970583</v>
      </c>
      <c r="BT125" s="19">
        <v>-2.9051659327674972</v>
      </c>
      <c r="BU125" s="20">
        <v>-8.816969581929353</v>
      </c>
      <c r="BV125" s="18">
        <v>-0.37187581077540716</v>
      </c>
      <c r="BW125" s="19">
        <v>-3.5044150110374295</v>
      </c>
      <c r="BX125" s="19">
        <v>3.3285094066571368</v>
      </c>
      <c r="BY125" s="19">
        <v>2.4456633810369945</v>
      </c>
      <c r="BZ125" s="19"/>
      <c r="CA125" s="19">
        <v>0.2306273062732373</v>
      </c>
      <c r="CB125" s="19">
        <v>-2.8914180252228183</v>
      </c>
      <c r="CC125" s="20">
        <v>-8.786670464255101</v>
      </c>
      <c r="CE125" s="67"/>
      <c r="CF125" s="74"/>
      <c r="CG125" s="41" t="s">
        <v>26</v>
      </c>
      <c r="CH125" s="18">
        <v>48.832214765101</v>
      </c>
      <c r="CI125" s="19">
        <v>37.818499127400038</v>
      </c>
      <c r="CJ125" s="19">
        <v>164.45993031358978</v>
      </c>
      <c r="CK125" s="19">
        <v>347.70716009654046</v>
      </c>
      <c r="CL125" s="19">
        <v>-89.87893134934049</v>
      </c>
      <c r="CM125" s="19">
        <v>69.675583380763001</v>
      </c>
      <c r="CN125" s="19">
        <v>41.104294478527869</v>
      </c>
      <c r="CO125" s="20">
        <v>41.306884480747286</v>
      </c>
      <c r="CP125" s="18">
        <v>48.820136339800996</v>
      </c>
      <c r="CQ125" s="19">
        <v>38.452441290758983</v>
      </c>
      <c r="CR125" s="19">
        <v>163.35877862595419</v>
      </c>
      <c r="CS125" s="19">
        <v>347.70716009654046</v>
      </c>
      <c r="CT125" s="19">
        <v>-89.885158440014962</v>
      </c>
      <c r="CU125" s="19">
        <v>70.591213365585148</v>
      </c>
      <c r="CV125" s="19">
        <v>40.786749482401653</v>
      </c>
      <c r="CW125" s="20">
        <v>42.812411044692034</v>
      </c>
      <c r="CY125" s="67"/>
      <c r="CZ125" s="74"/>
      <c r="DA125" s="41" t="s">
        <v>26</v>
      </c>
      <c r="DB125" s="18">
        <v>126.90533308728578</v>
      </c>
      <c r="DC125" s="19">
        <v>378.66932469474295</v>
      </c>
      <c r="DD125" s="19">
        <v>1203.2311062431561</v>
      </c>
      <c r="DE125" s="19">
        <v>288.6974630821656</v>
      </c>
      <c r="DF125" s="19">
        <v>65.217391304348851</v>
      </c>
      <c r="DG125" s="19">
        <v>127.51322751322753</v>
      </c>
      <c r="DH125" s="19">
        <v>448.03149606299206</v>
      </c>
      <c r="DI125" s="20">
        <v>553.28054298642837</v>
      </c>
      <c r="DJ125" s="18">
        <v>127.0260459206834</v>
      </c>
      <c r="DK125" s="19">
        <v>383.09441423628328</v>
      </c>
      <c r="DL125" s="19">
        <v>1184.2161016949176</v>
      </c>
      <c r="DM125" s="19">
        <v>290.34842556362969</v>
      </c>
      <c r="DN125" s="19">
        <v>65.217391304348851</v>
      </c>
      <c r="DO125" s="19">
        <v>127.51322751322753</v>
      </c>
      <c r="DP125" s="19">
        <v>447.48283752860721</v>
      </c>
      <c r="DQ125" s="20">
        <v>544.03066812705481</v>
      </c>
      <c r="DS125" s="67"/>
      <c r="DT125" s="74"/>
      <c r="DU125" s="41" t="s">
        <v>26</v>
      </c>
      <c r="DV125" s="18">
        <v>47.353760445683093</v>
      </c>
      <c r="DW125" s="19">
        <v>284.84500574052811</v>
      </c>
      <c r="DX125" s="19">
        <v>192.63113187513372</v>
      </c>
      <c r="DY125" s="19">
        <v>83.170364798796953</v>
      </c>
      <c r="DZ125" s="19">
        <v>161.41698215251543</v>
      </c>
      <c r="EA125" s="19">
        <v>122.83187726401074</v>
      </c>
      <c r="EB125" s="19">
        <v>287.9518072289157</v>
      </c>
      <c r="EC125" s="20">
        <v>77.774809670095763</v>
      </c>
      <c r="ED125" s="18">
        <v>47.422680412371747</v>
      </c>
      <c r="EE125" s="19">
        <v>283.39869281045856</v>
      </c>
      <c r="EF125" s="19">
        <v>192.39096492141181</v>
      </c>
      <c r="EG125" s="19">
        <v>81.654504127287936</v>
      </c>
      <c r="EH125" s="19">
        <v>161.45013820965411</v>
      </c>
      <c r="EI125" s="19">
        <v>123.97729706575376</v>
      </c>
      <c r="EJ125" s="19">
        <v>292.68292682926835</v>
      </c>
      <c r="EK125" s="20">
        <v>76.550286607608868</v>
      </c>
      <c r="EM125" s="67"/>
      <c r="EN125" s="74"/>
      <c r="EO125" s="41" t="s">
        <v>26</v>
      </c>
      <c r="EP125" s="18">
        <v>449.6932515337428</v>
      </c>
      <c r="EQ125" s="19">
        <v>-44.678031168593762</v>
      </c>
      <c r="ER125" s="19">
        <v>1055.3398058252437</v>
      </c>
      <c r="ES125" s="19">
        <v>268.40686010139223</v>
      </c>
      <c r="ET125" s="19">
        <v>51.026426877927818</v>
      </c>
      <c r="EU125" s="19">
        <v>28.90896455872133</v>
      </c>
      <c r="EV125" s="19">
        <v>441.50943396226518</v>
      </c>
      <c r="EW125" s="20">
        <v>106.28019323671616</v>
      </c>
      <c r="EX125" s="18">
        <v>449.58151991965212</v>
      </c>
      <c r="EY125" s="19">
        <v>-45.118586696960534</v>
      </c>
      <c r="EZ125" s="19">
        <v>1054.8913043478287</v>
      </c>
      <c r="FA125" s="19">
        <v>266.69429192997092</v>
      </c>
      <c r="FB125" s="19">
        <v>46.775348350498426</v>
      </c>
      <c r="FC125" s="19">
        <v>29.162400163833741</v>
      </c>
      <c r="FD125" s="19">
        <v>441.50943396226518</v>
      </c>
      <c r="FE125" s="20">
        <v>105.63764165829895</v>
      </c>
    </row>
    <row r="128" spans="3:161" ht="15" thickBot="1" x14ac:dyDescent="0.35"/>
    <row r="129" spans="3:21" ht="15" thickBot="1" x14ac:dyDescent="0.35">
      <c r="C129" s="77" t="s">
        <v>45</v>
      </c>
      <c r="D129" s="77"/>
      <c r="E129" s="78"/>
      <c r="F129" s="79" t="s">
        <v>1</v>
      </c>
      <c r="G129" s="80"/>
      <c r="H129" s="80"/>
      <c r="I129" s="80"/>
      <c r="J129" s="80"/>
      <c r="K129" s="80"/>
      <c r="L129" s="80"/>
      <c r="M129" s="81"/>
      <c r="N129" s="75" t="s">
        <v>2</v>
      </c>
      <c r="O129" s="75"/>
      <c r="P129" s="75"/>
      <c r="Q129" s="75"/>
      <c r="R129" s="75"/>
      <c r="S129" s="75"/>
      <c r="T129" s="75"/>
      <c r="U129" s="76"/>
    </row>
    <row r="130" spans="3:21" ht="29.4" thickBot="1" x14ac:dyDescent="0.35">
      <c r="C130" s="5" t="s">
        <v>10</v>
      </c>
      <c r="D130" s="4" t="s">
        <v>11</v>
      </c>
      <c r="E130" s="3"/>
      <c r="F130" s="6" t="s">
        <v>12</v>
      </c>
      <c r="G130" s="7" t="s">
        <v>13</v>
      </c>
      <c r="H130" s="7" t="s">
        <v>14</v>
      </c>
      <c r="I130" s="7" t="s">
        <v>15</v>
      </c>
      <c r="J130" s="7" t="s">
        <v>16</v>
      </c>
      <c r="K130" s="7" t="s">
        <v>17</v>
      </c>
      <c r="L130" s="7" t="s">
        <v>18</v>
      </c>
      <c r="M130" s="8" t="s">
        <v>19</v>
      </c>
      <c r="N130" s="6" t="s">
        <v>12</v>
      </c>
      <c r="O130" s="7" t="s">
        <v>13</v>
      </c>
      <c r="P130" s="7" t="s">
        <v>14</v>
      </c>
      <c r="Q130" s="7" t="s">
        <v>15</v>
      </c>
      <c r="R130" s="7" t="s">
        <v>16</v>
      </c>
      <c r="S130" s="7" t="s">
        <v>17</v>
      </c>
      <c r="T130" s="7" t="s">
        <v>18</v>
      </c>
      <c r="U130" s="8" t="s">
        <v>19</v>
      </c>
    </row>
    <row r="131" spans="3:21" x14ac:dyDescent="0.3">
      <c r="C131" s="65">
        <v>1</v>
      </c>
      <c r="D131" s="71" t="s">
        <v>20</v>
      </c>
      <c r="E131" s="72"/>
      <c r="F131" s="21">
        <v>1.94691489361702</v>
      </c>
      <c r="G131" s="22">
        <v>3.4197500000000001</v>
      </c>
      <c r="H131" s="22">
        <v>4.6675531914893602</v>
      </c>
      <c r="I131" s="22">
        <v>5.0451063829787204</v>
      </c>
      <c r="J131" s="22">
        <v>3.89787234042553</v>
      </c>
      <c r="K131" s="22">
        <v>4.0546236559139803</v>
      </c>
      <c r="L131" s="22">
        <v>1.8399999999999901</v>
      </c>
      <c r="M131" s="23">
        <v>2.5541489361702099</v>
      </c>
      <c r="N131" s="21">
        <v>1.93474999999999</v>
      </c>
      <c r="O131" s="22">
        <v>3.5467647058823499</v>
      </c>
      <c r="P131" s="22">
        <v>4.5359999999999996</v>
      </c>
      <c r="Q131" s="22">
        <v>5.0362499999999999</v>
      </c>
      <c r="R131" s="22">
        <v>3.8041025641025601</v>
      </c>
      <c r="S131" s="22">
        <v>4.1537499999999996</v>
      </c>
      <c r="T131" s="22">
        <v>1.8429166666666601</v>
      </c>
      <c r="U131" s="23">
        <v>2.5117500000000001</v>
      </c>
    </row>
    <row r="132" spans="3:21" ht="15" customHeight="1" x14ac:dyDescent="0.3">
      <c r="C132" s="66"/>
      <c r="D132" s="68" t="s">
        <v>21</v>
      </c>
      <c r="E132" s="69"/>
      <c r="F132" s="24">
        <v>0.22321169512821201</v>
      </c>
      <c r="G132" s="25">
        <v>0.62355227326985097</v>
      </c>
      <c r="H132" s="25">
        <v>0.58931746703954002</v>
      </c>
      <c r="I132" s="25">
        <v>0.98264487284545898</v>
      </c>
      <c r="J132" s="25">
        <v>0.27880395133050201</v>
      </c>
      <c r="K132" s="25">
        <v>0.51958742760412102</v>
      </c>
      <c r="L132" s="25">
        <v>3.9855508257473499E-2</v>
      </c>
      <c r="M132" s="26">
        <v>0.42188132236263098</v>
      </c>
      <c r="N132" s="24">
        <v>0.21517420268238399</v>
      </c>
      <c r="O132" s="25">
        <v>2.4219655148282601E-2</v>
      </c>
      <c r="P132" s="25">
        <v>0.91645185361807202</v>
      </c>
      <c r="Q132" s="25">
        <v>1.07334683933013</v>
      </c>
      <c r="R132" s="25">
        <v>0.48275766574916101</v>
      </c>
      <c r="S132" s="25">
        <v>0.18996956993160699</v>
      </c>
      <c r="T132" s="25">
        <v>2.8059336928888502E-2</v>
      </c>
      <c r="U132" s="26">
        <v>0.48192783432792002</v>
      </c>
    </row>
    <row r="133" spans="3:21" ht="15" customHeight="1" x14ac:dyDescent="0.3">
      <c r="C133" s="66"/>
      <c r="D133" s="68" t="s">
        <v>22</v>
      </c>
      <c r="E133" s="69"/>
      <c r="F133" s="33">
        <v>1.9856043956043901</v>
      </c>
      <c r="G133" s="34">
        <v>3.5418181818181802</v>
      </c>
      <c r="H133" s="34">
        <v>4.7834831460674101</v>
      </c>
      <c r="I133" s="34">
        <v>5.3578571428571404</v>
      </c>
      <c r="J133" s="34">
        <v>3.9439560439560402</v>
      </c>
      <c r="K133" s="34">
        <v>4.17724137931034</v>
      </c>
      <c r="L133" s="34">
        <v>1.8382051282051199</v>
      </c>
      <c r="M133" s="35">
        <v>2.6538636363636301</v>
      </c>
      <c r="N133" s="33">
        <v>1.9834210526315701</v>
      </c>
      <c r="O133" s="34">
        <v>3.5507692307692298</v>
      </c>
      <c r="P133" s="34">
        <v>4.7889189189189096</v>
      </c>
      <c r="Q133" s="34">
        <v>5.32189189189189</v>
      </c>
      <c r="R133" s="34">
        <v>3.9424999999999999</v>
      </c>
      <c r="S133" s="34">
        <v>4.1841025641025604</v>
      </c>
      <c r="T133" s="34">
        <v>1.845</v>
      </c>
      <c r="U133" s="35">
        <v>2.6362162162162099</v>
      </c>
    </row>
    <row r="134" spans="3:21" x14ac:dyDescent="0.3">
      <c r="C134" s="66"/>
      <c r="D134" s="73" t="s">
        <v>23</v>
      </c>
      <c r="E134" s="38" t="s">
        <v>24</v>
      </c>
      <c r="F134" s="27">
        <v>1.95</v>
      </c>
      <c r="G134" s="28">
        <v>3.4</v>
      </c>
      <c r="H134" s="28">
        <v>4.83</v>
      </c>
      <c r="I134" s="28">
        <v>5.42</v>
      </c>
      <c r="J134" s="28">
        <v>3.92</v>
      </c>
      <c r="K134" s="28">
        <v>4.3499999999999996</v>
      </c>
      <c r="L134" s="28">
        <v>1.86</v>
      </c>
      <c r="M134" s="29">
        <v>2.73</v>
      </c>
      <c r="N134" s="27">
        <v>1.95</v>
      </c>
      <c r="O134" s="28">
        <v>3.4</v>
      </c>
      <c r="P134" s="28">
        <v>4.83</v>
      </c>
      <c r="Q134" s="28">
        <v>5.42</v>
      </c>
      <c r="R134" s="28">
        <v>3.92</v>
      </c>
      <c r="S134" s="28">
        <v>4.3499999999999996</v>
      </c>
      <c r="T134" s="28">
        <v>1.86</v>
      </c>
      <c r="U134" s="29">
        <v>2.73</v>
      </c>
    </row>
    <row r="135" spans="3:21" x14ac:dyDescent="0.3">
      <c r="C135" s="66"/>
      <c r="D135" s="70"/>
      <c r="E135" s="39" t="s">
        <v>25</v>
      </c>
      <c r="F135" s="9">
        <v>-3.5604395604390104E-2</v>
      </c>
      <c r="G135" s="10">
        <v>-0.14181818181818029</v>
      </c>
      <c r="H135" s="10">
        <v>4.6516853932589974E-2</v>
      </c>
      <c r="I135" s="10">
        <v>6.2142857142859498E-2</v>
      </c>
      <c r="J135" s="10">
        <v>-2.3956043956040229E-2</v>
      </c>
      <c r="K135" s="10">
        <v>0.17275862068965964</v>
      </c>
      <c r="L135" s="10">
        <v>2.1794871794880155E-2</v>
      </c>
      <c r="M135" s="11">
        <v>7.6136363636369886E-2</v>
      </c>
      <c r="N135" s="9">
        <v>-3.3421052631570136E-2</v>
      </c>
      <c r="O135" s="10">
        <v>-0.15076923076922988</v>
      </c>
      <c r="P135" s="10">
        <v>4.1081081081090431E-2</v>
      </c>
      <c r="Q135" s="10">
        <v>9.8108108108109882E-2</v>
      </c>
      <c r="R135" s="10">
        <v>-2.2499999999999964E-2</v>
      </c>
      <c r="S135" s="10">
        <v>0.16589743589743922</v>
      </c>
      <c r="T135" s="10">
        <v>1.5000000000000124E-2</v>
      </c>
      <c r="U135" s="11">
        <v>9.3783783783790042E-2</v>
      </c>
    </row>
    <row r="136" spans="3:21" x14ac:dyDescent="0.3">
      <c r="C136" s="66"/>
      <c r="D136" s="70"/>
      <c r="E136" s="39" t="s">
        <v>26</v>
      </c>
      <c r="F136" s="9">
        <v>-1.7931263489952454</v>
      </c>
      <c r="G136" s="10">
        <v>-4.0041067761806568</v>
      </c>
      <c r="H136" s="10">
        <v>0.97244732576997461</v>
      </c>
      <c r="I136" s="10">
        <v>1.1598453539528508</v>
      </c>
      <c r="J136" s="10">
        <v>-0.60741153524649283</v>
      </c>
      <c r="K136" s="10">
        <v>4.135710747895109</v>
      </c>
      <c r="L136" s="10">
        <v>1.1856604826340214</v>
      </c>
      <c r="M136" s="11">
        <v>2.8688875567357055</v>
      </c>
      <c r="N136" s="9">
        <v>-1.685020565211186</v>
      </c>
      <c r="O136" s="10">
        <v>-4.2461005199306516</v>
      </c>
      <c r="P136" s="10">
        <v>0.85783622100589696</v>
      </c>
      <c r="Q136" s="10">
        <v>1.8434817937128978</v>
      </c>
      <c r="R136" s="10">
        <v>-0.57070386810399409</v>
      </c>
      <c r="S136" s="10">
        <v>3.964946684642809</v>
      </c>
      <c r="T136" s="10">
        <v>0.81300813008130746</v>
      </c>
      <c r="U136" s="11">
        <v>3.5575148656963709</v>
      </c>
    </row>
    <row r="137" spans="3:21" x14ac:dyDescent="0.3">
      <c r="C137" s="66"/>
      <c r="D137" s="70" t="s">
        <v>27</v>
      </c>
      <c r="E137" s="40" t="s">
        <v>24</v>
      </c>
      <c r="F137" s="27">
        <v>1.94</v>
      </c>
      <c r="G137" s="28">
        <v>3.45</v>
      </c>
      <c r="H137" s="28">
        <v>4.8499999999999996</v>
      </c>
      <c r="I137" s="28">
        <v>5.37</v>
      </c>
      <c r="J137" s="28">
        <v>3.93</v>
      </c>
      <c r="K137" s="28">
        <v>4.3499999999999996</v>
      </c>
      <c r="L137" s="28">
        <v>1.76</v>
      </c>
      <c r="M137" s="29">
        <v>2.64</v>
      </c>
      <c r="N137" s="27">
        <v>1.94</v>
      </c>
      <c r="O137" s="28">
        <v>3.45</v>
      </c>
      <c r="P137" s="28">
        <v>4.8499999999999996</v>
      </c>
      <c r="Q137" s="28">
        <v>5.37</v>
      </c>
      <c r="R137" s="28">
        <v>3.93</v>
      </c>
      <c r="S137" s="28">
        <v>4.3499999999999996</v>
      </c>
      <c r="T137" s="28">
        <v>1.76</v>
      </c>
      <c r="U137" s="29">
        <v>2.64</v>
      </c>
    </row>
    <row r="138" spans="3:21" x14ac:dyDescent="0.3">
      <c r="C138" s="66"/>
      <c r="D138" s="70"/>
      <c r="E138" s="39" t="s">
        <v>25</v>
      </c>
      <c r="F138" s="9">
        <v>-4.5604395604390113E-2</v>
      </c>
      <c r="G138" s="10">
        <v>-9.1818181818180022E-2</v>
      </c>
      <c r="H138" s="10">
        <v>6.6516853932589548E-2</v>
      </c>
      <c r="I138" s="10">
        <v>1.2142857142859675E-2</v>
      </c>
      <c r="J138" s="10">
        <v>-1.3956043956039998E-2</v>
      </c>
      <c r="K138" s="10">
        <v>0.17275862068965964</v>
      </c>
      <c r="L138" s="10">
        <v>-7.8205128205119934E-2</v>
      </c>
      <c r="M138" s="11">
        <v>-1.3863636363629972E-2</v>
      </c>
      <c r="N138" s="9">
        <v>-4.3421052631570145E-2</v>
      </c>
      <c r="O138" s="10">
        <v>-0.10076923076922961</v>
      </c>
      <c r="P138" s="10">
        <v>6.1081081081090005E-2</v>
      </c>
      <c r="Q138" s="10">
        <v>4.8108108108110059E-2</v>
      </c>
      <c r="R138" s="10">
        <v>-1.2499999999999734E-2</v>
      </c>
      <c r="S138" s="10">
        <v>0.16589743589743922</v>
      </c>
      <c r="T138" s="10">
        <v>-8.4999999999999964E-2</v>
      </c>
      <c r="U138" s="11">
        <v>3.7837837837901844E-3</v>
      </c>
    </row>
    <row r="139" spans="3:21" x14ac:dyDescent="0.3">
      <c r="C139" s="66"/>
      <c r="D139" s="70"/>
      <c r="E139" s="39" t="s">
        <v>26</v>
      </c>
      <c r="F139" s="9">
        <v>-2.2967513420773211</v>
      </c>
      <c r="G139" s="10">
        <v>-2.5924024640656591</v>
      </c>
      <c r="H139" s="10">
        <v>1.3905526977193237</v>
      </c>
      <c r="I139" s="10">
        <v>0.22663644847358425</v>
      </c>
      <c r="J139" s="10">
        <v>-0.35385901365272809</v>
      </c>
      <c r="K139" s="10">
        <v>4.135710747895109</v>
      </c>
      <c r="L139" s="10">
        <v>-4.2544287906258766</v>
      </c>
      <c r="M139" s="11">
        <v>-0.52239445062920287</v>
      </c>
      <c r="N139" s="9">
        <v>-2.1891999469280519</v>
      </c>
      <c r="O139" s="10">
        <v>-2.8379549393413894</v>
      </c>
      <c r="P139" s="10">
        <v>1.2754670128112955</v>
      </c>
      <c r="Q139" s="10">
        <v>0.90396627901075255</v>
      </c>
      <c r="R139" s="10">
        <v>-0.31705770450221266</v>
      </c>
      <c r="S139" s="10">
        <v>3.964946684642809</v>
      </c>
      <c r="T139" s="10">
        <v>-4.6070460704607026</v>
      </c>
      <c r="U139" s="11">
        <v>0.14353085913495711</v>
      </c>
    </row>
    <row r="140" spans="3:21" x14ac:dyDescent="0.3">
      <c r="C140" s="66"/>
      <c r="D140" s="70" t="s">
        <v>28</v>
      </c>
      <c r="E140" s="40" t="s">
        <v>24</v>
      </c>
      <c r="F140" s="27">
        <v>1.87</v>
      </c>
      <c r="G140" s="28">
        <v>3.49</v>
      </c>
      <c r="H140" s="28">
        <v>4.88</v>
      </c>
      <c r="I140" s="28">
        <v>5.41</v>
      </c>
      <c r="J140" s="28">
        <v>3.97</v>
      </c>
      <c r="K140" s="28">
        <v>4.4000000000000004</v>
      </c>
      <c r="L140" s="28">
        <v>1.76</v>
      </c>
      <c r="M140" s="29">
        <v>2.66</v>
      </c>
      <c r="N140" s="27">
        <v>1.87</v>
      </c>
      <c r="O140" s="28">
        <v>3.49</v>
      </c>
      <c r="P140" s="28">
        <v>4.88</v>
      </c>
      <c r="Q140" s="28">
        <v>5.41</v>
      </c>
      <c r="R140" s="28">
        <v>3.97</v>
      </c>
      <c r="S140" s="28">
        <v>4.4000000000000004</v>
      </c>
      <c r="T140" s="28">
        <v>1.76</v>
      </c>
      <c r="U140" s="29">
        <v>2.66</v>
      </c>
    </row>
    <row r="141" spans="3:21" x14ac:dyDescent="0.3">
      <c r="C141" s="66"/>
      <c r="D141" s="70"/>
      <c r="E141" s="39" t="s">
        <v>25</v>
      </c>
      <c r="F141" s="9">
        <v>-0.11560439560438995</v>
      </c>
      <c r="G141" s="10">
        <v>-5.1818181818179987E-2</v>
      </c>
      <c r="H141" s="10">
        <v>9.6516853932589797E-2</v>
      </c>
      <c r="I141" s="10">
        <v>5.2142857142859711E-2</v>
      </c>
      <c r="J141" s="10">
        <v>2.6043956043960037E-2</v>
      </c>
      <c r="K141" s="10">
        <v>0.22275862068966035</v>
      </c>
      <c r="L141" s="10">
        <v>-7.8205128205119934E-2</v>
      </c>
      <c r="M141" s="11">
        <v>6.1363636363700458E-3</v>
      </c>
      <c r="N141" s="9">
        <v>-0.11342105263156999</v>
      </c>
      <c r="O141" s="10">
        <v>-6.0769230769229576E-2</v>
      </c>
      <c r="P141" s="10">
        <v>9.1081081081090254E-2</v>
      </c>
      <c r="Q141" s="10">
        <v>8.8108108108110095E-2</v>
      </c>
      <c r="R141" s="10">
        <v>2.7500000000000302E-2</v>
      </c>
      <c r="S141" s="10">
        <v>0.21589743589743993</v>
      </c>
      <c r="T141" s="10">
        <v>-8.4999999999999964E-2</v>
      </c>
      <c r="U141" s="11">
        <v>2.3783783783790202E-2</v>
      </c>
    </row>
    <row r="142" spans="3:21" ht="15" thickBot="1" x14ac:dyDescent="0.35">
      <c r="C142" s="66"/>
      <c r="D142" s="74"/>
      <c r="E142" s="41" t="s">
        <v>26</v>
      </c>
      <c r="F142" s="12">
        <v>-5.8221262936518432</v>
      </c>
      <c r="G142" s="13">
        <v>-1.4630390143736656</v>
      </c>
      <c r="H142" s="13">
        <v>2.0177107556433658</v>
      </c>
      <c r="I142" s="13">
        <v>0.97320357285700076</v>
      </c>
      <c r="J142" s="13">
        <v>0.66035107272230864</v>
      </c>
      <c r="K142" s="13">
        <v>5.332672940399668</v>
      </c>
      <c r="L142" s="13">
        <v>-4.2544287906258766</v>
      </c>
      <c r="M142" s="14">
        <v>0.23122377322966742</v>
      </c>
      <c r="N142" s="12">
        <v>-5.7184556189461038</v>
      </c>
      <c r="O142" s="13">
        <v>-1.7114384748699842</v>
      </c>
      <c r="P142" s="13">
        <v>1.9019132005194122</v>
      </c>
      <c r="Q142" s="13">
        <v>1.6555786907724721</v>
      </c>
      <c r="R142" s="13">
        <v>0.69752694990489039</v>
      </c>
      <c r="S142" s="13">
        <v>5.1599460718226284</v>
      </c>
      <c r="T142" s="13">
        <v>-4.6070460704607026</v>
      </c>
      <c r="U142" s="14">
        <v>0.90219397170416205</v>
      </c>
    </row>
    <row r="143" spans="3:21" ht="15" customHeight="1" x14ac:dyDescent="0.3">
      <c r="C143" s="65">
        <v>2</v>
      </c>
      <c r="D143" s="71" t="s">
        <v>20</v>
      </c>
      <c r="E143" s="72"/>
      <c r="F143" s="21">
        <v>2.00070588235294</v>
      </c>
      <c r="G143" s="22">
        <v>3.46397058823529</v>
      </c>
      <c r="H143" s="22">
        <v>4.4804761904761898</v>
      </c>
      <c r="I143" s="22">
        <v>5.1072941176470597</v>
      </c>
      <c r="J143" s="22">
        <v>3.7230487804878001</v>
      </c>
      <c r="K143" s="22">
        <v>3.8916470588235201</v>
      </c>
      <c r="L143" s="22">
        <v>1.78857142857142</v>
      </c>
      <c r="M143" s="23">
        <v>2.6191764705882301</v>
      </c>
      <c r="N143" s="21">
        <v>1.9975999999999901</v>
      </c>
      <c r="O143" s="22">
        <v>3.5414634146341402</v>
      </c>
      <c r="P143" s="22">
        <v>4.4285714285714297</v>
      </c>
      <c r="Q143" s="22">
        <v>5.1619999999999999</v>
      </c>
      <c r="R143" s="22">
        <v>3.77204081632653</v>
      </c>
      <c r="S143" s="22">
        <v>3.9117999999999902</v>
      </c>
      <c r="T143" s="22">
        <v>1.7567999999999999</v>
      </c>
      <c r="U143" s="23">
        <v>2.653</v>
      </c>
    </row>
    <row r="144" spans="3:21" ht="15" customHeight="1" x14ac:dyDescent="0.3">
      <c r="C144" s="66"/>
      <c r="D144" s="68" t="s">
        <v>21</v>
      </c>
      <c r="E144" s="69"/>
      <c r="F144" s="24">
        <v>2.3950352339008E-2</v>
      </c>
      <c r="G144" s="25">
        <v>0.49130420582807899</v>
      </c>
      <c r="H144" s="25">
        <v>0.89246702588400895</v>
      </c>
      <c r="I144" s="25">
        <v>0.91647456013637496</v>
      </c>
      <c r="J144" s="25">
        <v>0.79079720354377703</v>
      </c>
      <c r="K144" s="25">
        <v>0.91660222568920702</v>
      </c>
      <c r="L144" s="25">
        <v>0.27445679188579902</v>
      </c>
      <c r="M144" s="26">
        <v>0.22587977939710399</v>
      </c>
      <c r="N144" s="24">
        <v>2.2676860452893299E-2</v>
      </c>
      <c r="O144" s="25">
        <v>3.0886177791759398E-2</v>
      </c>
      <c r="P144" s="25">
        <v>1.0129407581847201</v>
      </c>
      <c r="Q144" s="25">
        <v>0.70727081093453803</v>
      </c>
      <c r="R144" s="25">
        <v>0.67758870069801103</v>
      </c>
      <c r="S144" s="25">
        <v>0.88795425557851704</v>
      </c>
      <c r="T144" s="25">
        <v>0.35159886234173099</v>
      </c>
      <c r="U144" s="26">
        <v>1.71172427686236E-2</v>
      </c>
    </row>
    <row r="145" spans="3:21" x14ac:dyDescent="0.3">
      <c r="C145" s="66"/>
      <c r="D145" s="68" t="s">
        <v>22</v>
      </c>
      <c r="E145" s="69"/>
      <c r="F145" s="33">
        <v>1.9984482758620601</v>
      </c>
      <c r="G145" s="34">
        <v>3.5474242424242401</v>
      </c>
      <c r="H145" s="34">
        <v>4.7757333333333296</v>
      </c>
      <c r="I145" s="34">
        <v>5.3637179487179498</v>
      </c>
      <c r="J145" s="34">
        <v>3.9398684210526298</v>
      </c>
      <c r="K145" s="34">
        <v>4.1560256410256304</v>
      </c>
      <c r="L145" s="34">
        <v>1.83121951219512</v>
      </c>
      <c r="M145" s="35">
        <v>2.6538554216867398</v>
      </c>
      <c r="N145" s="33">
        <v>1.99781249999999</v>
      </c>
      <c r="O145" s="34">
        <v>3.5447999999999902</v>
      </c>
      <c r="P145" s="34">
        <v>4.79</v>
      </c>
      <c r="Q145" s="34">
        <v>5.3658695652173902</v>
      </c>
      <c r="R145" s="34">
        <v>3.9384782608695601</v>
      </c>
      <c r="S145" s="34">
        <v>4.1671739130434702</v>
      </c>
      <c r="T145" s="34">
        <v>1.82833333333333</v>
      </c>
      <c r="U145" s="35">
        <v>2.6529729729729699</v>
      </c>
    </row>
    <row r="146" spans="3:21" x14ac:dyDescent="0.3">
      <c r="C146" s="66"/>
      <c r="D146" s="73" t="s">
        <v>23</v>
      </c>
      <c r="E146" s="38" t="s">
        <v>24</v>
      </c>
      <c r="F146" s="27">
        <v>1.95</v>
      </c>
      <c r="G146" s="28">
        <v>3.4</v>
      </c>
      <c r="H146" s="28">
        <v>4.83</v>
      </c>
      <c r="I146" s="28">
        <v>5.42</v>
      </c>
      <c r="J146" s="28">
        <v>3.92</v>
      </c>
      <c r="K146" s="28">
        <v>4.3499999999999996</v>
      </c>
      <c r="L146" s="28">
        <v>1.86</v>
      </c>
      <c r="M146" s="29">
        <v>2.73</v>
      </c>
      <c r="N146" s="27">
        <v>1.95</v>
      </c>
      <c r="O146" s="28">
        <v>3.4</v>
      </c>
      <c r="P146" s="28">
        <v>4.83</v>
      </c>
      <c r="Q146" s="28">
        <v>5.42</v>
      </c>
      <c r="R146" s="28">
        <v>3.92</v>
      </c>
      <c r="S146" s="28">
        <v>4.3499999999999996</v>
      </c>
      <c r="T146" s="28">
        <v>1.86</v>
      </c>
      <c r="U146" s="29">
        <v>2.73</v>
      </c>
    </row>
    <row r="147" spans="3:21" x14ac:dyDescent="0.3">
      <c r="C147" s="66"/>
      <c r="D147" s="70"/>
      <c r="E147" s="39" t="s">
        <v>25</v>
      </c>
      <c r="F147" s="9">
        <v>-4.8448275862060131E-2</v>
      </c>
      <c r="G147" s="10">
        <v>-0.14742424242424024</v>
      </c>
      <c r="H147" s="10">
        <v>5.426666666667046E-2</v>
      </c>
      <c r="I147" s="10">
        <v>5.6282051282050105E-2</v>
      </c>
      <c r="J147" s="10">
        <v>-1.986842105262987E-2</v>
      </c>
      <c r="K147" s="10">
        <v>0.19397435897436921</v>
      </c>
      <c r="L147" s="10">
        <v>2.8780487804880073E-2</v>
      </c>
      <c r="M147" s="11">
        <v>7.6144578313260158E-2</v>
      </c>
      <c r="N147" s="9">
        <v>-4.7812499999990044E-2</v>
      </c>
      <c r="O147" s="10">
        <v>-0.14479999999999027</v>
      </c>
      <c r="P147" s="10">
        <v>4.0000000000000036E-2</v>
      </c>
      <c r="Q147" s="10">
        <v>5.4130434782609704E-2</v>
      </c>
      <c r="R147" s="10">
        <v>-1.847826086956017E-2</v>
      </c>
      <c r="S147" s="10">
        <v>0.18282608695652947</v>
      </c>
      <c r="T147" s="10">
        <v>3.1666666666670062E-2</v>
      </c>
      <c r="U147" s="11">
        <v>7.7027027027030126E-2</v>
      </c>
    </row>
    <row r="148" spans="3:21" x14ac:dyDescent="0.3">
      <c r="C148" s="66"/>
      <c r="D148" s="70"/>
      <c r="E148" s="39" t="s">
        <v>26</v>
      </c>
      <c r="F148" s="9">
        <v>-2.4242947114135971</v>
      </c>
      <c r="G148" s="10">
        <v>-4.1558108743005429</v>
      </c>
      <c r="H148" s="10">
        <v>1.1363001842649751</v>
      </c>
      <c r="I148" s="10">
        <v>1.0493104190070768</v>
      </c>
      <c r="J148" s="10">
        <v>-0.50429148715889216</v>
      </c>
      <c r="K148" s="10">
        <v>4.6673041922450675</v>
      </c>
      <c r="L148" s="10">
        <v>1.5716568993075177</v>
      </c>
      <c r="M148" s="11">
        <v>2.8692059744861353</v>
      </c>
      <c r="N148" s="9">
        <v>-2.3932426091032211</v>
      </c>
      <c r="O148" s="10">
        <v>-4.084856691491499</v>
      </c>
      <c r="P148" s="10">
        <v>0.83507306889352895</v>
      </c>
      <c r="Q148" s="10">
        <v>1.0087914759146162</v>
      </c>
      <c r="R148" s="10">
        <v>-0.46917260032001373</v>
      </c>
      <c r="S148" s="10">
        <v>4.3872919818458822</v>
      </c>
      <c r="T148" s="10">
        <v>1.7319963536920759</v>
      </c>
      <c r="U148" s="11">
        <v>2.9034229828852056</v>
      </c>
    </row>
    <row r="149" spans="3:21" x14ac:dyDescent="0.3">
      <c r="C149" s="66"/>
      <c r="D149" s="70" t="s">
        <v>27</v>
      </c>
      <c r="E149" s="40" t="s">
        <v>24</v>
      </c>
      <c r="F149" s="27">
        <v>1.94</v>
      </c>
      <c r="G149" s="28">
        <v>3.45</v>
      </c>
      <c r="H149" s="28">
        <v>4.8499999999999996</v>
      </c>
      <c r="I149" s="28">
        <v>5.37</v>
      </c>
      <c r="J149" s="28">
        <v>3.93</v>
      </c>
      <c r="K149" s="28">
        <v>4.3499999999999996</v>
      </c>
      <c r="L149" s="28">
        <v>1.76</v>
      </c>
      <c r="M149" s="29">
        <v>2.64</v>
      </c>
      <c r="N149" s="27">
        <v>1.94</v>
      </c>
      <c r="O149" s="28">
        <v>3.45</v>
      </c>
      <c r="P149" s="28">
        <v>4.8499999999999996</v>
      </c>
      <c r="Q149" s="28">
        <v>5.37</v>
      </c>
      <c r="R149" s="28">
        <v>3.93</v>
      </c>
      <c r="S149" s="28">
        <v>4.3499999999999996</v>
      </c>
      <c r="T149" s="28">
        <v>1.76</v>
      </c>
      <c r="U149" s="29">
        <v>2.64</v>
      </c>
    </row>
    <row r="150" spans="3:21" x14ac:dyDescent="0.3">
      <c r="C150" s="66"/>
      <c r="D150" s="70"/>
      <c r="E150" s="39" t="s">
        <v>25</v>
      </c>
      <c r="F150" s="9">
        <v>-5.8448275862060139E-2</v>
      </c>
      <c r="G150" s="10">
        <v>-9.7424242424239971E-2</v>
      </c>
      <c r="H150" s="10">
        <v>7.4266666666670034E-2</v>
      </c>
      <c r="I150" s="10">
        <v>6.2820512820502827E-3</v>
      </c>
      <c r="J150" s="10">
        <v>-9.868421052629639E-3</v>
      </c>
      <c r="K150" s="10">
        <v>0.19397435897436921</v>
      </c>
      <c r="L150" s="10">
        <v>-7.1219512195120016E-2</v>
      </c>
      <c r="M150" s="11">
        <v>-1.38554216867397E-2</v>
      </c>
      <c r="N150" s="9">
        <v>-5.7812499999990052E-2</v>
      </c>
      <c r="O150" s="10">
        <v>-9.4799999999990003E-2</v>
      </c>
      <c r="P150" s="10">
        <v>5.9999999999999609E-2</v>
      </c>
      <c r="Q150" s="10">
        <v>4.1304347826098819E-3</v>
      </c>
      <c r="R150" s="10">
        <v>-8.4782608695599393E-3</v>
      </c>
      <c r="S150" s="10">
        <v>0.18282608695652947</v>
      </c>
      <c r="T150" s="10">
        <v>-6.8333333333330026E-2</v>
      </c>
      <c r="U150" s="11">
        <v>-1.2972972972969732E-2</v>
      </c>
    </row>
    <row r="151" spans="3:21" x14ac:dyDescent="0.3">
      <c r="C151" s="66"/>
      <c r="D151" s="70"/>
      <c r="E151" s="39" t="s">
        <v>26</v>
      </c>
      <c r="F151" s="9">
        <v>-2.9246829436627584</v>
      </c>
      <c r="G151" s="10">
        <v>-2.7463375048049556</v>
      </c>
      <c r="H151" s="10">
        <v>1.5550840359596452</v>
      </c>
      <c r="I151" s="10">
        <v>0.11712120849963477</v>
      </c>
      <c r="J151" s="10">
        <v>-0.25047590421796506</v>
      </c>
      <c r="K151" s="10">
        <v>4.6673041922450675</v>
      </c>
      <c r="L151" s="10">
        <v>-3.8891848694724609</v>
      </c>
      <c r="M151" s="11">
        <v>-0.52208653016724849</v>
      </c>
      <c r="N151" s="9">
        <v>-2.8937900829026919</v>
      </c>
      <c r="O151" s="10">
        <v>-2.6743398781310725</v>
      </c>
      <c r="P151" s="10">
        <v>1.2526096033402843</v>
      </c>
      <c r="Q151" s="10">
        <v>7.6976056395111861E-2</v>
      </c>
      <c r="R151" s="10">
        <v>-0.21526742838204874</v>
      </c>
      <c r="S151" s="10">
        <v>4.3872919818458822</v>
      </c>
      <c r="T151" s="10">
        <v>-3.7374658158612664</v>
      </c>
      <c r="U151" s="11">
        <v>-0.48899755501210335</v>
      </c>
    </row>
    <row r="152" spans="3:21" x14ac:dyDescent="0.3">
      <c r="C152" s="66"/>
      <c r="D152" s="70" t="s">
        <v>28</v>
      </c>
      <c r="E152" s="40" t="s">
        <v>24</v>
      </c>
      <c r="F152" s="27">
        <v>1.87</v>
      </c>
      <c r="G152" s="28">
        <v>3.49</v>
      </c>
      <c r="H152" s="28">
        <v>4.88</v>
      </c>
      <c r="I152" s="28">
        <v>5.41</v>
      </c>
      <c r="J152" s="28">
        <v>3.97</v>
      </c>
      <c r="K152" s="28">
        <v>4.4000000000000004</v>
      </c>
      <c r="L152" s="28">
        <v>1.76</v>
      </c>
      <c r="M152" s="29">
        <v>2.66</v>
      </c>
      <c r="N152" s="27">
        <v>1.87</v>
      </c>
      <c r="O152" s="28">
        <v>3.49</v>
      </c>
      <c r="P152" s="28">
        <v>4.88</v>
      </c>
      <c r="Q152" s="28">
        <v>5.41</v>
      </c>
      <c r="R152" s="28">
        <v>3.97</v>
      </c>
      <c r="S152" s="28">
        <v>4.4000000000000004</v>
      </c>
      <c r="T152" s="28">
        <v>1.76</v>
      </c>
      <c r="U152" s="29">
        <v>2.66</v>
      </c>
    </row>
    <row r="153" spans="3:21" x14ac:dyDescent="0.3">
      <c r="C153" s="66"/>
      <c r="D153" s="70"/>
      <c r="E153" s="39" t="s">
        <v>25</v>
      </c>
      <c r="F153" s="9">
        <v>-0.12844827586205998</v>
      </c>
      <c r="G153" s="10">
        <v>-5.7424242424239935E-2</v>
      </c>
      <c r="H153" s="10">
        <v>0.10426666666667028</v>
      </c>
      <c r="I153" s="10">
        <v>4.6282051282050318E-2</v>
      </c>
      <c r="J153" s="10">
        <v>3.0131578947370397E-2</v>
      </c>
      <c r="K153" s="10">
        <v>0.24397435897436992</v>
      </c>
      <c r="L153" s="10">
        <v>-7.1219512195120016E-2</v>
      </c>
      <c r="M153" s="11">
        <v>6.1445783132603182E-3</v>
      </c>
      <c r="N153" s="9">
        <v>-0.12781249999998989</v>
      </c>
      <c r="O153" s="10">
        <v>-5.4799999999989968E-2</v>
      </c>
      <c r="P153" s="10">
        <v>8.9999999999999858E-2</v>
      </c>
      <c r="Q153" s="10">
        <v>4.4130434782609917E-2</v>
      </c>
      <c r="R153" s="10">
        <v>3.1521739130440096E-2</v>
      </c>
      <c r="S153" s="10">
        <v>0.23282608695653018</v>
      </c>
      <c r="T153" s="10">
        <v>-6.8333333333330026E-2</v>
      </c>
      <c r="U153" s="11">
        <v>7.0270270270302859E-3</v>
      </c>
    </row>
    <row r="154" spans="3:21" ht="15" customHeight="1" thickBot="1" x14ac:dyDescent="0.35">
      <c r="C154" s="66"/>
      <c r="D154" s="74"/>
      <c r="E154" s="41" t="s">
        <v>26</v>
      </c>
      <c r="F154" s="12">
        <v>-6.4274005694068785</v>
      </c>
      <c r="G154" s="13">
        <v>-1.6187588092084901</v>
      </c>
      <c r="H154" s="13">
        <v>2.1832598135016688</v>
      </c>
      <c r="I154" s="13">
        <v>0.8628725769055916</v>
      </c>
      <c r="J154" s="13">
        <v>0.76478642754572057</v>
      </c>
      <c r="K154" s="13">
        <v>5.8703766542249136</v>
      </c>
      <c r="L154" s="13">
        <v>-3.8891848694724609</v>
      </c>
      <c r="M154" s="14">
        <v>0.23153402642239426</v>
      </c>
      <c r="N154" s="12">
        <v>-6.397622399498978</v>
      </c>
      <c r="O154" s="13">
        <v>-1.5459264274427362</v>
      </c>
      <c r="P154" s="13">
        <v>1.8789144050104356</v>
      </c>
      <c r="Q154" s="13">
        <v>0.8224283920107186</v>
      </c>
      <c r="R154" s="13">
        <v>0.80035325936978885</v>
      </c>
      <c r="S154" s="13">
        <v>5.5871459126717138</v>
      </c>
      <c r="T154" s="13">
        <v>-3.7374658158612664</v>
      </c>
      <c r="U154" s="14">
        <v>0.26487367563174502</v>
      </c>
    </row>
    <row r="155" spans="3:21" ht="15" customHeight="1" x14ac:dyDescent="0.3">
      <c r="C155" s="65">
        <v>3</v>
      </c>
      <c r="D155" s="71" t="s">
        <v>20</v>
      </c>
      <c r="E155" s="72"/>
      <c r="F155" s="21">
        <v>2.00043010752688</v>
      </c>
      <c r="G155" s="22">
        <v>3.3699999999999899</v>
      </c>
      <c r="H155" s="22">
        <v>4.6583146067415697</v>
      </c>
      <c r="I155" s="22">
        <v>5.0324731182795599</v>
      </c>
      <c r="J155" s="22">
        <v>3.8498888888888798</v>
      </c>
      <c r="K155" s="22">
        <v>4.0342391304347798</v>
      </c>
      <c r="L155" s="22">
        <v>1.8174545454545401</v>
      </c>
      <c r="M155" s="23">
        <v>2.5699999999999901</v>
      </c>
      <c r="N155" s="21">
        <v>2.0027999999999899</v>
      </c>
      <c r="O155" s="22">
        <v>3.3469047619047601</v>
      </c>
      <c r="P155" s="22">
        <v>4.5774999999999997</v>
      </c>
      <c r="Q155" s="22">
        <v>4.9108000000000001</v>
      </c>
      <c r="R155" s="22">
        <v>3.8338775510204002</v>
      </c>
      <c r="S155" s="22">
        <v>4.1089795918367296</v>
      </c>
      <c r="T155" s="22">
        <v>1.81555555555555</v>
      </c>
      <c r="U155" s="23">
        <v>2.5797959183673398</v>
      </c>
    </row>
    <row r="156" spans="3:21" x14ac:dyDescent="0.3">
      <c r="C156" s="66"/>
      <c r="D156" s="68" t="s">
        <v>21</v>
      </c>
      <c r="E156" s="69"/>
      <c r="F156" s="24">
        <v>2.3321685810007198E-2</v>
      </c>
      <c r="G156" s="25">
        <v>0.58500527248151202</v>
      </c>
      <c r="H156" s="25">
        <v>0.59181350682904699</v>
      </c>
      <c r="I156" s="25">
        <v>0.99195544462243002</v>
      </c>
      <c r="J156" s="25">
        <v>0.48099779265939402</v>
      </c>
      <c r="K156" s="25">
        <v>0.56962274643084398</v>
      </c>
      <c r="L156" s="25">
        <v>2.5528464100662999E-2</v>
      </c>
      <c r="M156" s="26">
        <v>0.340233295919393</v>
      </c>
      <c r="N156" s="24">
        <v>2.3327237298917301E-2</v>
      </c>
      <c r="O156" s="25">
        <v>0.62902603510066801</v>
      </c>
      <c r="P156" s="25">
        <v>0.77191995483124098</v>
      </c>
      <c r="Q156" s="25">
        <v>1.23684249603577</v>
      </c>
      <c r="R156" s="25">
        <v>0.49689573630828099</v>
      </c>
      <c r="S156" s="25">
        <v>0.31865946828293601</v>
      </c>
      <c r="T156" s="25">
        <v>2.6573912762447499E-2</v>
      </c>
      <c r="U156" s="26">
        <v>0.25713880787223098</v>
      </c>
    </row>
    <row r="157" spans="3:21" x14ac:dyDescent="0.3">
      <c r="C157" s="66"/>
      <c r="D157" s="68" t="s">
        <v>22</v>
      </c>
      <c r="E157" s="69"/>
      <c r="F157" s="33">
        <v>1.99999999999999</v>
      </c>
      <c r="G157" s="34">
        <v>3.5389999999999899</v>
      </c>
      <c r="H157" s="34">
        <v>4.7879761904761899</v>
      </c>
      <c r="I157" s="34">
        <v>5.3104705882352903</v>
      </c>
      <c r="J157" s="34">
        <v>3.9424418604651099</v>
      </c>
      <c r="K157" s="34">
        <v>4.1844705882352899</v>
      </c>
      <c r="L157" s="34">
        <v>1.8178378378378299</v>
      </c>
      <c r="M157" s="35">
        <v>2.6511627906976698</v>
      </c>
      <c r="N157" s="33">
        <v>2.0013888888888798</v>
      </c>
      <c r="O157" s="34">
        <v>3.53763157894736</v>
      </c>
      <c r="P157" s="34">
        <v>4.78909090909091</v>
      </c>
      <c r="Q157" s="34">
        <v>5.3084444444444401</v>
      </c>
      <c r="R157" s="34">
        <v>3.9430434782608699</v>
      </c>
      <c r="S157" s="34">
        <v>4.1858695652173896</v>
      </c>
      <c r="T157" s="34">
        <v>1.8147368421052601</v>
      </c>
      <c r="U157" s="35">
        <v>2.6524444444444399</v>
      </c>
    </row>
    <row r="158" spans="3:21" x14ac:dyDescent="0.3">
      <c r="C158" s="66"/>
      <c r="D158" s="73" t="s">
        <v>23</v>
      </c>
      <c r="E158" s="38" t="s">
        <v>24</v>
      </c>
      <c r="F158" s="27">
        <v>1.95</v>
      </c>
      <c r="G158" s="28">
        <v>3.4</v>
      </c>
      <c r="H158" s="28">
        <v>4.83</v>
      </c>
      <c r="I158" s="28">
        <v>5.42</v>
      </c>
      <c r="J158" s="28">
        <v>3.92</v>
      </c>
      <c r="K158" s="28">
        <v>4.3499999999999996</v>
      </c>
      <c r="L158" s="28">
        <v>1.86</v>
      </c>
      <c r="M158" s="29">
        <v>2.73</v>
      </c>
      <c r="N158" s="27">
        <v>1.95</v>
      </c>
      <c r="O158" s="28">
        <v>3.4</v>
      </c>
      <c r="P158" s="28">
        <v>4.83</v>
      </c>
      <c r="Q158" s="28">
        <v>5.42</v>
      </c>
      <c r="R158" s="28">
        <v>3.92</v>
      </c>
      <c r="S158" s="28">
        <v>4.3499999999999996</v>
      </c>
      <c r="T158" s="28">
        <v>1.86</v>
      </c>
      <c r="U158" s="29">
        <v>2.73</v>
      </c>
    </row>
    <row r="159" spans="3:21" x14ac:dyDescent="0.3">
      <c r="C159" s="66"/>
      <c r="D159" s="70"/>
      <c r="E159" s="39" t="s">
        <v>25</v>
      </c>
      <c r="F159" s="9">
        <v>-4.9999999999990052E-2</v>
      </c>
      <c r="G159" s="10">
        <v>-0.13899999999999002</v>
      </c>
      <c r="H159" s="10">
        <v>4.2023809523810129E-2</v>
      </c>
      <c r="I159" s="10">
        <v>0.10952941176470965</v>
      </c>
      <c r="J159" s="10">
        <v>-2.2441860465109986E-2</v>
      </c>
      <c r="K159" s="10">
        <v>0.1655294117647097</v>
      </c>
      <c r="L159" s="10">
        <v>4.2162162162170169E-2</v>
      </c>
      <c r="M159" s="11">
        <v>7.883720930233018E-2</v>
      </c>
      <c r="N159" s="9">
        <v>-5.1388888888879825E-2</v>
      </c>
      <c r="O159" s="10">
        <v>-0.13763157894736011</v>
      </c>
      <c r="P159" s="10">
        <v>4.0909090909090118E-2</v>
      </c>
      <c r="Q159" s="10">
        <v>0.11155555555555985</v>
      </c>
      <c r="R159" s="10">
        <v>-2.3043478260869943E-2</v>
      </c>
      <c r="S159" s="10">
        <v>0.16413043478261002</v>
      </c>
      <c r="T159" s="10">
        <v>4.5263157894740003E-2</v>
      </c>
      <c r="U159" s="11">
        <v>7.7555555555560041E-2</v>
      </c>
    </row>
    <row r="160" spans="3:21" x14ac:dyDescent="0.3">
      <c r="C160" s="66"/>
      <c r="D160" s="70"/>
      <c r="E160" s="39" t="s">
        <v>26</v>
      </c>
      <c r="F160" s="9">
        <v>-2.4999999999995151</v>
      </c>
      <c r="G160" s="10">
        <v>-3.9276631816894718</v>
      </c>
      <c r="H160" s="10">
        <v>0.87769462194486469</v>
      </c>
      <c r="I160" s="10">
        <v>2.062517999955765</v>
      </c>
      <c r="J160" s="10">
        <v>-0.5692375755786645</v>
      </c>
      <c r="K160" s="10">
        <v>3.9558029689609588</v>
      </c>
      <c r="L160" s="10">
        <v>2.3193577163251606</v>
      </c>
      <c r="M160" s="11">
        <v>2.9736842105264945</v>
      </c>
      <c r="N160" s="9">
        <v>-2.5676613462868589</v>
      </c>
      <c r="O160" s="10">
        <v>-3.8905006322991125</v>
      </c>
      <c r="P160" s="10">
        <v>0.85421412300681709</v>
      </c>
      <c r="Q160" s="10">
        <v>2.1014735432016902</v>
      </c>
      <c r="R160" s="10">
        <v>-0.58440842430257878</v>
      </c>
      <c r="S160" s="10">
        <v>3.9210594650740402</v>
      </c>
      <c r="T160" s="10">
        <v>2.4941995359630553</v>
      </c>
      <c r="U160" s="11">
        <v>2.9239276139411929</v>
      </c>
    </row>
    <row r="161" spans="3:21" x14ac:dyDescent="0.3">
      <c r="C161" s="66"/>
      <c r="D161" s="70" t="s">
        <v>27</v>
      </c>
      <c r="E161" s="40" t="s">
        <v>24</v>
      </c>
      <c r="F161" s="27">
        <v>1.94</v>
      </c>
      <c r="G161" s="28">
        <v>3.45</v>
      </c>
      <c r="H161" s="28">
        <v>4.8499999999999996</v>
      </c>
      <c r="I161" s="28">
        <v>5.37</v>
      </c>
      <c r="J161" s="28">
        <v>3.93</v>
      </c>
      <c r="K161" s="28">
        <v>4.3499999999999996</v>
      </c>
      <c r="L161" s="28">
        <v>1.76</v>
      </c>
      <c r="M161" s="29">
        <v>2.64</v>
      </c>
      <c r="N161" s="27">
        <v>1.94</v>
      </c>
      <c r="O161" s="28">
        <v>3.45</v>
      </c>
      <c r="P161" s="28">
        <v>4.8499999999999996</v>
      </c>
      <c r="Q161" s="28">
        <v>5.37</v>
      </c>
      <c r="R161" s="28">
        <v>3.93</v>
      </c>
      <c r="S161" s="28">
        <v>4.3499999999999996</v>
      </c>
      <c r="T161" s="28">
        <v>1.76</v>
      </c>
      <c r="U161" s="29">
        <v>2.64</v>
      </c>
    </row>
    <row r="162" spans="3:21" x14ac:dyDescent="0.3">
      <c r="C162" s="66"/>
      <c r="D162" s="70"/>
      <c r="E162" s="39" t="s">
        <v>25</v>
      </c>
      <c r="F162" s="9">
        <v>-5.9999999999990061E-2</v>
      </c>
      <c r="G162" s="10">
        <v>-8.8999999999989754E-2</v>
      </c>
      <c r="H162" s="10">
        <v>6.2023809523809703E-2</v>
      </c>
      <c r="I162" s="10">
        <v>5.9529411764709828E-2</v>
      </c>
      <c r="J162" s="10">
        <v>-1.2441860465109755E-2</v>
      </c>
      <c r="K162" s="10">
        <v>0.1655294117647097</v>
      </c>
      <c r="L162" s="10">
        <v>-5.783783783782992E-2</v>
      </c>
      <c r="M162" s="11">
        <v>-1.1162790697669678E-2</v>
      </c>
      <c r="N162" s="9">
        <v>-6.1388888888879833E-2</v>
      </c>
      <c r="O162" s="10">
        <v>-8.7631578947359845E-2</v>
      </c>
      <c r="P162" s="10">
        <v>6.0909090909089691E-2</v>
      </c>
      <c r="Q162" s="10">
        <v>6.1555555555560026E-2</v>
      </c>
      <c r="R162" s="10">
        <v>-1.3043478260869712E-2</v>
      </c>
      <c r="S162" s="10">
        <v>0.16413043478261002</v>
      </c>
      <c r="T162" s="10">
        <v>-5.4736842105260086E-2</v>
      </c>
      <c r="U162" s="11">
        <v>-1.2444444444439817E-2</v>
      </c>
    </row>
    <row r="163" spans="3:21" x14ac:dyDescent="0.3">
      <c r="C163" s="66"/>
      <c r="D163" s="70"/>
      <c r="E163" s="39" t="s">
        <v>26</v>
      </c>
      <c r="F163" s="9">
        <v>-2.9999999999995182</v>
      </c>
      <c r="G163" s="10">
        <v>-2.5148346990672508</v>
      </c>
      <c r="H163" s="10">
        <v>1.2954076431537371</v>
      </c>
      <c r="I163" s="10">
        <v>1.1209818560447371</v>
      </c>
      <c r="J163" s="10">
        <v>-0.31558767143472666</v>
      </c>
      <c r="K163" s="10">
        <v>3.9558029689609588</v>
      </c>
      <c r="L163" s="10">
        <v>-3.1816830211116809</v>
      </c>
      <c r="M163" s="11">
        <v>-0.42105263157876927</v>
      </c>
      <c r="N163" s="9">
        <v>-3.0673143650238504</v>
      </c>
      <c r="O163" s="10">
        <v>-2.4771256415976208</v>
      </c>
      <c r="P163" s="10">
        <v>1.2718299164768156</v>
      </c>
      <c r="Q163" s="10">
        <v>1.1595780308105339</v>
      </c>
      <c r="R163" s="10">
        <v>-0.33079722130334471</v>
      </c>
      <c r="S163" s="10">
        <v>3.9210594650740402</v>
      </c>
      <c r="T163" s="10">
        <v>-3.0162412993037799</v>
      </c>
      <c r="U163" s="11">
        <v>-0.46916890080411588</v>
      </c>
    </row>
    <row r="164" spans="3:21" x14ac:dyDescent="0.3">
      <c r="C164" s="66"/>
      <c r="D164" s="70" t="s">
        <v>28</v>
      </c>
      <c r="E164" s="40" t="s">
        <v>24</v>
      </c>
      <c r="F164" s="27">
        <v>1.87</v>
      </c>
      <c r="G164" s="28">
        <v>3.49</v>
      </c>
      <c r="H164" s="28">
        <v>4.88</v>
      </c>
      <c r="I164" s="28">
        <v>5.41</v>
      </c>
      <c r="J164" s="28">
        <v>3.97</v>
      </c>
      <c r="K164" s="28">
        <v>4.4000000000000004</v>
      </c>
      <c r="L164" s="28">
        <v>1.76</v>
      </c>
      <c r="M164" s="29">
        <v>2.66</v>
      </c>
      <c r="N164" s="27">
        <v>1.87</v>
      </c>
      <c r="O164" s="28">
        <v>3.49</v>
      </c>
      <c r="P164" s="28">
        <v>4.88</v>
      </c>
      <c r="Q164" s="28">
        <v>5.41</v>
      </c>
      <c r="R164" s="28">
        <v>3.97</v>
      </c>
      <c r="S164" s="28">
        <v>4.4000000000000004</v>
      </c>
      <c r="T164" s="28">
        <v>1.76</v>
      </c>
      <c r="U164" s="29">
        <v>2.66</v>
      </c>
    </row>
    <row r="165" spans="3:21" x14ac:dyDescent="0.3">
      <c r="C165" s="66"/>
      <c r="D165" s="70"/>
      <c r="E165" s="39" t="s">
        <v>25</v>
      </c>
      <c r="F165" s="9">
        <v>-0.1299999999999899</v>
      </c>
      <c r="G165" s="10">
        <v>-4.8999999999989718E-2</v>
      </c>
      <c r="H165" s="10">
        <v>9.2023809523809952E-2</v>
      </c>
      <c r="I165" s="10">
        <v>9.9529411764709863E-2</v>
      </c>
      <c r="J165" s="10">
        <v>2.755813953489028E-2</v>
      </c>
      <c r="K165" s="10">
        <v>0.21552941176471041</v>
      </c>
      <c r="L165" s="10">
        <v>-5.783783783782992E-2</v>
      </c>
      <c r="M165" s="11">
        <v>8.83720930233034E-3</v>
      </c>
      <c r="N165" s="9">
        <v>-0.13138888888887967</v>
      </c>
      <c r="O165" s="10">
        <v>-4.7631578947359809E-2</v>
      </c>
      <c r="P165" s="10">
        <v>9.090909090908994E-2</v>
      </c>
      <c r="Q165" s="10">
        <v>0.10155555555556006</v>
      </c>
      <c r="R165" s="10">
        <v>2.6956521739130324E-2</v>
      </c>
      <c r="S165" s="10">
        <v>0.21413043478261073</v>
      </c>
      <c r="T165" s="10">
        <v>-5.4736842105260086E-2</v>
      </c>
      <c r="U165" s="11">
        <v>7.5555555555602005E-3</v>
      </c>
    </row>
    <row r="166" spans="3:21" ht="15" thickBot="1" x14ac:dyDescent="0.35">
      <c r="C166" s="67"/>
      <c r="D166" s="74"/>
      <c r="E166" s="41" t="s">
        <v>26</v>
      </c>
      <c r="F166" s="12">
        <v>-6.4999999999995266</v>
      </c>
      <c r="G166" s="13">
        <v>-1.3845719129694789</v>
      </c>
      <c r="H166" s="13">
        <v>1.9219771749670644</v>
      </c>
      <c r="I166" s="13">
        <v>1.8742107711735627</v>
      </c>
      <c r="J166" s="13">
        <v>0.69901194514100218</v>
      </c>
      <c r="K166" s="13">
        <v>5.1506972559605266</v>
      </c>
      <c r="L166" s="13">
        <v>-3.1816830211116809</v>
      </c>
      <c r="M166" s="14">
        <v>0.33333333333351339</v>
      </c>
      <c r="N166" s="12">
        <v>-6.5648854961827752</v>
      </c>
      <c r="O166" s="13">
        <v>-1.3464256490364332</v>
      </c>
      <c r="P166" s="13">
        <v>1.8982536066818323</v>
      </c>
      <c r="Q166" s="13">
        <v>1.9130944407234622</v>
      </c>
      <c r="R166" s="13">
        <v>0.68364759069356862</v>
      </c>
      <c r="S166" s="13">
        <v>5.1155544014542187</v>
      </c>
      <c r="T166" s="13">
        <v>-3.0162412993037799</v>
      </c>
      <c r="U166" s="14">
        <v>0.28485254691706569</v>
      </c>
    </row>
    <row r="167" spans="3:21" ht="15" thickBot="1" x14ac:dyDescent="0.35"/>
    <row r="168" spans="3:21" ht="15" thickBot="1" x14ac:dyDescent="0.35">
      <c r="C168" s="77" t="s">
        <v>46</v>
      </c>
      <c r="D168" s="77"/>
      <c r="E168" s="78"/>
      <c r="F168" s="79" t="s">
        <v>1</v>
      </c>
      <c r="G168" s="80"/>
      <c r="H168" s="80"/>
      <c r="I168" s="80"/>
      <c r="J168" s="80"/>
      <c r="K168" s="80"/>
      <c r="L168" s="80"/>
      <c r="M168" s="81"/>
      <c r="N168" s="75" t="s">
        <v>2</v>
      </c>
      <c r="O168" s="75"/>
      <c r="P168" s="75"/>
      <c r="Q168" s="75"/>
      <c r="R168" s="75"/>
      <c r="S168" s="75"/>
      <c r="T168" s="75"/>
      <c r="U168" s="76"/>
    </row>
    <row r="169" spans="3:21" ht="29.4" thickBot="1" x14ac:dyDescent="0.35">
      <c r="C169" s="5" t="s">
        <v>10</v>
      </c>
      <c r="D169" s="4" t="s">
        <v>11</v>
      </c>
      <c r="E169" s="3"/>
      <c r="F169" s="6" t="s">
        <v>12</v>
      </c>
      <c r="G169" s="7" t="s">
        <v>13</v>
      </c>
      <c r="H169" s="7" t="s">
        <v>14</v>
      </c>
      <c r="I169" s="7" t="s">
        <v>15</v>
      </c>
      <c r="J169" s="7" t="s">
        <v>16</v>
      </c>
      <c r="K169" s="7" t="s">
        <v>17</v>
      </c>
      <c r="L169" s="7" t="s">
        <v>18</v>
      </c>
      <c r="M169" s="8" t="s">
        <v>19</v>
      </c>
      <c r="N169" s="6" t="s">
        <v>12</v>
      </c>
      <c r="O169" s="7" t="s">
        <v>13</v>
      </c>
      <c r="P169" s="7" t="s">
        <v>14</v>
      </c>
      <c r="Q169" s="7" t="s">
        <v>15</v>
      </c>
      <c r="R169" s="7" t="s">
        <v>16</v>
      </c>
      <c r="S169" s="7" t="s">
        <v>17</v>
      </c>
      <c r="T169" s="7" t="s">
        <v>18</v>
      </c>
      <c r="U169" s="8" t="s">
        <v>19</v>
      </c>
    </row>
    <row r="170" spans="3:21" x14ac:dyDescent="0.3">
      <c r="C170" s="65">
        <v>1</v>
      </c>
      <c r="D170" s="71" t="s">
        <v>20</v>
      </c>
      <c r="E170" s="72"/>
      <c r="F170" s="21">
        <v>3.05323886639676</v>
      </c>
      <c r="G170" s="22">
        <v>3.3097154471544599</v>
      </c>
      <c r="H170" s="22">
        <v>3.1477732793522302</v>
      </c>
      <c r="I170" s="22">
        <v>3.6544897959183502</v>
      </c>
      <c r="J170" s="22">
        <v>3.2004741379310202</v>
      </c>
      <c r="K170" s="22">
        <v>2.8421370967741901</v>
      </c>
      <c r="L170" s="22">
        <v>1.80967741935483</v>
      </c>
      <c r="M170" s="23">
        <v>1.5633061224489699</v>
      </c>
      <c r="N170" s="21">
        <v>3.01275</v>
      </c>
      <c r="O170" s="22">
        <v>3.2945000000000002</v>
      </c>
      <c r="P170" s="22">
        <v>3.2524999999999902</v>
      </c>
      <c r="Q170" s="22">
        <v>3.57564102564102</v>
      </c>
      <c r="R170" s="22">
        <v>3.1753846153846101</v>
      </c>
      <c r="S170" s="22">
        <v>2.9649999999999999</v>
      </c>
      <c r="T170" s="22">
        <v>1.77799999999999</v>
      </c>
      <c r="U170" s="23">
        <v>1.575</v>
      </c>
    </row>
    <row r="171" spans="3:21" ht="15" customHeight="1" x14ac:dyDescent="0.3">
      <c r="C171" s="66"/>
      <c r="D171" s="68" t="s">
        <v>21</v>
      </c>
      <c r="E171" s="69"/>
      <c r="F171" s="24">
        <v>0.342617980547819</v>
      </c>
      <c r="G171" s="25">
        <v>0.44752108585150502</v>
      </c>
      <c r="H171" s="25">
        <v>0.65468252745559097</v>
      </c>
      <c r="I171" s="25">
        <v>0.78180184666378005</v>
      </c>
      <c r="J171" s="25">
        <v>0.39506245602276502</v>
      </c>
      <c r="K171" s="25">
        <v>0.47705906570593098</v>
      </c>
      <c r="L171" s="25">
        <v>0.12841110571426201</v>
      </c>
      <c r="M171" s="26">
        <v>0.22181093291926701</v>
      </c>
      <c r="N171" s="24">
        <v>0.44861446421175399</v>
      </c>
      <c r="O171" s="25">
        <v>0.48734459061325303</v>
      </c>
      <c r="P171" s="25">
        <v>0.35225523416977</v>
      </c>
      <c r="Q171" s="25">
        <v>0.97939488087076998</v>
      </c>
      <c r="R171" s="25">
        <v>0.461446144613538</v>
      </c>
      <c r="S171" s="25">
        <v>3.61939221417076E-2</v>
      </c>
      <c r="T171" s="25">
        <v>0.23478926721637</v>
      </c>
      <c r="U171" s="26">
        <v>0.185040536099526</v>
      </c>
    </row>
    <row r="172" spans="3:21" ht="15" customHeight="1" x14ac:dyDescent="0.3">
      <c r="C172" s="66"/>
      <c r="D172" s="68" t="s">
        <v>22</v>
      </c>
      <c r="E172" s="69"/>
      <c r="F172" s="33">
        <v>3.1115481171548098</v>
      </c>
      <c r="G172" s="34">
        <v>3.38653846153845</v>
      </c>
      <c r="H172" s="34">
        <v>3.3355506607929502</v>
      </c>
      <c r="I172" s="34">
        <v>3.88774774774773</v>
      </c>
      <c r="J172" s="34">
        <v>3.26385650224214</v>
      </c>
      <c r="K172" s="34">
        <v>2.95818181818181</v>
      </c>
      <c r="L172" s="34">
        <v>1.82326530612244</v>
      </c>
      <c r="M172" s="35">
        <v>1.6052118644067701</v>
      </c>
      <c r="N172" s="33">
        <v>3.1155263157894701</v>
      </c>
      <c r="O172" s="34">
        <v>3.3892105263157801</v>
      </c>
      <c r="P172" s="34">
        <v>3.3318421052631502</v>
      </c>
      <c r="Q172" s="34">
        <v>3.9011428571428501</v>
      </c>
      <c r="R172" s="34">
        <v>3.24921052631578</v>
      </c>
      <c r="S172" s="34">
        <v>2.9648275862068898</v>
      </c>
      <c r="T172" s="34">
        <v>1.8148717948717901</v>
      </c>
      <c r="U172" s="35">
        <v>1.6043589743589699</v>
      </c>
    </row>
    <row r="173" spans="3:21" x14ac:dyDescent="0.3">
      <c r="C173" s="66"/>
      <c r="D173" s="73" t="s">
        <v>23</v>
      </c>
      <c r="E173" s="38" t="s">
        <v>24</v>
      </c>
      <c r="F173" s="27">
        <v>3.22</v>
      </c>
      <c r="G173" s="28">
        <v>3.62</v>
      </c>
      <c r="H173" s="28">
        <v>3.44</v>
      </c>
      <c r="I173" s="28">
        <v>4.1399999999999997</v>
      </c>
      <c r="J173" s="28">
        <v>3.37</v>
      </c>
      <c r="K173" s="28">
        <v>3.24</v>
      </c>
      <c r="L173" s="28">
        <v>1.95</v>
      </c>
      <c r="M173" s="29">
        <v>1.66</v>
      </c>
      <c r="N173" s="27">
        <v>3.22</v>
      </c>
      <c r="O173" s="28">
        <v>3.62</v>
      </c>
      <c r="P173" s="28">
        <v>3.44</v>
      </c>
      <c r="Q173" s="28">
        <v>4.1399999999999997</v>
      </c>
      <c r="R173" s="28">
        <v>3.37</v>
      </c>
      <c r="S173" s="28">
        <v>3.24</v>
      </c>
      <c r="T173" s="28">
        <v>1.95</v>
      </c>
      <c r="U173" s="29">
        <v>1.66</v>
      </c>
    </row>
    <row r="174" spans="3:21" x14ac:dyDescent="0.3">
      <c r="C174" s="66"/>
      <c r="D174" s="70"/>
      <c r="E174" s="39" t="s">
        <v>25</v>
      </c>
      <c r="F174" s="9">
        <v>0.10845188284519036</v>
      </c>
      <c r="G174" s="10">
        <v>0.23346153846155016</v>
      </c>
      <c r="H174" s="10">
        <v>0.1044493392070498</v>
      </c>
      <c r="I174" s="10">
        <v>0.25225225225226966</v>
      </c>
      <c r="J174" s="10">
        <v>0.10614349775786014</v>
      </c>
      <c r="K174" s="10">
        <v>0.28181818181819018</v>
      </c>
      <c r="L174" s="10">
        <v>0.12673469387755998</v>
      </c>
      <c r="M174" s="11">
        <v>5.4788135593229814E-2</v>
      </c>
      <c r="N174" s="9">
        <v>0.10447368421053005</v>
      </c>
      <c r="O174" s="10">
        <v>0.23078947368421998</v>
      </c>
      <c r="P174" s="10">
        <v>0.10815789473684978</v>
      </c>
      <c r="Q174" s="10">
        <v>0.23885714285714954</v>
      </c>
      <c r="R174" s="10">
        <v>0.12078947368422011</v>
      </c>
      <c r="S174" s="10">
        <v>0.27517241379311042</v>
      </c>
      <c r="T174" s="10">
        <v>0.13512820512820989</v>
      </c>
      <c r="U174" s="11">
        <v>5.5641025641030017E-2</v>
      </c>
    </row>
    <row r="175" spans="3:21" x14ac:dyDescent="0.3">
      <c r="C175" s="66"/>
      <c r="D175" s="70"/>
      <c r="E175" s="39" t="s">
        <v>26</v>
      </c>
      <c r="F175" s="9">
        <v>3.4854637872146563</v>
      </c>
      <c r="G175" s="10">
        <v>6.8938103350372799</v>
      </c>
      <c r="H175" s="10">
        <v>3.1313971763276829</v>
      </c>
      <c r="I175" s="10">
        <v>6.4883904157209207</v>
      </c>
      <c r="J175" s="10">
        <v>3.2520883710709638</v>
      </c>
      <c r="K175" s="10">
        <v>9.5267363245239718</v>
      </c>
      <c r="L175" s="10">
        <v>6.9509738079253074</v>
      </c>
      <c r="M175" s="11">
        <v>3.4131404587815939</v>
      </c>
      <c r="N175" s="9">
        <v>3.3533237604528643</v>
      </c>
      <c r="O175" s="10">
        <v>6.8095349017783855</v>
      </c>
      <c r="P175" s="10">
        <v>3.2461890845907124</v>
      </c>
      <c r="Q175" s="10">
        <v>6.122747912699757</v>
      </c>
      <c r="R175" s="10">
        <v>3.7175022272619889</v>
      </c>
      <c r="S175" s="10">
        <v>9.2812281926031872</v>
      </c>
      <c r="T175" s="10">
        <v>7.4456061034193262</v>
      </c>
      <c r="U175" s="11">
        <v>3.4681157104046298</v>
      </c>
    </row>
    <row r="176" spans="3:21" x14ac:dyDescent="0.3">
      <c r="C176" s="66"/>
      <c r="D176" s="70" t="s">
        <v>27</v>
      </c>
      <c r="E176" s="40" t="s">
        <v>24</v>
      </c>
      <c r="F176" s="27">
        <v>3.12</v>
      </c>
      <c r="G176" s="28">
        <v>3.51</v>
      </c>
      <c r="H176" s="28">
        <v>3.3</v>
      </c>
      <c r="I176" s="28">
        <v>3.94</v>
      </c>
      <c r="J176" s="28">
        <v>3.23</v>
      </c>
      <c r="K176" s="28">
        <v>3.11</v>
      </c>
      <c r="L176" s="28">
        <v>1.86</v>
      </c>
      <c r="M176" s="29">
        <v>1.53</v>
      </c>
      <c r="N176" s="27">
        <v>3.12</v>
      </c>
      <c r="O176" s="28">
        <v>3.51</v>
      </c>
      <c r="P176" s="28">
        <v>3.3</v>
      </c>
      <c r="Q176" s="28">
        <v>3.94</v>
      </c>
      <c r="R176" s="28">
        <v>3.23</v>
      </c>
      <c r="S176" s="28">
        <v>3.11</v>
      </c>
      <c r="T176" s="28">
        <v>1.86</v>
      </c>
      <c r="U176" s="29">
        <v>1.53</v>
      </c>
    </row>
    <row r="177" spans="3:21" x14ac:dyDescent="0.3">
      <c r="C177" s="66"/>
      <c r="D177" s="70"/>
      <c r="E177" s="39" t="s">
        <v>25</v>
      </c>
      <c r="F177" s="9">
        <v>8.4518828451902728E-3</v>
      </c>
      <c r="G177" s="10">
        <v>0.12346153846154984</v>
      </c>
      <c r="H177" s="10">
        <v>-3.5550660792950328E-2</v>
      </c>
      <c r="I177" s="10">
        <v>5.2252252252269926E-2</v>
      </c>
      <c r="J177" s="10">
        <v>-3.3856502242139985E-2</v>
      </c>
      <c r="K177" s="10">
        <v>0.15181818181818985</v>
      </c>
      <c r="L177" s="10">
        <v>3.6734693877560121E-2</v>
      </c>
      <c r="M177" s="11">
        <v>-7.5211864406770079E-2</v>
      </c>
      <c r="N177" s="9">
        <v>4.4736842105299601E-3</v>
      </c>
      <c r="O177" s="10">
        <v>0.12078947368421966</v>
      </c>
      <c r="P177" s="10">
        <v>-3.1842105263150344E-2</v>
      </c>
      <c r="Q177" s="10">
        <v>3.8857142857149807E-2</v>
      </c>
      <c r="R177" s="10">
        <v>-1.9210526315780019E-2</v>
      </c>
      <c r="S177" s="10">
        <v>0.14517241379311008</v>
      </c>
      <c r="T177" s="10">
        <v>4.512820512821003E-2</v>
      </c>
      <c r="U177" s="11">
        <v>-7.4358974358969876E-2</v>
      </c>
    </row>
    <row r="178" spans="3:21" x14ac:dyDescent="0.3">
      <c r="C178" s="66"/>
      <c r="D178" s="70"/>
      <c r="E178" s="39" t="s">
        <v>26</v>
      </c>
      <c r="F178" s="9">
        <v>0.27162950810860831</v>
      </c>
      <c r="G178" s="10">
        <v>3.6456558773427674</v>
      </c>
      <c r="H178" s="10">
        <v>-1.0658108482903084</v>
      </c>
      <c r="I178" s="10">
        <v>1.3440237289711241</v>
      </c>
      <c r="J178" s="10">
        <v>-1.0373158936026112</v>
      </c>
      <c r="K178" s="10">
        <v>5.1321450522436782</v>
      </c>
      <c r="L178" s="10">
        <v>2.0147750167903009</v>
      </c>
      <c r="M178" s="11">
        <v>-4.6854789747374399</v>
      </c>
      <c r="N178" s="9">
        <v>0.14359320888600277</v>
      </c>
      <c r="O178" s="10">
        <v>3.5639412997906357</v>
      </c>
      <c r="P178" s="10">
        <v>-0.95569070373565745</v>
      </c>
      <c r="Q178" s="10">
        <v>0.99604511498479986</v>
      </c>
      <c r="R178" s="10">
        <v>-0.59123673766878015</v>
      </c>
      <c r="S178" s="10">
        <v>4.8964875552456402</v>
      </c>
      <c r="T178" s="10">
        <v>2.4865781294153657</v>
      </c>
      <c r="U178" s="11">
        <v>-4.6348090139041602</v>
      </c>
    </row>
    <row r="179" spans="3:21" x14ac:dyDescent="0.3">
      <c r="C179" s="66"/>
      <c r="D179" s="70" t="s">
        <v>28</v>
      </c>
      <c r="E179" s="40" t="s">
        <v>24</v>
      </c>
      <c r="F179" s="27">
        <v>3.05</v>
      </c>
      <c r="G179" s="28">
        <v>3.61</v>
      </c>
      <c r="H179" s="28">
        <v>3.36</v>
      </c>
      <c r="I179" s="28">
        <v>4.0199999999999996</v>
      </c>
      <c r="J179" s="28">
        <v>3.32</v>
      </c>
      <c r="K179" s="28">
        <v>3.17</v>
      </c>
      <c r="L179" s="28">
        <v>1.87</v>
      </c>
      <c r="M179" s="29">
        <v>1.57</v>
      </c>
      <c r="N179" s="27">
        <v>3.05</v>
      </c>
      <c r="O179" s="28">
        <v>3.61</v>
      </c>
      <c r="P179" s="28">
        <v>3.36</v>
      </c>
      <c r="Q179" s="28">
        <v>4.0199999999999996</v>
      </c>
      <c r="R179" s="28">
        <v>3.32</v>
      </c>
      <c r="S179" s="28">
        <v>3.17</v>
      </c>
      <c r="T179" s="28">
        <v>1.87</v>
      </c>
      <c r="U179" s="29">
        <v>1.57</v>
      </c>
    </row>
    <row r="180" spans="3:21" x14ac:dyDescent="0.3">
      <c r="C180" s="66"/>
      <c r="D180" s="70"/>
      <c r="E180" s="39" t="s">
        <v>25</v>
      </c>
      <c r="F180" s="9">
        <v>-6.1548117154810011E-2</v>
      </c>
      <c r="G180" s="10">
        <v>0.22346153846154992</v>
      </c>
      <c r="H180" s="10">
        <v>2.4449339207049725E-2</v>
      </c>
      <c r="I180" s="10">
        <v>0.13225225225226955</v>
      </c>
      <c r="J180" s="10">
        <v>5.6143497757859873E-2</v>
      </c>
      <c r="K180" s="10">
        <v>0.2118181818181899</v>
      </c>
      <c r="L180" s="10">
        <v>4.6734693877560129E-2</v>
      </c>
      <c r="M180" s="11">
        <v>-3.5211864406770044E-2</v>
      </c>
      <c r="N180" s="9">
        <v>-6.5526315789470324E-2</v>
      </c>
      <c r="O180" s="10">
        <v>0.22078947368421975</v>
      </c>
      <c r="P180" s="10">
        <v>2.8157894736849709E-2</v>
      </c>
      <c r="Q180" s="10">
        <v>0.11885714285714943</v>
      </c>
      <c r="R180" s="10">
        <v>7.0789473684219839E-2</v>
      </c>
      <c r="S180" s="10">
        <v>0.20517241379311013</v>
      </c>
      <c r="T180" s="10">
        <v>5.5128205128210039E-2</v>
      </c>
      <c r="U180" s="11">
        <v>-3.435897435896984E-2</v>
      </c>
    </row>
    <row r="181" spans="3:21" ht="15" thickBot="1" x14ac:dyDescent="0.35">
      <c r="C181" s="66"/>
      <c r="D181" s="74"/>
      <c r="E181" s="41" t="s">
        <v>26</v>
      </c>
      <c r="F181" s="12">
        <v>-1.9780544872656323</v>
      </c>
      <c r="G181" s="13">
        <v>6.5985235661559543</v>
      </c>
      <c r="H181" s="13">
        <v>0.73299259083168777</v>
      </c>
      <c r="I181" s="13">
        <v>3.4017704036710361</v>
      </c>
      <c r="J181" s="13">
        <v>1.7201582765446799</v>
      </c>
      <c r="K181" s="13">
        <v>7.1604179471422729</v>
      </c>
      <c r="L181" s="13">
        <v>2.5632415491386364</v>
      </c>
      <c r="M181" s="14">
        <v>-2.1935960721161947</v>
      </c>
      <c r="N181" s="12">
        <v>-2.1032181772108074</v>
      </c>
      <c r="O181" s="13">
        <v>6.514480937961312</v>
      </c>
      <c r="P181" s="13">
        <v>0.84511491983278675</v>
      </c>
      <c r="Q181" s="13">
        <v>3.0467262340707757</v>
      </c>
      <c r="R181" s="13">
        <v>2.1786668826438498</v>
      </c>
      <c r="S181" s="13">
        <v>6.9202140032568122</v>
      </c>
      <c r="T181" s="13">
        <v>3.0375812376380296</v>
      </c>
      <c r="U181" s="14">
        <v>-2.1416014064245288</v>
      </c>
    </row>
    <row r="182" spans="3:21" x14ac:dyDescent="0.3">
      <c r="C182" s="65">
        <v>2</v>
      </c>
      <c r="D182" s="71" t="s">
        <v>20</v>
      </c>
      <c r="E182" s="72"/>
      <c r="F182" s="21">
        <v>3.0640416666666601</v>
      </c>
      <c r="G182" s="22">
        <v>3.3429875518672101</v>
      </c>
      <c r="H182" s="22">
        <v>3.1957676348547701</v>
      </c>
      <c r="I182" s="22">
        <v>3.6775732217573101</v>
      </c>
      <c r="J182" s="22">
        <v>3.23663716814159</v>
      </c>
      <c r="K182" s="22">
        <v>2.8205809128630599</v>
      </c>
      <c r="L182" s="22">
        <v>1.77560165975103</v>
      </c>
      <c r="M182" s="23">
        <v>1.5685062240663901</v>
      </c>
      <c r="N182" s="21">
        <v>3.0562857142857101</v>
      </c>
      <c r="O182" s="22">
        <v>3.3185714285714201</v>
      </c>
      <c r="P182" s="22">
        <v>3.23971428571428</v>
      </c>
      <c r="Q182" s="22">
        <v>3.5978787878787801</v>
      </c>
      <c r="R182" s="22">
        <v>3.2663636363636299</v>
      </c>
      <c r="S182" s="22">
        <v>2.96</v>
      </c>
      <c r="T182" s="22">
        <v>1.8137142857142801</v>
      </c>
      <c r="U182" s="23">
        <v>1.5645714285714201</v>
      </c>
    </row>
    <row r="183" spans="3:21" ht="15" customHeight="1" x14ac:dyDescent="0.3">
      <c r="C183" s="66"/>
      <c r="D183" s="68" t="s">
        <v>21</v>
      </c>
      <c r="E183" s="69"/>
      <c r="F183" s="24">
        <v>0.24228237299458799</v>
      </c>
      <c r="G183" s="25">
        <v>0.43174666462829497</v>
      </c>
      <c r="H183" s="25">
        <v>0.53357279672873903</v>
      </c>
      <c r="I183" s="25">
        <v>0.78719509596767701</v>
      </c>
      <c r="J183" s="25">
        <v>0.22731838270167301</v>
      </c>
      <c r="K183" s="25">
        <v>0.51695854337586</v>
      </c>
      <c r="L183" s="25">
        <v>0.23487736501152101</v>
      </c>
      <c r="M183" s="26">
        <v>0.212964281584895</v>
      </c>
      <c r="N183" s="24">
        <v>0.322650502771614</v>
      </c>
      <c r="O183" s="25">
        <v>0.43646726506049399</v>
      </c>
      <c r="P183" s="25">
        <v>0.40420281835651101</v>
      </c>
      <c r="Q183" s="25">
        <v>0.958169838730627</v>
      </c>
      <c r="R183" s="25">
        <v>5.0621481954420303E-2</v>
      </c>
      <c r="S183" s="25">
        <v>3.4558439118190898E-2</v>
      </c>
      <c r="T183" s="25">
        <v>5.4199932223769599E-2</v>
      </c>
      <c r="U183" s="26">
        <v>0.19112214280241699</v>
      </c>
    </row>
    <row r="184" spans="3:21" ht="15" customHeight="1" x14ac:dyDescent="0.3">
      <c r="C184" s="66"/>
      <c r="D184" s="68" t="s">
        <v>22</v>
      </c>
      <c r="E184" s="69"/>
      <c r="F184" s="33">
        <v>3.1098260869565202</v>
      </c>
      <c r="G184" s="34">
        <v>3.39104803493449</v>
      </c>
      <c r="H184" s="34">
        <v>3.3337219730941698</v>
      </c>
      <c r="I184" s="34">
        <v>3.8977727272727098</v>
      </c>
      <c r="J184" s="34">
        <v>3.2585185185185099</v>
      </c>
      <c r="K184" s="34">
        <v>2.9467699115044201</v>
      </c>
      <c r="L184" s="34">
        <v>1.82371179039301</v>
      </c>
      <c r="M184" s="35">
        <v>1.6038461538461499</v>
      </c>
      <c r="N184" s="33">
        <v>3.11147058823529</v>
      </c>
      <c r="O184" s="34">
        <v>3.3929411764705799</v>
      </c>
      <c r="P184" s="34">
        <v>3.32636363636363</v>
      </c>
      <c r="Q184" s="34">
        <v>3.88933333333333</v>
      </c>
      <c r="R184" s="34">
        <v>3.2584615384615301</v>
      </c>
      <c r="S184" s="34">
        <v>2.9554166666666601</v>
      </c>
      <c r="T184" s="34">
        <v>1.8209090909090899</v>
      </c>
      <c r="U184" s="35">
        <v>1.5970588235294101</v>
      </c>
    </row>
    <row r="185" spans="3:21" x14ac:dyDescent="0.3">
      <c r="C185" s="66"/>
      <c r="D185" s="73" t="s">
        <v>23</v>
      </c>
      <c r="E185" s="38" t="s">
        <v>24</v>
      </c>
      <c r="F185" s="27">
        <v>3.22</v>
      </c>
      <c r="G185" s="28">
        <v>3.62</v>
      </c>
      <c r="H185" s="28">
        <v>3.44</v>
      </c>
      <c r="I185" s="28">
        <v>4.1399999999999997</v>
      </c>
      <c r="J185" s="28">
        <v>3.37</v>
      </c>
      <c r="K185" s="28">
        <v>3.24</v>
      </c>
      <c r="L185" s="28">
        <v>1.95</v>
      </c>
      <c r="M185" s="29">
        <v>1.66</v>
      </c>
      <c r="N185" s="27">
        <v>3.22</v>
      </c>
      <c r="O185" s="28">
        <v>3.62</v>
      </c>
      <c r="P185" s="28">
        <v>3.44</v>
      </c>
      <c r="Q185" s="28">
        <v>4.1399999999999997</v>
      </c>
      <c r="R185" s="28">
        <v>3.37</v>
      </c>
      <c r="S185" s="28">
        <v>3.24</v>
      </c>
      <c r="T185" s="28">
        <v>1.95</v>
      </c>
      <c r="U185" s="29">
        <v>1.66</v>
      </c>
    </row>
    <row r="186" spans="3:21" x14ac:dyDescent="0.3">
      <c r="C186" s="66"/>
      <c r="D186" s="70"/>
      <c r="E186" s="39" t="s">
        <v>25</v>
      </c>
      <c r="F186" s="9">
        <v>0.11017391304348001</v>
      </c>
      <c r="G186" s="10">
        <v>0.22895196506551008</v>
      </c>
      <c r="H186" s="10">
        <v>0.1062780269058301</v>
      </c>
      <c r="I186" s="10">
        <v>0.24222727272728983</v>
      </c>
      <c r="J186" s="10">
        <v>0.11148148148149017</v>
      </c>
      <c r="K186" s="10">
        <v>0.29323008849558008</v>
      </c>
      <c r="L186" s="10">
        <v>0.12628820960698994</v>
      </c>
      <c r="M186" s="11">
        <v>5.6153846153849996E-2</v>
      </c>
      <c r="N186" s="9">
        <v>0.1085294117647102</v>
      </c>
      <c r="O186" s="10">
        <v>0.2270588235294202</v>
      </c>
      <c r="P186" s="10">
        <v>0.11363636363636997</v>
      </c>
      <c r="Q186" s="10">
        <v>0.2506666666666697</v>
      </c>
      <c r="R186" s="10">
        <v>0.11153846153847002</v>
      </c>
      <c r="S186" s="10">
        <v>0.28458333333334007</v>
      </c>
      <c r="T186" s="10">
        <v>0.12909090909091003</v>
      </c>
      <c r="U186" s="11">
        <v>6.2941176470589832E-2</v>
      </c>
    </row>
    <row r="187" spans="3:21" x14ac:dyDescent="0.3">
      <c r="C187" s="66"/>
      <c r="D187" s="70"/>
      <c r="E187" s="39" t="s">
        <v>26</v>
      </c>
      <c r="F187" s="9">
        <v>3.5427676649051278</v>
      </c>
      <c r="G187" s="10">
        <v>6.7516579743740817</v>
      </c>
      <c r="H187" s="10">
        <v>3.1879691157084977</v>
      </c>
      <c r="I187" s="10">
        <v>6.2145047871166517</v>
      </c>
      <c r="J187" s="10">
        <v>3.4212320982044133</v>
      </c>
      <c r="K187" s="10">
        <v>9.9508986891303213</v>
      </c>
      <c r="L187" s="10">
        <v>6.9247898857842456</v>
      </c>
      <c r="M187" s="11">
        <v>3.5011990407676343</v>
      </c>
      <c r="N187" s="9">
        <v>3.4880423480481633</v>
      </c>
      <c r="O187" s="10">
        <v>6.6920943134538016</v>
      </c>
      <c r="P187" s="10">
        <v>3.4162339437006617</v>
      </c>
      <c r="Q187" s="10">
        <v>6.4449777168324456</v>
      </c>
      <c r="R187" s="10">
        <v>3.4230406043439894</v>
      </c>
      <c r="S187" s="10">
        <v>9.6292118990556563</v>
      </c>
      <c r="T187" s="10">
        <v>7.0893659510734448</v>
      </c>
      <c r="U187" s="11">
        <v>3.9410681399632717</v>
      </c>
    </row>
    <row r="188" spans="3:21" x14ac:dyDescent="0.3">
      <c r="C188" s="66"/>
      <c r="D188" s="70" t="s">
        <v>27</v>
      </c>
      <c r="E188" s="40" t="s">
        <v>24</v>
      </c>
      <c r="F188" s="27">
        <v>3.12</v>
      </c>
      <c r="G188" s="28">
        <v>3.51</v>
      </c>
      <c r="H188" s="28">
        <v>3.3</v>
      </c>
      <c r="I188" s="28">
        <v>3.94</v>
      </c>
      <c r="J188" s="28">
        <v>3.23</v>
      </c>
      <c r="K188" s="28">
        <v>3.11</v>
      </c>
      <c r="L188" s="28">
        <v>1.86</v>
      </c>
      <c r="M188" s="29">
        <v>1.53</v>
      </c>
      <c r="N188" s="27">
        <v>3.12</v>
      </c>
      <c r="O188" s="28">
        <v>3.51</v>
      </c>
      <c r="P188" s="28">
        <v>3.3</v>
      </c>
      <c r="Q188" s="28">
        <v>3.94</v>
      </c>
      <c r="R188" s="28">
        <v>3.23</v>
      </c>
      <c r="S188" s="28">
        <v>3.11</v>
      </c>
      <c r="T188" s="28">
        <v>1.86</v>
      </c>
      <c r="U188" s="29">
        <v>1.53</v>
      </c>
    </row>
    <row r="189" spans="3:21" x14ac:dyDescent="0.3">
      <c r="C189" s="66"/>
      <c r="D189" s="70"/>
      <c r="E189" s="39" t="s">
        <v>25</v>
      </c>
      <c r="F189" s="9">
        <v>1.0173913043479921E-2</v>
      </c>
      <c r="G189" s="10">
        <v>0.11895196506550976</v>
      </c>
      <c r="H189" s="10">
        <v>-3.3721973094170021E-2</v>
      </c>
      <c r="I189" s="10">
        <v>4.2227272727290099E-2</v>
      </c>
      <c r="J189" s="10">
        <v>-2.851851851850995E-2</v>
      </c>
      <c r="K189" s="10">
        <v>0.16323008849557974</v>
      </c>
      <c r="L189" s="10">
        <v>3.6288209606990085E-2</v>
      </c>
      <c r="M189" s="11">
        <v>-7.3846153846149898E-2</v>
      </c>
      <c r="N189" s="9">
        <v>8.5294117647101153E-3</v>
      </c>
      <c r="O189" s="10">
        <v>0.11705882352941988</v>
      </c>
      <c r="P189" s="10">
        <v>-2.636363636363015E-2</v>
      </c>
      <c r="Q189" s="10">
        <v>5.0666666666669968E-2</v>
      </c>
      <c r="R189" s="10">
        <v>-2.84615384615301E-2</v>
      </c>
      <c r="S189" s="10">
        <v>0.15458333333333973</v>
      </c>
      <c r="T189" s="10">
        <v>3.9090909090910175E-2</v>
      </c>
      <c r="U189" s="11">
        <v>-6.7058823529410061E-2</v>
      </c>
    </row>
    <row r="190" spans="3:21" x14ac:dyDescent="0.3">
      <c r="C190" s="66"/>
      <c r="D190" s="70"/>
      <c r="E190" s="39" t="s">
        <v>26</v>
      </c>
      <c r="F190" s="9">
        <v>0.32715376226831966</v>
      </c>
      <c r="G190" s="10">
        <v>3.5078230635505503</v>
      </c>
      <c r="H190" s="10">
        <v>-1.0115412552796421</v>
      </c>
      <c r="I190" s="10">
        <v>1.0833692901545013</v>
      </c>
      <c r="J190" s="10">
        <v>-0.87519890884265816</v>
      </c>
      <c r="K190" s="10">
        <v>5.5392885565417478</v>
      </c>
      <c r="L190" s="10">
        <v>1.9897995833634421</v>
      </c>
      <c r="M190" s="11">
        <v>-4.6043165467623552</v>
      </c>
      <c r="N190" s="9">
        <v>0.27412798941312438</v>
      </c>
      <c r="O190" s="10">
        <v>3.4500693481278479</v>
      </c>
      <c r="P190" s="10">
        <v>-0.79256627493832255</v>
      </c>
      <c r="Q190" s="10">
        <v>1.3027082619130101</v>
      </c>
      <c r="R190" s="10">
        <v>-0.87346553352193634</v>
      </c>
      <c r="S190" s="10">
        <v>5.2305089524885968</v>
      </c>
      <c r="T190" s="10">
        <v>2.1467798302546788</v>
      </c>
      <c r="U190" s="11">
        <v>-4.1988950276242072</v>
      </c>
    </row>
    <row r="191" spans="3:21" x14ac:dyDescent="0.3">
      <c r="C191" s="66"/>
      <c r="D191" s="70" t="s">
        <v>28</v>
      </c>
      <c r="E191" s="40" t="s">
        <v>24</v>
      </c>
      <c r="F191" s="27">
        <v>3.05</v>
      </c>
      <c r="G191" s="28">
        <v>3.61</v>
      </c>
      <c r="H191" s="28">
        <v>3.36</v>
      </c>
      <c r="I191" s="28">
        <v>4.0199999999999996</v>
      </c>
      <c r="J191" s="28">
        <v>3.32</v>
      </c>
      <c r="K191" s="28">
        <v>3.17</v>
      </c>
      <c r="L191" s="28">
        <v>1.87</v>
      </c>
      <c r="M191" s="29">
        <v>1.57</v>
      </c>
      <c r="N191" s="27">
        <v>3.05</v>
      </c>
      <c r="O191" s="28">
        <v>3.61</v>
      </c>
      <c r="P191" s="28">
        <v>3.36</v>
      </c>
      <c r="Q191" s="28">
        <v>4.0199999999999996</v>
      </c>
      <c r="R191" s="28">
        <v>3.32</v>
      </c>
      <c r="S191" s="28">
        <v>3.17</v>
      </c>
      <c r="T191" s="28">
        <v>1.87</v>
      </c>
      <c r="U191" s="29">
        <v>1.57</v>
      </c>
    </row>
    <row r="192" spans="3:21" x14ac:dyDescent="0.3">
      <c r="C192" s="66"/>
      <c r="D192" s="70"/>
      <c r="E192" s="39" t="s">
        <v>25</v>
      </c>
      <c r="F192" s="9">
        <v>-5.9826086956520363E-2</v>
      </c>
      <c r="G192" s="10">
        <v>0.21895196506550985</v>
      </c>
      <c r="H192" s="10">
        <v>2.6278026905830032E-2</v>
      </c>
      <c r="I192" s="10">
        <v>0.12222727272728973</v>
      </c>
      <c r="J192" s="10">
        <v>6.1481481481489908E-2</v>
      </c>
      <c r="K192" s="10">
        <v>0.22323008849557979</v>
      </c>
      <c r="L192" s="10">
        <v>4.6288209606990094E-2</v>
      </c>
      <c r="M192" s="11">
        <v>-3.3846153846149862E-2</v>
      </c>
      <c r="N192" s="9">
        <v>-6.1470588235290169E-2</v>
      </c>
      <c r="O192" s="10">
        <v>0.21705882352941996</v>
      </c>
      <c r="P192" s="10">
        <v>3.3636363636369904E-2</v>
      </c>
      <c r="Q192" s="10">
        <v>0.1306666666666696</v>
      </c>
      <c r="R192" s="10">
        <v>6.1538461538469758E-2</v>
      </c>
      <c r="S192" s="10">
        <v>0.21458333333333979</v>
      </c>
      <c r="T192" s="10">
        <v>4.9090909090910184E-2</v>
      </c>
      <c r="U192" s="11">
        <v>-2.7058823529410025E-2</v>
      </c>
    </row>
    <row r="193" spans="3:21" ht="15" thickBot="1" x14ac:dyDescent="0.35">
      <c r="C193" s="66"/>
      <c r="D193" s="74"/>
      <c r="E193" s="41" t="s">
        <v>26</v>
      </c>
      <c r="F193" s="12">
        <v>-1.9237759695774532</v>
      </c>
      <c r="G193" s="13">
        <v>6.4567638915719359</v>
      </c>
      <c r="H193" s="13">
        <v>0.78824890371527512</v>
      </c>
      <c r="I193" s="13">
        <v>3.1358234889393541</v>
      </c>
      <c r="J193" s="13">
        <v>1.8867924528304523</v>
      </c>
      <c r="K193" s="13">
        <v>7.5754163100441625</v>
      </c>
      <c r="L193" s="13">
        <v>2.5381318391879772</v>
      </c>
      <c r="M193" s="14">
        <v>-2.1103117505992772</v>
      </c>
      <c r="N193" s="12">
        <v>-1.9756120616314099</v>
      </c>
      <c r="O193" s="13">
        <v>6.3973647711514356</v>
      </c>
      <c r="P193" s="13">
        <v>1.0112052473355277</v>
      </c>
      <c r="Q193" s="13">
        <v>3.3596160438807776</v>
      </c>
      <c r="R193" s="13">
        <v>1.8885741265347236</v>
      </c>
      <c r="S193" s="13">
        <v>7.2606795432118512</v>
      </c>
      <c r="T193" s="13">
        <v>2.6959560659012101</v>
      </c>
      <c r="U193" s="14">
        <v>-1.6942909760588247</v>
      </c>
    </row>
    <row r="194" spans="3:21" x14ac:dyDescent="0.3">
      <c r="C194" s="65">
        <v>3</v>
      </c>
      <c r="D194" s="71" t="s">
        <v>20</v>
      </c>
      <c r="E194" s="72"/>
      <c r="F194" s="21">
        <v>3.0168220338983001</v>
      </c>
      <c r="G194" s="22">
        <v>3.2977021276595702</v>
      </c>
      <c r="H194" s="22">
        <v>3.2459574468085099</v>
      </c>
      <c r="I194" s="22">
        <v>3.7294514767932401</v>
      </c>
      <c r="J194" s="22">
        <v>3.1680090497737501</v>
      </c>
      <c r="K194" s="22">
        <v>2.8797457627118601</v>
      </c>
      <c r="L194" s="22">
        <v>1.7754852320675001</v>
      </c>
      <c r="M194" s="23">
        <v>1.5682905982905899</v>
      </c>
      <c r="N194" s="21">
        <v>3.1079999999999899</v>
      </c>
      <c r="O194" s="22">
        <v>3.2389999999999999</v>
      </c>
      <c r="P194" s="22">
        <v>3.33466666666666</v>
      </c>
      <c r="Q194" s="22">
        <v>3.8006666666666602</v>
      </c>
      <c r="R194" s="22">
        <v>3.1623333333333301</v>
      </c>
      <c r="S194" s="22">
        <v>2.8923333333333301</v>
      </c>
      <c r="T194" s="22">
        <v>1.7283333333333299</v>
      </c>
      <c r="U194" s="23">
        <v>1.585</v>
      </c>
    </row>
    <row r="195" spans="3:21" ht="15" customHeight="1" x14ac:dyDescent="0.3">
      <c r="C195" s="66"/>
      <c r="D195" s="68" t="s">
        <v>21</v>
      </c>
      <c r="E195" s="69"/>
      <c r="F195" s="24">
        <v>3.1088839285714198</v>
      </c>
      <c r="G195" s="25">
        <v>3.3933031674208101</v>
      </c>
      <c r="H195" s="25">
        <v>3.3327149321267</v>
      </c>
      <c r="I195" s="25">
        <v>3.8941176470588101</v>
      </c>
      <c r="J195" s="25">
        <v>3.25738095238095</v>
      </c>
      <c r="K195" s="25">
        <v>2.9558222222222201</v>
      </c>
      <c r="L195" s="25">
        <v>1.82084444444444</v>
      </c>
      <c r="M195" s="26">
        <v>1.60080357142857</v>
      </c>
      <c r="N195" s="24">
        <v>3.1104761904761902</v>
      </c>
      <c r="O195" s="25">
        <v>3.3907407407407399</v>
      </c>
      <c r="P195" s="25">
        <v>3.3358823529411699</v>
      </c>
      <c r="Q195" s="25">
        <v>3.9014285714285699</v>
      </c>
      <c r="R195" s="25">
        <v>3.2617241379310302</v>
      </c>
      <c r="S195" s="25">
        <v>2.9620689655172399</v>
      </c>
      <c r="T195" s="25">
        <v>1.81961538461538</v>
      </c>
      <c r="U195" s="26">
        <v>1.60793103448275</v>
      </c>
    </row>
    <row r="196" spans="3:21" ht="15" customHeight="1" x14ac:dyDescent="0.3">
      <c r="C196" s="66"/>
      <c r="D196" s="68" t="s">
        <v>22</v>
      </c>
      <c r="E196" s="69"/>
      <c r="F196" s="33">
        <v>0.42643037724012001</v>
      </c>
      <c r="G196" s="34">
        <v>0.447596698925595</v>
      </c>
      <c r="H196" s="34">
        <v>0.39450728534366197</v>
      </c>
      <c r="I196" s="34">
        <v>0.65244179038408501</v>
      </c>
      <c r="J196" s="34">
        <v>0.42307602293804097</v>
      </c>
      <c r="K196" s="34">
        <v>0.41813237273154602</v>
      </c>
      <c r="L196" s="34">
        <v>0.227418731237717</v>
      </c>
      <c r="M196" s="35">
        <v>0.17128369328929499</v>
      </c>
      <c r="N196" s="33">
        <v>2.4276188608044098E-2</v>
      </c>
      <c r="O196" s="34">
        <v>0.46577784404155598</v>
      </c>
      <c r="P196" s="34">
        <v>2.18682926224756E-2</v>
      </c>
      <c r="Q196" s="34">
        <v>0.38676378090796198</v>
      </c>
      <c r="R196" s="34">
        <v>0.53590847062617697</v>
      </c>
      <c r="S196" s="34">
        <v>0.37732111287631598</v>
      </c>
      <c r="T196" s="34">
        <v>0.24922658142519399</v>
      </c>
      <c r="U196" s="35">
        <v>0.12656355452235499</v>
      </c>
    </row>
    <row r="197" spans="3:21" x14ac:dyDescent="0.3">
      <c r="C197" s="66"/>
      <c r="D197" s="73" t="s">
        <v>23</v>
      </c>
      <c r="E197" s="38" t="s">
        <v>24</v>
      </c>
      <c r="F197" s="30">
        <v>3.22</v>
      </c>
      <c r="G197" s="31">
        <v>3.62</v>
      </c>
      <c r="H197" s="31">
        <v>3.44</v>
      </c>
      <c r="I197" s="31">
        <v>4.1399999999999997</v>
      </c>
      <c r="J197" s="31">
        <v>3.37</v>
      </c>
      <c r="K197" s="31">
        <v>3.24</v>
      </c>
      <c r="L197" s="31">
        <v>1.95</v>
      </c>
      <c r="M197" s="32">
        <v>1.66</v>
      </c>
      <c r="N197" s="30">
        <v>3.22</v>
      </c>
      <c r="O197" s="31">
        <v>3.62</v>
      </c>
      <c r="P197" s="31">
        <v>3.44</v>
      </c>
      <c r="Q197" s="31">
        <v>4.1399999999999997</v>
      </c>
      <c r="R197" s="31">
        <v>3.37</v>
      </c>
      <c r="S197" s="31">
        <v>3.24</v>
      </c>
      <c r="T197" s="31">
        <v>1.95</v>
      </c>
      <c r="U197" s="32">
        <v>1.66</v>
      </c>
    </row>
    <row r="198" spans="3:21" x14ac:dyDescent="0.3">
      <c r="C198" s="66"/>
      <c r="D198" s="70"/>
      <c r="E198" s="39" t="s">
        <v>25</v>
      </c>
      <c r="F198" s="15">
        <v>0.11111607142858038</v>
      </c>
      <c r="G198" s="16">
        <v>0.22669683257919004</v>
      </c>
      <c r="H198" s="16">
        <v>0.10728506787329994</v>
      </c>
      <c r="I198" s="16">
        <v>0.24588235294118954</v>
      </c>
      <c r="J198" s="16">
        <v>0.11261904761905006</v>
      </c>
      <c r="K198" s="16">
        <v>0.28417777777778008</v>
      </c>
      <c r="L198" s="16">
        <v>0.12915555555555991</v>
      </c>
      <c r="M198" s="17">
        <v>5.9196428571429927E-2</v>
      </c>
      <c r="N198" s="15">
        <v>0.10952380952381002</v>
      </c>
      <c r="O198" s="16">
        <v>0.22925925925926016</v>
      </c>
      <c r="P198" s="16">
        <v>0.10411764705883009</v>
      </c>
      <c r="Q198" s="16">
        <v>0.23857142857142977</v>
      </c>
      <c r="R198" s="16">
        <v>0.10827586206896989</v>
      </c>
      <c r="S198" s="16">
        <v>0.27793103448276035</v>
      </c>
      <c r="T198" s="16">
        <v>0.13038461538461998</v>
      </c>
      <c r="U198" s="17">
        <v>5.2068965517249932E-2</v>
      </c>
    </row>
    <row r="199" spans="3:21" x14ac:dyDescent="0.3">
      <c r="C199" s="66"/>
      <c r="D199" s="70"/>
      <c r="E199" s="39" t="s">
        <v>26</v>
      </c>
      <c r="F199" s="15">
        <v>3.5741466706876999</v>
      </c>
      <c r="G199" s="16">
        <v>6.6807126093451394</v>
      </c>
      <c r="H199" s="16">
        <v>3.219149253933888</v>
      </c>
      <c r="I199" s="16">
        <v>6.3141993957707507</v>
      </c>
      <c r="J199" s="16">
        <v>3.4573496089467923</v>
      </c>
      <c r="K199" s="16">
        <v>9.6141701500617334</v>
      </c>
      <c r="L199" s="16">
        <v>7.0931680050772661</v>
      </c>
      <c r="M199" s="17">
        <v>3.6979195716437938</v>
      </c>
      <c r="N199" s="15">
        <v>3.5211267605633965</v>
      </c>
      <c r="O199" s="16">
        <v>6.7613326051338349</v>
      </c>
      <c r="P199" s="16">
        <v>3.1211426556164961</v>
      </c>
      <c r="Q199" s="16">
        <v>6.1149761991944676</v>
      </c>
      <c r="R199" s="16">
        <v>3.3195898086479865</v>
      </c>
      <c r="S199" s="16">
        <v>9.383003492433124</v>
      </c>
      <c r="T199" s="16">
        <v>7.1655041217504296</v>
      </c>
      <c r="U199" s="17">
        <v>3.2382586317826636</v>
      </c>
    </row>
    <row r="200" spans="3:21" x14ac:dyDescent="0.3">
      <c r="C200" s="66"/>
      <c r="D200" s="70" t="s">
        <v>27</v>
      </c>
      <c r="E200" s="40" t="s">
        <v>24</v>
      </c>
      <c r="F200" s="30">
        <v>3.12</v>
      </c>
      <c r="G200" s="31">
        <v>3.51</v>
      </c>
      <c r="H200" s="31">
        <v>3.3</v>
      </c>
      <c r="I200" s="31">
        <v>3.94</v>
      </c>
      <c r="J200" s="31">
        <v>3.23</v>
      </c>
      <c r="K200" s="31">
        <v>3.11</v>
      </c>
      <c r="L200" s="31">
        <v>1.86</v>
      </c>
      <c r="M200" s="32">
        <v>1.53</v>
      </c>
      <c r="N200" s="30">
        <v>3.12</v>
      </c>
      <c r="O200" s="31">
        <v>3.51</v>
      </c>
      <c r="P200" s="31">
        <v>3.3</v>
      </c>
      <c r="Q200" s="31">
        <v>3.94</v>
      </c>
      <c r="R200" s="31">
        <v>3.23</v>
      </c>
      <c r="S200" s="31">
        <v>3.11</v>
      </c>
      <c r="T200" s="31">
        <v>1.86</v>
      </c>
      <c r="U200" s="32">
        <v>1.53</v>
      </c>
    </row>
    <row r="201" spans="3:21" x14ac:dyDescent="0.3">
      <c r="C201" s="66"/>
      <c r="D201" s="70"/>
      <c r="E201" s="39" t="s">
        <v>25</v>
      </c>
      <c r="F201" s="15">
        <v>1.1116071428580288E-2</v>
      </c>
      <c r="G201" s="16">
        <v>0.11669683257918972</v>
      </c>
      <c r="H201" s="16">
        <v>-3.271493212670018E-2</v>
      </c>
      <c r="I201" s="16">
        <v>4.5882352941189808E-2</v>
      </c>
      <c r="J201" s="16">
        <v>-2.7380952380950063E-2</v>
      </c>
      <c r="K201" s="16">
        <v>0.15417777777777975</v>
      </c>
      <c r="L201" s="16">
        <v>3.9155555555560051E-2</v>
      </c>
      <c r="M201" s="17">
        <v>-7.0803571428569967E-2</v>
      </c>
      <c r="N201" s="15">
        <v>9.5238095238099341E-3</v>
      </c>
      <c r="O201" s="16">
        <v>0.11925925925925984</v>
      </c>
      <c r="P201" s="16">
        <v>-3.5882352941170037E-2</v>
      </c>
      <c r="Q201" s="16">
        <v>3.8571428571430033E-2</v>
      </c>
      <c r="R201" s="16">
        <v>-3.1724137931030238E-2</v>
      </c>
      <c r="S201" s="16">
        <v>0.14793103448276002</v>
      </c>
      <c r="T201" s="16">
        <v>4.0384615384620126E-2</v>
      </c>
      <c r="U201" s="17">
        <v>-7.7931034482749961E-2</v>
      </c>
    </row>
    <row r="202" spans="3:21" x14ac:dyDescent="0.3">
      <c r="C202" s="66"/>
      <c r="D202" s="70"/>
      <c r="E202" s="39" t="s">
        <v>26</v>
      </c>
      <c r="F202" s="15">
        <v>0.35755826476571911</v>
      </c>
      <c r="G202" s="16">
        <v>3.4390334969064651</v>
      </c>
      <c r="H202" s="16">
        <v>-0.9816300761680764</v>
      </c>
      <c r="I202" s="16">
        <v>1.1782477341393194</v>
      </c>
      <c r="J202" s="16">
        <v>-0.84058182881361265</v>
      </c>
      <c r="K202" s="16">
        <v>5.2160707304604799</v>
      </c>
      <c r="L202" s="16">
        <v>2.1504064048429381</v>
      </c>
      <c r="M202" s="17">
        <v>-4.423001840593364</v>
      </c>
      <c r="N202" s="15">
        <v>0.30618493570117672</v>
      </c>
      <c r="O202" s="16">
        <v>3.5172037138176044</v>
      </c>
      <c r="P202" s="16">
        <v>-1.0756480338562719</v>
      </c>
      <c r="Q202" s="16">
        <v>0.98864884657638341</v>
      </c>
      <c r="R202" s="16">
        <v>-0.97261867004955938</v>
      </c>
      <c r="S202" s="16">
        <v>4.9941792782305505</v>
      </c>
      <c r="T202" s="16">
        <v>2.2194039315158021</v>
      </c>
      <c r="U202" s="17">
        <v>-4.8466652369713943</v>
      </c>
    </row>
    <row r="203" spans="3:21" x14ac:dyDescent="0.3">
      <c r="C203" s="66"/>
      <c r="D203" s="70" t="s">
        <v>28</v>
      </c>
      <c r="E203" s="40" t="s">
        <v>24</v>
      </c>
      <c r="F203" s="30">
        <v>3.05</v>
      </c>
      <c r="G203" s="31">
        <v>3.61</v>
      </c>
      <c r="H203" s="31">
        <v>3.36</v>
      </c>
      <c r="I203" s="31">
        <v>4.0199999999999996</v>
      </c>
      <c r="J203" s="31">
        <v>3.32</v>
      </c>
      <c r="K203" s="31">
        <v>3.17</v>
      </c>
      <c r="L203" s="31">
        <v>1.87</v>
      </c>
      <c r="M203" s="32">
        <v>1.57</v>
      </c>
      <c r="N203" s="30">
        <v>3.05</v>
      </c>
      <c r="O203" s="31">
        <v>3.61</v>
      </c>
      <c r="P203" s="31">
        <v>3.36</v>
      </c>
      <c r="Q203" s="31">
        <v>4.0199999999999996</v>
      </c>
      <c r="R203" s="31">
        <v>3.32</v>
      </c>
      <c r="S203" s="31">
        <v>3.17</v>
      </c>
      <c r="T203" s="31">
        <v>1.87</v>
      </c>
      <c r="U203" s="32">
        <v>1.57</v>
      </c>
    </row>
    <row r="204" spans="3:21" x14ac:dyDescent="0.3">
      <c r="C204" s="66"/>
      <c r="D204" s="70"/>
      <c r="E204" s="39" t="s">
        <v>25</v>
      </c>
      <c r="F204" s="15">
        <v>-5.8883928571419997E-2</v>
      </c>
      <c r="G204" s="16">
        <v>0.21669683257918981</v>
      </c>
      <c r="H204" s="16">
        <v>2.7285067873299873E-2</v>
      </c>
      <c r="I204" s="16">
        <v>0.12588235294118943</v>
      </c>
      <c r="J204" s="16">
        <v>6.2619047619049795E-2</v>
      </c>
      <c r="K204" s="16">
        <v>0.2141777777777798</v>
      </c>
      <c r="L204" s="16">
        <v>4.915555555556006E-2</v>
      </c>
      <c r="M204" s="17">
        <v>-3.0803571428569931E-2</v>
      </c>
      <c r="N204" s="15">
        <v>-6.047619047619035E-2</v>
      </c>
      <c r="O204" s="16">
        <v>0.21925925925925993</v>
      </c>
      <c r="P204" s="16">
        <v>2.4117647058830016E-2</v>
      </c>
      <c r="Q204" s="16">
        <v>0.11857142857142966</v>
      </c>
      <c r="R204" s="16">
        <v>5.8275862068969619E-2</v>
      </c>
      <c r="S204" s="16">
        <v>0.20793103448276007</v>
      </c>
      <c r="T204" s="16">
        <v>5.0384615384620135E-2</v>
      </c>
      <c r="U204" s="17">
        <v>-3.7931034482749926E-2</v>
      </c>
    </row>
    <row r="205" spans="3:21" ht="15" thickBot="1" x14ac:dyDescent="0.35">
      <c r="C205" s="67"/>
      <c r="D205" s="74"/>
      <c r="E205" s="41" t="s">
        <v>26</v>
      </c>
      <c r="F205" s="18">
        <v>-1.8940536193796746</v>
      </c>
      <c r="G205" s="19">
        <v>6.3860145082143438</v>
      </c>
      <c r="H205" s="19">
        <v>0.81870392244705115</v>
      </c>
      <c r="I205" s="19">
        <v>3.2326283987918849</v>
      </c>
      <c r="J205" s="19">
        <v>1.9223740954609263</v>
      </c>
      <c r="K205" s="19">
        <v>7.2459627702764404</v>
      </c>
      <c r="L205" s="19">
        <v>2.6996021382023092</v>
      </c>
      <c r="M205" s="20">
        <v>-1.9242567906742347</v>
      </c>
      <c r="N205" s="18">
        <v>-1.9442743417023844</v>
      </c>
      <c r="O205" s="19">
        <v>6.4664117968323538</v>
      </c>
      <c r="P205" s="19">
        <v>0.72297654734634298</v>
      </c>
      <c r="Q205" s="19">
        <v>3.0391797876236102</v>
      </c>
      <c r="R205" s="19">
        <v>1.786658209113142</v>
      </c>
      <c r="S205" s="19">
        <v>7.0197904540163503</v>
      </c>
      <c r="T205" s="19">
        <v>2.768970619319651</v>
      </c>
      <c r="U205" s="20">
        <v>-2.3589963542778336</v>
      </c>
    </row>
    <row r="208" spans="3:21" ht="15" thickBot="1" x14ac:dyDescent="0.35"/>
    <row r="209" spans="3:21" ht="15" thickBot="1" x14ac:dyDescent="0.35">
      <c r="C209" s="77" t="s">
        <v>47</v>
      </c>
      <c r="D209" s="77"/>
      <c r="E209" s="78"/>
      <c r="F209" s="79" t="s">
        <v>1</v>
      </c>
      <c r="G209" s="80"/>
      <c r="H209" s="80"/>
      <c r="I209" s="80"/>
      <c r="J209" s="80"/>
      <c r="K209" s="80"/>
      <c r="L209" s="80"/>
      <c r="M209" s="81"/>
      <c r="N209" s="75" t="s">
        <v>2</v>
      </c>
      <c r="O209" s="75"/>
      <c r="P209" s="75"/>
      <c r="Q209" s="75"/>
      <c r="R209" s="75"/>
      <c r="S209" s="75"/>
      <c r="T209" s="75"/>
      <c r="U209" s="76"/>
    </row>
    <row r="210" spans="3:21" ht="29.4" thickBot="1" x14ac:dyDescent="0.35">
      <c r="C210" s="5" t="s">
        <v>10</v>
      </c>
      <c r="D210" s="4" t="s">
        <v>11</v>
      </c>
      <c r="E210" s="3"/>
      <c r="F210" s="6" t="s">
        <v>12</v>
      </c>
      <c r="G210" s="7" t="s">
        <v>13</v>
      </c>
      <c r="H210" s="7" t="s">
        <v>14</v>
      </c>
      <c r="I210" s="7" t="s">
        <v>15</v>
      </c>
      <c r="J210" s="7" t="s">
        <v>16</v>
      </c>
      <c r="K210" s="7" t="s">
        <v>17</v>
      </c>
      <c r="L210" s="7" t="s">
        <v>18</v>
      </c>
      <c r="M210" s="8" t="s">
        <v>19</v>
      </c>
      <c r="N210" s="6" t="s">
        <v>12</v>
      </c>
      <c r="O210" s="7" t="s">
        <v>13</v>
      </c>
      <c r="P210" s="7" t="s">
        <v>14</v>
      </c>
      <c r="Q210" s="7" t="s">
        <v>15</v>
      </c>
      <c r="R210" s="7" t="s">
        <v>16</v>
      </c>
      <c r="S210" s="7" t="s">
        <v>17</v>
      </c>
      <c r="T210" s="7" t="s">
        <v>18</v>
      </c>
      <c r="U210" s="8" t="s">
        <v>19</v>
      </c>
    </row>
    <row r="211" spans="3:21" x14ac:dyDescent="0.3">
      <c r="C211" s="65">
        <v>1</v>
      </c>
      <c r="D211" s="71" t="s">
        <v>20</v>
      </c>
      <c r="E211" s="72"/>
      <c r="F211" s="21">
        <v>4.9797368421052601</v>
      </c>
      <c r="G211" s="22">
        <v>5.2063963963963902</v>
      </c>
      <c r="H211" s="22">
        <v>1.35035087719298</v>
      </c>
      <c r="I211" s="22">
        <v>3.2609009009009</v>
      </c>
      <c r="J211" s="22">
        <v>4.4779545454545397</v>
      </c>
      <c r="K211" s="22">
        <v>1.04508771929824</v>
      </c>
      <c r="L211" s="22">
        <v>4.0486842105263099</v>
      </c>
      <c r="M211" s="23">
        <v>2.8575581395348801</v>
      </c>
      <c r="N211" s="21">
        <v>4.9660000000000002</v>
      </c>
      <c r="O211" s="22">
        <v>5.3931914893617003</v>
      </c>
      <c r="P211" s="22">
        <v>1.3488</v>
      </c>
      <c r="Q211" s="22">
        <v>3.36673469387754</v>
      </c>
      <c r="R211" s="22">
        <v>4.4563888888888901</v>
      </c>
      <c r="S211" s="22">
        <v>1.0324</v>
      </c>
      <c r="T211" s="22">
        <v>4.0392000000000001</v>
      </c>
      <c r="U211" s="23">
        <v>2.91</v>
      </c>
    </row>
    <row r="212" spans="3:21" ht="15" customHeight="1" x14ac:dyDescent="0.3">
      <c r="C212" s="66"/>
      <c r="D212" s="68" t="s">
        <v>21</v>
      </c>
      <c r="E212" s="69"/>
      <c r="F212" s="24">
        <v>0.449107224578914</v>
      </c>
      <c r="G212" s="25">
        <v>1.04879836242819</v>
      </c>
      <c r="H212" s="25">
        <v>0.10677020598086</v>
      </c>
      <c r="I212" s="25">
        <v>0.48146838005229298</v>
      </c>
      <c r="J212" s="25">
        <v>0.27672253534948599</v>
      </c>
      <c r="K212" s="25">
        <v>0.124338570140656</v>
      </c>
      <c r="L212" s="25">
        <v>0.188570398031744</v>
      </c>
      <c r="M212" s="26">
        <v>0.35619088182351399</v>
      </c>
      <c r="N212" s="24">
        <v>0.43367268763434902</v>
      </c>
      <c r="O212" s="25">
        <v>0.45953772508754098</v>
      </c>
      <c r="P212" s="25">
        <v>0.124412861071514</v>
      </c>
      <c r="Q212" s="25">
        <v>1.8559089868391301E-2</v>
      </c>
      <c r="R212" s="25">
        <v>0.27408588250337501</v>
      </c>
      <c r="S212" s="25">
        <v>0.16215498758903399</v>
      </c>
      <c r="T212" s="25">
        <v>0.24208957020078301</v>
      </c>
      <c r="U212" s="26">
        <v>6.4148265759878503E-2</v>
      </c>
    </row>
    <row r="213" spans="3:21" ht="15" customHeight="1" x14ac:dyDescent="0.3">
      <c r="C213" s="66"/>
      <c r="D213" s="68" t="s">
        <v>22</v>
      </c>
      <c r="E213" s="69"/>
      <c r="F213" s="33">
        <v>5.0769444444444396</v>
      </c>
      <c r="G213" s="34">
        <v>5.4893137254901898</v>
      </c>
      <c r="H213" s="34">
        <v>1.36781818181818</v>
      </c>
      <c r="I213" s="34">
        <v>3.36075471698113</v>
      </c>
      <c r="J213" s="34">
        <v>4.5274117647058798</v>
      </c>
      <c r="K213" s="34">
        <v>1.06486486486486</v>
      </c>
      <c r="L213" s="34">
        <v>4.0750450450450399</v>
      </c>
      <c r="M213" s="35">
        <v>2.91047619047619</v>
      </c>
      <c r="N213" s="33">
        <v>5.0753191489361704</v>
      </c>
      <c r="O213" s="34">
        <v>5.5</v>
      </c>
      <c r="P213" s="34">
        <v>1.370625</v>
      </c>
      <c r="Q213" s="34">
        <v>3.3657142857142799</v>
      </c>
      <c r="R213" s="34">
        <v>4.5214705882352897</v>
      </c>
      <c r="S213" s="34">
        <v>1.0649999999999999</v>
      </c>
      <c r="T213" s="34">
        <v>4.0736734693877503</v>
      </c>
      <c r="U213" s="35">
        <v>2.9135714285714198</v>
      </c>
    </row>
    <row r="214" spans="3:21" x14ac:dyDescent="0.3">
      <c r="C214" s="66"/>
      <c r="D214" s="73" t="s">
        <v>23</v>
      </c>
      <c r="E214" s="38" t="s">
        <v>24</v>
      </c>
      <c r="F214" s="27">
        <v>5.07</v>
      </c>
      <c r="G214" s="28">
        <v>5.65</v>
      </c>
      <c r="H214" s="28">
        <v>1.37</v>
      </c>
      <c r="I214" s="28">
        <v>3.57</v>
      </c>
      <c r="J214" s="28">
        <v>4.6500000000000004</v>
      </c>
      <c r="K214" s="28">
        <v>1.3</v>
      </c>
      <c r="L214" s="28">
        <v>4.17</v>
      </c>
      <c r="M214" s="29">
        <v>2.82</v>
      </c>
      <c r="N214" s="27">
        <v>5.07</v>
      </c>
      <c r="O214" s="28">
        <v>5.65</v>
      </c>
      <c r="P214" s="28">
        <v>1.37</v>
      </c>
      <c r="Q214" s="28">
        <v>3.57</v>
      </c>
      <c r="R214" s="28">
        <v>4.6500000000000004</v>
      </c>
      <c r="S214" s="28">
        <v>1.3</v>
      </c>
      <c r="T214" s="28">
        <v>4.17</v>
      </c>
      <c r="U214" s="29">
        <v>2.82</v>
      </c>
    </row>
    <row r="215" spans="3:21" x14ac:dyDescent="0.3">
      <c r="C215" s="66"/>
      <c r="D215" s="70"/>
      <c r="E215" s="39" t="s">
        <v>25</v>
      </c>
      <c r="F215" s="9">
        <v>-6.9444444444393127E-3</v>
      </c>
      <c r="G215" s="10">
        <v>0.16068627450981054</v>
      </c>
      <c r="H215" s="10">
        <v>2.181818181820061E-3</v>
      </c>
      <c r="I215" s="10">
        <v>0.2092452830188698</v>
      </c>
      <c r="J215" s="10">
        <v>0.12258823529412055</v>
      </c>
      <c r="K215" s="10">
        <v>0.23513513513514006</v>
      </c>
      <c r="L215" s="10">
        <v>9.495495495495998E-2</v>
      </c>
      <c r="M215" s="11">
        <v>-9.0476190476190155E-2</v>
      </c>
      <c r="N215" s="9">
        <v>-5.3191489361701372E-3</v>
      </c>
      <c r="O215" s="10">
        <v>0.15000000000000036</v>
      </c>
      <c r="P215" s="10">
        <v>-6.2499999999987566E-4</v>
      </c>
      <c r="Q215" s="10">
        <v>0.20428571428571995</v>
      </c>
      <c r="R215" s="10">
        <v>0.12852941176471067</v>
      </c>
      <c r="S215" s="10">
        <v>0.2350000000000001</v>
      </c>
      <c r="T215" s="10">
        <v>9.6326530612249606E-2</v>
      </c>
      <c r="U215" s="11">
        <v>-9.3571428571419979E-2</v>
      </c>
    </row>
    <row r="216" spans="3:21" x14ac:dyDescent="0.3">
      <c r="C216" s="66"/>
      <c r="D216" s="70"/>
      <c r="E216" s="39" t="s">
        <v>26</v>
      </c>
      <c r="F216" s="9">
        <v>-0.13678393609444411</v>
      </c>
      <c r="G216" s="10">
        <v>2.9272561661696872</v>
      </c>
      <c r="H216" s="10">
        <v>0.15951083344424236</v>
      </c>
      <c r="I216" s="10">
        <v>6.2261396811139154</v>
      </c>
      <c r="J216" s="10">
        <v>2.7076891094769775</v>
      </c>
      <c r="K216" s="10">
        <v>22.081218274112238</v>
      </c>
      <c r="L216" s="10">
        <v>2.3301571861253003</v>
      </c>
      <c r="M216" s="11">
        <v>-3.108638743455487</v>
      </c>
      <c r="N216" s="9">
        <v>-0.10480422570637898</v>
      </c>
      <c r="O216" s="10">
        <v>2.7272727272727337</v>
      </c>
      <c r="P216" s="10">
        <v>-4.5599635202909307E-2</v>
      </c>
      <c r="Q216" s="10">
        <v>6.069609507640247</v>
      </c>
      <c r="R216" s="10">
        <v>2.8426461978795077</v>
      </c>
      <c r="S216" s="10">
        <v>22.065727699530527</v>
      </c>
      <c r="T216" s="10">
        <v>2.364610991433413</v>
      </c>
      <c r="U216" s="11">
        <v>-3.2115714635937329</v>
      </c>
    </row>
    <row r="217" spans="3:21" x14ac:dyDescent="0.3">
      <c r="C217" s="66"/>
      <c r="D217" s="70" t="s">
        <v>27</v>
      </c>
      <c r="E217" s="40" t="s">
        <v>24</v>
      </c>
      <c r="F217" s="27">
        <v>4.95</v>
      </c>
      <c r="G217" s="28">
        <v>5.51</v>
      </c>
      <c r="H217" s="28">
        <v>1.27</v>
      </c>
      <c r="I217" s="28">
        <v>3.39</v>
      </c>
      <c r="J217" s="28">
        <v>4.53</v>
      </c>
      <c r="K217" s="28">
        <v>1.21</v>
      </c>
      <c r="L217" s="28">
        <v>4.07</v>
      </c>
      <c r="M217" s="29">
        <v>2.74</v>
      </c>
      <c r="N217" s="27">
        <v>4.95</v>
      </c>
      <c r="O217" s="28">
        <v>5.51</v>
      </c>
      <c r="P217" s="28">
        <v>1.27</v>
      </c>
      <c r="Q217" s="28">
        <v>3.39</v>
      </c>
      <c r="R217" s="28">
        <v>4.53</v>
      </c>
      <c r="S217" s="28">
        <v>1.21</v>
      </c>
      <c r="T217" s="28">
        <v>4.07</v>
      </c>
      <c r="U217" s="29">
        <v>2.74</v>
      </c>
    </row>
    <row r="218" spans="3:21" x14ac:dyDescent="0.3">
      <c r="C218" s="66"/>
      <c r="D218" s="70"/>
      <c r="E218" s="39" t="s">
        <v>25</v>
      </c>
      <c r="F218" s="9">
        <v>-0.12694444444443942</v>
      </c>
      <c r="G218" s="10">
        <v>2.0686274509809977E-2</v>
      </c>
      <c r="H218" s="10">
        <v>-9.7818181818180028E-2</v>
      </c>
      <c r="I218" s="10">
        <v>2.9245283018870083E-2</v>
      </c>
      <c r="J218" s="10">
        <v>2.5882352941204445E-3</v>
      </c>
      <c r="K218" s="10">
        <v>0.14513513513513998</v>
      </c>
      <c r="L218" s="10">
        <v>-5.0450450450396644E-3</v>
      </c>
      <c r="M218" s="11">
        <v>-0.17047619047618978</v>
      </c>
      <c r="N218" s="9">
        <v>-0.12531914893617024</v>
      </c>
      <c r="O218" s="10">
        <v>9.9999999999997868E-3</v>
      </c>
      <c r="P218" s="10">
        <v>-0.10062499999999996</v>
      </c>
      <c r="Q218" s="10">
        <v>2.4285714285720239E-2</v>
      </c>
      <c r="R218" s="10">
        <v>8.5294117647105594E-3</v>
      </c>
      <c r="S218" s="10">
        <v>0.14500000000000002</v>
      </c>
      <c r="T218" s="10">
        <v>-3.6734693877500391E-3</v>
      </c>
      <c r="U218" s="11">
        <v>-0.17357142857141961</v>
      </c>
    </row>
    <row r="219" spans="3:21" x14ac:dyDescent="0.3">
      <c r="C219" s="66"/>
      <c r="D219" s="70"/>
      <c r="E219" s="39" t="s">
        <v>26</v>
      </c>
      <c r="F219" s="9">
        <v>-2.500410351808187</v>
      </c>
      <c r="G219" s="10">
        <v>0.37684627886635708</v>
      </c>
      <c r="H219" s="10">
        <v>-7.1514023660772406</v>
      </c>
      <c r="I219" s="10">
        <v>0.87019986525944049</v>
      </c>
      <c r="J219" s="10">
        <v>5.7168100200150174E-2</v>
      </c>
      <c r="K219" s="10">
        <v>13.629441624366001</v>
      </c>
      <c r="L219" s="10">
        <v>-0.12380341785851114</v>
      </c>
      <c r="M219" s="11">
        <v>-5.8573298429319145</v>
      </c>
      <c r="N219" s="9">
        <v>-2.469187557642325</v>
      </c>
      <c r="O219" s="10">
        <v>0.18181818181817794</v>
      </c>
      <c r="P219" s="10">
        <v>-7.3415412676698555</v>
      </c>
      <c r="Q219" s="10">
        <v>0.72156196943990647</v>
      </c>
      <c r="R219" s="10">
        <v>0.18864242503100195</v>
      </c>
      <c r="S219" s="10">
        <v>13.615023474178406</v>
      </c>
      <c r="T219" s="10">
        <v>-9.0175842893518432E-2</v>
      </c>
      <c r="U219" s="11">
        <v>-5.9573424859031183</v>
      </c>
    </row>
    <row r="220" spans="3:21" x14ac:dyDescent="0.3">
      <c r="C220" s="66"/>
      <c r="D220" s="70" t="s">
        <v>28</v>
      </c>
      <c r="E220" s="40" t="s">
        <v>24</v>
      </c>
      <c r="F220" s="27">
        <v>4.93</v>
      </c>
      <c r="G220" s="28">
        <v>5.56</v>
      </c>
      <c r="H220" s="28">
        <v>1.32</v>
      </c>
      <c r="I220" s="28">
        <v>3.44</v>
      </c>
      <c r="J220" s="28">
        <v>4.59</v>
      </c>
      <c r="K220" s="28">
        <v>1.25</v>
      </c>
      <c r="L220" s="28">
        <v>4.05</v>
      </c>
      <c r="M220" s="29">
        <v>2.72</v>
      </c>
      <c r="N220" s="27">
        <v>4.93</v>
      </c>
      <c r="O220" s="28">
        <v>5.56</v>
      </c>
      <c r="P220" s="28">
        <v>1.32</v>
      </c>
      <c r="Q220" s="28">
        <v>3.44</v>
      </c>
      <c r="R220" s="28">
        <v>4.59</v>
      </c>
      <c r="S220" s="28">
        <v>1.25</v>
      </c>
      <c r="T220" s="28">
        <v>4.05</v>
      </c>
      <c r="U220" s="29">
        <v>2.72</v>
      </c>
    </row>
    <row r="221" spans="3:21" x14ac:dyDescent="0.3">
      <c r="C221" s="66"/>
      <c r="D221" s="70"/>
      <c r="E221" s="39" t="s">
        <v>25</v>
      </c>
      <c r="F221" s="9">
        <v>-0.14694444444443988</v>
      </c>
      <c r="G221" s="10">
        <v>7.0686274509809799E-2</v>
      </c>
      <c r="H221" s="10">
        <v>-4.7818181818179983E-2</v>
      </c>
      <c r="I221" s="10">
        <v>7.9245283018869905E-2</v>
      </c>
      <c r="J221" s="10">
        <v>6.2588235294120054E-2</v>
      </c>
      <c r="K221" s="10">
        <v>0.18513513513514002</v>
      </c>
      <c r="L221" s="10">
        <v>-2.5045045045040126E-2</v>
      </c>
      <c r="M221" s="11">
        <v>-0.1904761904761898</v>
      </c>
      <c r="N221" s="9">
        <v>-0.14531914893617071</v>
      </c>
      <c r="O221" s="10">
        <v>5.9999999999999609E-2</v>
      </c>
      <c r="P221" s="10">
        <v>-5.062499999999992E-2</v>
      </c>
      <c r="Q221" s="10">
        <v>7.4285714285720061E-2</v>
      </c>
      <c r="R221" s="10">
        <v>6.8529411764710169E-2</v>
      </c>
      <c r="S221" s="10">
        <v>0.18500000000000005</v>
      </c>
      <c r="T221" s="10">
        <v>-2.3673469387750501E-2</v>
      </c>
      <c r="U221" s="11">
        <v>-0.19357142857141962</v>
      </c>
    </row>
    <row r="222" spans="3:21" ht="15" thickBot="1" x14ac:dyDescent="0.35">
      <c r="C222" s="66"/>
      <c r="D222" s="74"/>
      <c r="E222" s="41" t="s">
        <v>26</v>
      </c>
      <c r="F222" s="12">
        <v>-2.8943480877604864</v>
      </c>
      <c r="G222" s="13">
        <v>1.2877069529032537</v>
      </c>
      <c r="H222" s="13">
        <v>-3.4959457663164994</v>
      </c>
      <c r="I222" s="13">
        <v>2.3579609252190137</v>
      </c>
      <c r="J222" s="13">
        <v>1.3824286048385541</v>
      </c>
      <c r="K222" s="13">
        <v>17.385786802030996</v>
      </c>
      <c r="L222" s="13">
        <v>-0.61459553865528649</v>
      </c>
      <c r="M222" s="14">
        <v>-6.544502617801025</v>
      </c>
      <c r="N222" s="12">
        <v>-2.8632514462983245</v>
      </c>
      <c r="O222" s="13">
        <v>1.0909090909090839</v>
      </c>
      <c r="P222" s="13">
        <v>-3.6935704514363827</v>
      </c>
      <c r="Q222" s="13">
        <v>2.2071307300511092</v>
      </c>
      <c r="R222" s="13">
        <v>1.5156443114552449</v>
      </c>
      <c r="S222" s="13">
        <v>17.370892018779351</v>
      </c>
      <c r="T222" s="13">
        <v>-0.58113320975891791</v>
      </c>
      <c r="U222" s="14">
        <v>-6.6437852414804679</v>
      </c>
    </row>
    <row r="223" spans="3:21" x14ac:dyDescent="0.3">
      <c r="C223" s="65">
        <v>2</v>
      </c>
      <c r="D223" s="71" t="s">
        <v>20</v>
      </c>
      <c r="E223" s="72"/>
      <c r="F223" s="21">
        <v>4.7513333333333296</v>
      </c>
      <c r="G223" s="22">
        <v>5.2291262135922301</v>
      </c>
      <c r="H223" s="22">
        <v>1.3313333333333299</v>
      </c>
      <c r="I223" s="22">
        <v>3.2196039603960398</v>
      </c>
      <c r="J223" s="22">
        <v>4.4234177215189803</v>
      </c>
      <c r="K223" s="22">
        <v>1.06638095238095</v>
      </c>
      <c r="L223" s="22">
        <v>3.87619047619047</v>
      </c>
      <c r="M223" s="23">
        <v>2.7946835443037901</v>
      </c>
      <c r="N223" s="21">
        <v>4.7182000000000004</v>
      </c>
      <c r="O223" s="22">
        <v>5.1563999999999997</v>
      </c>
      <c r="P223" s="22">
        <v>1.3517999999999999</v>
      </c>
      <c r="Q223" s="22">
        <v>3.1245833333333302</v>
      </c>
      <c r="R223" s="22">
        <v>4.52475</v>
      </c>
      <c r="S223" s="22">
        <v>1.0656000000000001</v>
      </c>
      <c r="T223" s="22">
        <v>3.9441999999999999</v>
      </c>
      <c r="U223" s="23">
        <v>2.82</v>
      </c>
    </row>
    <row r="224" spans="3:21" ht="15" customHeight="1" x14ac:dyDescent="0.3">
      <c r="C224" s="66"/>
      <c r="D224" s="68" t="s">
        <v>21</v>
      </c>
      <c r="E224" s="69"/>
      <c r="F224" s="24">
        <v>1.0225077172060999</v>
      </c>
      <c r="G224" s="25">
        <v>1.0231932755915401</v>
      </c>
      <c r="H224" s="25">
        <v>0.17860873261148</v>
      </c>
      <c r="I224" s="25">
        <v>0.52171636160322998</v>
      </c>
      <c r="J224" s="25">
        <v>0.54049879934280198</v>
      </c>
      <c r="K224" s="25">
        <v>2.7399124404633601E-2</v>
      </c>
      <c r="L224" s="25">
        <v>0.72564766598356201</v>
      </c>
      <c r="M224" s="26">
        <v>0.47811559283185501</v>
      </c>
      <c r="N224" s="24">
        <v>1.0032102272205901</v>
      </c>
      <c r="O224" s="25">
        <v>1.14797344917031</v>
      </c>
      <c r="P224" s="25">
        <v>0.10224852077169599</v>
      </c>
      <c r="Q224" s="25">
        <v>0.66406562907759503</v>
      </c>
      <c r="R224" s="25">
        <v>0.14931489376482099</v>
      </c>
      <c r="S224" s="25">
        <v>2.3846173697262201E-2</v>
      </c>
      <c r="T224" s="25">
        <v>0.58464720986249397</v>
      </c>
      <c r="U224" s="26">
        <v>0.39107466542770802</v>
      </c>
    </row>
    <row r="225" spans="3:21" ht="15" customHeight="1" x14ac:dyDescent="0.3">
      <c r="C225" s="66"/>
      <c r="D225" s="68" t="s">
        <v>22</v>
      </c>
      <c r="E225" s="69"/>
      <c r="F225" s="33">
        <v>5.0601052631578902</v>
      </c>
      <c r="G225" s="34">
        <v>5.5002105263157803</v>
      </c>
      <c r="H225" s="34">
        <v>1.3639603960396001</v>
      </c>
      <c r="I225" s="34">
        <v>3.3652173913043502</v>
      </c>
      <c r="J225" s="34">
        <v>4.5382666666666598</v>
      </c>
      <c r="K225" s="34">
        <v>1.0667948717948701</v>
      </c>
      <c r="L225" s="34">
        <v>4.0685567010309196</v>
      </c>
      <c r="M225" s="35">
        <v>2.9026666666666601</v>
      </c>
      <c r="N225" s="33">
        <v>5.0620454545454496</v>
      </c>
      <c r="O225" s="34">
        <v>5.47</v>
      </c>
      <c r="P225" s="34">
        <v>1.36591836734693</v>
      </c>
      <c r="Q225" s="34">
        <v>3.3297674418604601</v>
      </c>
      <c r="R225" s="34">
        <v>4.5186111111111096</v>
      </c>
      <c r="S225" s="34">
        <v>1.0634375</v>
      </c>
      <c r="T225" s="34">
        <v>4.0776595744680799</v>
      </c>
      <c r="U225" s="35">
        <v>2.8878124999999999</v>
      </c>
    </row>
    <row r="226" spans="3:21" x14ac:dyDescent="0.3">
      <c r="C226" s="66"/>
      <c r="D226" s="73" t="s">
        <v>23</v>
      </c>
      <c r="E226" s="38" t="s">
        <v>24</v>
      </c>
      <c r="F226" s="27">
        <v>5.07</v>
      </c>
      <c r="G226" s="28">
        <v>5.65</v>
      </c>
      <c r="H226" s="28">
        <v>1.37</v>
      </c>
      <c r="I226" s="28">
        <v>3.57</v>
      </c>
      <c r="J226" s="28">
        <v>4.6500000000000004</v>
      </c>
      <c r="K226" s="28">
        <v>1.3</v>
      </c>
      <c r="L226" s="28">
        <v>4.17</v>
      </c>
      <c r="M226" s="29">
        <v>2.82</v>
      </c>
      <c r="N226" s="27">
        <v>5.07</v>
      </c>
      <c r="O226" s="28">
        <v>5.65</v>
      </c>
      <c r="P226" s="28">
        <v>1.37</v>
      </c>
      <c r="Q226" s="28">
        <v>3.57</v>
      </c>
      <c r="R226" s="28">
        <v>4.6500000000000004</v>
      </c>
      <c r="S226" s="28">
        <v>1.3</v>
      </c>
      <c r="T226" s="28">
        <v>4.17</v>
      </c>
      <c r="U226" s="29">
        <v>2.82</v>
      </c>
    </row>
    <row r="227" spans="3:21" x14ac:dyDescent="0.3">
      <c r="C227" s="66"/>
      <c r="D227" s="70"/>
      <c r="E227" s="39" t="s">
        <v>25</v>
      </c>
      <c r="F227" s="9">
        <v>9.8947368421100634E-3</v>
      </c>
      <c r="G227" s="10">
        <v>0.14978947368422002</v>
      </c>
      <c r="H227" s="10">
        <v>6.0396039604000418E-3</v>
      </c>
      <c r="I227" s="10">
        <v>0.20478260869564968</v>
      </c>
      <c r="J227" s="10">
        <v>0.11173333333334057</v>
      </c>
      <c r="K227" s="10">
        <v>0.23320512820512995</v>
      </c>
      <c r="L227" s="10">
        <v>0.10144329896908033</v>
      </c>
      <c r="M227" s="11">
        <v>-8.2666666666660227E-2</v>
      </c>
      <c r="N227" s="9">
        <v>7.9545454545506544E-3</v>
      </c>
      <c r="O227" s="10">
        <v>0.1800000000000006</v>
      </c>
      <c r="P227" s="10">
        <v>4.0816326530701552E-3</v>
      </c>
      <c r="Q227" s="10">
        <v>0.2402325581395397</v>
      </c>
      <c r="R227" s="10">
        <v>0.13138888888889078</v>
      </c>
      <c r="S227" s="10">
        <v>0.23656250000000001</v>
      </c>
      <c r="T227" s="10">
        <v>9.2340425531920012E-2</v>
      </c>
      <c r="U227" s="11">
        <v>-6.7812500000000053E-2</v>
      </c>
    </row>
    <row r="228" spans="3:21" x14ac:dyDescent="0.3">
      <c r="C228" s="66"/>
      <c r="D228" s="70"/>
      <c r="E228" s="39" t="s">
        <v>26</v>
      </c>
      <c r="F228" s="9">
        <v>0.19554409103211021</v>
      </c>
      <c r="G228" s="10">
        <v>2.723340733369235</v>
      </c>
      <c r="H228" s="10">
        <v>0.44279907084814596</v>
      </c>
      <c r="I228" s="10">
        <v>6.0852713178293794</v>
      </c>
      <c r="J228" s="10">
        <v>2.4620266180922394</v>
      </c>
      <c r="K228" s="10">
        <v>21.860353322918115</v>
      </c>
      <c r="L228" s="10">
        <v>2.4933485366782748</v>
      </c>
      <c r="M228" s="11">
        <v>-2.8479559026180667</v>
      </c>
      <c r="N228" s="9">
        <v>0.15714093296827061</v>
      </c>
      <c r="O228" s="10">
        <v>3.2906764168190237</v>
      </c>
      <c r="P228" s="10">
        <v>0.29881966233443735</v>
      </c>
      <c r="Q228" s="10">
        <v>7.2146947897752636</v>
      </c>
      <c r="R228" s="10">
        <v>2.907727300670111</v>
      </c>
      <c r="S228" s="10">
        <v>22.245077872465473</v>
      </c>
      <c r="T228" s="10">
        <v>2.2645447430212609</v>
      </c>
      <c r="U228" s="11">
        <v>-2.3482307109620191</v>
      </c>
    </row>
    <row r="229" spans="3:21" x14ac:dyDescent="0.3">
      <c r="C229" s="66"/>
      <c r="D229" s="70" t="s">
        <v>27</v>
      </c>
      <c r="E229" s="40" t="s">
        <v>24</v>
      </c>
      <c r="F229" s="27">
        <v>4.95</v>
      </c>
      <c r="G229" s="28">
        <v>5.51</v>
      </c>
      <c r="H229" s="28">
        <v>1.27</v>
      </c>
      <c r="I229" s="28">
        <v>3.39</v>
      </c>
      <c r="J229" s="28">
        <v>4.53</v>
      </c>
      <c r="K229" s="28">
        <v>1.21</v>
      </c>
      <c r="L229" s="28">
        <v>4.07</v>
      </c>
      <c r="M229" s="29">
        <v>2.74</v>
      </c>
      <c r="N229" s="27">
        <v>4.95</v>
      </c>
      <c r="O229" s="28">
        <v>5.51</v>
      </c>
      <c r="P229" s="28">
        <v>1.27</v>
      </c>
      <c r="Q229" s="28">
        <v>3.39</v>
      </c>
      <c r="R229" s="28">
        <v>4.53</v>
      </c>
      <c r="S229" s="28">
        <v>1.21</v>
      </c>
      <c r="T229" s="28">
        <v>4.07</v>
      </c>
      <c r="U229" s="29">
        <v>2.74</v>
      </c>
    </row>
    <row r="230" spans="3:21" x14ac:dyDescent="0.3">
      <c r="C230" s="66"/>
      <c r="D230" s="70"/>
      <c r="E230" s="39" t="s">
        <v>25</v>
      </c>
      <c r="F230" s="9">
        <v>-0.11010526315789004</v>
      </c>
      <c r="G230" s="10">
        <v>9.7894736842194519E-3</v>
      </c>
      <c r="H230" s="10">
        <v>-9.3960396039600047E-2</v>
      </c>
      <c r="I230" s="10">
        <v>2.4782608695649966E-2</v>
      </c>
      <c r="J230" s="10">
        <v>-8.266666666659539E-3</v>
      </c>
      <c r="K230" s="10">
        <v>0.14320512820512987</v>
      </c>
      <c r="L230" s="10">
        <v>1.4432989690806863E-3</v>
      </c>
      <c r="M230" s="11">
        <v>-0.16266666666665985</v>
      </c>
      <c r="N230" s="9">
        <v>-0.11204545454544945</v>
      </c>
      <c r="O230" s="10">
        <v>4.0000000000000036E-2</v>
      </c>
      <c r="P230" s="10">
        <v>-9.5918367346929934E-2</v>
      </c>
      <c r="Q230" s="10">
        <v>6.0232558139539982E-2</v>
      </c>
      <c r="R230" s="10">
        <v>1.1388888888890669E-2</v>
      </c>
      <c r="S230" s="10">
        <v>0.14656249999999993</v>
      </c>
      <c r="T230" s="10">
        <v>-7.6595744680796329E-3</v>
      </c>
      <c r="U230" s="11">
        <v>-0.14781249999999968</v>
      </c>
    </row>
    <row r="231" spans="3:21" x14ac:dyDescent="0.3">
      <c r="C231" s="66"/>
      <c r="D231" s="70"/>
      <c r="E231" s="39" t="s">
        <v>26</v>
      </c>
      <c r="F231" s="9">
        <v>-2.1759480768029715</v>
      </c>
      <c r="G231" s="10">
        <v>0.17798361785211081</v>
      </c>
      <c r="H231" s="10">
        <v>-6.8887921022064686</v>
      </c>
      <c r="I231" s="10">
        <v>0.7364341085270657</v>
      </c>
      <c r="J231" s="10">
        <v>-0.18215471398756247</v>
      </c>
      <c r="K231" s="10">
        <v>13.423867323639163</v>
      </c>
      <c r="L231" s="10">
        <v>3.5474471050507245E-2</v>
      </c>
      <c r="M231" s="11">
        <v>-5.6040422599905906</v>
      </c>
      <c r="N231" s="9">
        <v>-2.2134422843800929</v>
      </c>
      <c r="O231" s="10">
        <v>0.73126142595978127</v>
      </c>
      <c r="P231" s="10">
        <v>-7.0222620648432654</v>
      </c>
      <c r="Q231" s="10">
        <v>1.8089118591983679</v>
      </c>
      <c r="R231" s="10">
        <v>0.25204401549152533</v>
      </c>
      <c r="S231" s="10">
        <v>13.781957096679392</v>
      </c>
      <c r="T231" s="10">
        <v>-0.18784242107995991</v>
      </c>
      <c r="U231" s="11">
        <v>-5.1184936695162753</v>
      </c>
    </row>
    <row r="232" spans="3:21" x14ac:dyDescent="0.3">
      <c r="C232" s="66"/>
      <c r="D232" s="70" t="s">
        <v>28</v>
      </c>
      <c r="E232" s="40" t="s">
        <v>24</v>
      </c>
      <c r="F232" s="27">
        <v>4.93</v>
      </c>
      <c r="G232" s="28">
        <v>5.56</v>
      </c>
      <c r="H232" s="28">
        <v>1.32</v>
      </c>
      <c r="I232" s="28">
        <v>3.44</v>
      </c>
      <c r="J232" s="28">
        <v>4.59</v>
      </c>
      <c r="K232" s="28">
        <v>1.25</v>
      </c>
      <c r="L232" s="28">
        <v>4.05</v>
      </c>
      <c r="M232" s="29">
        <v>2.72</v>
      </c>
      <c r="N232" s="27">
        <v>4.93</v>
      </c>
      <c r="O232" s="28">
        <v>5.56</v>
      </c>
      <c r="P232" s="28">
        <v>1.32</v>
      </c>
      <c r="Q232" s="28">
        <v>3.44</v>
      </c>
      <c r="R232" s="28">
        <v>4.59</v>
      </c>
      <c r="S232" s="28">
        <v>1.25</v>
      </c>
      <c r="T232" s="28">
        <v>4.05</v>
      </c>
      <c r="U232" s="29">
        <v>2.72</v>
      </c>
    </row>
    <row r="233" spans="3:21" x14ac:dyDescent="0.3">
      <c r="C233" s="66"/>
      <c r="D233" s="70"/>
      <c r="E233" s="39" t="s">
        <v>25</v>
      </c>
      <c r="F233" s="9">
        <v>-0.1301052631578905</v>
      </c>
      <c r="G233" s="10">
        <v>5.9789473684219274E-2</v>
      </c>
      <c r="H233" s="10">
        <v>-4.3960396039600003E-2</v>
      </c>
      <c r="I233" s="10">
        <v>7.4782608695649788E-2</v>
      </c>
      <c r="J233" s="10">
        <v>5.173333333334007E-2</v>
      </c>
      <c r="K233" s="10">
        <v>0.18320512820512991</v>
      </c>
      <c r="L233" s="10">
        <v>-1.8556701030919776E-2</v>
      </c>
      <c r="M233" s="11">
        <v>-0.18266666666665987</v>
      </c>
      <c r="N233" s="9">
        <v>-0.13204545454544991</v>
      </c>
      <c r="O233" s="10">
        <v>8.9999999999999858E-2</v>
      </c>
      <c r="P233" s="10">
        <v>-4.5918367346929889E-2</v>
      </c>
      <c r="Q233" s="10">
        <v>0.1102325581395398</v>
      </c>
      <c r="R233" s="10">
        <v>7.1388888888890278E-2</v>
      </c>
      <c r="S233" s="10">
        <v>0.18656249999999996</v>
      </c>
      <c r="T233" s="10">
        <v>-2.7659574468080095E-2</v>
      </c>
      <c r="U233" s="11">
        <v>-0.1678124999999997</v>
      </c>
    </row>
    <row r="234" spans="3:21" ht="15" thickBot="1" x14ac:dyDescent="0.35">
      <c r="C234" s="66"/>
      <c r="D234" s="74"/>
      <c r="E234" s="41" t="s">
        <v>26</v>
      </c>
      <c r="F234" s="12">
        <v>-2.5711967714421604</v>
      </c>
      <c r="G234" s="13">
        <v>1.0870397305367909</v>
      </c>
      <c r="H234" s="13">
        <v>-3.2229965156791613</v>
      </c>
      <c r="I234" s="13">
        <v>2.2222222222221499</v>
      </c>
      <c r="J234" s="13">
        <v>1.1399359520523287</v>
      </c>
      <c r="K234" s="13">
        <v>17.173416656652034</v>
      </c>
      <c r="L234" s="13">
        <v>-0.4561003420750594</v>
      </c>
      <c r="M234" s="14">
        <v>-6.2930638493337261</v>
      </c>
      <c r="N234" s="12">
        <v>-2.6085394872714955</v>
      </c>
      <c r="O234" s="13">
        <v>1.6453382084095038</v>
      </c>
      <c r="P234" s="13">
        <v>-3.3617212012544142</v>
      </c>
      <c r="Q234" s="13">
        <v>3.3105182288030583</v>
      </c>
      <c r="R234" s="13">
        <v>1.5798856580808083</v>
      </c>
      <c r="S234" s="13">
        <v>17.543344108139873</v>
      </c>
      <c r="T234" s="13">
        <v>-0.6783198539002171</v>
      </c>
      <c r="U234" s="14">
        <v>-5.8110594091548426</v>
      </c>
    </row>
    <row r="235" spans="3:21" x14ac:dyDescent="0.3">
      <c r="C235" s="65">
        <v>3</v>
      </c>
      <c r="D235" s="71" t="s">
        <v>20</v>
      </c>
      <c r="E235" s="72"/>
      <c r="F235" s="21">
        <v>4.8828440366972403</v>
      </c>
      <c r="G235" s="22">
        <v>5.3088073394495403</v>
      </c>
      <c r="H235" s="22">
        <v>1.36871559633027</v>
      </c>
      <c r="I235" s="22">
        <v>3.2097247706421999</v>
      </c>
      <c r="J235" s="22">
        <v>4.3034999999999997</v>
      </c>
      <c r="K235" s="22">
        <v>1.0419266055045799</v>
      </c>
      <c r="L235" s="22">
        <v>3.8604587155963199</v>
      </c>
      <c r="M235" s="23">
        <v>2.85942528735632</v>
      </c>
      <c r="N235" s="21">
        <v>4.9184444444444404</v>
      </c>
      <c r="O235" s="22">
        <v>5.1757777777777703</v>
      </c>
      <c r="P235" s="22">
        <v>1.36977777777777</v>
      </c>
      <c r="Q235" s="22">
        <v>3.2488888888888798</v>
      </c>
      <c r="R235" s="22">
        <v>4.39970588235294</v>
      </c>
      <c r="S235" s="22">
        <v>1.0308888888888801</v>
      </c>
      <c r="T235" s="22">
        <v>3.85466666666666</v>
      </c>
      <c r="U235" s="23">
        <v>2.8318181818181798</v>
      </c>
    </row>
    <row r="236" spans="3:21" ht="15" customHeight="1" x14ac:dyDescent="0.3">
      <c r="C236" s="66"/>
      <c r="D236" s="68" t="s">
        <v>21</v>
      </c>
      <c r="E236" s="69"/>
      <c r="F236" s="24">
        <v>0.79490359665120702</v>
      </c>
      <c r="G236" s="25">
        <v>0.87251689583876302</v>
      </c>
      <c r="H236" s="25">
        <v>2.5272856579545099E-2</v>
      </c>
      <c r="I236" s="25">
        <v>0.56979387664617698</v>
      </c>
      <c r="J236" s="25">
        <v>0.76914904277389495</v>
      </c>
      <c r="K236" s="25">
        <v>0.132329010766015</v>
      </c>
      <c r="L236" s="25">
        <v>0.751299040526205</v>
      </c>
      <c r="M236" s="26">
        <v>0.32494864783279997</v>
      </c>
      <c r="N236" s="24">
        <v>0.68452077496451802</v>
      </c>
      <c r="O236" s="25">
        <v>1.1633867970310501</v>
      </c>
      <c r="P236" s="25">
        <v>2.6540442003259598E-2</v>
      </c>
      <c r="Q236" s="25">
        <v>0.38986164054114297</v>
      </c>
      <c r="R236" s="25">
        <v>0.61193754628526698</v>
      </c>
      <c r="S236" s="25">
        <v>0.169113009187771</v>
      </c>
      <c r="T236" s="25">
        <v>0.74086316025445698</v>
      </c>
      <c r="U236" s="26">
        <v>0.39785374612511198</v>
      </c>
    </row>
    <row r="237" spans="3:21" ht="15" customHeight="1" x14ac:dyDescent="0.3">
      <c r="C237" s="66"/>
      <c r="D237" s="68" t="s">
        <v>22</v>
      </c>
      <c r="E237" s="69"/>
      <c r="F237" s="33">
        <v>5.0685436893203804</v>
      </c>
      <c r="G237" s="34">
        <v>5.4906730769230698</v>
      </c>
      <c r="H237" s="34">
        <v>1.3671621621621599</v>
      </c>
      <c r="I237" s="34">
        <v>3.3687</v>
      </c>
      <c r="J237" s="34">
        <v>4.5316438356164301</v>
      </c>
      <c r="K237" s="34">
        <v>1.06330188679245</v>
      </c>
      <c r="L237" s="34">
        <v>4.0722999999999896</v>
      </c>
      <c r="M237" s="35">
        <v>2.9079999999999999</v>
      </c>
      <c r="N237" s="33">
        <v>5.0611627906976704</v>
      </c>
      <c r="O237" s="34">
        <v>5.4840476190476197</v>
      </c>
      <c r="P237" s="34">
        <v>1.36333333333333</v>
      </c>
      <c r="Q237" s="34">
        <v>3.3682926829268198</v>
      </c>
      <c r="R237" s="34">
        <v>4.5496875000000001</v>
      </c>
      <c r="S237" s="34">
        <v>1.0658139534883699</v>
      </c>
      <c r="T237" s="34">
        <v>4.07951219512195</v>
      </c>
      <c r="U237" s="35">
        <v>2.9012500000000001</v>
      </c>
    </row>
    <row r="238" spans="3:21" x14ac:dyDescent="0.3">
      <c r="C238" s="66"/>
      <c r="D238" s="73" t="s">
        <v>23</v>
      </c>
      <c r="E238" s="38" t="s">
        <v>24</v>
      </c>
      <c r="F238" s="30">
        <v>5.07</v>
      </c>
      <c r="G238" s="31">
        <v>5.65</v>
      </c>
      <c r="H238" s="31">
        <v>1.37</v>
      </c>
      <c r="I238" s="31">
        <v>3.57</v>
      </c>
      <c r="J238" s="31">
        <v>4.6500000000000004</v>
      </c>
      <c r="K238" s="31">
        <v>1.3</v>
      </c>
      <c r="L238" s="31">
        <v>4.17</v>
      </c>
      <c r="M238" s="32">
        <v>2.82</v>
      </c>
      <c r="N238" s="30">
        <v>5.07</v>
      </c>
      <c r="O238" s="31">
        <v>5.65</v>
      </c>
      <c r="P238" s="31">
        <v>1.37</v>
      </c>
      <c r="Q238" s="31">
        <v>3.57</v>
      </c>
      <c r="R238" s="31">
        <v>4.6500000000000004</v>
      </c>
      <c r="S238" s="31">
        <v>1.3</v>
      </c>
      <c r="T238" s="31">
        <v>4.17</v>
      </c>
      <c r="U238" s="32">
        <v>2.82</v>
      </c>
    </row>
    <row r="239" spans="3:21" x14ac:dyDescent="0.3">
      <c r="C239" s="66"/>
      <c r="D239" s="70"/>
      <c r="E239" s="39" t="s">
        <v>25</v>
      </c>
      <c r="F239" s="15">
        <v>1.4563106796199321E-3</v>
      </c>
      <c r="G239" s="16">
        <v>0.15932692307693053</v>
      </c>
      <c r="H239" s="16">
        <v>2.8378378378401958E-3</v>
      </c>
      <c r="I239" s="16">
        <v>0.20129999999999981</v>
      </c>
      <c r="J239" s="16">
        <v>0.11835616438357022</v>
      </c>
      <c r="K239" s="16">
        <v>0.23669811320755008</v>
      </c>
      <c r="L239" s="16">
        <v>9.7700000000010334E-2</v>
      </c>
      <c r="M239" s="17">
        <v>-8.8000000000000078E-2</v>
      </c>
      <c r="N239" s="15">
        <v>8.8372093023298959E-3</v>
      </c>
      <c r="O239" s="16">
        <v>0.16595238095238063</v>
      </c>
      <c r="P239" s="16">
        <v>6.6666666666701513E-3</v>
      </c>
      <c r="Q239" s="16">
        <v>0.20170731707318001</v>
      </c>
      <c r="R239" s="16">
        <v>0.10031250000000025</v>
      </c>
      <c r="S239" s="16">
        <v>0.23418604651163011</v>
      </c>
      <c r="T239" s="16">
        <v>9.0487804878049971E-2</v>
      </c>
      <c r="U239" s="17">
        <v>-8.1250000000000266E-2</v>
      </c>
    </row>
    <row r="240" spans="3:21" x14ac:dyDescent="0.3">
      <c r="C240" s="66"/>
      <c r="D240" s="70"/>
      <c r="E240" s="39" t="s">
        <v>26</v>
      </c>
      <c r="F240" s="15">
        <v>2.8732329617448808E-2</v>
      </c>
      <c r="G240" s="16">
        <v>2.9017739873563206</v>
      </c>
      <c r="H240" s="16">
        <v>0.20757141445109703</v>
      </c>
      <c r="I240" s="16">
        <v>5.975598895716443</v>
      </c>
      <c r="J240" s="16">
        <v>2.6117711072823195</v>
      </c>
      <c r="K240" s="16">
        <v>22.260668973472075</v>
      </c>
      <c r="L240" s="16">
        <v>2.399135623603629</v>
      </c>
      <c r="M240" s="17">
        <v>-3.0261348005502091</v>
      </c>
      <c r="N240" s="15">
        <v>0.1746082801085263</v>
      </c>
      <c r="O240" s="16">
        <v>3.0260929970042918</v>
      </c>
      <c r="P240" s="16">
        <v>0.48899755501248177</v>
      </c>
      <c r="Q240" s="16">
        <v>5.9884141926143402</v>
      </c>
      <c r="R240" s="16">
        <v>2.2048217597362512</v>
      </c>
      <c r="S240" s="16">
        <v>21.972507091425079</v>
      </c>
      <c r="T240" s="16">
        <v>2.2181035513571983</v>
      </c>
      <c r="U240" s="17">
        <v>-2.8005170185265063</v>
      </c>
    </row>
    <row r="241" spans="3:21" x14ac:dyDescent="0.3">
      <c r="C241" s="66"/>
      <c r="D241" s="70" t="s">
        <v>27</v>
      </c>
      <c r="E241" s="40" t="s">
        <v>24</v>
      </c>
      <c r="F241" s="30">
        <v>4.95</v>
      </c>
      <c r="G241" s="31">
        <v>5.51</v>
      </c>
      <c r="H241" s="31">
        <v>1.27</v>
      </c>
      <c r="I241" s="31">
        <v>3.39</v>
      </c>
      <c r="J241" s="31">
        <v>4.53</v>
      </c>
      <c r="K241" s="31">
        <v>1.21</v>
      </c>
      <c r="L241" s="31">
        <v>4.07</v>
      </c>
      <c r="M241" s="32">
        <v>2.74</v>
      </c>
      <c r="N241" s="30">
        <v>4.95</v>
      </c>
      <c r="O241" s="31">
        <v>5.51</v>
      </c>
      <c r="P241" s="31">
        <v>1.27</v>
      </c>
      <c r="Q241" s="31">
        <v>3.39</v>
      </c>
      <c r="R241" s="31">
        <v>4.53</v>
      </c>
      <c r="S241" s="31">
        <v>1.21</v>
      </c>
      <c r="T241" s="31">
        <v>4.07</v>
      </c>
      <c r="U241" s="32">
        <v>2.74</v>
      </c>
    </row>
    <row r="242" spans="3:21" x14ac:dyDescent="0.3">
      <c r="C242" s="66"/>
      <c r="D242" s="70"/>
      <c r="E242" s="39" t="s">
        <v>25</v>
      </c>
      <c r="F242" s="15">
        <v>-0.11854368932038017</v>
      </c>
      <c r="G242" s="16">
        <v>1.9326923076929958E-2</v>
      </c>
      <c r="H242" s="16">
        <v>-9.7162162162159893E-2</v>
      </c>
      <c r="I242" s="16">
        <v>2.1300000000000097E-2</v>
      </c>
      <c r="J242" s="16">
        <v>-1.6438356164298895E-3</v>
      </c>
      <c r="K242" s="16">
        <v>0.14669811320755</v>
      </c>
      <c r="L242" s="16">
        <v>-2.2999999999893106E-3</v>
      </c>
      <c r="M242" s="17">
        <v>-0.16799999999999971</v>
      </c>
      <c r="N242" s="15">
        <v>-0.11116279069767021</v>
      </c>
      <c r="O242" s="16">
        <v>2.5952380952380061E-2</v>
      </c>
      <c r="P242" s="16">
        <v>-9.3333333333329938E-2</v>
      </c>
      <c r="Q242" s="16">
        <v>2.1707317073180299E-2</v>
      </c>
      <c r="R242" s="16">
        <v>-1.9687499999999858E-2</v>
      </c>
      <c r="S242" s="16">
        <v>0.14418604651163003</v>
      </c>
      <c r="T242" s="16">
        <v>-9.5121951219496736E-3</v>
      </c>
      <c r="U242" s="17">
        <v>-0.16124999999999989</v>
      </c>
    </row>
    <row r="243" spans="3:21" x14ac:dyDescent="0.3">
      <c r="C243" s="66"/>
      <c r="D243" s="70"/>
      <c r="E243" s="39" t="s">
        <v>26</v>
      </c>
      <c r="F243" s="15">
        <v>-2.3388116308468718</v>
      </c>
      <c r="G243" s="16">
        <v>0.35199551687314473</v>
      </c>
      <c r="H243" s="16">
        <v>-7.1068498566767264</v>
      </c>
      <c r="I243" s="16">
        <v>0.63229138836940346</v>
      </c>
      <c r="J243" s="16">
        <v>-3.6274598712064982E-2</v>
      </c>
      <c r="K243" s="16">
        <v>13.796468813770154</v>
      </c>
      <c r="L243" s="16">
        <v>-5.6479139552324649E-2</v>
      </c>
      <c r="M243" s="17">
        <v>-5.7771664374140208</v>
      </c>
      <c r="N243" s="15">
        <v>-2.1963883655745176</v>
      </c>
      <c r="O243" s="16">
        <v>0.47323405548559128</v>
      </c>
      <c r="P243" s="16">
        <v>-6.8459657701709169</v>
      </c>
      <c r="Q243" s="16">
        <v>0.64446053584387741</v>
      </c>
      <c r="R243" s="16">
        <v>-0.43272202761178341</v>
      </c>
      <c r="S243" s="16">
        <v>13.528256600480262</v>
      </c>
      <c r="T243" s="16">
        <v>-0.23316991510219823</v>
      </c>
      <c r="U243" s="17">
        <v>-5.55794915984489</v>
      </c>
    </row>
    <row r="244" spans="3:21" x14ac:dyDescent="0.3">
      <c r="C244" s="66"/>
      <c r="D244" s="70" t="s">
        <v>28</v>
      </c>
      <c r="E244" s="40" t="s">
        <v>24</v>
      </c>
      <c r="F244" s="30">
        <v>4.93</v>
      </c>
      <c r="G244" s="31">
        <v>5.56</v>
      </c>
      <c r="H244" s="31">
        <v>1.32</v>
      </c>
      <c r="I244" s="31">
        <v>3.44</v>
      </c>
      <c r="J244" s="31">
        <v>4.59</v>
      </c>
      <c r="K244" s="31">
        <v>1.25</v>
      </c>
      <c r="L244" s="31">
        <v>4.05</v>
      </c>
      <c r="M244" s="32">
        <v>2.72</v>
      </c>
      <c r="N244" s="30">
        <v>4.93</v>
      </c>
      <c r="O244" s="31">
        <v>5.56</v>
      </c>
      <c r="P244" s="31">
        <v>1.32</v>
      </c>
      <c r="Q244" s="31">
        <v>3.44</v>
      </c>
      <c r="R244" s="31">
        <v>4.59</v>
      </c>
      <c r="S244" s="31">
        <v>1.25</v>
      </c>
      <c r="T244" s="31">
        <v>4.05</v>
      </c>
      <c r="U244" s="32">
        <v>2.72</v>
      </c>
    </row>
    <row r="245" spans="3:21" x14ac:dyDescent="0.3">
      <c r="C245" s="66"/>
      <c r="D245" s="70"/>
      <c r="E245" s="39" t="s">
        <v>25</v>
      </c>
      <c r="F245" s="15">
        <v>-0.13854368932038064</v>
      </c>
      <c r="G245" s="16">
        <v>6.9326923076929781E-2</v>
      </c>
      <c r="H245" s="16">
        <v>-4.7162162162159849E-2</v>
      </c>
      <c r="I245" s="16">
        <v>7.1299999999999919E-2</v>
      </c>
      <c r="J245" s="16">
        <v>5.835616438356972E-2</v>
      </c>
      <c r="K245" s="16">
        <v>0.18669811320755003</v>
      </c>
      <c r="L245" s="16">
        <v>-2.2299999999989772E-2</v>
      </c>
      <c r="M245" s="17">
        <v>-0.18799999999999972</v>
      </c>
      <c r="N245" s="15">
        <v>-0.13116279069767067</v>
      </c>
      <c r="O245" s="16">
        <v>7.5952380952379883E-2</v>
      </c>
      <c r="P245" s="16">
        <v>-4.3333333333329893E-2</v>
      </c>
      <c r="Q245" s="16">
        <v>7.1707317073180121E-2</v>
      </c>
      <c r="R245" s="16">
        <v>4.0312499999999751E-2</v>
      </c>
      <c r="S245" s="16">
        <v>0.18418604651163006</v>
      </c>
      <c r="T245" s="16">
        <v>-2.9512195121950136E-2</v>
      </c>
      <c r="U245" s="17">
        <v>-0.18124999999999991</v>
      </c>
    </row>
    <row r="246" spans="3:21" ht="15" thickBot="1" x14ac:dyDescent="0.35">
      <c r="C246" s="67"/>
      <c r="D246" s="74"/>
      <c r="E246" s="41" t="s">
        <v>26</v>
      </c>
      <c r="F246" s="18">
        <v>-2.7334022909242672</v>
      </c>
      <c r="G246" s="19">
        <v>1.2626306849028432</v>
      </c>
      <c r="H246" s="19">
        <v>-3.4496392211128142</v>
      </c>
      <c r="I246" s="19">
        <v>2.1165434737435782</v>
      </c>
      <c r="J246" s="19">
        <v>1.2877482542851175</v>
      </c>
      <c r="K246" s="19">
        <v>17.558335551415453</v>
      </c>
      <c r="L246" s="19">
        <v>-0.5476020921835284</v>
      </c>
      <c r="M246" s="20">
        <v>-6.4649243466299771</v>
      </c>
      <c r="N246" s="18">
        <v>-2.5915544731883671</v>
      </c>
      <c r="O246" s="19">
        <v>1.384969391742263</v>
      </c>
      <c r="P246" s="19">
        <v>-3.1784841075792181</v>
      </c>
      <c r="Q246" s="19">
        <v>2.128892107169003</v>
      </c>
      <c r="R246" s="19">
        <v>0.88604986606222402</v>
      </c>
      <c r="S246" s="19">
        <v>17.28125681867796</v>
      </c>
      <c r="T246" s="19">
        <v>-0.72342460839409062</v>
      </c>
      <c r="U246" s="20">
        <v>-6.2473071951744901</v>
      </c>
    </row>
    <row r="249" spans="3:21" ht="15" thickBot="1" x14ac:dyDescent="0.35"/>
    <row r="250" spans="3:21" ht="15" thickBot="1" x14ac:dyDescent="0.35">
      <c r="C250" s="77" t="s">
        <v>48</v>
      </c>
      <c r="D250" s="77"/>
      <c r="E250" s="78"/>
      <c r="F250" s="79" t="s">
        <v>1</v>
      </c>
      <c r="G250" s="80"/>
      <c r="H250" s="80"/>
      <c r="I250" s="80"/>
      <c r="J250" s="80"/>
      <c r="K250" s="80"/>
      <c r="L250" s="80"/>
      <c r="M250" s="81"/>
      <c r="N250" s="75" t="s">
        <v>2</v>
      </c>
      <c r="O250" s="75"/>
      <c r="P250" s="75"/>
      <c r="Q250" s="75"/>
      <c r="R250" s="75"/>
      <c r="S250" s="75"/>
      <c r="T250" s="75"/>
      <c r="U250" s="76"/>
    </row>
    <row r="251" spans="3:21" ht="29.4" thickBot="1" x14ac:dyDescent="0.35">
      <c r="C251" s="5" t="s">
        <v>10</v>
      </c>
      <c r="D251" s="4" t="s">
        <v>11</v>
      </c>
      <c r="E251" s="3"/>
      <c r="F251" s="6" t="s">
        <v>12</v>
      </c>
      <c r="G251" s="7" t="s">
        <v>13</v>
      </c>
      <c r="H251" s="7" t="s">
        <v>14</v>
      </c>
      <c r="I251" s="7" t="s">
        <v>15</v>
      </c>
      <c r="J251" s="7" t="s">
        <v>16</v>
      </c>
      <c r="K251" s="7" t="s">
        <v>17</v>
      </c>
      <c r="L251" s="7" t="s">
        <v>18</v>
      </c>
      <c r="M251" s="8" t="s">
        <v>19</v>
      </c>
      <c r="N251" s="6" t="s">
        <v>12</v>
      </c>
      <c r="O251" s="7" t="s">
        <v>13</v>
      </c>
      <c r="P251" s="7" t="s">
        <v>14</v>
      </c>
      <c r="Q251" s="7" t="s">
        <v>15</v>
      </c>
      <c r="R251" s="7" t="s">
        <v>16</v>
      </c>
      <c r="S251" s="7" t="s">
        <v>17</v>
      </c>
      <c r="T251" s="7" t="s">
        <v>18</v>
      </c>
      <c r="U251" s="8" t="s">
        <v>19</v>
      </c>
    </row>
    <row r="252" spans="3:21" x14ac:dyDescent="0.3">
      <c r="C252" s="65">
        <v>1</v>
      </c>
      <c r="D252" s="71" t="s">
        <v>20</v>
      </c>
      <c r="E252" s="72"/>
      <c r="F252" s="21">
        <v>5.9132800000000101</v>
      </c>
      <c r="G252" s="22">
        <v>3.2346268656716402</v>
      </c>
      <c r="H252" s="22">
        <v>2.76153284671532</v>
      </c>
      <c r="I252" s="22">
        <v>1.6694890510948801</v>
      </c>
      <c r="J252" s="22">
        <v>1.6255474452554699</v>
      </c>
      <c r="K252" s="22">
        <v>3.76</v>
      </c>
      <c r="L252" s="22">
        <v>2.60674242424242</v>
      </c>
      <c r="M252" s="23">
        <v>1.65970802919708</v>
      </c>
      <c r="N252" s="21">
        <v>5.8403921568627402</v>
      </c>
      <c r="O252" s="22">
        <v>3.2033962264150899</v>
      </c>
      <c r="P252" s="22">
        <v>2.8121818181818101</v>
      </c>
      <c r="Q252" s="22">
        <v>1.6379999999999999</v>
      </c>
      <c r="R252" s="22">
        <v>1.6287272727272699</v>
      </c>
      <c r="S252" s="22">
        <v>3.7978260869565199</v>
      </c>
      <c r="T252" s="22">
        <v>2.6237735849056598</v>
      </c>
      <c r="U252" s="23">
        <v>1.69148148148148</v>
      </c>
    </row>
    <row r="253" spans="3:21" ht="15" customHeight="1" x14ac:dyDescent="0.3">
      <c r="C253" s="66"/>
      <c r="D253" s="68" t="s">
        <v>21</v>
      </c>
      <c r="E253" s="69"/>
      <c r="F253" s="24">
        <v>0.40460504396262698</v>
      </c>
      <c r="G253" s="25">
        <v>0.55076697772819205</v>
      </c>
      <c r="H253" s="25">
        <v>0.33651257937018902</v>
      </c>
      <c r="I253" s="25">
        <v>0.16474851956129799</v>
      </c>
      <c r="J253" s="25">
        <v>0.25000706474113898</v>
      </c>
      <c r="K253" s="25">
        <v>0.225476506919044</v>
      </c>
      <c r="L253" s="25">
        <v>0.27260943371735802</v>
      </c>
      <c r="M253" s="26">
        <v>0.32759896617092898</v>
      </c>
      <c r="N253" s="24">
        <v>0.62575745719296305</v>
      </c>
      <c r="O253" s="25">
        <v>0.62078144118651701</v>
      </c>
      <c r="P253" s="25">
        <v>2.4097597699273499E-2</v>
      </c>
      <c r="Q253" s="25">
        <v>0.25584370228715803</v>
      </c>
      <c r="R253" s="25">
        <v>0.22856114793881099</v>
      </c>
      <c r="S253" s="25">
        <v>8.1798082349113996E-2</v>
      </c>
      <c r="T253" s="25">
        <v>0.13199809053928099</v>
      </c>
      <c r="U253" s="26">
        <v>0.26688468454043901</v>
      </c>
    </row>
    <row r="254" spans="3:21" ht="15" customHeight="1" x14ac:dyDescent="0.3">
      <c r="C254" s="66"/>
      <c r="D254" s="68" t="s">
        <v>22</v>
      </c>
      <c r="E254" s="69"/>
      <c r="F254" s="33">
        <v>5.9627642276422801</v>
      </c>
      <c r="G254" s="34">
        <v>3.3655555555555501</v>
      </c>
      <c r="H254" s="34">
        <v>2.81451127819548</v>
      </c>
      <c r="I254" s="34">
        <v>1.6907462686567101</v>
      </c>
      <c r="J254" s="34">
        <v>1.67340909090908</v>
      </c>
      <c r="K254" s="34">
        <v>3.7808181818181801</v>
      </c>
      <c r="L254" s="34">
        <v>2.6455813953488301</v>
      </c>
      <c r="M254" s="35">
        <v>1.74708661417322</v>
      </c>
      <c r="N254" s="33">
        <v>5.96163265306122</v>
      </c>
      <c r="O254" s="34">
        <v>3.3687755102040802</v>
      </c>
      <c r="P254" s="34">
        <v>2.8059999999999898</v>
      </c>
      <c r="Q254" s="34">
        <v>1.68622641509434</v>
      </c>
      <c r="R254" s="34">
        <v>1.6730188679245199</v>
      </c>
      <c r="S254" s="34">
        <v>3.7811363636363602</v>
      </c>
      <c r="T254" s="34">
        <v>2.6419230769230699</v>
      </c>
      <c r="U254" s="35">
        <v>1.7423076923076899</v>
      </c>
    </row>
    <row r="255" spans="3:21" x14ac:dyDescent="0.3">
      <c r="C255" s="66"/>
      <c r="D255" s="73" t="s">
        <v>23</v>
      </c>
      <c r="E255" s="38" t="s">
        <v>24</v>
      </c>
      <c r="F255" s="27">
        <v>5.33</v>
      </c>
      <c r="G255" s="28">
        <v>3.38</v>
      </c>
      <c r="H255" s="28">
        <v>2.97</v>
      </c>
      <c r="I255" s="28">
        <v>2.06</v>
      </c>
      <c r="J255" s="28">
        <v>1.91</v>
      </c>
      <c r="K255" s="28">
        <v>3.95</v>
      </c>
      <c r="L255" s="28">
        <v>2.75</v>
      </c>
      <c r="M255" s="29">
        <v>1.78</v>
      </c>
      <c r="N255" s="27">
        <v>5.33</v>
      </c>
      <c r="O255" s="28">
        <v>3.38</v>
      </c>
      <c r="P255" s="28">
        <v>2.97</v>
      </c>
      <c r="Q255" s="28">
        <v>2.06</v>
      </c>
      <c r="R255" s="28">
        <v>1.91</v>
      </c>
      <c r="S255" s="28">
        <v>3.95</v>
      </c>
      <c r="T255" s="28">
        <v>2.75</v>
      </c>
      <c r="U255" s="29">
        <v>1.78</v>
      </c>
    </row>
    <row r="256" spans="3:21" x14ac:dyDescent="0.3">
      <c r="C256" s="66"/>
      <c r="D256" s="70"/>
      <c r="E256" s="39" t="s">
        <v>25</v>
      </c>
      <c r="F256" s="9">
        <v>-0.63276422764228002</v>
      </c>
      <c r="G256" s="10">
        <v>1.4444444444449811E-2</v>
      </c>
      <c r="H256" s="10">
        <v>0.15548872180452022</v>
      </c>
      <c r="I256" s="10">
        <v>0.36925373134328998</v>
      </c>
      <c r="J256" s="10">
        <v>0.23659090909091995</v>
      </c>
      <c r="K256" s="10">
        <v>0.1691818181818201</v>
      </c>
      <c r="L256" s="10">
        <v>0.10441860465116992</v>
      </c>
      <c r="M256" s="11">
        <v>3.2913385826780051E-2</v>
      </c>
      <c r="N256" s="9">
        <v>-0.63163265306121996</v>
      </c>
      <c r="O256" s="10">
        <v>1.1224489795919723E-2</v>
      </c>
      <c r="P256" s="10">
        <v>0.16400000000001036</v>
      </c>
      <c r="Q256" s="10">
        <v>0.37377358490566004</v>
      </c>
      <c r="R256" s="10">
        <v>0.23698113207547999</v>
      </c>
      <c r="S256" s="10">
        <v>0.16886363636363999</v>
      </c>
      <c r="T256" s="10">
        <v>0.10807692307693006</v>
      </c>
      <c r="U256" s="11">
        <v>3.7692307692310134E-2</v>
      </c>
    </row>
    <row r="257" spans="3:21" x14ac:dyDescent="0.3">
      <c r="C257" s="66"/>
      <c r="D257" s="70"/>
      <c r="E257" s="39" t="s">
        <v>26</v>
      </c>
      <c r="F257" s="9">
        <v>-10.611927681274084</v>
      </c>
      <c r="G257" s="10">
        <v>0.42918454935638328</v>
      </c>
      <c r="H257" s="10">
        <v>5.5245371730829094</v>
      </c>
      <c r="I257" s="10">
        <v>21.839689265537185</v>
      </c>
      <c r="J257" s="10">
        <v>14.138258861877695</v>
      </c>
      <c r="K257" s="10">
        <v>4.4747409170694707</v>
      </c>
      <c r="L257" s="10">
        <v>3.9469057665262999</v>
      </c>
      <c r="M257" s="11">
        <v>1.8839012078605943</v>
      </c>
      <c r="N257" s="9">
        <v>-10.594960974941737</v>
      </c>
      <c r="O257" s="10">
        <v>0.33319197916039661</v>
      </c>
      <c r="P257" s="10">
        <v>5.844618674269813</v>
      </c>
      <c r="Q257" s="10">
        <v>22.166275036365647</v>
      </c>
      <c r="R257" s="10">
        <v>14.16488101951111</v>
      </c>
      <c r="S257" s="10">
        <v>4.4659493899141474</v>
      </c>
      <c r="T257" s="10">
        <v>4.0908429174555092</v>
      </c>
      <c r="U257" s="11">
        <v>2.1633554083886639</v>
      </c>
    </row>
    <row r="258" spans="3:21" x14ac:dyDescent="0.3">
      <c r="C258" s="66"/>
      <c r="D258" s="70" t="s">
        <v>27</v>
      </c>
      <c r="E258" s="40" t="s">
        <v>24</v>
      </c>
      <c r="F258" s="27">
        <v>5.21</v>
      </c>
      <c r="G258" s="28">
        <v>3.2</v>
      </c>
      <c r="H258" s="28">
        <v>2.89</v>
      </c>
      <c r="I258" s="28">
        <v>1.87</v>
      </c>
      <c r="J258" s="28">
        <v>1.75</v>
      </c>
      <c r="K258" s="28">
        <v>3.89</v>
      </c>
      <c r="L258" s="28">
        <v>2.65</v>
      </c>
      <c r="M258" s="29">
        <v>1.68</v>
      </c>
      <c r="N258" s="27">
        <v>5.21</v>
      </c>
      <c r="O258" s="28">
        <v>3.2</v>
      </c>
      <c r="P258" s="28">
        <v>2.89</v>
      </c>
      <c r="Q258" s="28">
        <v>1.87</v>
      </c>
      <c r="R258" s="28">
        <v>1.75</v>
      </c>
      <c r="S258" s="28">
        <v>3.89</v>
      </c>
      <c r="T258" s="28">
        <v>2.65</v>
      </c>
      <c r="U258" s="29">
        <v>1.68</v>
      </c>
    </row>
    <row r="259" spans="3:21" x14ac:dyDescent="0.3">
      <c r="C259" s="66"/>
      <c r="D259" s="70"/>
      <c r="E259" s="39" t="s">
        <v>25</v>
      </c>
      <c r="F259" s="9">
        <v>-0.75276422764228013</v>
      </c>
      <c r="G259" s="10">
        <v>-0.1655555555555499</v>
      </c>
      <c r="H259" s="10">
        <v>7.5488721804520154E-2</v>
      </c>
      <c r="I259" s="10">
        <v>0.17925373134329003</v>
      </c>
      <c r="J259" s="10">
        <v>7.6590909090920034E-2</v>
      </c>
      <c r="K259" s="10">
        <v>0.10918181818182005</v>
      </c>
      <c r="L259" s="10">
        <v>4.4186046511698329E-3</v>
      </c>
      <c r="M259" s="11">
        <v>-6.7086614173220038E-2</v>
      </c>
      <c r="N259" s="9">
        <v>-0.75163265306122007</v>
      </c>
      <c r="O259" s="10">
        <v>-0.16877551020407999</v>
      </c>
      <c r="P259" s="10">
        <v>8.4000000000010289E-2</v>
      </c>
      <c r="Q259" s="10">
        <v>0.18377358490566009</v>
      </c>
      <c r="R259" s="10">
        <v>7.6981132075480074E-2</v>
      </c>
      <c r="S259" s="10">
        <v>0.10886363636363994</v>
      </c>
      <c r="T259" s="10">
        <v>8.076923076929976E-3</v>
      </c>
      <c r="U259" s="11">
        <v>-6.2307692307689955E-2</v>
      </c>
    </row>
    <row r="260" spans="3:21" x14ac:dyDescent="0.3">
      <c r="C260" s="66"/>
      <c r="D260" s="70"/>
      <c r="E260" s="39" t="s">
        <v>26</v>
      </c>
      <c r="F260" s="9">
        <v>-12.624417114341085</v>
      </c>
      <c r="G260" s="10">
        <v>-4.9191152195442438</v>
      </c>
      <c r="H260" s="10">
        <v>2.6821253973769701</v>
      </c>
      <c r="I260" s="10">
        <v>10.602048022599291</v>
      </c>
      <c r="J260" s="10">
        <v>4.5769387477937036</v>
      </c>
      <c r="K260" s="10">
        <v>2.8877828271899326</v>
      </c>
      <c r="L260" s="10">
        <v>0.16701828410715833</v>
      </c>
      <c r="M260" s="11">
        <v>-3.8399134667383206</v>
      </c>
      <c r="N260" s="9">
        <v>-12.607832397644739</v>
      </c>
      <c r="O260" s="10">
        <v>-5.0099957593747639</v>
      </c>
      <c r="P260" s="10">
        <v>2.9935851746261797</v>
      </c>
      <c r="Q260" s="10">
        <v>10.898511804856197</v>
      </c>
      <c r="R260" s="10">
        <v>4.6013307770389815</v>
      </c>
      <c r="S260" s="10">
        <v>2.8791248422192472</v>
      </c>
      <c r="T260" s="10">
        <v>0.30572135682075979</v>
      </c>
      <c r="U260" s="11">
        <v>-3.5761589403972205</v>
      </c>
    </row>
    <row r="261" spans="3:21" x14ac:dyDescent="0.3">
      <c r="C261" s="66"/>
      <c r="D261" s="70" t="s">
        <v>28</v>
      </c>
      <c r="E261" s="40" t="s">
        <v>24</v>
      </c>
      <c r="F261" s="27">
        <v>5.14</v>
      </c>
      <c r="G261" s="28">
        <v>3.27</v>
      </c>
      <c r="H261" s="28">
        <v>2.9</v>
      </c>
      <c r="I261" s="28">
        <v>1.94</v>
      </c>
      <c r="J261" s="28">
        <v>1.81</v>
      </c>
      <c r="K261" s="28">
        <v>3.93</v>
      </c>
      <c r="L261" s="28">
        <v>2.65</v>
      </c>
      <c r="M261" s="29">
        <v>1.66</v>
      </c>
      <c r="N261" s="27">
        <v>5.14</v>
      </c>
      <c r="O261" s="28">
        <v>3.27</v>
      </c>
      <c r="P261" s="28">
        <v>2.9</v>
      </c>
      <c r="Q261" s="28">
        <v>1.94</v>
      </c>
      <c r="R261" s="28">
        <v>1.81</v>
      </c>
      <c r="S261" s="28">
        <v>3.93</v>
      </c>
      <c r="T261" s="28">
        <v>2.65</v>
      </c>
      <c r="U261" s="29">
        <v>1.66</v>
      </c>
    </row>
    <row r="262" spans="3:21" x14ac:dyDescent="0.3">
      <c r="C262" s="66"/>
      <c r="D262" s="70"/>
      <c r="E262" s="39" t="s">
        <v>25</v>
      </c>
      <c r="F262" s="9">
        <v>-0.82276422764228041</v>
      </c>
      <c r="G262" s="10">
        <v>-9.5555555555550065E-2</v>
      </c>
      <c r="H262" s="10">
        <v>8.548872180451994E-2</v>
      </c>
      <c r="I262" s="10">
        <v>0.24925373134328987</v>
      </c>
      <c r="J262" s="10">
        <v>0.13659090909092009</v>
      </c>
      <c r="K262" s="10">
        <v>0.14918181818182008</v>
      </c>
      <c r="L262" s="10">
        <v>4.4186046511698329E-3</v>
      </c>
      <c r="M262" s="11">
        <v>-8.7086614173220056E-2</v>
      </c>
      <c r="N262" s="9">
        <v>-0.82163265306122035</v>
      </c>
      <c r="O262" s="10">
        <v>-9.8775510204080152E-2</v>
      </c>
      <c r="P262" s="10">
        <v>9.4000000000010075E-2</v>
      </c>
      <c r="Q262" s="10">
        <v>0.25377358490565993</v>
      </c>
      <c r="R262" s="10">
        <v>0.13698113207548013</v>
      </c>
      <c r="S262" s="10">
        <v>0.14886363636363997</v>
      </c>
      <c r="T262" s="10">
        <v>8.076923076929976E-3</v>
      </c>
      <c r="U262" s="11">
        <v>-8.2307692307689972E-2</v>
      </c>
    </row>
    <row r="263" spans="3:21" ht="15" thickBot="1" x14ac:dyDescent="0.35">
      <c r="C263" s="66"/>
      <c r="D263" s="74"/>
      <c r="E263" s="41" t="s">
        <v>26</v>
      </c>
      <c r="F263" s="12">
        <v>-13.798369283630175</v>
      </c>
      <c r="G263" s="13">
        <v>-2.8392208649717796</v>
      </c>
      <c r="H263" s="13">
        <v>3.0374268693402042</v>
      </c>
      <c r="I263" s="13">
        <v>14.742231638418508</v>
      </c>
      <c r="J263" s="13">
        <v>8.1624337905752054</v>
      </c>
      <c r="K263" s="13">
        <v>3.9457548871096244</v>
      </c>
      <c r="L263" s="13">
        <v>0.16701828410715833</v>
      </c>
      <c r="M263" s="14">
        <v>-4.9846764016581036</v>
      </c>
      <c r="N263" s="12">
        <v>-13.782007394221493</v>
      </c>
      <c r="O263" s="13">
        <v>-2.9320894166110922</v>
      </c>
      <c r="P263" s="13">
        <v>3.3499643620816255</v>
      </c>
      <c r="Q263" s="13">
        <v>15.0497929954123</v>
      </c>
      <c r="R263" s="13">
        <v>8.1876621179660347</v>
      </c>
      <c r="S263" s="13">
        <v>3.9370078740158472</v>
      </c>
      <c r="T263" s="13">
        <v>0.30572135682075979</v>
      </c>
      <c r="U263" s="14">
        <v>-4.7240618101543976</v>
      </c>
    </row>
    <row r="264" spans="3:21" x14ac:dyDescent="0.3">
      <c r="C264" s="65">
        <v>2</v>
      </c>
      <c r="D264" s="71" t="s">
        <v>20</v>
      </c>
      <c r="E264" s="72"/>
      <c r="F264" s="21">
        <v>5.6135772357723601</v>
      </c>
      <c r="G264" s="22">
        <v>3.1581249999999899</v>
      </c>
      <c r="H264" s="22">
        <v>2.7911450381679299</v>
      </c>
      <c r="I264" s="22">
        <v>1.6931297709923601</v>
      </c>
      <c r="J264" s="22">
        <v>1.64343511450381</v>
      </c>
      <c r="K264" s="22">
        <v>3.7419626168224198</v>
      </c>
      <c r="L264" s="22">
        <v>2.5776377952755798</v>
      </c>
      <c r="M264" s="23">
        <v>1.71773437499999</v>
      </c>
      <c r="N264" s="21">
        <v>5.6447619047619</v>
      </c>
      <c r="O264" s="22">
        <v>3.1970454545454499</v>
      </c>
      <c r="P264" s="22">
        <v>2.81511111111111</v>
      </c>
      <c r="Q264" s="22">
        <v>1.69488888888888</v>
      </c>
      <c r="R264" s="22">
        <v>1.63933333333333</v>
      </c>
      <c r="S264" s="22">
        <v>3.7748648648648602</v>
      </c>
      <c r="T264" s="22">
        <v>2.5404444444444398</v>
      </c>
      <c r="U264" s="23">
        <v>1.7137777777777701</v>
      </c>
    </row>
    <row r="265" spans="3:21" ht="15" customHeight="1" x14ac:dyDescent="0.3">
      <c r="C265" s="66"/>
      <c r="D265" s="68" t="s">
        <v>21</v>
      </c>
      <c r="E265" s="69"/>
      <c r="F265" s="24">
        <v>1.20002854307605</v>
      </c>
      <c r="G265" s="25">
        <v>0.66318213702948903</v>
      </c>
      <c r="H265" s="25">
        <v>0.225370403244495</v>
      </c>
      <c r="I265" s="25">
        <v>4.0570059457376101E-2</v>
      </c>
      <c r="J265" s="25">
        <v>0.20714257726645599</v>
      </c>
      <c r="K265" s="25">
        <v>0.30864018688051298</v>
      </c>
      <c r="L265" s="25">
        <v>0.36339487793813802</v>
      </c>
      <c r="M265" s="26">
        <v>0.198892303001798</v>
      </c>
      <c r="N265" s="24">
        <v>1.08126521590226</v>
      </c>
      <c r="O265" s="25">
        <v>0.63355985419135796</v>
      </c>
      <c r="P265" s="25">
        <v>2.2766663955316801E-2</v>
      </c>
      <c r="Q265" s="25">
        <v>1.6141350930964301E-2</v>
      </c>
      <c r="R265" s="25">
        <v>0.23118439009202599</v>
      </c>
      <c r="S265" s="25">
        <v>0.15571320868865501</v>
      </c>
      <c r="T265" s="25">
        <v>0.49330610535472402</v>
      </c>
      <c r="U265" s="26">
        <v>0.227959927169363</v>
      </c>
    </row>
    <row r="266" spans="3:21" ht="15" customHeight="1" x14ac:dyDescent="0.3">
      <c r="C266" s="66"/>
      <c r="D266" s="68" t="s">
        <v>22</v>
      </c>
      <c r="E266" s="69"/>
      <c r="F266" s="33">
        <v>5.9531858407079703</v>
      </c>
      <c r="G266" s="34">
        <v>3.3544444444444399</v>
      </c>
      <c r="H266" s="34">
        <v>2.8144961240309998</v>
      </c>
      <c r="I266" s="34">
        <v>1.6964062499999899</v>
      </c>
      <c r="J266" s="34">
        <v>1.67476562499999</v>
      </c>
      <c r="K266" s="34">
        <v>3.7856310679611598</v>
      </c>
      <c r="L266" s="34">
        <v>2.6470491803278602</v>
      </c>
      <c r="M266" s="35">
        <v>1.74799999999999</v>
      </c>
      <c r="N266" s="33">
        <v>5.9655263157894698</v>
      </c>
      <c r="O266" s="34">
        <v>3.3660975609756099</v>
      </c>
      <c r="P266" s="34">
        <v>2.8147058823529401</v>
      </c>
      <c r="Q266" s="34">
        <v>1.69472222222222</v>
      </c>
      <c r="R266" s="34">
        <v>1.6740909090909</v>
      </c>
      <c r="S266" s="34">
        <v>3.78657142857142</v>
      </c>
      <c r="T266" s="34">
        <v>2.6465116279069698</v>
      </c>
      <c r="U266" s="35">
        <v>1.74795454545454</v>
      </c>
    </row>
    <row r="267" spans="3:21" x14ac:dyDescent="0.3">
      <c r="C267" s="66"/>
      <c r="D267" s="73" t="s">
        <v>23</v>
      </c>
      <c r="E267" s="38" t="s">
        <v>24</v>
      </c>
      <c r="F267" s="27">
        <v>5.33</v>
      </c>
      <c r="G267" s="28">
        <v>3.38</v>
      </c>
      <c r="H267" s="28">
        <v>2.97</v>
      </c>
      <c r="I267" s="28">
        <v>2.06</v>
      </c>
      <c r="J267" s="28">
        <v>1.91</v>
      </c>
      <c r="K267" s="28">
        <v>3.95</v>
      </c>
      <c r="L267" s="28">
        <v>2.75</v>
      </c>
      <c r="M267" s="29">
        <v>1.78</v>
      </c>
      <c r="N267" s="27">
        <v>5.33</v>
      </c>
      <c r="O267" s="28">
        <v>3.38</v>
      </c>
      <c r="P267" s="28">
        <v>2.97</v>
      </c>
      <c r="Q267" s="28">
        <v>2.06</v>
      </c>
      <c r="R267" s="28">
        <v>1.91</v>
      </c>
      <c r="S267" s="28">
        <v>3.95</v>
      </c>
      <c r="T267" s="28">
        <v>2.75</v>
      </c>
      <c r="U267" s="29">
        <v>1.78</v>
      </c>
    </row>
    <row r="268" spans="3:21" x14ac:dyDescent="0.3">
      <c r="C268" s="66"/>
      <c r="D268" s="70"/>
      <c r="E268" s="39" t="s">
        <v>25</v>
      </c>
      <c r="F268" s="9">
        <v>-0.62318584070797023</v>
      </c>
      <c r="G268" s="10">
        <v>2.5555555555559994E-2</v>
      </c>
      <c r="H268" s="10">
        <v>0.15550387596900039</v>
      </c>
      <c r="I268" s="10">
        <v>0.36359375000001015</v>
      </c>
      <c r="J268" s="10">
        <v>0.23523437500000988</v>
      </c>
      <c r="K268" s="10">
        <v>0.1643689320388404</v>
      </c>
      <c r="L268" s="10">
        <v>0.10295081967213981</v>
      </c>
      <c r="M268" s="11">
        <v>3.200000000001002E-2</v>
      </c>
      <c r="N268" s="9">
        <v>-0.63552631578946972</v>
      </c>
      <c r="O268" s="10">
        <v>1.3902439024390034E-2</v>
      </c>
      <c r="P268" s="10">
        <v>0.15529411764706014</v>
      </c>
      <c r="Q268" s="10">
        <v>0.36527777777778003</v>
      </c>
      <c r="R268" s="10">
        <v>0.23590909090909995</v>
      </c>
      <c r="S268" s="10">
        <v>0.16342857142858014</v>
      </c>
      <c r="T268" s="10">
        <v>0.10348837209303019</v>
      </c>
      <c r="U268" s="11">
        <v>3.2045454545460039E-2</v>
      </c>
    </row>
    <row r="269" spans="3:21" x14ac:dyDescent="0.3">
      <c r="C269" s="66"/>
      <c r="D269" s="70"/>
      <c r="E269" s="39" t="s">
        <v>26</v>
      </c>
      <c r="F269" s="9">
        <v>-10.468106613548271</v>
      </c>
      <c r="G269" s="10">
        <v>0.76184166942709597</v>
      </c>
      <c r="H269" s="10">
        <v>5.5251053515853989</v>
      </c>
      <c r="I269" s="10">
        <v>21.433176752326414</v>
      </c>
      <c r="J269" s="10">
        <v>14.045808648598893</v>
      </c>
      <c r="K269" s="10">
        <v>4.3419162905212829</v>
      </c>
      <c r="L269" s="10">
        <v>3.889267356165572</v>
      </c>
      <c r="M269" s="11">
        <v>1.8306636155612244</v>
      </c>
      <c r="N269" s="9">
        <v>-10.653315099916126</v>
      </c>
      <c r="O269" s="10">
        <v>0.413013549742766</v>
      </c>
      <c r="P269" s="10">
        <v>5.517241379310394</v>
      </c>
      <c r="Q269" s="10">
        <v>21.553843632191604</v>
      </c>
      <c r="R269" s="10">
        <v>14.091773011132847</v>
      </c>
      <c r="S269" s="10">
        <v>4.3160039236401699</v>
      </c>
      <c r="T269" s="10">
        <v>3.9103690685415726</v>
      </c>
      <c r="U269" s="11">
        <v>1.8333116629830271</v>
      </c>
    </row>
    <row r="270" spans="3:21" x14ac:dyDescent="0.3">
      <c r="C270" s="66"/>
      <c r="D270" s="70" t="s">
        <v>27</v>
      </c>
      <c r="E270" s="40" t="s">
        <v>24</v>
      </c>
      <c r="F270" s="27">
        <v>5.21</v>
      </c>
      <c r="G270" s="28">
        <v>3.2</v>
      </c>
      <c r="H270" s="28">
        <v>2.89</v>
      </c>
      <c r="I270" s="28">
        <v>1.87</v>
      </c>
      <c r="J270" s="28">
        <v>1.75</v>
      </c>
      <c r="K270" s="28">
        <v>3.89</v>
      </c>
      <c r="L270" s="28">
        <v>2.65</v>
      </c>
      <c r="M270" s="29">
        <v>1.68</v>
      </c>
      <c r="N270" s="27">
        <v>5.21</v>
      </c>
      <c r="O270" s="28">
        <v>3.2</v>
      </c>
      <c r="P270" s="28">
        <v>2.89</v>
      </c>
      <c r="Q270" s="28">
        <v>1.87</v>
      </c>
      <c r="R270" s="28">
        <v>1.75</v>
      </c>
      <c r="S270" s="28">
        <v>3.89</v>
      </c>
      <c r="T270" s="28">
        <v>2.65</v>
      </c>
      <c r="U270" s="29">
        <v>1.68</v>
      </c>
    </row>
    <row r="271" spans="3:21" x14ac:dyDescent="0.3">
      <c r="C271" s="66"/>
      <c r="D271" s="70"/>
      <c r="E271" s="39" t="s">
        <v>25</v>
      </c>
      <c r="F271" s="9">
        <v>-0.74318584070797034</v>
      </c>
      <c r="G271" s="10">
        <v>-0.15444444444443972</v>
      </c>
      <c r="H271" s="10">
        <v>7.5503875969000322E-2</v>
      </c>
      <c r="I271" s="10">
        <v>0.17359375000001021</v>
      </c>
      <c r="J271" s="10">
        <v>7.5234375000009956E-2</v>
      </c>
      <c r="K271" s="10">
        <v>0.10436893203884035</v>
      </c>
      <c r="L271" s="10">
        <v>2.9508196721397262E-3</v>
      </c>
      <c r="M271" s="11">
        <v>-6.7999999999990068E-2</v>
      </c>
      <c r="N271" s="9">
        <v>-0.75552631578946983</v>
      </c>
      <c r="O271" s="10">
        <v>-0.16609756097560968</v>
      </c>
      <c r="P271" s="10">
        <v>7.5294117647060066E-2</v>
      </c>
      <c r="Q271" s="10">
        <v>0.17527777777778009</v>
      </c>
      <c r="R271" s="10">
        <v>7.590909090910003E-2</v>
      </c>
      <c r="S271" s="10">
        <v>0.10342857142858009</v>
      </c>
      <c r="T271" s="10">
        <v>3.488372093030101E-3</v>
      </c>
      <c r="U271" s="11">
        <v>-6.795454545454005E-2</v>
      </c>
    </row>
    <row r="272" spans="3:21" x14ac:dyDescent="0.3">
      <c r="C272" s="66"/>
      <c r="D272" s="70"/>
      <c r="E272" s="39" t="s">
        <v>26</v>
      </c>
      <c r="F272" s="9">
        <v>-12.483834044387711</v>
      </c>
      <c r="G272" s="10">
        <v>-4.604173567406292</v>
      </c>
      <c r="H272" s="10">
        <v>2.6826782714080117</v>
      </c>
      <c r="I272" s="10">
        <v>10.233029381966215</v>
      </c>
      <c r="J272" s="10">
        <v>4.4922330549989882</v>
      </c>
      <c r="K272" s="10">
        <v>2.7569757899057681</v>
      </c>
      <c r="L272" s="10">
        <v>0.11147581594136613</v>
      </c>
      <c r="M272" s="11">
        <v>-3.8901601830658152</v>
      </c>
      <c r="N272" s="9">
        <v>-12.664872733689123</v>
      </c>
      <c r="O272" s="10">
        <v>-4.934425041663645</v>
      </c>
      <c r="P272" s="10">
        <v>2.6750261233020307</v>
      </c>
      <c r="Q272" s="10">
        <v>10.342566792329276</v>
      </c>
      <c r="R272" s="10">
        <v>4.5343469997290518</v>
      </c>
      <c r="S272" s="10">
        <v>2.7314570285975335</v>
      </c>
      <c r="T272" s="10">
        <v>0.13181019332187588</v>
      </c>
      <c r="U272" s="11">
        <v>-3.8876609023531032</v>
      </c>
    </row>
    <row r="273" spans="3:21" x14ac:dyDescent="0.3">
      <c r="C273" s="66"/>
      <c r="D273" s="70" t="s">
        <v>28</v>
      </c>
      <c r="E273" s="40" t="s">
        <v>24</v>
      </c>
      <c r="F273" s="27">
        <v>5.14</v>
      </c>
      <c r="G273" s="28">
        <v>3.27</v>
      </c>
      <c r="H273" s="28">
        <v>2.9</v>
      </c>
      <c r="I273" s="28">
        <v>1.94</v>
      </c>
      <c r="J273" s="28">
        <v>1.81</v>
      </c>
      <c r="K273" s="28">
        <v>3.93</v>
      </c>
      <c r="L273" s="28">
        <v>2.65</v>
      </c>
      <c r="M273" s="29">
        <v>1.66</v>
      </c>
      <c r="N273" s="27">
        <v>5.14</v>
      </c>
      <c r="O273" s="28">
        <v>3.27</v>
      </c>
      <c r="P273" s="28">
        <v>2.9</v>
      </c>
      <c r="Q273" s="28">
        <v>1.94</v>
      </c>
      <c r="R273" s="28">
        <v>1.81</v>
      </c>
      <c r="S273" s="28">
        <v>3.93</v>
      </c>
      <c r="T273" s="28">
        <v>2.65</v>
      </c>
      <c r="U273" s="29">
        <v>1.66</v>
      </c>
    </row>
    <row r="274" spans="3:21" x14ac:dyDescent="0.3">
      <c r="C274" s="66"/>
      <c r="D274" s="70"/>
      <c r="E274" s="39" t="s">
        <v>25</v>
      </c>
      <c r="F274" s="9">
        <v>-0.81318584070797062</v>
      </c>
      <c r="G274" s="10">
        <v>-8.4444444444439881E-2</v>
      </c>
      <c r="H274" s="10">
        <v>8.5503875969000109E-2</v>
      </c>
      <c r="I274" s="10">
        <v>0.24359375000001005</v>
      </c>
      <c r="J274" s="10">
        <v>0.13523437500001001</v>
      </c>
      <c r="K274" s="10">
        <v>0.14436893203884038</v>
      </c>
      <c r="L274" s="10">
        <v>2.9508196721397262E-3</v>
      </c>
      <c r="M274" s="11">
        <v>-8.7999999999990086E-2</v>
      </c>
      <c r="N274" s="9">
        <v>-0.82552631578947011</v>
      </c>
      <c r="O274" s="10">
        <v>-9.6097560975609841E-2</v>
      </c>
      <c r="P274" s="10">
        <v>8.5294117647059853E-2</v>
      </c>
      <c r="Q274" s="10">
        <v>0.24527777777777993</v>
      </c>
      <c r="R274" s="10">
        <v>0.13590909090910008</v>
      </c>
      <c r="S274" s="10">
        <v>0.14342857142858012</v>
      </c>
      <c r="T274" s="10">
        <v>3.488372093030101E-3</v>
      </c>
      <c r="U274" s="11">
        <v>-8.7954545454540067E-2</v>
      </c>
    </row>
    <row r="275" spans="3:21" ht="15" thickBot="1" x14ac:dyDescent="0.35">
      <c r="C275" s="66"/>
      <c r="D275" s="74"/>
      <c r="E275" s="41" t="s">
        <v>26</v>
      </c>
      <c r="F275" s="12">
        <v>-13.659675045710721</v>
      </c>
      <c r="G275" s="13">
        <v>-2.517389864193309</v>
      </c>
      <c r="H275" s="13">
        <v>3.0379816564301776</v>
      </c>
      <c r="I275" s="13">
        <v>14.35939946578312</v>
      </c>
      <c r="J275" s="13">
        <v>8.0748239025989577</v>
      </c>
      <c r="K275" s="13">
        <v>3.8136027903161112</v>
      </c>
      <c r="L275" s="13">
        <v>0.11147581594136613</v>
      </c>
      <c r="M275" s="14">
        <v>-5.0343249427912236</v>
      </c>
      <c r="N275" s="12">
        <v>-13.838281353390041</v>
      </c>
      <c r="O275" s="13">
        <v>-2.8548655894500423</v>
      </c>
      <c r="P275" s="13">
        <v>3.030303030303068</v>
      </c>
      <c r="Q275" s="13">
        <v>14.473037207015388</v>
      </c>
      <c r="R275" s="13">
        <v>8.1183817540054797</v>
      </c>
      <c r="S275" s="13">
        <v>3.7878216252926249</v>
      </c>
      <c r="T275" s="13">
        <v>0.13181019332187588</v>
      </c>
      <c r="U275" s="14">
        <v>-5.0318554154203294</v>
      </c>
    </row>
    <row r="276" spans="3:21" x14ac:dyDescent="0.3">
      <c r="C276" s="65">
        <v>3</v>
      </c>
      <c r="D276" s="71" t="s">
        <v>20</v>
      </c>
      <c r="E276" s="72"/>
      <c r="F276" s="21">
        <v>5.7739583333333302</v>
      </c>
      <c r="G276" s="22">
        <v>3.3378301886792401</v>
      </c>
      <c r="H276" s="22">
        <v>2.77927927927928</v>
      </c>
      <c r="I276" s="22">
        <v>1.68702702702702</v>
      </c>
      <c r="J276" s="22">
        <v>1.63972972972972</v>
      </c>
      <c r="K276" s="22">
        <v>3.7138888888888801</v>
      </c>
      <c r="L276" s="22">
        <v>2.5920754716981098</v>
      </c>
      <c r="M276" s="23">
        <v>1.6990825688073301</v>
      </c>
      <c r="N276" s="21">
        <v>5.8052272727272696</v>
      </c>
      <c r="O276" s="22">
        <v>3.3458333333333301</v>
      </c>
      <c r="P276" s="22">
        <v>2.7787999999999999</v>
      </c>
      <c r="Q276" s="22">
        <v>1.6766000000000001</v>
      </c>
      <c r="R276" s="22">
        <v>1.6508</v>
      </c>
      <c r="S276" s="22">
        <v>3.7037499999999999</v>
      </c>
      <c r="T276" s="22">
        <v>2.5224489795918301</v>
      </c>
      <c r="U276" s="23">
        <v>1.7324489795918301</v>
      </c>
    </row>
    <row r="277" spans="3:21" ht="15" customHeight="1" x14ac:dyDescent="0.3">
      <c r="C277" s="66"/>
      <c r="D277" s="68" t="s">
        <v>21</v>
      </c>
      <c r="E277" s="69"/>
      <c r="F277" s="24">
        <v>0.77196513193962002</v>
      </c>
      <c r="G277" s="25">
        <v>0.17942257865205499</v>
      </c>
      <c r="H277" s="25">
        <v>0.200964842569614</v>
      </c>
      <c r="I277" s="25">
        <v>9.0430348435624502E-2</v>
      </c>
      <c r="J277" s="25">
        <v>0.14971119018795601</v>
      </c>
      <c r="K277" s="25">
        <v>0.40295766098091401</v>
      </c>
      <c r="L277" s="25">
        <v>0.30929535551885001</v>
      </c>
      <c r="M277" s="26">
        <v>0.25586887870674802</v>
      </c>
      <c r="N277" s="24">
        <v>0.60953592121891997</v>
      </c>
      <c r="O277" s="25">
        <v>0.130077434203204</v>
      </c>
      <c r="P277" s="25">
        <v>0.170547823205105</v>
      </c>
      <c r="Q277" s="25">
        <v>0.132039539532671</v>
      </c>
      <c r="R277" s="25">
        <v>0.12682018766742101</v>
      </c>
      <c r="S277" s="25">
        <v>0.39802441822079099</v>
      </c>
      <c r="T277" s="25">
        <v>0.444506287057509</v>
      </c>
      <c r="U277" s="26">
        <v>8.0217322477687897E-2</v>
      </c>
    </row>
    <row r="278" spans="3:21" ht="15" customHeight="1" x14ac:dyDescent="0.3">
      <c r="C278" s="66"/>
      <c r="D278" s="68" t="s">
        <v>22</v>
      </c>
      <c r="E278" s="69"/>
      <c r="F278" s="33">
        <v>5.9621111111111098</v>
      </c>
      <c r="G278" s="34">
        <v>3.3646078431372501</v>
      </c>
      <c r="H278" s="34">
        <v>2.8105555555555499</v>
      </c>
      <c r="I278" s="34">
        <v>1.69545454545454</v>
      </c>
      <c r="J278" s="34">
        <v>1.67333333333333</v>
      </c>
      <c r="K278" s="34">
        <v>3.7806896551724098</v>
      </c>
      <c r="L278" s="34">
        <v>2.64558823529411</v>
      </c>
      <c r="M278" s="35">
        <v>1.7459047619047601</v>
      </c>
      <c r="N278" s="33">
        <v>5.9641463414634099</v>
      </c>
      <c r="O278" s="34">
        <v>3.3571111111111098</v>
      </c>
      <c r="P278" s="34">
        <v>2.8133333333333299</v>
      </c>
      <c r="Q278" s="34">
        <v>1.69530612244898</v>
      </c>
      <c r="R278" s="34">
        <v>1.67604166666666</v>
      </c>
      <c r="S278" s="34">
        <v>3.7815789473684198</v>
      </c>
      <c r="T278" s="34">
        <v>2.6375555555555499</v>
      </c>
      <c r="U278" s="35">
        <v>1.7433333333333301</v>
      </c>
    </row>
    <row r="279" spans="3:21" x14ac:dyDescent="0.3">
      <c r="C279" s="66"/>
      <c r="D279" s="73" t="s">
        <v>23</v>
      </c>
      <c r="E279" s="38" t="s">
        <v>24</v>
      </c>
      <c r="F279" s="30">
        <v>5.33</v>
      </c>
      <c r="G279" s="31">
        <v>3.38</v>
      </c>
      <c r="H279" s="31">
        <v>2.97</v>
      </c>
      <c r="I279" s="31">
        <v>2.06</v>
      </c>
      <c r="J279" s="31">
        <v>1.91</v>
      </c>
      <c r="K279" s="31">
        <v>3.95</v>
      </c>
      <c r="L279" s="31">
        <v>2.75</v>
      </c>
      <c r="M279" s="32">
        <v>1.78</v>
      </c>
      <c r="N279" s="30">
        <v>5.33</v>
      </c>
      <c r="O279" s="31">
        <v>3.38</v>
      </c>
      <c r="P279" s="31">
        <v>2.97</v>
      </c>
      <c r="Q279" s="31">
        <v>2.06</v>
      </c>
      <c r="R279" s="31">
        <v>1.91</v>
      </c>
      <c r="S279" s="31">
        <v>3.95</v>
      </c>
      <c r="T279" s="31">
        <v>2.75</v>
      </c>
      <c r="U279" s="32">
        <v>1.78</v>
      </c>
    </row>
    <row r="280" spans="3:21" x14ac:dyDescent="0.3">
      <c r="C280" s="66"/>
      <c r="D280" s="70"/>
      <c r="E280" s="39" t="s">
        <v>25</v>
      </c>
      <c r="F280" s="15">
        <v>-0.63211111111110974</v>
      </c>
      <c r="G280" s="16">
        <v>1.5392156862749751E-2</v>
      </c>
      <c r="H280" s="16">
        <v>0.15944444444445027</v>
      </c>
      <c r="I280" s="16">
        <v>0.36454545454546006</v>
      </c>
      <c r="J280" s="16">
        <v>0.23666666666666991</v>
      </c>
      <c r="K280" s="16">
        <v>0.16931034482759033</v>
      </c>
      <c r="L280" s="16">
        <v>0.10441176470588998</v>
      </c>
      <c r="M280" s="17">
        <v>3.4095238095239955E-2</v>
      </c>
      <c r="N280" s="15">
        <v>-0.63414634146340987</v>
      </c>
      <c r="O280" s="16">
        <v>2.2888888888890069E-2</v>
      </c>
      <c r="P280" s="16">
        <v>0.15666666666667028</v>
      </c>
      <c r="Q280" s="16">
        <v>0.36469387755102001</v>
      </c>
      <c r="R280" s="16">
        <v>0.23395833333333993</v>
      </c>
      <c r="S280" s="16">
        <v>0.16842105263158036</v>
      </c>
      <c r="T280" s="16">
        <v>0.11244444444445012</v>
      </c>
      <c r="U280" s="17">
        <v>3.6666666666669956E-2</v>
      </c>
    </row>
    <row r="281" spans="3:21" x14ac:dyDescent="0.3">
      <c r="C281" s="66"/>
      <c r="D281" s="70"/>
      <c r="E281" s="39" t="s">
        <v>26</v>
      </c>
      <c r="F281" s="15">
        <v>-10.60213570882795</v>
      </c>
      <c r="G281" s="16">
        <v>0.45747253707872515</v>
      </c>
      <c r="H281" s="16">
        <v>5.6730579165845239</v>
      </c>
      <c r="I281" s="16">
        <v>21.501340482574122</v>
      </c>
      <c r="J281" s="16">
        <v>14.143426294820941</v>
      </c>
      <c r="K281" s="16">
        <v>4.4782925939439302</v>
      </c>
      <c r="L281" s="16">
        <v>3.9466370205672812</v>
      </c>
      <c r="M281" s="17">
        <v>1.952869299585533</v>
      </c>
      <c r="N281" s="15">
        <v>-10.632642211589509</v>
      </c>
      <c r="O281" s="16">
        <v>0.68180313761835809</v>
      </c>
      <c r="P281" s="16">
        <v>5.568720379147055</v>
      </c>
      <c r="Q281" s="16">
        <v>21.511977850005991</v>
      </c>
      <c r="R281" s="16">
        <v>13.958980733375215</v>
      </c>
      <c r="S281" s="16">
        <v>4.4537230340988563</v>
      </c>
      <c r="T281" s="16">
        <v>4.2632066728454516</v>
      </c>
      <c r="U281" s="17">
        <v>2.103250478011665</v>
      </c>
    </row>
    <row r="282" spans="3:21" x14ac:dyDescent="0.3">
      <c r="C282" s="66"/>
      <c r="D282" s="70" t="s">
        <v>27</v>
      </c>
      <c r="E282" s="40" t="s">
        <v>24</v>
      </c>
      <c r="F282" s="30">
        <v>5.21</v>
      </c>
      <c r="G282" s="31">
        <v>3.2</v>
      </c>
      <c r="H282" s="31">
        <v>2.89</v>
      </c>
      <c r="I282" s="31">
        <v>1.87</v>
      </c>
      <c r="J282" s="31">
        <v>1.75</v>
      </c>
      <c r="K282" s="31">
        <v>3.89</v>
      </c>
      <c r="L282" s="31">
        <v>2.65</v>
      </c>
      <c r="M282" s="32">
        <v>1.68</v>
      </c>
      <c r="N282" s="30">
        <v>5.21</v>
      </c>
      <c r="O282" s="31">
        <v>3.2</v>
      </c>
      <c r="P282" s="31">
        <v>2.89</v>
      </c>
      <c r="Q282" s="31">
        <v>1.87</v>
      </c>
      <c r="R282" s="31">
        <v>1.75</v>
      </c>
      <c r="S282" s="31">
        <v>3.89</v>
      </c>
      <c r="T282" s="31">
        <v>2.65</v>
      </c>
      <c r="U282" s="32">
        <v>1.68</v>
      </c>
    </row>
    <row r="283" spans="3:21" x14ac:dyDescent="0.3">
      <c r="C283" s="66"/>
      <c r="D283" s="70"/>
      <c r="E283" s="39" t="s">
        <v>25</v>
      </c>
      <c r="F283" s="15">
        <v>-0.75211111111110984</v>
      </c>
      <c r="G283" s="16">
        <v>-0.16460784313724997</v>
      </c>
      <c r="H283" s="16">
        <v>7.9444444444450202E-2</v>
      </c>
      <c r="I283" s="16">
        <v>0.17454545454546011</v>
      </c>
      <c r="J283" s="16">
        <v>7.6666666666669991E-2</v>
      </c>
      <c r="K283" s="16">
        <v>0.10931034482759028</v>
      </c>
      <c r="L283" s="16">
        <v>4.4117647058898868E-3</v>
      </c>
      <c r="M283" s="17">
        <v>-6.5904761904760134E-2</v>
      </c>
      <c r="N283" s="15">
        <v>-0.75414634146340997</v>
      </c>
      <c r="O283" s="16">
        <v>-0.15711111111110965</v>
      </c>
      <c r="P283" s="16">
        <v>7.6666666666670213E-2</v>
      </c>
      <c r="Q283" s="16">
        <v>0.17469387755102006</v>
      </c>
      <c r="R283" s="16">
        <v>7.3958333333340009E-2</v>
      </c>
      <c r="S283" s="16">
        <v>0.10842105263158031</v>
      </c>
      <c r="T283" s="16">
        <v>1.2444444444450031E-2</v>
      </c>
      <c r="U283" s="17">
        <v>-6.3333333333330133E-2</v>
      </c>
    </row>
    <row r="284" spans="3:21" x14ac:dyDescent="0.3">
      <c r="C284" s="66"/>
      <c r="D284" s="70"/>
      <c r="E284" s="39" t="s">
        <v>26</v>
      </c>
      <c r="F284" s="15">
        <v>-12.614845599060716</v>
      </c>
      <c r="G284" s="16">
        <v>-4.892333692706524</v>
      </c>
      <c r="H284" s="16">
        <v>2.8266455821310665</v>
      </c>
      <c r="I284" s="16">
        <v>10.294906166220201</v>
      </c>
      <c r="J284" s="16">
        <v>4.5816733067731157</v>
      </c>
      <c r="K284" s="16">
        <v>2.8912805545422486</v>
      </c>
      <c r="L284" s="16">
        <v>0.16675931072846756</v>
      </c>
      <c r="M284" s="17">
        <v>-3.7748199869080414</v>
      </c>
      <c r="N284" s="15">
        <v>-12.644665276244154</v>
      </c>
      <c r="O284" s="16">
        <v>-4.6799496921956294</v>
      </c>
      <c r="P284" s="16">
        <v>2.7251184834124516</v>
      </c>
      <c r="Q284" s="16">
        <v>10.304562417238451</v>
      </c>
      <c r="R284" s="16">
        <v>4.412678682411852</v>
      </c>
      <c r="S284" s="16">
        <v>2.8670842032011503</v>
      </c>
      <c r="T284" s="16">
        <v>0.47181733928743164</v>
      </c>
      <c r="U284" s="17">
        <v>-3.6328871892923664</v>
      </c>
    </row>
    <row r="285" spans="3:21" x14ac:dyDescent="0.3">
      <c r="C285" s="66"/>
      <c r="D285" s="70" t="s">
        <v>28</v>
      </c>
      <c r="E285" s="40" t="s">
        <v>24</v>
      </c>
      <c r="F285" s="30">
        <v>5.14</v>
      </c>
      <c r="G285" s="31">
        <v>3.27</v>
      </c>
      <c r="H285" s="31">
        <v>2.9</v>
      </c>
      <c r="I285" s="31">
        <v>1.94</v>
      </c>
      <c r="J285" s="31">
        <v>1.81</v>
      </c>
      <c r="K285" s="31">
        <v>3.93</v>
      </c>
      <c r="L285" s="31">
        <v>2.65</v>
      </c>
      <c r="M285" s="32">
        <v>1.66</v>
      </c>
      <c r="N285" s="30">
        <v>5.14</v>
      </c>
      <c r="O285" s="31">
        <v>3.27</v>
      </c>
      <c r="P285" s="31">
        <v>2.9</v>
      </c>
      <c r="Q285" s="31">
        <v>1.94</v>
      </c>
      <c r="R285" s="31">
        <v>1.81</v>
      </c>
      <c r="S285" s="31">
        <v>3.93</v>
      </c>
      <c r="T285" s="31">
        <v>2.65</v>
      </c>
      <c r="U285" s="32">
        <v>1.66</v>
      </c>
    </row>
    <row r="286" spans="3:21" x14ac:dyDescent="0.3">
      <c r="C286" s="66"/>
      <c r="D286" s="70"/>
      <c r="E286" s="39" t="s">
        <v>25</v>
      </c>
      <c r="F286" s="15">
        <v>-0.82211111111111013</v>
      </c>
      <c r="G286" s="16">
        <v>-9.4607843137250125E-2</v>
      </c>
      <c r="H286" s="16">
        <v>8.9444444444449989E-2</v>
      </c>
      <c r="I286" s="16">
        <v>0.24454545454545995</v>
      </c>
      <c r="J286" s="16">
        <v>0.13666666666667004</v>
      </c>
      <c r="K286" s="16">
        <v>0.14931034482759031</v>
      </c>
      <c r="L286" s="16">
        <v>4.4117647058898868E-3</v>
      </c>
      <c r="M286" s="17">
        <v>-8.5904761904760152E-2</v>
      </c>
      <c r="N286" s="15">
        <v>-0.82414634146341026</v>
      </c>
      <c r="O286" s="16">
        <v>-8.7111111111109807E-2</v>
      </c>
      <c r="P286" s="16">
        <v>8.666666666667E-2</v>
      </c>
      <c r="Q286" s="16">
        <v>0.2446938775510199</v>
      </c>
      <c r="R286" s="16">
        <v>0.13395833333334006</v>
      </c>
      <c r="S286" s="16">
        <v>0.14842105263158034</v>
      </c>
      <c r="T286" s="16">
        <v>1.2444444444450031E-2</v>
      </c>
      <c r="U286" s="17">
        <v>-8.3333333333330151E-2</v>
      </c>
    </row>
    <row r="287" spans="3:21" ht="15" thickBot="1" x14ac:dyDescent="0.35">
      <c r="C287" s="67"/>
      <c r="D287" s="74"/>
      <c r="E287" s="41" t="s">
        <v>26</v>
      </c>
      <c r="F287" s="18">
        <v>-13.788926368363169</v>
      </c>
      <c r="G287" s="19">
        <v>-2.8118534922344844</v>
      </c>
      <c r="H287" s="19">
        <v>3.1824471239377408</v>
      </c>
      <c r="I287" s="19">
        <v>14.423592493297951</v>
      </c>
      <c r="J287" s="19">
        <v>8.167330677291055</v>
      </c>
      <c r="K287" s="19">
        <v>3.9492885808100362</v>
      </c>
      <c r="L287" s="19">
        <v>0.16675931072846756</v>
      </c>
      <c r="M287" s="20">
        <v>-4.9203578442067561</v>
      </c>
      <c r="N287" s="18">
        <v>-13.818345397292703</v>
      </c>
      <c r="O287" s="19">
        <v>-2.5948235917124132</v>
      </c>
      <c r="P287" s="19">
        <v>3.0805687203792691</v>
      </c>
      <c r="Q287" s="19">
        <v>14.433610208258063</v>
      </c>
      <c r="R287" s="19">
        <v>7.9925419515231191</v>
      </c>
      <c r="S287" s="19">
        <v>3.9248434237996204</v>
      </c>
      <c r="T287" s="19">
        <v>0.47181733928743164</v>
      </c>
      <c r="U287" s="20">
        <v>-4.7801147227531722</v>
      </c>
    </row>
    <row r="290" spans="3:21" ht="15" thickBot="1" x14ac:dyDescent="0.35"/>
    <row r="291" spans="3:21" ht="15" thickBot="1" x14ac:dyDescent="0.35">
      <c r="C291" s="77" t="s">
        <v>49</v>
      </c>
      <c r="D291" s="77"/>
      <c r="E291" s="78"/>
      <c r="F291" s="79" t="s">
        <v>1</v>
      </c>
      <c r="G291" s="80"/>
      <c r="H291" s="80"/>
      <c r="I291" s="80"/>
      <c r="J291" s="80"/>
      <c r="K291" s="80"/>
      <c r="L291" s="80"/>
      <c r="M291" s="81"/>
      <c r="N291" s="75" t="s">
        <v>2</v>
      </c>
      <c r="O291" s="75"/>
      <c r="P291" s="75"/>
      <c r="Q291" s="75"/>
      <c r="R291" s="75"/>
      <c r="S291" s="75"/>
      <c r="T291" s="75"/>
      <c r="U291" s="76"/>
    </row>
    <row r="292" spans="3:21" ht="29.4" thickBot="1" x14ac:dyDescent="0.35">
      <c r="C292" s="5" t="s">
        <v>10</v>
      </c>
      <c r="D292" s="4" t="s">
        <v>11</v>
      </c>
      <c r="E292" s="3"/>
      <c r="F292" s="6" t="s">
        <v>12</v>
      </c>
      <c r="G292" s="7" t="s">
        <v>13</v>
      </c>
      <c r="H292" s="7" t="s">
        <v>14</v>
      </c>
      <c r="I292" s="7" t="s">
        <v>15</v>
      </c>
      <c r="J292" s="7" t="s">
        <v>16</v>
      </c>
      <c r="K292" s="7" t="s">
        <v>17</v>
      </c>
      <c r="L292" s="7" t="s">
        <v>18</v>
      </c>
      <c r="M292" s="8" t="s">
        <v>19</v>
      </c>
      <c r="N292" s="6" t="s">
        <v>12</v>
      </c>
      <c r="O292" s="7" t="s">
        <v>13</v>
      </c>
      <c r="P292" s="7" t="s">
        <v>14</v>
      </c>
      <c r="Q292" s="7" t="s">
        <v>15</v>
      </c>
      <c r="R292" s="7" t="s">
        <v>16</v>
      </c>
      <c r="S292" s="7" t="s">
        <v>17</v>
      </c>
      <c r="T292" s="7" t="s">
        <v>18</v>
      </c>
      <c r="U292" s="8" t="s">
        <v>19</v>
      </c>
    </row>
    <row r="293" spans="3:21" x14ac:dyDescent="0.3">
      <c r="C293" s="65">
        <v>1</v>
      </c>
      <c r="D293" s="71" t="s">
        <v>20</v>
      </c>
      <c r="E293" s="72"/>
      <c r="F293" s="21"/>
      <c r="G293" s="22">
        <v>2.27470588235294</v>
      </c>
      <c r="H293" s="22">
        <v>3.8360294117647</v>
      </c>
      <c r="I293" s="22">
        <v>3.5927941176470499</v>
      </c>
      <c r="J293" s="22">
        <v>2.1010447761194002</v>
      </c>
      <c r="K293" s="22">
        <v>4.1032812500000002</v>
      </c>
      <c r="L293" s="22">
        <v>0.92764705882352805</v>
      </c>
      <c r="M293" s="23">
        <v>1.34147058823529</v>
      </c>
      <c r="N293" s="21"/>
      <c r="O293" s="22">
        <v>2.2944444444444398</v>
      </c>
      <c r="P293" s="22">
        <v>3.8348888888888801</v>
      </c>
      <c r="Q293" s="22">
        <v>3.6364444444444399</v>
      </c>
      <c r="R293" s="22">
        <v>2.1015909090909002</v>
      </c>
      <c r="S293" s="22">
        <v>4.1149999999999904</v>
      </c>
      <c r="T293" s="22">
        <v>0.93644444444444397</v>
      </c>
      <c r="U293" s="23">
        <v>1.33622222222222</v>
      </c>
    </row>
    <row r="294" spans="3:21" ht="15" customHeight="1" x14ac:dyDescent="0.3">
      <c r="C294" s="66"/>
      <c r="D294" s="68" t="s">
        <v>21</v>
      </c>
      <c r="E294" s="69"/>
      <c r="F294" s="24"/>
      <c r="G294" s="25">
        <v>0.22984950695563999</v>
      </c>
      <c r="H294" s="25">
        <v>0.54817381235034601</v>
      </c>
      <c r="I294" s="25">
        <v>0.57146829871479798</v>
      </c>
      <c r="J294" s="25">
        <v>2.3634930408140398E-2</v>
      </c>
      <c r="K294" s="25">
        <v>0.622788724928797</v>
      </c>
      <c r="L294" s="25">
        <v>9.1877758414914898E-2</v>
      </c>
      <c r="M294" s="26">
        <v>0.104138831344372</v>
      </c>
      <c r="N294" s="24"/>
      <c r="O294" s="25">
        <v>0.12737618049707899</v>
      </c>
      <c r="P294" s="25">
        <v>0.50591445136382995</v>
      </c>
      <c r="Q294" s="25">
        <v>0.501185951543627</v>
      </c>
      <c r="R294" s="25">
        <v>2.32518994158817E-2</v>
      </c>
      <c r="S294" s="25">
        <v>0.60643474112067097</v>
      </c>
      <c r="T294" s="25">
        <v>1.7017057528068098E-2</v>
      </c>
      <c r="U294" s="26">
        <v>0.111460783116033</v>
      </c>
    </row>
    <row r="295" spans="3:21" ht="15" customHeight="1" x14ac:dyDescent="0.3">
      <c r="C295" s="66"/>
      <c r="D295" s="68" t="s">
        <v>22</v>
      </c>
      <c r="E295" s="69"/>
      <c r="F295" s="33"/>
      <c r="G295" s="34">
        <v>2.3124242424242398</v>
      </c>
      <c r="H295" s="34">
        <v>3.9606249999999901</v>
      </c>
      <c r="I295" s="34">
        <v>3.7293749999999899</v>
      </c>
      <c r="J295" s="34">
        <v>2.10234042553191</v>
      </c>
      <c r="K295" s="34">
        <v>4.2122580645161198</v>
      </c>
      <c r="L295" s="34">
        <v>0.93865671641791004</v>
      </c>
      <c r="M295" s="35">
        <v>1.3632307692307599</v>
      </c>
      <c r="N295" s="33"/>
      <c r="O295" s="34">
        <v>2.3134090909090901</v>
      </c>
      <c r="P295" s="34">
        <v>3.9712195121951201</v>
      </c>
      <c r="Q295" s="34">
        <v>3.7444186046511598</v>
      </c>
      <c r="R295" s="34">
        <v>2.1021874999999901</v>
      </c>
      <c r="S295" s="34">
        <v>4.2070731707317002</v>
      </c>
      <c r="T295" s="34">
        <v>0.93500000000000005</v>
      </c>
      <c r="U295" s="35">
        <v>1.3597674418604599</v>
      </c>
    </row>
    <row r="296" spans="3:21" x14ac:dyDescent="0.3">
      <c r="C296" s="66"/>
      <c r="D296" s="73" t="s">
        <v>23</v>
      </c>
      <c r="E296" s="38" t="s">
        <v>24</v>
      </c>
      <c r="F296" s="27"/>
      <c r="G296" s="28">
        <v>2.5</v>
      </c>
      <c r="H296" s="28">
        <v>4.05</v>
      </c>
      <c r="I296" s="28">
        <v>3.84</v>
      </c>
      <c r="J296" s="28">
        <v>2.25</v>
      </c>
      <c r="K296" s="28">
        <v>4.26</v>
      </c>
      <c r="L296" s="28">
        <v>1.27</v>
      </c>
      <c r="M296" s="29">
        <v>1.64</v>
      </c>
      <c r="N296" s="27"/>
      <c r="O296" s="28">
        <v>2.5</v>
      </c>
      <c r="P296" s="28">
        <v>4.05</v>
      </c>
      <c r="Q296" s="28">
        <v>3.84</v>
      </c>
      <c r="R296" s="28">
        <v>2.25</v>
      </c>
      <c r="S296" s="28">
        <v>4.26</v>
      </c>
      <c r="T296" s="28">
        <v>1.27</v>
      </c>
      <c r="U296" s="29">
        <v>1.64</v>
      </c>
    </row>
    <row r="297" spans="3:21" x14ac:dyDescent="0.3">
      <c r="C297" s="66"/>
      <c r="D297" s="70"/>
      <c r="E297" s="39" t="s">
        <v>25</v>
      </c>
      <c r="F297" s="9"/>
      <c r="G297" s="10">
        <v>0.18757575757576017</v>
      </c>
      <c r="H297" s="10">
        <v>8.9375000000009752E-2</v>
      </c>
      <c r="I297" s="10">
        <v>0.11062500000000997</v>
      </c>
      <c r="J297" s="10">
        <v>0.14765957446808997</v>
      </c>
      <c r="K297" s="10">
        <v>4.7741935483879949E-2</v>
      </c>
      <c r="L297" s="10">
        <v>0.33134328358208998</v>
      </c>
      <c r="M297" s="11">
        <v>0.27676923076923998</v>
      </c>
      <c r="N297" s="9"/>
      <c r="O297" s="10">
        <v>0.18659090909090992</v>
      </c>
      <c r="P297" s="10">
        <v>7.8780487804879673E-2</v>
      </c>
      <c r="Q297" s="10">
        <v>9.5581395348840026E-2</v>
      </c>
      <c r="R297" s="10">
        <v>0.14781250000000989</v>
      </c>
      <c r="S297" s="10">
        <v>5.2926829268299613E-2</v>
      </c>
      <c r="T297" s="10">
        <v>0.33499999999999996</v>
      </c>
      <c r="U297" s="11">
        <v>0.28023255813953996</v>
      </c>
    </row>
    <row r="298" spans="3:21" x14ac:dyDescent="0.3">
      <c r="C298" s="66"/>
      <c r="D298" s="70"/>
      <c r="E298" s="39" t="s">
        <v>26</v>
      </c>
      <c r="F298" s="9"/>
      <c r="G298" s="10">
        <v>8.1116498492990345</v>
      </c>
      <c r="H298" s="10">
        <v>2.2565882909896793</v>
      </c>
      <c r="I298" s="10">
        <v>2.9663147310208888</v>
      </c>
      <c r="J298" s="10">
        <v>7.0235806092503239</v>
      </c>
      <c r="K298" s="10">
        <v>1.1334048093125149</v>
      </c>
      <c r="L298" s="10">
        <v>35.299729686754709</v>
      </c>
      <c r="M298" s="11">
        <v>20.302448933529764</v>
      </c>
      <c r="N298" s="9"/>
      <c r="O298" s="10">
        <v>8.0656253070046571</v>
      </c>
      <c r="P298" s="10">
        <v>1.9837857757032724</v>
      </c>
      <c r="Q298" s="10">
        <v>2.5526364822061516</v>
      </c>
      <c r="R298" s="10">
        <v>7.031366136465496</v>
      </c>
      <c r="S298" s="10">
        <v>1.258043944576664</v>
      </c>
      <c r="T298" s="10">
        <v>35.828877005347586</v>
      </c>
      <c r="U298" s="11">
        <v>20.608859244057232</v>
      </c>
    </row>
    <row r="299" spans="3:21" x14ac:dyDescent="0.3">
      <c r="C299" s="66"/>
      <c r="D299" s="70" t="s">
        <v>27</v>
      </c>
      <c r="E299" s="40" t="s">
        <v>24</v>
      </c>
      <c r="F299" s="27"/>
      <c r="G299" s="28">
        <v>2.38</v>
      </c>
      <c r="H299" s="28">
        <v>3.96</v>
      </c>
      <c r="I299" s="28">
        <v>3.68</v>
      </c>
      <c r="J299" s="28">
        <v>2.14</v>
      </c>
      <c r="K299" s="28">
        <v>4.1100000000000003</v>
      </c>
      <c r="L299" s="28">
        <v>1.1399999999999999</v>
      </c>
      <c r="M299" s="29">
        <v>1.5</v>
      </c>
      <c r="N299" s="27"/>
      <c r="O299" s="28">
        <v>2.38</v>
      </c>
      <c r="P299" s="28">
        <v>3.96</v>
      </c>
      <c r="Q299" s="28">
        <v>3.68</v>
      </c>
      <c r="R299" s="28">
        <v>2.14</v>
      </c>
      <c r="S299" s="28">
        <v>4.1100000000000003</v>
      </c>
      <c r="T299" s="28">
        <v>1.1399999999999999</v>
      </c>
      <c r="U299" s="29">
        <v>1.5</v>
      </c>
    </row>
    <row r="300" spans="3:21" x14ac:dyDescent="0.3">
      <c r="C300" s="66"/>
      <c r="D300" s="70"/>
      <c r="E300" s="39" t="s">
        <v>25</v>
      </c>
      <c r="F300" s="9"/>
      <c r="G300" s="10">
        <v>6.7575757575760065E-2</v>
      </c>
      <c r="H300" s="10">
        <v>-6.2499999999010569E-4</v>
      </c>
      <c r="I300" s="10">
        <v>-4.9374999999989733E-2</v>
      </c>
      <c r="J300" s="10">
        <v>3.7659574468090096E-2</v>
      </c>
      <c r="K300" s="10">
        <v>-0.10225806451611952</v>
      </c>
      <c r="L300" s="10">
        <v>0.20134328358208986</v>
      </c>
      <c r="M300" s="11">
        <v>0.13676923076924008</v>
      </c>
      <c r="N300" s="9"/>
      <c r="O300" s="10">
        <v>6.6590909090909811E-2</v>
      </c>
      <c r="P300" s="10">
        <v>-1.1219512195120185E-2</v>
      </c>
      <c r="Q300" s="10">
        <v>-6.4418604651159672E-2</v>
      </c>
      <c r="R300" s="10">
        <v>3.7812500000010019E-2</v>
      </c>
      <c r="S300" s="10">
        <v>-9.7073170731699854E-2</v>
      </c>
      <c r="T300" s="10">
        <v>0.20499999999999985</v>
      </c>
      <c r="U300" s="11">
        <v>0.14023255813954005</v>
      </c>
    </row>
    <row r="301" spans="3:21" x14ac:dyDescent="0.3">
      <c r="C301" s="66"/>
      <c r="D301" s="70"/>
      <c r="E301" s="39" t="s">
        <v>26</v>
      </c>
      <c r="F301" s="9"/>
      <c r="G301" s="10">
        <v>2.9222906565326756</v>
      </c>
      <c r="H301" s="10">
        <v>-1.5780337698976986E-2</v>
      </c>
      <c r="I301" s="10">
        <v>-1.3239483827716403</v>
      </c>
      <c r="J301" s="10">
        <v>1.7913166683536468</v>
      </c>
      <c r="K301" s="10">
        <v>-2.4276305712970685</v>
      </c>
      <c r="L301" s="10">
        <v>21.450151057401857</v>
      </c>
      <c r="M301" s="11">
        <v>10.032727683106495</v>
      </c>
      <c r="N301" s="9"/>
      <c r="O301" s="10">
        <v>2.878475292268428</v>
      </c>
      <c r="P301" s="10">
        <v>-0.28252057486790799</v>
      </c>
      <c r="Q301" s="10">
        <v>-1.7203900378857637</v>
      </c>
      <c r="R301" s="10">
        <v>1.7987215697938552</v>
      </c>
      <c r="S301" s="10">
        <v>-2.3073801379788397</v>
      </c>
      <c r="T301" s="10">
        <v>21.925133689839555</v>
      </c>
      <c r="U301" s="11">
        <v>10.312981015906011</v>
      </c>
    </row>
    <row r="302" spans="3:21" x14ac:dyDescent="0.3">
      <c r="C302" s="66"/>
      <c r="D302" s="70" t="s">
        <v>28</v>
      </c>
      <c r="E302" s="40" t="s">
        <v>24</v>
      </c>
      <c r="F302" s="27"/>
      <c r="G302" s="28">
        <v>2.44</v>
      </c>
      <c r="H302" s="28">
        <v>3.99</v>
      </c>
      <c r="I302" s="28">
        <v>3.75</v>
      </c>
      <c r="J302" s="28">
        <v>2.2000000000000002</v>
      </c>
      <c r="K302" s="28">
        <v>4.25</v>
      </c>
      <c r="L302" s="28">
        <v>1.1599999999999999</v>
      </c>
      <c r="M302" s="29">
        <v>1.51</v>
      </c>
      <c r="N302" s="27"/>
      <c r="O302" s="28">
        <v>2.44</v>
      </c>
      <c r="P302" s="28">
        <v>3.99</v>
      </c>
      <c r="Q302" s="28">
        <v>3.75</v>
      </c>
      <c r="R302" s="28">
        <v>2.2000000000000002</v>
      </c>
      <c r="S302" s="28">
        <v>4.25</v>
      </c>
      <c r="T302" s="28">
        <v>1.1599999999999999</v>
      </c>
      <c r="U302" s="29">
        <v>1.51</v>
      </c>
    </row>
    <row r="303" spans="3:21" x14ac:dyDescent="0.3">
      <c r="C303" s="66"/>
      <c r="D303" s="70"/>
      <c r="E303" s="39" t="s">
        <v>25</v>
      </c>
      <c r="F303" s="9"/>
      <c r="G303" s="10">
        <v>0.12757575757576012</v>
      </c>
      <c r="H303" s="10">
        <v>2.9375000000010143E-2</v>
      </c>
      <c r="I303" s="10">
        <v>2.0625000000010107E-2</v>
      </c>
      <c r="J303" s="10">
        <v>9.7659574468090149E-2</v>
      </c>
      <c r="K303" s="10">
        <v>3.7741935483880162E-2</v>
      </c>
      <c r="L303" s="10">
        <v>0.22134328358208988</v>
      </c>
      <c r="M303" s="11">
        <v>0.14676923076924009</v>
      </c>
      <c r="N303" s="9"/>
      <c r="O303" s="10">
        <v>0.12659090909090986</v>
      </c>
      <c r="P303" s="10">
        <v>1.8780487804880064E-2</v>
      </c>
      <c r="Q303" s="10">
        <v>5.581395348840168E-3</v>
      </c>
      <c r="R303" s="10">
        <v>9.7812500000010072E-2</v>
      </c>
      <c r="S303" s="10">
        <v>4.2926829268299826E-2</v>
      </c>
      <c r="T303" s="10">
        <v>0.22499999999999987</v>
      </c>
      <c r="U303" s="11">
        <v>0.15023255813954006</v>
      </c>
    </row>
    <row r="304" spans="3:21" ht="15" thickBot="1" x14ac:dyDescent="0.35">
      <c r="C304" s="66"/>
      <c r="D304" s="74"/>
      <c r="E304" s="41" t="s">
        <v>26</v>
      </c>
      <c r="F304" s="12"/>
      <c r="G304" s="13">
        <v>5.5169702529158542</v>
      </c>
      <c r="H304" s="13">
        <v>0.74167587186391581</v>
      </c>
      <c r="I304" s="13">
        <v>0.55304172951259034</v>
      </c>
      <c r="J304" s="13">
        <v>4.6452788179336579</v>
      </c>
      <c r="K304" s="13">
        <v>0.89600245060521333</v>
      </c>
      <c r="L304" s="13">
        <v>23.580855461917679</v>
      </c>
      <c r="M304" s="14">
        <v>10.766279200993873</v>
      </c>
      <c r="N304" s="12"/>
      <c r="O304" s="13">
        <v>5.4720502996365417</v>
      </c>
      <c r="P304" s="13">
        <v>0.47291487532249293</v>
      </c>
      <c r="Q304" s="13">
        <v>0.14905906465444843</v>
      </c>
      <c r="R304" s="13">
        <v>4.6528913334329376</v>
      </c>
      <c r="S304" s="13">
        <v>1.0203490057396347</v>
      </c>
      <c r="T304" s="13">
        <v>24.064171122994637</v>
      </c>
      <c r="U304" s="14">
        <v>11.048400889345386</v>
      </c>
    </row>
    <row r="305" spans="3:21" x14ac:dyDescent="0.3">
      <c r="C305" s="65">
        <v>2</v>
      </c>
      <c r="D305" s="71" t="s">
        <v>20</v>
      </c>
      <c r="E305" s="72"/>
      <c r="F305" s="21"/>
      <c r="G305" s="22">
        <v>2.2467164179104402</v>
      </c>
      <c r="H305" s="22">
        <v>3.7841791044775999</v>
      </c>
      <c r="I305" s="22">
        <v>3.63</v>
      </c>
      <c r="J305" s="22">
        <v>2.1012121212121202</v>
      </c>
      <c r="K305" s="22">
        <v>3.97183333333333</v>
      </c>
      <c r="L305" s="22">
        <v>0.94880597014925305</v>
      </c>
      <c r="M305" s="23">
        <v>1.3286567164179099</v>
      </c>
      <c r="N305" s="21"/>
      <c r="O305" s="22">
        <v>2.27511111111111</v>
      </c>
      <c r="P305" s="22">
        <v>3.7553333333333301</v>
      </c>
      <c r="Q305" s="22">
        <v>3.64688888888888</v>
      </c>
      <c r="R305" s="22">
        <v>2.0956818181818102</v>
      </c>
      <c r="S305" s="22">
        <v>3.9554999999999998</v>
      </c>
      <c r="T305" s="22">
        <v>0.94711111111111101</v>
      </c>
      <c r="U305" s="23">
        <v>1.33177777777777</v>
      </c>
    </row>
    <row r="306" spans="3:21" ht="15" customHeight="1" x14ac:dyDescent="0.3">
      <c r="C306" s="66"/>
      <c r="D306" s="68" t="s">
        <v>21</v>
      </c>
      <c r="E306" s="69"/>
      <c r="F306" s="24"/>
      <c r="G306" s="25">
        <v>0.32761639408117299</v>
      </c>
      <c r="H306" s="25">
        <v>0.652920303823879</v>
      </c>
      <c r="I306" s="25">
        <v>0.51372082974032696</v>
      </c>
      <c r="J306" s="25">
        <v>2.5732608219989801E-2</v>
      </c>
      <c r="K306" s="25">
        <v>0.813536501264011</v>
      </c>
      <c r="L306" s="25">
        <v>1.9663010812387301E-2</v>
      </c>
      <c r="M306" s="26">
        <v>0.172530728583739</v>
      </c>
      <c r="N306" s="24"/>
      <c r="O306" s="25">
        <v>0.235217367293623</v>
      </c>
      <c r="P306" s="25">
        <v>0.62476520033974003</v>
      </c>
      <c r="Q306" s="25">
        <v>0.39966553918229702</v>
      </c>
      <c r="R306" s="25">
        <v>2.57079513055898E-2</v>
      </c>
      <c r="S306" s="25">
        <v>0.83386734556522801</v>
      </c>
      <c r="T306" s="25">
        <v>2.0615228699216101E-2</v>
      </c>
      <c r="U306" s="26">
        <v>0.153192527942076</v>
      </c>
    </row>
    <row r="307" spans="3:21" ht="15" customHeight="1" x14ac:dyDescent="0.3">
      <c r="C307" s="66"/>
      <c r="D307" s="68" t="s">
        <v>22</v>
      </c>
      <c r="E307" s="69"/>
      <c r="F307" s="33"/>
      <c r="G307" s="34">
        <v>2.3109374999999899</v>
      </c>
      <c r="H307" s="34">
        <v>3.9634426229508102</v>
      </c>
      <c r="I307" s="34">
        <v>3.7376190476190398</v>
      </c>
      <c r="J307" s="34">
        <v>2.1034693877551001</v>
      </c>
      <c r="K307" s="34">
        <v>4.20672727272727</v>
      </c>
      <c r="L307" s="34">
        <v>0.94499999999999995</v>
      </c>
      <c r="M307" s="35">
        <v>1.3653124999999999</v>
      </c>
      <c r="N307" s="33"/>
      <c r="O307" s="34">
        <v>2.3104545454545402</v>
      </c>
      <c r="P307" s="34">
        <v>3.9604999999999899</v>
      </c>
      <c r="Q307" s="34">
        <v>3.73209302325581</v>
      </c>
      <c r="R307" s="34">
        <v>2.0974999999999899</v>
      </c>
      <c r="S307" s="34">
        <v>4.1827027027027004</v>
      </c>
      <c r="T307" s="34">
        <v>0.94406250000000003</v>
      </c>
      <c r="U307" s="35">
        <v>1.3644186046511599</v>
      </c>
    </row>
    <row r="308" spans="3:21" x14ac:dyDescent="0.3">
      <c r="C308" s="66"/>
      <c r="D308" s="73" t="s">
        <v>23</v>
      </c>
      <c r="E308" s="38" t="s">
        <v>24</v>
      </c>
      <c r="F308" s="27"/>
      <c r="G308" s="28">
        <v>2.5</v>
      </c>
      <c r="H308" s="28">
        <v>4.05</v>
      </c>
      <c r="I308" s="28">
        <v>3.84</v>
      </c>
      <c r="J308" s="28">
        <v>2.25</v>
      </c>
      <c r="K308" s="28">
        <v>4.26</v>
      </c>
      <c r="L308" s="28">
        <v>1.27</v>
      </c>
      <c r="M308" s="29">
        <v>1.64</v>
      </c>
      <c r="N308" s="27"/>
      <c r="O308" s="28">
        <v>2.5</v>
      </c>
      <c r="P308" s="28">
        <v>4.05</v>
      </c>
      <c r="Q308" s="28">
        <v>3.84</v>
      </c>
      <c r="R308" s="28">
        <v>2.25</v>
      </c>
      <c r="S308" s="28">
        <v>4.26</v>
      </c>
      <c r="T308" s="28">
        <v>1.27</v>
      </c>
      <c r="U308" s="29">
        <v>1.64</v>
      </c>
    </row>
    <row r="309" spans="3:21" x14ac:dyDescent="0.3">
      <c r="C309" s="66"/>
      <c r="D309" s="70"/>
      <c r="E309" s="39" t="s">
        <v>25</v>
      </c>
      <c r="F309" s="9"/>
      <c r="G309" s="10">
        <v>0.18906250000001013</v>
      </c>
      <c r="H309" s="10">
        <v>8.6557377049189643E-2</v>
      </c>
      <c r="I309" s="10">
        <v>0.10238095238096001</v>
      </c>
      <c r="J309" s="10">
        <v>0.14653061224489994</v>
      </c>
      <c r="K309" s="10">
        <v>5.3272727272729803E-2</v>
      </c>
      <c r="L309" s="10">
        <v>0.32500000000000007</v>
      </c>
      <c r="M309" s="11">
        <v>0.27468749999999997</v>
      </c>
      <c r="N309" s="9"/>
      <c r="O309" s="10">
        <v>0.18954545454545979</v>
      </c>
      <c r="P309" s="10">
        <v>8.9500000000009905E-2</v>
      </c>
      <c r="Q309" s="10">
        <v>0.10790697674418981</v>
      </c>
      <c r="R309" s="10">
        <v>0.15250000000001007</v>
      </c>
      <c r="S309" s="10">
        <v>7.7297297297299394E-2</v>
      </c>
      <c r="T309" s="10">
        <v>0.32593749999999999</v>
      </c>
      <c r="U309" s="11">
        <v>0.27558139534883996</v>
      </c>
    </row>
    <row r="310" spans="3:21" x14ac:dyDescent="0.3">
      <c r="C310" s="66"/>
      <c r="D310" s="70"/>
      <c r="E310" s="39" t="s">
        <v>26</v>
      </c>
      <c r="F310" s="9"/>
      <c r="G310" s="10">
        <v>8.1812035158895888</v>
      </c>
      <c r="H310" s="10">
        <v>2.1838937833480503</v>
      </c>
      <c r="I310" s="10">
        <v>2.7392024461716966</v>
      </c>
      <c r="J310" s="10">
        <v>6.9661395168333211</v>
      </c>
      <c r="K310" s="10">
        <v>1.2663698837360682</v>
      </c>
      <c r="L310" s="10">
        <v>34.3915343915344</v>
      </c>
      <c r="M310" s="11">
        <v>20.119020370794232</v>
      </c>
      <c r="N310" s="9"/>
      <c r="O310" s="10">
        <v>8.2038166437145872</v>
      </c>
      <c r="P310" s="10">
        <v>2.2598156798386602</v>
      </c>
      <c r="Q310" s="10">
        <v>2.8913260219343013</v>
      </c>
      <c r="R310" s="10">
        <v>7.2705601907037325</v>
      </c>
      <c r="S310" s="10">
        <v>1.848022744895373</v>
      </c>
      <c r="T310" s="10">
        <v>34.524991724594507</v>
      </c>
      <c r="U310" s="11">
        <v>20.197716038861671</v>
      </c>
    </row>
    <row r="311" spans="3:21" x14ac:dyDescent="0.3">
      <c r="C311" s="66"/>
      <c r="D311" s="70" t="s">
        <v>27</v>
      </c>
      <c r="E311" s="40" t="s">
        <v>24</v>
      </c>
      <c r="F311" s="27"/>
      <c r="G311" s="28">
        <v>2.38</v>
      </c>
      <c r="H311" s="28">
        <v>3.96</v>
      </c>
      <c r="I311" s="28">
        <v>3.68</v>
      </c>
      <c r="J311" s="28">
        <v>2.14</v>
      </c>
      <c r="K311" s="28">
        <v>4.1100000000000003</v>
      </c>
      <c r="L311" s="28">
        <v>1.1399999999999999</v>
      </c>
      <c r="M311" s="29">
        <v>1.5</v>
      </c>
      <c r="N311" s="27"/>
      <c r="O311" s="28">
        <v>2.38</v>
      </c>
      <c r="P311" s="28">
        <v>3.96</v>
      </c>
      <c r="Q311" s="28">
        <v>3.68</v>
      </c>
      <c r="R311" s="28">
        <v>2.14</v>
      </c>
      <c r="S311" s="28">
        <v>4.1100000000000003</v>
      </c>
      <c r="T311" s="28">
        <v>1.1399999999999999</v>
      </c>
      <c r="U311" s="29">
        <v>1.5</v>
      </c>
    </row>
    <row r="312" spans="3:21" x14ac:dyDescent="0.3">
      <c r="C312" s="66"/>
      <c r="D312" s="70"/>
      <c r="E312" s="39" t="s">
        <v>25</v>
      </c>
      <c r="F312" s="9"/>
      <c r="G312" s="10">
        <v>6.9062500000010019E-2</v>
      </c>
      <c r="H312" s="10">
        <v>-3.4426229508102146E-3</v>
      </c>
      <c r="I312" s="10">
        <v>-5.7619047619039687E-2</v>
      </c>
      <c r="J312" s="10">
        <v>3.6530612244900063E-2</v>
      </c>
      <c r="K312" s="10">
        <v>-9.6727272727269664E-2</v>
      </c>
      <c r="L312" s="10">
        <v>0.19499999999999995</v>
      </c>
      <c r="M312" s="11">
        <v>0.13468750000000007</v>
      </c>
      <c r="N312" s="9"/>
      <c r="O312" s="10">
        <v>6.9545454545459684E-2</v>
      </c>
      <c r="P312" s="10">
        <v>-4.9999999998995293E-4</v>
      </c>
      <c r="Q312" s="10">
        <v>-5.2093023255809889E-2</v>
      </c>
      <c r="R312" s="10">
        <v>4.2500000000010196E-2</v>
      </c>
      <c r="S312" s="10">
        <v>-7.2702702702700073E-2</v>
      </c>
      <c r="T312" s="10">
        <v>0.19593749999999988</v>
      </c>
      <c r="U312" s="11">
        <v>0.13558139534884006</v>
      </c>
    </row>
    <row r="313" spans="3:21" x14ac:dyDescent="0.3">
      <c r="C313" s="66"/>
      <c r="D313" s="70"/>
      <c r="E313" s="39" t="s">
        <v>26</v>
      </c>
      <c r="F313" s="9"/>
      <c r="G313" s="10">
        <v>2.9885057471268834</v>
      </c>
      <c r="H313" s="10">
        <v>-8.6859411837458572E-2</v>
      </c>
      <c r="I313" s="10">
        <v>-1.541597655752116</v>
      </c>
      <c r="J313" s="10">
        <v>1.7366838071214756</v>
      </c>
      <c r="K313" s="10">
        <v>-2.2993473656912453</v>
      </c>
      <c r="L313" s="10">
        <v>20.634920634920633</v>
      </c>
      <c r="M313" s="11">
        <v>9.8649576562142425</v>
      </c>
      <c r="N313" s="9"/>
      <c r="O313" s="10">
        <v>3.0100334448162829</v>
      </c>
      <c r="P313" s="10">
        <v>-1.2624668602195535E-2</v>
      </c>
      <c r="Q313" s="10">
        <v>-1.3958125623129534</v>
      </c>
      <c r="R313" s="10">
        <v>2.0262216924915566</v>
      </c>
      <c r="S313" s="10">
        <v>-1.7381752390798038</v>
      </c>
      <c r="T313" s="10">
        <v>20.754716981132063</v>
      </c>
      <c r="U313" s="11">
        <v>9.9369354013978786</v>
      </c>
    </row>
    <row r="314" spans="3:21" x14ac:dyDescent="0.3">
      <c r="C314" s="66"/>
      <c r="D314" s="70" t="s">
        <v>28</v>
      </c>
      <c r="E314" s="40" t="s">
        <v>24</v>
      </c>
      <c r="F314" s="27"/>
      <c r="G314" s="28">
        <v>2.44</v>
      </c>
      <c r="H314" s="28">
        <v>3.99</v>
      </c>
      <c r="I314" s="28">
        <v>3.75</v>
      </c>
      <c r="J314" s="28">
        <v>2.2000000000000002</v>
      </c>
      <c r="K314" s="28">
        <v>4.25</v>
      </c>
      <c r="L314" s="28">
        <v>1.1599999999999999</v>
      </c>
      <c r="M314" s="29">
        <v>1.51</v>
      </c>
      <c r="N314" s="27"/>
      <c r="O314" s="28">
        <v>2.44</v>
      </c>
      <c r="P314" s="28">
        <v>3.99</v>
      </c>
      <c r="Q314" s="28">
        <v>3.75</v>
      </c>
      <c r="R314" s="28">
        <v>2.2000000000000002</v>
      </c>
      <c r="S314" s="28">
        <v>4.25</v>
      </c>
      <c r="T314" s="28">
        <v>1.1599999999999999</v>
      </c>
      <c r="U314" s="29">
        <v>1.51</v>
      </c>
    </row>
    <row r="315" spans="3:21" x14ac:dyDescent="0.3">
      <c r="C315" s="66"/>
      <c r="D315" s="70"/>
      <c r="E315" s="39" t="s">
        <v>25</v>
      </c>
      <c r="F315" s="9"/>
      <c r="G315" s="10">
        <v>0.12906250000001007</v>
      </c>
      <c r="H315" s="10">
        <v>2.6557377049190034E-2</v>
      </c>
      <c r="I315" s="10">
        <v>1.2380952380960153E-2</v>
      </c>
      <c r="J315" s="10">
        <v>9.6530612244900116E-2</v>
      </c>
      <c r="K315" s="10">
        <v>4.3272727272730016E-2</v>
      </c>
      <c r="L315" s="10">
        <v>0.21499999999999997</v>
      </c>
      <c r="M315" s="11">
        <v>0.14468750000000008</v>
      </c>
      <c r="N315" s="9"/>
      <c r="O315" s="10">
        <v>0.12954545454545974</v>
      </c>
      <c r="P315" s="10">
        <v>2.9500000000010296E-2</v>
      </c>
      <c r="Q315" s="10">
        <v>1.7906976744189951E-2</v>
      </c>
      <c r="R315" s="10">
        <v>0.10250000000001025</v>
      </c>
      <c r="S315" s="10">
        <v>6.7297297297299608E-2</v>
      </c>
      <c r="T315" s="10">
        <v>0.21593749999999989</v>
      </c>
      <c r="U315" s="11">
        <v>0.14558139534884007</v>
      </c>
    </row>
    <row r="316" spans="3:21" ht="15" thickBot="1" x14ac:dyDescent="0.35">
      <c r="C316" s="66"/>
      <c r="D316" s="74"/>
      <c r="E316" s="41" t="s">
        <v>26</v>
      </c>
      <c r="F316" s="12"/>
      <c r="G316" s="13">
        <v>5.5848546315082359</v>
      </c>
      <c r="H316" s="13">
        <v>0.6700583198910518</v>
      </c>
      <c r="I316" s="13">
        <v>0.33125238883955122</v>
      </c>
      <c r="J316" s="13">
        <v>4.589114194237033</v>
      </c>
      <c r="K316" s="13">
        <v>1.0286554004409181</v>
      </c>
      <c r="L316" s="13">
        <v>22.75132275132275</v>
      </c>
      <c r="M316" s="14">
        <v>10.597390707255672</v>
      </c>
      <c r="N316" s="12"/>
      <c r="O316" s="13">
        <v>5.6069250442654353</v>
      </c>
      <c r="P316" s="13">
        <v>0.74485544754476385</v>
      </c>
      <c r="Q316" s="13">
        <v>0.47981056829521979</v>
      </c>
      <c r="R316" s="13">
        <v>4.8867699642436593</v>
      </c>
      <c r="S316" s="13">
        <v>1.6089428792970322</v>
      </c>
      <c r="T316" s="13">
        <v>22.873220787818589</v>
      </c>
      <c r="U316" s="14">
        <v>10.669848304073865</v>
      </c>
    </row>
    <row r="317" spans="3:21" x14ac:dyDescent="0.3">
      <c r="C317" s="65">
        <v>3</v>
      </c>
      <c r="D317" s="71" t="s">
        <v>20</v>
      </c>
      <c r="E317" s="72"/>
      <c r="F317" s="21"/>
      <c r="G317" s="22">
        <v>2.27132352941176</v>
      </c>
      <c r="H317" s="22">
        <v>3.91455882352941</v>
      </c>
      <c r="I317" s="22">
        <v>3.6765671641791</v>
      </c>
      <c r="J317" s="22">
        <v>2.0735820895522301</v>
      </c>
      <c r="K317" s="22">
        <v>4.1518032786885204</v>
      </c>
      <c r="L317" s="22">
        <v>0.92411764705882304</v>
      </c>
      <c r="M317" s="23">
        <v>1.3292647058823499</v>
      </c>
      <c r="N317" s="21"/>
      <c r="O317" s="22">
        <v>2.2791999999999901</v>
      </c>
      <c r="P317" s="22">
        <v>3.89759999999999</v>
      </c>
      <c r="Q317" s="22">
        <v>3.6763999999999899</v>
      </c>
      <c r="R317" s="22">
        <v>2.06612244897959</v>
      </c>
      <c r="S317" s="22">
        <v>4.1317777777777698</v>
      </c>
      <c r="T317" s="22">
        <v>0.925399999999999</v>
      </c>
      <c r="U317" s="23">
        <v>1.341</v>
      </c>
    </row>
    <row r="318" spans="3:21" ht="15" customHeight="1" x14ac:dyDescent="0.3">
      <c r="C318" s="66"/>
      <c r="D318" s="68" t="s">
        <v>21</v>
      </c>
      <c r="E318" s="69"/>
      <c r="F318" s="24"/>
      <c r="G318" s="25">
        <v>0.25393899459472202</v>
      </c>
      <c r="H318" s="25">
        <v>0.32794562777247999</v>
      </c>
      <c r="I318" s="25">
        <v>0.41439959170874602</v>
      </c>
      <c r="J318" s="25">
        <v>0.19108255223533099</v>
      </c>
      <c r="K318" s="25">
        <v>0.56011564437285299</v>
      </c>
      <c r="L318" s="25">
        <v>0.11694940200684099</v>
      </c>
      <c r="M318" s="26">
        <v>0.194083943152491</v>
      </c>
      <c r="N318" s="24"/>
      <c r="O318" s="25">
        <v>0.25226050027699498</v>
      </c>
      <c r="P318" s="25">
        <v>0.37968176147926802</v>
      </c>
      <c r="Q318" s="25">
        <v>0.461435846028459</v>
      </c>
      <c r="R318" s="25">
        <v>0.22270889140842501</v>
      </c>
      <c r="S318" s="25">
        <v>0.62484589705120697</v>
      </c>
      <c r="T318" s="25">
        <v>0.12264110240861301</v>
      </c>
      <c r="U318" s="26">
        <v>0.16434415109762801</v>
      </c>
    </row>
    <row r="319" spans="3:21" ht="15" customHeight="1" x14ac:dyDescent="0.3">
      <c r="C319" s="66"/>
      <c r="D319" s="68" t="s">
        <v>22</v>
      </c>
      <c r="E319" s="69"/>
      <c r="F319" s="33"/>
      <c r="G319" s="34">
        <v>2.31424242424242</v>
      </c>
      <c r="H319" s="34">
        <v>3.97384615384615</v>
      </c>
      <c r="I319" s="34">
        <v>3.74</v>
      </c>
      <c r="J319" s="34">
        <v>2.09696969696969</v>
      </c>
      <c r="K319" s="34">
        <v>4.2391525423728798</v>
      </c>
      <c r="L319" s="34">
        <v>0.94799999999999995</v>
      </c>
      <c r="M319" s="35">
        <v>1.36287878787878</v>
      </c>
      <c r="N319" s="33"/>
      <c r="O319" s="34">
        <v>2.3151020408163201</v>
      </c>
      <c r="P319" s="34">
        <v>3.9785106382978701</v>
      </c>
      <c r="Q319" s="34">
        <v>3.7422448979591798</v>
      </c>
      <c r="R319" s="34">
        <v>2.0981249999999898</v>
      </c>
      <c r="S319" s="34">
        <v>4.2249999999999996</v>
      </c>
      <c r="T319" s="34">
        <v>0.94937499999999897</v>
      </c>
      <c r="U319" s="35">
        <v>1.3642857142857101</v>
      </c>
    </row>
    <row r="320" spans="3:21" x14ac:dyDescent="0.3">
      <c r="C320" s="66"/>
      <c r="D320" s="73" t="s">
        <v>23</v>
      </c>
      <c r="E320" s="38" t="s">
        <v>24</v>
      </c>
      <c r="F320" s="30"/>
      <c r="G320" s="31">
        <v>2.5</v>
      </c>
      <c r="H320" s="31">
        <v>4.05</v>
      </c>
      <c r="I320" s="31">
        <v>3.84</v>
      </c>
      <c r="J320" s="31">
        <v>2.25</v>
      </c>
      <c r="K320" s="31">
        <v>4.26</v>
      </c>
      <c r="L320" s="31">
        <v>1.27</v>
      </c>
      <c r="M320" s="32">
        <v>1.64</v>
      </c>
      <c r="N320" s="30"/>
      <c r="O320" s="31">
        <v>2.5</v>
      </c>
      <c r="P320" s="31">
        <v>4.05</v>
      </c>
      <c r="Q320" s="31">
        <v>3.84</v>
      </c>
      <c r="R320" s="31">
        <v>2.25</v>
      </c>
      <c r="S320" s="31">
        <v>4.26</v>
      </c>
      <c r="T320" s="31">
        <v>1.27</v>
      </c>
      <c r="U320" s="32">
        <v>1.64</v>
      </c>
    </row>
    <row r="321" spans="3:21" x14ac:dyDescent="0.3">
      <c r="C321" s="66"/>
      <c r="D321" s="70"/>
      <c r="E321" s="39" t="s">
        <v>25</v>
      </c>
      <c r="F321" s="15"/>
      <c r="G321" s="16">
        <v>0.18575757575758001</v>
      </c>
      <c r="H321" s="16">
        <v>7.6153846153849791E-2</v>
      </c>
      <c r="I321" s="16">
        <v>9.9999999999999645E-2</v>
      </c>
      <c r="J321" s="16">
        <v>0.15303030303030996</v>
      </c>
      <c r="K321" s="16">
        <v>2.0847457627120036E-2</v>
      </c>
      <c r="L321" s="16">
        <v>0.32200000000000006</v>
      </c>
      <c r="M321" s="17">
        <v>0.27712121212121987</v>
      </c>
      <c r="N321" s="15"/>
      <c r="O321" s="16">
        <v>0.18489795918367991</v>
      </c>
      <c r="P321" s="16">
        <v>7.1489361702129717E-2</v>
      </c>
      <c r="Q321" s="16">
        <v>9.7755102040820052E-2</v>
      </c>
      <c r="R321" s="16">
        <v>0.1518750000000102</v>
      </c>
      <c r="S321" s="16">
        <v>3.5000000000000142E-2</v>
      </c>
      <c r="T321" s="16">
        <v>0.32062500000000105</v>
      </c>
      <c r="U321" s="17">
        <v>0.2757142857142898</v>
      </c>
    </row>
    <row r="322" spans="3:21" x14ac:dyDescent="0.3">
      <c r="C322" s="66"/>
      <c r="D322" s="70"/>
      <c r="E322" s="39" t="s">
        <v>26</v>
      </c>
      <c r="F322" s="15"/>
      <c r="G322" s="16">
        <v>8.0267120597095083</v>
      </c>
      <c r="H322" s="16">
        <v>1.9163763066203026</v>
      </c>
      <c r="I322" s="16">
        <v>2.6737967914438405</v>
      </c>
      <c r="J322" s="16">
        <v>7.2976878612720304</v>
      </c>
      <c r="K322" s="16">
        <v>0.49178361520934089</v>
      </c>
      <c r="L322" s="16">
        <v>33.966244725738406</v>
      </c>
      <c r="M322" s="17">
        <v>20.333518621457049</v>
      </c>
      <c r="N322" s="15"/>
      <c r="O322" s="16">
        <v>7.9866008462626414</v>
      </c>
      <c r="P322" s="16">
        <v>1.796887534092785</v>
      </c>
      <c r="Q322" s="16">
        <v>2.6122048317610229</v>
      </c>
      <c r="R322" s="16">
        <v>7.2386058981238453</v>
      </c>
      <c r="S322" s="16">
        <v>0.82840236686390878</v>
      </c>
      <c r="T322" s="16">
        <v>33.772218564845438</v>
      </c>
      <c r="U322" s="17">
        <v>20.209424083769996</v>
      </c>
    </row>
    <row r="323" spans="3:21" x14ac:dyDescent="0.3">
      <c r="C323" s="66"/>
      <c r="D323" s="70" t="s">
        <v>27</v>
      </c>
      <c r="E323" s="40" t="s">
        <v>24</v>
      </c>
      <c r="F323" s="30"/>
      <c r="G323" s="31">
        <v>2.38</v>
      </c>
      <c r="H323" s="31">
        <v>3.96</v>
      </c>
      <c r="I323" s="31">
        <v>3.68</v>
      </c>
      <c r="J323" s="31">
        <v>2.14</v>
      </c>
      <c r="K323" s="31">
        <v>4.1100000000000003</v>
      </c>
      <c r="L323" s="31">
        <v>1.1399999999999999</v>
      </c>
      <c r="M323" s="32">
        <v>1.5</v>
      </c>
      <c r="N323" s="30"/>
      <c r="O323" s="31">
        <v>2.38</v>
      </c>
      <c r="P323" s="31">
        <v>3.96</v>
      </c>
      <c r="Q323" s="31">
        <v>3.68</v>
      </c>
      <c r="R323" s="31">
        <v>2.14</v>
      </c>
      <c r="S323" s="31">
        <v>4.1100000000000003</v>
      </c>
      <c r="T323" s="31">
        <v>1.1399999999999999</v>
      </c>
      <c r="U323" s="32">
        <v>1.5</v>
      </c>
    </row>
    <row r="324" spans="3:21" x14ac:dyDescent="0.3">
      <c r="C324" s="66"/>
      <c r="D324" s="70"/>
      <c r="E324" s="39" t="s">
        <v>25</v>
      </c>
      <c r="F324" s="15"/>
      <c r="G324" s="16">
        <v>6.57575757575799E-2</v>
      </c>
      <c r="H324" s="16">
        <v>-1.3846153846150067E-2</v>
      </c>
      <c r="I324" s="16">
        <v>-6.0000000000000053E-2</v>
      </c>
      <c r="J324" s="16">
        <v>4.303030303031008E-2</v>
      </c>
      <c r="K324" s="16">
        <v>-0.12915254237287943</v>
      </c>
      <c r="L324" s="16">
        <v>0.19199999999999995</v>
      </c>
      <c r="M324" s="17">
        <v>0.13712121212121997</v>
      </c>
      <c r="N324" s="15"/>
      <c r="O324" s="16">
        <v>6.4897959183679799E-2</v>
      </c>
      <c r="P324" s="16">
        <v>-1.8510638297870141E-2</v>
      </c>
      <c r="Q324" s="16">
        <v>-6.2244897959179646E-2</v>
      </c>
      <c r="R324" s="16">
        <v>4.1875000000010321E-2</v>
      </c>
      <c r="S324" s="16">
        <v>-0.11499999999999932</v>
      </c>
      <c r="T324" s="16">
        <v>0.19062500000000093</v>
      </c>
      <c r="U324" s="17">
        <v>0.1357142857142899</v>
      </c>
    </row>
    <row r="325" spans="3:21" x14ac:dyDescent="0.3">
      <c r="C325" s="66"/>
      <c r="D325" s="70"/>
      <c r="E325" s="39" t="s">
        <v>26</v>
      </c>
      <c r="F325" s="15"/>
      <c r="G325" s="16">
        <v>2.8414298808434473</v>
      </c>
      <c r="H325" s="16">
        <v>-0.34843205574903419</v>
      </c>
      <c r="I325" s="16">
        <v>-1.6042780748663115</v>
      </c>
      <c r="J325" s="16">
        <v>2.0520231213876259</v>
      </c>
      <c r="K325" s="16">
        <v>-3.0466594698332292</v>
      </c>
      <c r="L325" s="16">
        <v>20.253164556962023</v>
      </c>
      <c r="M325" s="17">
        <v>10.061145080600967</v>
      </c>
      <c r="N325" s="15"/>
      <c r="O325" s="16">
        <v>2.8032440056420302</v>
      </c>
      <c r="P325" s="16">
        <v>-0.46526552222038459</v>
      </c>
      <c r="Q325" s="16">
        <v>-1.6633037028956785</v>
      </c>
      <c r="R325" s="16">
        <v>1.9958296097711301</v>
      </c>
      <c r="S325" s="16">
        <v>-2.7218934911242445</v>
      </c>
      <c r="T325" s="16">
        <v>20.078999341672272</v>
      </c>
      <c r="U325" s="17">
        <v>9.9476439790579274</v>
      </c>
    </row>
    <row r="326" spans="3:21" x14ac:dyDescent="0.3">
      <c r="C326" s="66"/>
      <c r="D326" s="70" t="s">
        <v>28</v>
      </c>
      <c r="E326" s="40" t="s">
        <v>24</v>
      </c>
      <c r="F326" s="30"/>
      <c r="G326" s="31">
        <v>2.44</v>
      </c>
      <c r="H326" s="31">
        <v>3.99</v>
      </c>
      <c r="I326" s="31">
        <v>3.75</v>
      </c>
      <c r="J326" s="31">
        <v>2.2000000000000002</v>
      </c>
      <c r="K326" s="31">
        <v>4.25</v>
      </c>
      <c r="L326" s="31">
        <v>1.1599999999999999</v>
      </c>
      <c r="M326" s="32">
        <v>1.51</v>
      </c>
      <c r="N326" s="30"/>
      <c r="O326" s="31">
        <v>2.44</v>
      </c>
      <c r="P326" s="31">
        <v>3.99</v>
      </c>
      <c r="Q326" s="31">
        <v>3.75</v>
      </c>
      <c r="R326" s="31">
        <v>2.2000000000000002</v>
      </c>
      <c r="S326" s="31">
        <v>4.25</v>
      </c>
      <c r="T326" s="31">
        <v>1.1599999999999999</v>
      </c>
      <c r="U326" s="32">
        <v>1.51</v>
      </c>
    </row>
    <row r="327" spans="3:21" x14ac:dyDescent="0.3">
      <c r="C327" s="66"/>
      <c r="D327" s="70"/>
      <c r="E327" s="39" t="s">
        <v>25</v>
      </c>
      <c r="F327" s="15"/>
      <c r="G327" s="16">
        <v>0.12575757575757995</v>
      </c>
      <c r="H327" s="16">
        <v>1.6153846153850182E-2</v>
      </c>
      <c r="I327" s="16">
        <v>9.9999999999997868E-3</v>
      </c>
      <c r="J327" s="16">
        <v>0.10303030303031013</v>
      </c>
      <c r="K327" s="16">
        <v>1.0847457627120249E-2</v>
      </c>
      <c r="L327" s="16">
        <v>0.21199999999999997</v>
      </c>
      <c r="M327" s="17">
        <v>0.14712121212121998</v>
      </c>
      <c r="N327" s="15"/>
      <c r="O327" s="16">
        <v>0.12489795918367985</v>
      </c>
      <c r="P327" s="16">
        <v>1.1489361702130108E-2</v>
      </c>
      <c r="Q327" s="16">
        <v>7.7551020408201943E-3</v>
      </c>
      <c r="R327" s="16">
        <v>0.10187500000001037</v>
      </c>
      <c r="S327" s="16">
        <v>2.5000000000000355E-2</v>
      </c>
      <c r="T327" s="16">
        <v>0.21062500000000095</v>
      </c>
      <c r="U327" s="17">
        <v>0.1457142857142899</v>
      </c>
    </row>
    <row r="328" spans="3:21" ht="15" thickBot="1" x14ac:dyDescent="0.35">
      <c r="C328" s="67"/>
      <c r="D328" s="74"/>
      <c r="E328" s="41" t="s">
        <v>26</v>
      </c>
      <c r="F328" s="18"/>
      <c r="G328" s="19">
        <v>5.434070970276478</v>
      </c>
      <c r="H328" s="19">
        <v>0.4065040650407522</v>
      </c>
      <c r="I328" s="19">
        <v>0.26737967914437932</v>
      </c>
      <c r="J328" s="19">
        <v>4.9132947976882164</v>
      </c>
      <c r="K328" s="19">
        <v>0.25588740953984046</v>
      </c>
      <c r="L328" s="19">
        <v>22.362869198312236</v>
      </c>
      <c r="M328" s="20">
        <v>10.794886047804974</v>
      </c>
      <c r="N328" s="18"/>
      <c r="O328" s="19">
        <v>5.3949224259523358</v>
      </c>
      <c r="P328" s="19">
        <v>0.28878549655067937</v>
      </c>
      <c r="Q328" s="19">
        <v>0.20723128101662755</v>
      </c>
      <c r="R328" s="19">
        <v>4.8555257670544352</v>
      </c>
      <c r="S328" s="19">
        <v>0.59171597633136941</v>
      </c>
      <c r="T328" s="19">
        <v>22.185648452929684</v>
      </c>
      <c r="U328" s="20">
        <v>10.680628272251649</v>
      </c>
    </row>
    <row r="331" spans="3:21" ht="15" thickBot="1" x14ac:dyDescent="0.35"/>
    <row r="332" spans="3:21" ht="15" thickBot="1" x14ac:dyDescent="0.35">
      <c r="C332" s="77" t="s">
        <v>50</v>
      </c>
      <c r="D332" s="77"/>
      <c r="E332" s="78"/>
      <c r="F332" s="79" t="s">
        <v>1</v>
      </c>
      <c r="G332" s="80"/>
      <c r="H332" s="80"/>
      <c r="I332" s="80"/>
      <c r="J332" s="80"/>
      <c r="K332" s="80"/>
      <c r="L332" s="80"/>
      <c r="M332" s="81"/>
      <c r="N332" s="75" t="s">
        <v>2</v>
      </c>
      <c r="O332" s="75"/>
      <c r="P332" s="75"/>
      <c r="Q332" s="75"/>
      <c r="R332" s="75"/>
      <c r="S332" s="75"/>
      <c r="T332" s="75"/>
      <c r="U332" s="76"/>
    </row>
    <row r="333" spans="3:21" ht="29.4" thickBot="1" x14ac:dyDescent="0.35">
      <c r="C333" s="5" t="s">
        <v>10</v>
      </c>
      <c r="D333" s="4" t="s">
        <v>11</v>
      </c>
      <c r="E333" s="3"/>
      <c r="F333" s="6" t="s">
        <v>12</v>
      </c>
      <c r="G333" s="7" t="s">
        <v>13</v>
      </c>
      <c r="H333" s="7" t="s">
        <v>14</v>
      </c>
      <c r="I333" s="7" t="s">
        <v>15</v>
      </c>
      <c r="J333" s="7" t="s">
        <v>16</v>
      </c>
      <c r="K333" s="7" t="s">
        <v>17</v>
      </c>
      <c r="L333" s="7" t="s">
        <v>18</v>
      </c>
      <c r="M333" s="8" t="s">
        <v>19</v>
      </c>
      <c r="N333" s="6" t="s">
        <v>12</v>
      </c>
      <c r="O333" s="7" t="s">
        <v>13</v>
      </c>
      <c r="P333" s="7" t="s">
        <v>14</v>
      </c>
      <c r="Q333" s="7" t="s">
        <v>15</v>
      </c>
      <c r="R333" s="7" t="s">
        <v>16</v>
      </c>
      <c r="S333" s="7" t="s">
        <v>17</v>
      </c>
      <c r="T333" s="7" t="s">
        <v>18</v>
      </c>
      <c r="U333" s="8" t="s">
        <v>19</v>
      </c>
    </row>
    <row r="334" spans="3:21" x14ac:dyDescent="0.3">
      <c r="C334" s="65">
        <v>1</v>
      </c>
      <c r="D334" s="71" t="s">
        <v>20</v>
      </c>
      <c r="E334" s="72"/>
      <c r="F334" s="21">
        <v>1.9775471698113101</v>
      </c>
      <c r="G334" s="22">
        <v>0.46263157894736801</v>
      </c>
      <c r="H334" s="22">
        <v>0.231864406779661</v>
      </c>
      <c r="I334" s="22">
        <v>1.1057627118644</v>
      </c>
      <c r="J334" s="22">
        <v>2.26728813559322</v>
      </c>
      <c r="K334" s="22">
        <v>1.1348275862068899</v>
      </c>
      <c r="L334" s="22">
        <v>2.5801694915254201</v>
      </c>
      <c r="M334" s="23">
        <v>0.65050847457627103</v>
      </c>
      <c r="N334" s="21">
        <v>1.9759259259259201</v>
      </c>
      <c r="O334" s="22">
        <v>0.46172413793103401</v>
      </c>
      <c r="P334" s="22">
        <v>0.233833333333333</v>
      </c>
      <c r="Q334" s="22">
        <v>1.0721666666666601</v>
      </c>
      <c r="R334" s="22">
        <v>2.25</v>
      </c>
      <c r="S334" s="22">
        <v>1.12866666666666</v>
      </c>
      <c r="T334" s="22">
        <v>2.5513333333333299</v>
      </c>
      <c r="U334" s="23">
        <v>0.65149999999999997</v>
      </c>
    </row>
    <row r="335" spans="3:21" ht="15" customHeight="1" x14ac:dyDescent="0.3">
      <c r="C335" s="66"/>
      <c r="D335" s="68" t="s">
        <v>21</v>
      </c>
      <c r="E335" s="69"/>
      <c r="F335" s="24">
        <v>0.44296132826810802</v>
      </c>
      <c r="G335" s="25">
        <v>6.0712908416448899E-2</v>
      </c>
      <c r="H335" s="25">
        <v>0.11680019991089199</v>
      </c>
      <c r="I335" s="25">
        <v>1.3186731947460599</v>
      </c>
      <c r="J335" s="25">
        <v>0.53637145776662398</v>
      </c>
      <c r="K335" s="25">
        <v>1.0443530275417101</v>
      </c>
      <c r="L335" s="25">
        <v>7.9178696183573596</v>
      </c>
      <c r="M335" s="26">
        <v>0.108321926490854</v>
      </c>
      <c r="N335" s="24">
        <v>0.43899936099893799</v>
      </c>
      <c r="O335" s="25">
        <v>6.2260241673337199E-2</v>
      </c>
      <c r="P335" s="25">
        <v>0.115066526651131</v>
      </c>
      <c r="Q335" s="25">
        <v>1.30814001756522</v>
      </c>
      <c r="R335" s="25">
        <v>0.536768106355062</v>
      </c>
      <c r="S335" s="25">
        <v>1.0281203993480299</v>
      </c>
      <c r="T335" s="25">
        <v>7.8547337036691101</v>
      </c>
      <c r="U335" s="26">
        <v>0.106424073091257</v>
      </c>
    </row>
    <row r="336" spans="3:21" ht="15" customHeight="1" x14ac:dyDescent="0.3">
      <c r="C336" s="66"/>
      <c r="D336" s="68" t="s">
        <v>22</v>
      </c>
      <c r="E336" s="69"/>
      <c r="F336" s="33">
        <v>2.1033333333333299</v>
      </c>
      <c r="G336" s="34">
        <v>0.44999999999999901</v>
      </c>
      <c r="H336" s="34">
        <v>0.22</v>
      </c>
      <c r="I336" s="34">
        <v>0.73962962962962897</v>
      </c>
      <c r="J336" s="34">
        <v>2.4732653061224501</v>
      </c>
      <c r="K336" s="34">
        <v>0.82075471698113101</v>
      </c>
      <c r="L336" s="34">
        <v>0.75339285714285698</v>
      </c>
      <c r="M336" s="35">
        <v>0.72175</v>
      </c>
      <c r="N336" s="33">
        <v>2.0986956521739102</v>
      </c>
      <c r="O336" s="34">
        <v>0.44999999999999901</v>
      </c>
      <c r="P336" s="34">
        <v>0.222407407407407</v>
      </c>
      <c r="Q336" s="34">
        <v>0.70963636363636295</v>
      </c>
      <c r="R336" s="34">
        <v>2.4655102040816299</v>
      </c>
      <c r="S336" s="34">
        <v>0.825454545454544</v>
      </c>
      <c r="T336" s="34">
        <v>0.75508771929824603</v>
      </c>
      <c r="U336" s="35">
        <v>0.71690476190476204</v>
      </c>
    </row>
    <row r="337" spans="3:21" x14ac:dyDescent="0.3">
      <c r="C337" s="66"/>
      <c r="D337" s="73" t="s">
        <v>23</v>
      </c>
      <c r="E337" s="38" t="s">
        <v>24</v>
      </c>
      <c r="F337" s="27">
        <v>1.95</v>
      </c>
      <c r="G337" s="28">
        <v>3.4</v>
      </c>
      <c r="H337" s="28">
        <v>4.83</v>
      </c>
      <c r="I337" s="28">
        <v>5.42</v>
      </c>
      <c r="J337" s="28">
        <v>3.92</v>
      </c>
      <c r="K337" s="28">
        <v>4.3499999999999996</v>
      </c>
      <c r="L337" s="28">
        <v>1.86</v>
      </c>
      <c r="M337" s="29">
        <v>2.73</v>
      </c>
      <c r="N337" s="27">
        <v>1.95</v>
      </c>
      <c r="O337" s="28">
        <v>3.4</v>
      </c>
      <c r="P337" s="28">
        <v>4.83</v>
      </c>
      <c r="Q337" s="28">
        <v>5.42</v>
      </c>
      <c r="R337" s="28">
        <v>3.92</v>
      </c>
      <c r="S337" s="28">
        <v>4.3499999999999996</v>
      </c>
      <c r="T337" s="28">
        <v>1.86</v>
      </c>
      <c r="U337" s="29">
        <v>2.73</v>
      </c>
    </row>
    <row r="338" spans="3:21" x14ac:dyDescent="0.3">
      <c r="C338" s="66"/>
      <c r="D338" s="70"/>
      <c r="E338" s="39" t="s">
        <v>25</v>
      </c>
      <c r="F338" s="9">
        <v>-0.15333333333332999</v>
      </c>
      <c r="G338" s="10">
        <v>2.9500000000000011</v>
      </c>
      <c r="H338" s="10">
        <v>4.6100000000000003</v>
      </c>
      <c r="I338" s="10">
        <v>4.6803703703703707</v>
      </c>
      <c r="J338" s="10">
        <v>1.4467346938775498</v>
      </c>
      <c r="K338" s="10">
        <v>3.5292452830188688</v>
      </c>
      <c r="L338" s="10">
        <v>1.1066071428571431</v>
      </c>
      <c r="M338" s="11">
        <v>2.0082499999999999</v>
      </c>
      <c r="N338" s="9">
        <v>-0.14869565217391023</v>
      </c>
      <c r="O338" s="10">
        <v>2.9500000000000011</v>
      </c>
      <c r="P338" s="10">
        <v>4.6075925925925931</v>
      </c>
      <c r="Q338" s="10">
        <v>4.7103636363636365</v>
      </c>
      <c r="R338" s="10">
        <v>1.45448979591837</v>
      </c>
      <c r="S338" s="10">
        <v>3.5245454545454558</v>
      </c>
      <c r="T338" s="10">
        <v>1.104912280701754</v>
      </c>
      <c r="U338" s="11">
        <v>2.013095238095238</v>
      </c>
    </row>
    <row r="339" spans="3:21" x14ac:dyDescent="0.3">
      <c r="C339" s="66"/>
      <c r="D339" s="70"/>
      <c r="E339" s="39" t="s">
        <v>26</v>
      </c>
      <c r="F339" s="9">
        <v>-7.2900158478603911</v>
      </c>
      <c r="G339" s="10">
        <v>655.55555555555725</v>
      </c>
      <c r="H339" s="10">
        <v>2095.4545454545455</v>
      </c>
      <c r="I339" s="10">
        <v>632.79919879819784</v>
      </c>
      <c r="J339" s="10">
        <v>58.494925323871527</v>
      </c>
      <c r="K339" s="10">
        <v>430.00000000000068</v>
      </c>
      <c r="L339" s="10">
        <v>146.88314766532361</v>
      </c>
      <c r="M339" s="11">
        <v>278.24731555247661</v>
      </c>
      <c r="N339" s="9">
        <v>-7.0851460534492237</v>
      </c>
      <c r="O339" s="10">
        <v>655.55555555555725</v>
      </c>
      <c r="P339" s="10">
        <v>2071.6902581182389</v>
      </c>
      <c r="Q339" s="10">
        <v>663.7714578529343</v>
      </c>
      <c r="R339" s="10">
        <v>58.993460806224832</v>
      </c>
      <c r="S339" s="10">
        <v>426.98237885462646</v>
      </c>
      <c r="T339" s="10">
        <v>146.32899628252773</v>
      </c>
      <c r="U339" s="11">
        <v>280.8037196944536</v>
      </c>
    </row>
    <row r="340" spans="3:21" x14ac:dyDescent="0.3">
      <c r="C340" s="66"/>
      <c r="D340" s="70" t="s">
        <v>27</v>
      </c>
      <c r="E340" s="40" t="s">
        <v>24</v>
      </c>
      <c r="F340" s="27">
        <v>1.94</v>
      </c>
      <c r="G340" s="28">
        <v>3.45</v>
      </c>
      <c r="H340" s="28">
        <v>4.8499999999999996</v>
      </c>
      <c r="I340" s="28">
        <v>5.37</v>
      </c>
      <c r="J340" s="28">
        <v>3.93</v>
      </c>
      <c r="K340" s="28">
        <v>4.3499999999999996</v>
      </c>
      <c r="L340" s="28">
        <v>1.76</v>
      </c>
      <c r="M340" s="29">
        <v>2.64</v>
      </c>
      <c r="N340" s="27">
        <v>1.94</v>
      </c>
      <c r="O340" s="28">
        <v>3.45</v>
      </c>
      <c r="P340" s="28">
        <v>4.8499999999999996</v>
      </c>
      <c r="Q340" s="28">
        <v>5.37</v>
      </c>
      <c r="R340" s="28">
        <v>3.93</v>
      </c>
      <c r="S340" s="28">
        <v>4.3499999999999996</v>
      </c>
      <c r="T340" s="28">
        <v>1.76</v>
      </c>
      <c r="U340" s="29">
        <v>2.64</v>
      </c>
    </row>
    <row r="341" spans="3:21" x14ac:dyDescent="0.3">
      <c r="C341" s="66"/>
      <c r="D341" s="70"/>
      <c r="E341" s="39" t="s">
        <v>25</v>
      </c>
      <c r="F341" s="9">
        <v>-0.16333333333333</v>
      </c>
      <c r="G341" s="10">
        <v>3.0000000000000013</v>
      </c>
      <c r="H341" s="10">
        <v>4.63</v>
      </c>
      <c r="I341" s="10">
        <v>4.6303703703703709</v>
      </c>
      <c r="J341" s="10">
        <v>1.4567346938775501</v>
      </c>
      <c r="K341" s="10">
        <v>3.5292452830188688</v>
      </c>
      <c r="L341" s="10">
        <v>1.006607142857143</v>
      </c>
      <c r="M341" s="11">
        <v>1.91825</v>
      </c>
      <c r="N341" s="9">
        <v>-0.15869565217391024</v>
      </c>
      <c r="O341" s="10">
        <v>3.0000000000000013</v>
      </c>
      <c r="P341" s="10">
        <v>4.6275925925925927</v>
      </c>
      <c r="Q341" s="10">
        <v>4.6603636363636376</v>
      </c>
      <c r="R341" s="10">
        <v>1.4644897959183703</v>
      </c>
      <c r="S341" s="10">
        <v>3.5245454545454558</v>
      </c>
      <c r="T341" s="10">
        <v>1.0049122807017539</v>
      </c>
      <c r="U341" s="11">
        <v>1.9230952380952382</v>
      </c>
    </row>
    <row r="342" spans="3:21" x14ac:dyDescent="0.3">
      <c r="C342" s="66"/>
      <c r="D342" s="70"/>
      <c r="E342" s="39" t="s">
        <v>26</v>
      </c>
      <c r="F342" s="9">
        <v>-7.7654516640252105</v>
      </c>
      <c r="G342" s="10">
        <v>666.66666666666833</v>
      </c>
      <c r="H342" s="10">
        <v>2104.5454545454545</v>
      </c>
      <c r="I342" s="10">
        <v>626.03905858788244</v>
      </c>
      <c r="J342" s="10">
        <v>58.899249112963048</v>
      </c>
      <c r="K342" s="10">
        <v>430.00000000000068</v>
      </c>
      <c r="L342" s="10">
        <v>133.60986015643525</v>
      </c>
      <c r="M342" s="11">
        <v>265.77762383096643</v>
      </c>
      <c r="N342" s="9">
        <v>-7.5616324839443552</v>
      </c>
      <c r="O342" s="10">
        <v>666.66666666666833</v>
      </c>
      <c r="P342" s="10">
        <v>2080.6827643630345</v>
      </c>
      <c r="Q342" s="10">
        <v>656.72559569561952</v>
      </c>
      <c r="R342" s="10">
        <v>59.39905636950602</v>
      </c>
      <c r="S342" s="10">
        <v>426.98237885462646</v>
      </c>
      <c r="T342" s="10">
        <v>133.08550185873591</v>
      </c>
      <c r="U342" s="11">
        <v>268.24975091331783</v>
      </c>
    </row>
    <row r="343" spans="3:21" x14ac:dyDescent="0.3">
      <c r="C343" s="66"/>
      <c r="D343" s="70" t="s">
        <v>28</v>
      </c>
      <c r="E343" s="40" t="s">
        <v>24</v>
      </c>
      <c r="F343" s="27">
        <v>1.87</v>
      </c>
      <c r="G343" s="28">
        <v>3.49</v>
      </c>
      <c r="H343" s="28">
        <v>4.88</v>
      </c>
      <c r="I343" s="28">
        <v>5.41</v>
      </c>
      <c r="J343" s="28">
        <v>3.97</v>
      </c>
      <c r="K343" s="28">
        <v>4.4000000000000004</v>
      </c>
      <c r="L343" s="28">
        <v>1.76</v>
      </c>
      <c r="M343" s="29">
        <v>2.66</v>
      </c>
      <c r="N343" s="27">
        <v>1.87</v>
      </c>
      <c r="O343" s="28">
        <v>3.49</v>
      </c>
      <c r="P343" s="28">
        <v>4.88</v>
      </c>
      <c r="Q343" s="28">
        <v>5.41</v>
      </c>
      <c r="R343" s="28">
        <v>3.97</v>
      </c>
      <c r="S343" s="28">
        <v>4.4000000000000004</v>
      </c>
      <c r="T343" s="28">
        <v>1.76</v>
      </c>
      <c r="U343" s="29">
        <v>2.66</v>
      </c>
    </row>
    <row r="344" spans="3:21" x14ac:dyDescent="0.3">
      <c r="C344" s="66"/>
      <c r="D344" s="70"/>
      <c r="E344" s="39" t="s">
        <v>25</v>
      </c>
      <c r="F344" s="9">
        <v>-0.23333333333332984</v>
      </c>
      <c r="G344" s="10">
        <v>3.0400000000000014</v>
      </c>
      <c r="H344" s="10">
        <v>4.66</v>
      </c>
      <c r="I344" s="10">
        <v>4.6703703703703709</v>
      </c>
      <c r="J344" s="10">
        <v>1.4967346938775501</v>
      </c>
      <c r="K344" s="10">
        <v>3.5792452830188695</v>
      </c>
      <c r="L344" s="10">
        <v>1.006607142857143</v>
      </c>
      <c r="M344" s="11">
        <v>1.93825</v>
      </c>
      <c r="N344" s="9">
        <v>-0.22869565217391008</v>
      </c>
      <c r="O344" s="10">
        <v>3.0400000000000014</v>
      </c>
      <c r="P344" s="10">
        <v>4.657592592592593</v>
      </c>
      <c r="Q344" s="10">
        <v>4.7003636363636367</v>
      </c>
      <c r="R344" s="10">
        <v>1.5044897959183703</v>
      </c>
      <c r="S344" s="10">
        <v>3.5745454545454565</v>
      </c>
      <c r="T344" s="10">
        <v>1.0049122807017539</v>
      </c>
      <c r="U344" s="11">
        <v>1.9430952380952382</v>
      </c>
    </row>
    <row r="345" spans="3:21" ht="15" thickBot="1" x14ac:dyDescent="0.35">
      <c r="C345" s="66"/>
      <c r="D345" s="74"/>
      <c r="E345" s="41" t="s">
        <v>26</v>
      </c>
      <c r="F345" s="12">
        <v>-11.093502377178933</v>
      </c>
      <c r="G345" s="13">
        <v>675.55555555555736</v>
      </c>
      <c r="H345" s="13">
        <v>2118.1818181818185</v>
      </c>
      <c r="I345" s="13">
        <v>631.44717075613482</v>
      </c>
      <c r="J345" s="13">
        <v>60.516544269329088</v>
      </c>
      <c r="K345" s="13">
        <v>436.09195402298928</v>
      </c>
      <c r="L345" s="13">
        <v>133.60986015643525</v>
      </c>
      <c r="M345" s="14">
        <v>268.54866643574644</v>
      </c>
      <c r="N345" s="12">
        <v>-10.897037497410274</v>
      </c>
      <c r="O345" s="13">
        <v>675.55555555555736</v>
      </c>
      <c r="P345" s="13">
        <v>2094.1715237302287</v>
      </c>
      <c r="Q345" s="13">
        <v>662.36228542147137</v>
      </c>
      <c r="R345" s="13">
        <v>61.021438622630761</v>
      </c>
      <c r="S345" s="13">
        <v>433.03964757709349</v>
      </c>
      <c r="T345" s="13">
        <v>133.08550185873591</v>
      </c>
      <c r="U345" s="14">
        <v>271.03952175357023</v>
      </c>
    </row>
    <row r="346" spans="3:21" x14ac:dyDescent="0.3">
      <c r="C346" s="65">
        <v>2</v>
      </c>
      <c r="D346" s="71" t="s">
        <v>20</v>
      </c>
      <c r="E346" s="72"/>
      <c r="F346" s="21">
        <v>1.9137037037036999</v>
      </c>
      <c r="G346" s="22">
        <v>0.45807017543859602</v>
      </c>
      <c r="H346" s="22">
        <v>0.21915254237288101</v>
      </c>
      <c r="I346" s="22">
        <v>0.946949152542373</v>
      </c>
      <c r="J346" s="22">
        <v>2.2367796610169499</v>
      </c>
      <c r="K346" s="22">
        <v>0.90086206896551602</v>
      </c>
      <c r="L346" s="22">
        <v>2.9205084745762599</v>
      </c>
      <c r="M346" s="23">
        <v>0.66084745762711805</v>
      </c>
      <c r="N346" s="21">
        <v>1.94333333333333</v>
      </c>
      <c r="O346" s="22">
        <v>0.45564102564102499</v>
      </c>
      <c r="P346" s="22">
        <v>0.23824999999999999</v>
      </c>
      <c r="Q346" s="22">
        <v>0.84899999999999998</v>
      </c>
      <c r="R346" s="22">
        <v>2.2044999999999999</v>
      </c>
      <c r="S346" s="22">
        <v>0.85846153846153805</v>
      </c>
      <c r="T346" s="22">
        <v>2.8182499999999902</v>
      </c>
      <c r="U346" s="23">
        <v>0.67525000000000002</v>
      </c>
    </row>
    <row r="347" spans="3:21" ht="15" customHeight="1" x14ac:dyDescent="0.3">
      <c r="C347" s="66"/>
      <c r="D347" s="68" t="s">
        <v>21</v>
      </c>
      <c r="E347" s="69"/>
      <c r="F347" s="24">
        <v>0.50394112051830497</v>
      </c>
      <c r="G347" s="25">
        <v>3.1977985656321199E-2</v>
      </c>
      <c r="H347" s="25">
        <v>4.9206866531768902E-2</v>
      </c>
      <c r="I347" s="25">
        <v>0.81787499404805797</v>
      </c>
      <c r="J347" s="25">
        <v>0.45475432249030201</v>
      </c>
      <c r="K347" s="25">
        <v>0.48231941227550401</v>
      </c>
      <c r="L347" s="25">
        <v>9.3025712544889192</v>
      </c>
      <c r="M347" s="26">
        <v>0.106838832139154</v>
      </c>
      <c r="N347" s="24">
        <v>0.47693465660053103</v>
      </c>
      <c r="O347" s="25">
        <v>3.2643754795568303E-2</v>
      </c>
      <c r="P347" s="25">
        <v>0.10917617643057401</v>
      </c>
      <c r="Q347" s="25">
        <v>0.836300783211399</v>
      </c>
      <c r="R347" s="25">
        <v>0.39150957842688799</v>
      </c>
      <c r="S347" s="25">
        <v>0.227478243102088</v>
      </c>
      <c r="T347" s="25">
        <v>8.99494215865227</v>
      </c>
      <c r="U347" s="26">
        <v>0.107074448399232</v>
      </c>
    </row>
    <row r="348" spans="3:21" ht="15" customHeight="1" x14ac:dyDescent="0.3">
      <c r="C348" s="66"/>
      <c r="D348" s="68" t="s">
        <v>22</v>
      </c>
      <c r="E348" s="69"/>
      <c r="F348" s="33">
        <v>2.1317777777777698</v>
      </c>
      <c r="G348" s="34">
        <v>0.44999999999999901</v>
      </c>
      <c r="H348" s="34">
        <v>0.23899999999999999</v>
      </c>
      <c r="I348" s="34">
        <v>0.48619047619047601</v>
      </c>
      <c r="J348" s="34">
        <v>2.3526923076922999</v>
      </c>
      <c r="K348" s="34">
        <v>0.84333333333333205</v>
      </c>
      <c r="L348" s="34">
        <v>0.77392857142857197</v>
      </c>
      <c r="M348" s="35">
        <v>0.72</v>
      </c>
      <c r="N348" s="33">
        <v>2.1274193548387101</v>
      </c>
      <c r="O348" s="34">
        <v>0.44999999999999901</v>
      </c>
      <c r="P348" s="34">
        <v>0.222564102564102</v>
      </c>
      <c r="Q348" s="34">
        <v>0.494999999999999</v>
      </c>
      <c r="R348" s="34">
        <v>2.3094117647058798</v>
      </c>
      <c r="S348" s="34">
        <v>0.74241379310344802</v>
      </c>
      <c r="T348" s="34">
        <v>0.76210526315789495</v>
      </c>
      <c r="U348" s="35">
        <v>0.72633333333333305</v>
      </c>
    </row>
    <row r="349" spans="3:21" x14ac:dyDescent="0.3">
      <c r="C349" s="66"/>
      <c r="D349" s="73" t="s">
        <v>23</v>
      </c>
      <c r="E349" s="38" t="s">
        <v>24</v>
      </c>
      <c r="F349" s="27">
        <v>1.95</v>
      </c>
      <c r="G349" s="28">
        <v>3.4</v>
      </c>
      <c r="H349" s="28">
        <v>4.83</v>
      </c>
      <c r="I349" s="28">
        <v>5.42</v>
      </c>
      <c r="J349" s="28">
        <v>3.92</v>
      </c>
      <c r="K349" s="28">
        <v>4.3499999999999996</v>
      </c>
      <c r="L349" s="28">
        <v>1.86</v>
      </c>
      <c r="M349" s="29">
        <v>2.73</v>
      </c>
      <c r="N349" s="27">
        <v>1.95</v>
      </c>
      <c r="O349" s="28">
        <v>3.4</v>
      </c>
      <c r="P349" s="28">
        <v>4.83</v>
      </c>
      <c r="Q349" s="28">
        <v>5.42</v>
      </c>
      <c r="R349" s="28">
        <v>3.92</v>
      </c>
      <c r="S349" s="28">
        <v>4.3499999999999996</v>
      </c>
      <c r="T349" s="28">
        <v>1.86</v>
      </c>
      <c r="U349" s="29">
        <v>2.73</v>
      </c>
    </row>
    <row r="350" spans="3:21" x14ac:dyDescent="0.3">
      <c r="C350" s="66"/>
      <c r="D350" s="70"/>
      <c r="E350" s="39" t="s">
        <v>25</v>
      </c>
      <c r="F350" s="9">
        <v>-0.18177777777776982</v>
      </c>
      <c r="G350" s="10">
        <v>2.9500000000000011</v>
      </c>
      <c r="H350" s="10">
        <v>4.5910000000000002</v>
      </c>
      <c r="I350" s="10">
        <v>4.9338095238095239</v>
      </c>
      <c r="J350" s="10">
        <v>1.5673076923077001</v>
      </c>
      <c r="K350" s="10">
        <v>3.5066666666666677</v>
      </c>
      <c r="L350" s="10">
        <v>1.0860714285714281</v>
      </c>
      <c r="M350" s="11">
        <v>2.0099999999999998</v>
      </c>
      <c r="N350" s="9">
        <v>-0.17741935483871019</v>
      </c>
      <c r="O350" s="10">
        <v>2.9500000000000011</v>
      </c>
      <c r="P350" s="10">
        <v>4.6074358974358978</v>
      </c>
      <c r="Q350" s="10">
        <v>4.9250000000000007</v>
      </c>
      <c r="R350" s="10">
        <v>1.6105882352941201</v>
      </c>
      <c r="S350" s="10">
        <v>3.6075862068965519</v>
      </c>
      <c r="T350" s="10">
        <v>1.0978947368421053</v>
      </c>
      <c r="U350" s="11">
        <v>2.0036666666666667</v>
      </c>
    </row>
    <row r="351" spans="3:21" x14ac:dyDescent="0.3">
      <c r="C351" s="66"/>
      <c r="D351" s="70"/>
      <c r="E351" s="39" t="s">
        <v>26</v>
      </c>
      <c r="F351" s="9">
        <v>-8.527050974668688</v>
      </c>
      <c r="G351" s="10">
        <v>655.55555555555725</v>
      </c>
      <c r="H351" s="10">
        <v>1920.9205020920504</v>
      </c>
      <c r="I351" s="10">
        <v>1014.7894221351621</v>
      </c>
      <c r="J351" s="10">
        <v>66.617623017819739</v>
      </c>
      <c r="K351" s="10">
        <v>415.81027667984267</v>
      </c>
      <c r="L351" s="10">
        <v>140.33225657591123</v>
      </c>
      <c r="M351" s="11">
        <v>279.16666666666663</v>
      </c>
      <c r="N351" s="9">
        <v>-8.3396512509477088</v>
      </c>
      <c r="O351" s="10">
        <v>655.55555555555725</v>
      </c>
      <c r="P351" s="10">
        <v>2070.161290322586</v>
      </c>
      <c r="Q351" s="10">
        <v>994.94949494949708</v>
      </c>
      <c r="R351" s="10">
        <v>69.740193581253365</v>
      </c>
      <c r="S351" s="10">
        <v>485.92661402693932</v>
      </c>
      <c r="T351" s="10">
        <v>144.06077348066296</v>
      </c>
      <c r="U351" s="11">
        <v>275.86048646167978</v>
      </c>
    </row>
    <row r="352" spans="3:21" x14ac:dyDescent="0.3">
      <c r="C352" s="66"/>
      <c r="D352" s="70" t="s">
        <v>27</v>
      </c>
      <c r="E352" s="40" t="s">
        <v>24</v>
      </c>
      <c r="F352" s="27">
        <v>1.94</v>
      </c>
      <c r="G352" s="28">
        <v>3.45</v>
      </c>
      <c r="H352" s="28">
        <v>4.8499999999999996</v>
      </c>
      <c r="I352" s="28">
        <v>5.37</v>
      </c>
      <c r="J352" s="28">
        <v>3.93</v>
      </c>
      <c r="K352" s="28">
        <v>4.3499999999999996</v>
      </c>
      <c r="L352" s="28">
        <v>1.76</v>
      </c>
      <c r="M352" s="29">
        <v>2.64</v>
      </c>
      <c r="N352" s="27">
        <v>1.94</v>
      </c>
      <c r="O352" s="28">
        <v>3.45</v>
      </c>
      <c r="P352" s="28">
        <v>4.8499999999999996</v>
      </c>
      <c r="Q352" s="28">
        <v>5.37</v>
      </c>
      <c r="R352" s="28">
        <v>3.93</v>
      </c>
      <c r="S352" s="28">
        <v>4.3499999999999996</v>
      </c>
      <c r="T352" s="28">
        <v>1.76</v>
      </c>
      <c r="U352" s="29">
        <v>2.64</v>
      </c>
    </row>
    <row r="353" spans="3:21" x14ac:dyDescent="0.3">
      <c r="C353" s="66"/>
      <c r="D353" s="70"/>
      <c r="E353" s="39" t="s">
        <v>25</v>
      </c>
      <c r="F353" s="9">
        <v>-0.19177777777776983</v>
      </c>
      <c r="G353" s="10">
        <v>3.0000000000000013</v>
      </c>
      <c r="H353" s="10">
        <v>4.6109999999999998</v>
      </c>
      <c r="I353" s="10">
        <v>4.883809523809524</v>
      </c>
      <c r="J353" s="10">
        <v>1.5773076923077003</v>
      </c>
      <c r="K353" s="10">
        <v>3.5066666666666677</v>
      </c>
      <c r="L353" s="10">
        <v>0.98607142857142804</v>
      </c>
      <c r="M353" s="11">
        <v>1.9200000000000002</v>
      </c>
      <c r="N353" s="9">
        <v>-0.18741935483871019</v>
      </c>
      <c r="O353" s="10">
        <v>3.0000000000000013</v>
      </c>
      <c r="P353" s="10">
        <v>4.6274358974358973</v>
      </c>
      <c r="Q353" s="10">
        <v>4.8750000000000009</v>
      </c>
      <c r="R353" s="10">
        <v>1.6205882352941203</v>
      </c>
      <c r="S353" s="10">
        <v>3.6075862068965519</v>
      </c>
      <c r="T353" s="10">
        <v>0.99789473684210506</v>
      </c>
      <c r="U353" s="11">
        <v>1.9136666666666671</v>
      </c>
    </row>
    <row r="354" spans="3:21" x14ac:dyDescent="0.3">
      <c r="C354" s="66"/>
      <c r="D354" s="70"/>
      <c r="E354" s="39" t="s">
        <v>26</v>
      </c>
      <c r="F354" s="9">
        <v>-8.9961430209524398</v>
      </c>
      <c r="G354" s="10">
        <v>666.66666666666833</v>
      </c>
      <c r="H354" s="10">
        <v>1929.2887029288704</v>
      </c>
      <c r="I354" s="10">
        <v>1004.5053868756125</v>
      </c>
      <c r="J354" s="10">
        <v>67.04266797449786</v>
      </c>
      <c r="K354" s="10">
        <v>415.81027667984267</v>
      </c>
      <c r="L354" s="10">
        <v>127.4111675126902</v>
      </c>
      <c r="M354" s="11">
        <v>266.66666666666669</v>
      </c>
      <c r="N354" s="9">
        <v>-8.809704321455671</v>
      </c>
      <c r="O354" s="10">
        <v>666.66666666666833</v>
      </c>
      <c r="P354" s="10">
        <v>2079.147465437793</v>
      </c>
      <c r="Q354" s="10">
        <v>984.84848484848703</v>
      </c>
      <c r="R354" s="10">
        <v>70.173204279164736</v>
      </c>
      <c r="S354" s="10">
        <v>485.92661402693932</v>
      </c>
      <c r="T354" s="10">
        <v>130.93922651933696</v>
      </c>
      <c r="U354" s="11">
        <v>263.46948141349259</v>
      </c>
    </row>
    <row r="355" spans="3:21" x14ac:dyDescent="0.3">
      <c r="C355" s="66"/>
      <c r="D355" s="70" t="s">
        <v>28</v>
      </c>
      <c r="E355" s="40" t="s">
        <v>24</v>
      </c>
      <c r="F355" s="27">
        <v>1.87</v>
      </c>
      <c r="G355" s="28">
        <v>3.49</v>
      </c>
      <c r="H355" s="28">
        <v>4.88</v>
      </c>
      <c r="I355" s="28">
        <v>5.41</v>
      </c>
      <c r="J355" s="28">
        <v>3.97</v>
      </c>
      <c r="K355" s="28">
        <v>4.4000000000000004</v>
      </c>
      <c r="L355" s="28">
        <v>1.76</v>
      </c>
      <c r="M355" s="29">
        <v>2.66</v>
      </c>
      <c r="N355" s="27">
        <v>1.87</v>
      </c>
      <c r="O355" s="28">
        <v>3.49</v>
      </c>
      <c r="P355" s="28">
        <v>4.88</v>
      </c>
      <c r="Q355" s="28">
        <v>5.41</v>
      </c>
      <c r="R355" s="28">
        <v>3.97</v>
      </c>
      <c r="S355" s="28">
        <v>4.4000000000000004</v>
      </c>
      <c r="T355" s="28">
        <v>1.76</v>
      </c>
      <c r="U355" s="29">
        <v>2.66</v>
      </c>
    </row>
    <row r="356" spans="3:21" x14ac:dyDescent="0.3">
      <c r="C356" s="66"/>
      <c r="D356" s="70"/>
      <c r="E356" s="39" t="s">
        <v>25</v>
      </c>
      <c r="F356" s="9">
        <v>-0.26177777777776967</v>
      </c>
      <c r="G356" s="10">
        <v>3.0400000000000014</v>
      </c>
      <c r="H356" s="10">
        <v>4.641</v>
      </c>
      <c r="I356" s="10">
        <v>4.9238095238095241</v>
      </c>
      <c r="J356" s="10">
        <v>1.6173076923077003</v>
      </c>
      <c r="K356" s="10">
        <v>3.5566666666666684</v>
      </c>
      <c r="L356" s="10">
        <v>0.98607142857142804</v>
      </c>
      <c r="M356" s="11">
        <v>1.9400000000000002</v>
      </c>
      <c r="N356" s="9">
        <v>-0.25741935483871003</v>
      </c>
      <c r="O356" s="10">
        <v>3.0400000000000014</v>
      </c>
      <c r="P356" s="10">
        <v>4.6574358974358976</v>
      </c>
      <c r="Q356" s="10">
        <v>4.9150000000000009</v>
      </c>
      <c r="R356" s="10">
        <v>1.6605882352941204</v>
      </c>
      <c r="S356" s="10">
        <v>3.6575862068965526</v>
      </c>
      <c r="T356" s="10">
        <v>0.99789473684210506</v>
      </c>
      <c r="U356" s="11">
        <v>1.9336666666666671</v>
      </c>
    </row>
    <row r="357" spans="3:21" ht="15" thickBot="1" x14ac:dyDescent="0.35">
      <c r="C357" s="66"/>
      <c r="D357" s="74"/>
      <c r="E357" s="41" t="s">
        <v>26</v>
      </c>
      <c r="F357" s="12">
        <v>-12.279787344938683</v>
      </c>
      <c r="G357" s="13">
        <v>675.55555555555736</v>
      </c>
      <c r="H357" s="13">
        <v>1941.8410041841003</v>
      </c>
      <c r="I357" s="13">
        <v>1012.7326150832522</v>
      </c>
      <c r="J357" s="13">
        <v>68.742847801210317</v>
      </c>
      <c r="K357" s="13">
        <v>421.73913043478342</v>
      </c>
      <c r="L357" s="13">
        <v>127.4111675126902</v>
      </c>
      <c r="M357" s="14">
        <v>269.44444444444446</v>
      </c>
      <c r="N357" s="12">
        <v>-12.100075815011387</v>
      </c>
      <c r="O357" s="13">
        <v>675.55555555555736</v>
      </c>
      <c r="P357" s="13">
        <v>2092.6267281106047</v>
      </c>
      <c r="Q357" s="13">
        <v>992.92929292929523</v>
      </c>
      <c r="R357" s="13">
        <v>71.905247070810191</v>
      </c>
      <c r="S357" s="13">
        <v>492.66140269391576</v>
      </c>
      <c r="T357" s="13">
        <v>130.93922651933696</v>
      </c>
      <c r="U357" s="14">
        <v>266.22303809086753</v>
      </c>
    </row>
    <row r="358" spans="3:21" x14ac:dyDescent="0.3">
      <c r="C358" s="65">
        <v>3</v>
      </c>
      <c r="D358" s="71" t="s">
        <v>20</v>
      </c>
      <c r="E358" s="72"/>
      <c r="F358" s="21">
        <v>1.97631578947368</v>
      </c>
      <c r="G358" s="22">
        <v>0.45344827586206798</v>
      </c>
      <c r="H358" s="22">
        <v>0.230833333333333</v>
      </c>
      <c r="I358" s="22">
        <v>1.02866666666666</v>
      </c>
      <c r="J358" s="22">
        <v>2.3530000000000002</v>
      </c>
      <c r="K358" s="22">
        <v>0.97745762711864304</v>
      </c>
      <c r="L358" s="22">
        <v>2.1403389830508401</v>
      </c>
      <c r="M358" s="23">
        <v>0.65166666666666595</v>
      </c>
      <c r="N358" s="21">
        <v>1.9503508771929801</v>
      </c>
      <c r="O358" s="22">
        <v>0.45724137931034398</v>
      </c>
      <c r="P358" s="22">
        <v>0.23250000000000001</v>
      </c>
      <c r="Q358" s="22">
        <v>1.0740000000000001</v>
      </c>
      <c r="R358" s="22">
        <v>2.3133333333333299</v>
      </c>
      <c r="S358" s="22">
        <v>0.97982758620689503</v>
      </c>
      <c r="T358" s="22">
        <v>2.11406779661016</v>
      </c>
      <c r="U358" s="23">
        <v>0.64033333333333298</v>
      </c>
    </row>
    <row r="359" spans="3:21" ht="15" customHeight="1" x14ac:dyDescent="0.3">
      <c r="C359" s="66"/>
      <c r="D359" s="68" t="s">
        <v>21</v>
      </c>
      <c r="E359" s="69"/>
      <c r="F359" s="24">
        <v>0.47751047229793903</v>
      </c>
      <c r="G359" s="25">
        <v>3.3659129219068697E-2</v>
      </c>
      <c r="H359" s="25">
        <v>9.4256594228497095E-2</v>
      </c>
      <c r="I359" s="25">
        <v>1.1565112287488699</v>
      </c>
      <c r="J359" s="25">
        <v>0.45915610998148798</v>
      </c>
      <c r="K359" s="25">
        <v>0.76473013567396997</v>
      </c>
      <c r="L359" s="25">
        <v>7.4724785364904696</v>
      </c>
      <c r="M359" s="26">
        <v>0.117943018256934</v>
      </c>
      <c r="N359" s="24">
        <v>0.50362184683003297</v>
      </c>
      <c r="O359" s="25">
        <v>3.5369629649542197E-2</v>
      </c>
      <c r="P359" s="25">
        <v>9.3979164357496398E-2</v>
      </c>
      <c r="Q359" s="25">
        <v>1.1627140663120901</v>
      </c>
      <c r="R359" s="25">
        <v>0.47200517887930898</v>
      </c>
      <c r="S359" s="25">
        <v>0.77135011814107002</v>
      </c>
      <c r="T359" s="25">
        <v>7.4778819893236497</v>
      </c>
      <c r="U359" s="26">
        <v>0.12102295466379701</v>
      </c>
    </row>
    <row r="360" spans="3:21" ht="15" customHeight="1" x14ac:dyDescent="0.3">
      <c r="C360" s="66"/>
      <c r="D360" s="68" t="s">
        <v>22</v>
      </c>
      <c r="E360" s="69"/>
      <c r="F360" s="33">
        <v>2.1419148936170198</v>
      </c>
      <c r="G360" s="34">
        <v>0.44999999999999901</v>
      </c>
      <c r="H360" s="34">
        <v>0.244255319148936</v>
      </c>
      <c r="I360" s="34">
        <v>0.752857142857143</v>
      </c>
      <c r="J360" s="34">
        <v>2.5504166666666599</v>
      </c>
      <c r="K360" s="34">
        <v>0.84017543859649002</v>
      </c>
      <c r="L360" s="34">
        <v>0.745789473684211</v>
      </c>
      <c r="M360" s="35">
        <v>0.70799999999999996</v>
      </c>
      <c r="N360" s="33">
        <v>2.1404347826086898</v>
      </c>
      <c r="O360" s="34">
        <v>0.44999999999999901</v>
      </c>
      <c r="P360" s="34">
        <v>0.24595744680851001</v>
      </c>
      <c r="Q360" s="34">
        <v>0.80142857142857105</v>
      </c>
      <c r="R360" s="34">
        <v>2.43814814814814</v>
      </c>
      <c r="S360" s="34">
        <v>0.840178571428571</v>
      </c>
      <c r="T360" s="34">
        <v>0.71859649122807001</v>
      </c>
      <c r="U360" s="35">
        <v>0.66872340425531895</v>
      </c>
    </row>
    <row r="361" spans="3:21" x14ac:dyDescent="0.3">
      <c r="C361" s="66"/>
      <c r="D361" s="73" t="s">
        <v>23</v>
      </c>
      <c r="E361" s="38" t="s">
        <v>24</v>
      </c>
      <c r="F361" s="30">
        <v>1.95</v>
      </c>
      <c r="G361" s="31">
        <v>3.4</v>
      </c>
      <c r="H361" s="31">
        <v>4.83</v>
      </c>
      <c r="I361" s="31">
        <v>5.42</v>
      </c>
      <c r="J361" s="31">
        <v>3.92</v>
      </c>
      <c r="K361" s="31">
        <v>4.3499999999999996</v>
      </c>
      <c r="L361" s="31">
        <v>1.86</v>
      </c>
      <c r="M361" s="32">
        <v>2.73</v>
      </c>
      <c r="N361" s="30">
        <v>1.95</v>
      </c>
      <c r="O361" s="31">
        <v>3.4</v>
      </c>
      <c r="P361" s="31">
        <v>4.83</v>
      </c>
      <c r="Q361" s="31">
        <v>5.42</v>
      </c>
      <c r="R361" s="31">
        <v>3.92</v>
      </c>
      <c r="S361" s="31">
        <v>4.3499999999999996</v>
      </c>
      <c r="T361" s="31">
        <v>1.86</v>
      </c>
      <c r="U361" s="32">
        <v>2.73</v>
      </c>
    </row>
    <row r="362" spans="3:21" x14ac:dyDescent="0.3">
      <c r="C362" s="66"/>
      <c r="D362" s="70"/>
      <c r="E362" s="39" t="s">
        <v>25</v>
      </c>
      <c r="F362" s="15">
        <v>-0.19191489361701985</v>
      </c>
      <c r="G362" s="16">
        <v>2.9500000000000011</v>
      </c>
      <c r="H362" s="16">
        <v>4.5857446808510645</v>
      </c>
      <c r="I362" s="16">
        <v>4.6671428571428573</v>
      </c>
      <c r="J362" s="16">
        <v>1.36958333333334</v>
      </c>
      <c r="K362" s="16">
        <v>3.5098245614035095</v>
      </c>
      <c r="L362" s="16">
        <v>1.1142105263157891</v>
      </c>
      <c r="M362" s="17">
        <v>2.0220000000000002</v>
      </c>
      <c r="N362" s="15">
        <v>-0.19043478260868985</v>
      </c>
      <c r="O362" s="16">
        <v>2.9500000000000011</v>
      </c>
      <c r="P362" s="16">
        <v>4.5840425531914901</v>
      </c>
      <c r="Q362" s="16">
        <v>4.6185714285714292</v>
      </c>
      <c r="R362" s="16">
        <v>1.48185185185186</v>
      </c>
      <c r="S362" s="16">
        <v>3.5098214285714286</v>
      </c>
      <c r="T362" s="16">
        <v>1.1414035087719301</v>
      </c>
      <c r="U362" s="17">
        <v>2.061276595744681</v>
      </c>
    </row>
    <row r="363" spans="3:21" x14ac:dyDescent="0.3">
      <c r="C363" s="66"/>
      <c r="D363" s="70"/>
      <c r="E363" s="39" t="s">
        <v>26</v>
      </c>
      <c r="F363" s="15">
        <v>-8.9599682129730205</v>
      </c>
      <c r="G363" s="16">
        <v>655.55555555555725</v>
      </c>
      <c r="H363" s="16">
        <v>1877.4390243902455</v>
      </c>
      <c r="I363" s="16">
        <v>619.92409867172671</v>
      </c>
      <c r="J363" s="16">
        <v>53.7003757555959</v>
      </c>
      <c r="K363" s="16">
        <v>417.74900814366322</v>
      </c>
      <c r="L363" s="16">
        <v>149.40014114326027</v>
      </c>
      <c r="M363" s="17">
        <v>285.59322033898309</v>
      </c>
      <c r="N363" s="15">
        <v>-8.8970140158437498</v>
      </c>
      <c r="O363" s="16">
        <v>655.55555555555725</v>
      </c>
      <c r="P363" s="16">
        <v>1863.7543252595208</v>
      </c>
      <c r="Q363" s="16">
        <v>576.29233511586483</v>
      </c>
      <c r="R363" s="16">
        <v>60.777760899286584</v>
      </c>
      <c r="S363" s="16">
        <v>417.7470775770459</v>
      </c>
      <c r="T363" s="16">
        <v>158.83789062500006</v>
      </c>
      <c r="U363" s="17">
        <v>308.24053452115822</v>
      </c>
    </row>
    <row r="364" spans="3:21" x14ac:dyDescent="0.3">
      <c r="C364" s="66"/>
      <c r="D364" s="70" t="s">
        <v>27</v>
      </c>
      <c r="E364" s="40" t="s">
        <v>24</v>
      </c>
      <c r="F364" s="30">
        <v>1.94</v>
      </c>
      <c r="G364" s="31">
        <v>3.45</v>
      </c>
      <c r="H364" s="31">
        <v>4.8499999999999996</v>
      </c>
      <c r="I364" s="31">
        <v>5.37</v>
      </c>
      <c r="J364" s="31">
        <v>3.93</v>
      </c>
      <c r="K364" s="31">
        <v>4.3499999999999996</v>
      </c>
      <c r="L364" s="31">
        <v>1.76</v>
      </c>
      <c r="M364" s="32">
        <v>2.64</v>
      </c>
      <c r="N364" s="30">
        <v>1.94</v>
      </c>
      <c r="O364" s="31">
        <v>3.45</v>
      </c>
      <c r="P364" s="31">
        <v>4.8499999999999996</v>
      </c>
      <c r="Q364" s="31">
        <v>5.37</v>
      </c>
      <c r="R364" s="31">
        <v>3.93</v>
      </c>
      <c r="S364" s="31">
        <v>4.3499999999999996</v>
      </c>
      <c r="T364" s="31">
        <v>1.76</v>
      </c>
      <c r="U364" s="32">
        <v>2.64</v>
      </c>
    </row>
    <row r="365" spans="3:21" x14ac:dyDescent="0.3">
      <c r="C365" s="66"/>
      <c r="D365" s="70"/>
      <c r="E365" s="39" t="s">
        <v>25</v>
      </c>
      <c r="F365" s="15">
        <v>-0.20191489361701986</v>
      </c>
      <c r="G365" s="16">
        <v>3.0000000000000013</v>
      </c>
      <c r="H365" s="16">
        <v>4.605744680851064</v>
      </c>
      <c r="I365" s="16">
        <v>4.6171428571428574</v>
      </c>
      <c r="J365" s="16">
        <v>1.3795833333333403</v>
      </c>
      <c r="K365" s="16">
        <v>3.5098245614035095</v>
      </c>
      <c r="L365" s="16">
        <v>1.014210526315789</v>
      </c>
      <c r="M365" s="17">
        <v>1.9320000000000002</v>
      </c>
      <c r="N365" s="15">
        <v>-0.20043478260868985</v>
      </c>
      <c r="O365" s="16">
        <v>3.0000000000000013</v>
      </c>
      <c r="P365" s="16">
        <v>4.6040425531914897</v>
      </c>
      <c r="Q365" s="16">
        <v>4.5685714285714294</v>
      </c>
      <c r="R365" s="16">
        <v>1.4918518518518602</v>
      </c>
      <c r="S365" s="16">
        <v>3.5098214285714286</v>
      </c>
      <c r="T365" s="16">
        <v>1.04140350877193</v>
      </c>
      <c r="U365" s="17">
        <v>1.9712765957446812</v>
      </c>
    </row>
    <row r="366" spans="3:21" x14ac:dyDescent="0.3">
      <c r="C366" s="66"/>
      <c r="D366" s="70"/>
      <c r="E366" s="39" t="s">
        <v>26</v>
      </c>
      <c r="F366" s="15">
        <v>-9.4268401708552112</v>
      </c>
      <c r="G366" s="16">
        <v>666.66666666666833</v>
      </c>
      <c r="H366" s="16">
        <v>1885.6271777003499</v>
      </c>
      <c r="I366" s="16">
        <v>613.28273244781769</v>
      </c>
      <c r="J366" s="16">
        <v>54.092468550890793</v>
      </c>
      <c r="K366" s="16">
        <v>417.74900814366322</v>
      </c>
      <c r="L366" s="16">
        <v>135.99153140437531</v>
      </c>
      <c r="M366" s="17">
        <v>272.88135593220341</v>
      </c>
      <c r="N366" s="15">
        <v>-9.3642088157625007</v>
      </c>
      <c r="O366" s="16">
        <v>666.66666666666833</v>
      </c>
      <c r="P366" s="16">
        <v>1871.8858131487939</v>
      </c>
      <c r="Q366" s="16">
        <v>570.05347593582928</v>
      </c>
      <c r="R366" s="16">
        <v>61.187908248519463</v>
      </c>
      <c r="S366" s="16">
        <v>417.7470775770459</v>
      </c>
      <c r="T366" s="16">
        <v>144.92187500000006</v>
      </c>
      <c r="U366" s="17">
        <v>294.78205536112011</v>
      </c>
    </row>
    <row r="367" spans="3:21" x14ac:dyDescent="0.3">
      <c r="C367" s="66"/>
      <c r="D367" s="70" t="s">
        <v>28</v>
      </c>
      <c r="E367" s="40" t="s">
        <v>24</v>
      </c>
      <c r="F367" s="30">
        <v>1.87</v>
      </c>
      <c r="G367" s="31">
        <v>3.49</v>
      </c>
      <c r="H367" s="31">
        <v>4.88</v>
      </c>
      <c r="I367" s="31">
        <v>5.41</v>
      </c>
      <c r="J367" s="31">
        <v>3.97</v>
      </c>
      <c r="K367" s="31">
        <v>4.4000000000000004</v>
      </c>
      <c r="L367" s="31">
        <v>1.76</v>
      </c>
      <c r="M367" s="32">
        <v>2.66</v>
      </c>
      <c r="N367" s="30">
        <v>1.87</v>
      </c>
      <c r="O367" s="31">
        <v>3.49</v>
      </c>
      <c r="P367" s="31">
        <v>4.88</v>
      </c>
      <c r="Q367" s="31">
        <v>5.41</v>
      </c>
      <c r="R367" s="31">
        <v>3.97</v>
      </c>
      <c r="S367" s="31">
        <v>4.4000000000000004</v>
      </c>
      <c r="T367" s="31">
        <v>1.76</v>
      </c>
      <c r="U367" s="32">
        <v>2.66</v>
      </c>
    </row>
    <row r="368" spans="3:21" x14ac:dyDescent="0.3">
      <c r="C368" s="66"/>
      <c r="D368" s="70"/>
      <c r="E368" s="39" t="s">
        <v>25</v>
      </c>
      <c r="F368" s="15">
        <v>-0.2719148936170197</v>
      </c>
      <c r="G368" s="16">
        <v>3.0400000000000014</v>
      </c>
      <c r="H368" s="16">
        <v>4.6357446808510643</v>
      </c>
      <c r="I368" s="16">
        <v>4.6571428571428575</v>
      </c>
      <c r="J368" s="16">
        <v>1.4195833333333403</v>
      </c>
      <c r="K368" s="16">
        <v>3.5598245614035102</v>
      </c>
      <c r="L368" s="16">
        <v>1.014210526315789</v>
      </c>
      <c r="M368" s="17">
        <v>1.9520000000000002</v>
      </c>
      <c r="N368" s="15">
        <v>-0.27043478260868969</v>
      </c>
      <c r="O368" s="16">
        <v>3.0400000000000014</v>
      </c>
      <c r="P368" s="16">
        <v>4.6340425531914899</v>
      </c>
      <c r="Q368" s="16">
        <v>4.6085714285714294</v>
      </c>
      <c r="R368" s="16">
        <v>1.5318518518518602</v>
      </c>
      <c r="S368" s="16">
        <v>3.5598214285714294</v>
      </c>
      <c r="T368" s="16">
        <v>1.04140350877193</v>
      </c>
      <c r="U368" s="17">
        <v>1.9912765957446812</v>
      </c>
    </row>
    <row r="369" spans="3:21" ht="15" thickBot="1" x14ac:dyDescent="0.35">
      <c r="C369" s="67"/>
      <c r="D369" s="74"/>
      <c r="E369" s="41" t="s">
        <v>26</v>
      </c>
      <c r="F369" s="18">
        <v>-12.694943876030532</v>
      </c>
      <c r="G369" s="19">
        <v>675.55555555555736</v>
      </c>
      <c r="H369" s="19">
        <v>1897.9094076655067</v>
      </c>
      <c r="I369" s="19">
        <v>618.59582542694488</v>
      </c>
      <c r="J369" s="19">
        <v>55.660839732070343</v>
      </c>
      <c r="K369" s="19">
        <v>423.70014616830315</v>
      </c>
      <c r="L369" s="19">
        <v>135.99153140437531</v>
      </c>
      <c r="M369" s="20">
        <v>275.70621468926555</v>
      </c>
      <c r="N369" s="18">
        <v>-12.634572415193743</v>
      </c>
      <c r="O369" s="19">
        <v>675.55555555555736</v>
      </c>
      <c r="P369" s="19">
        <v>1884.0830449827042</v>
      </c>
      <c r="Q369" s="19">
        <v>575.04456327985781</v>
      </c>
      <c r="R369" s="19">
        <v>62.828497645450952</v>
      </c>
      <c r="S369" s="19">
        <v>423.69819341126498</v>
      </c>
      <c r="T369" s="19">
        <v>144.92187500000006</v>
      </c>
      <c r="U369" s="20">
        <v>297.77282850779523</v>
      </c>
    </row>
    <row r="372" spans="3:21" ht="15" thickBot="1" x14ac:dyDescent="0.35"/>
    <row r="373" spans="3:21" ht="15" thickBot="1" x14ac:dyDescent="0.35">
      <c r="C373" s="77" t="s">
        <v>51</v>
      </c>
      <c r="D373" s="77"/>
      <c r="E373" s="78"/>
      <c r="F373" s="79" t="s">
        <v>1</v>
      </c>
      <c r="G373" s="80"/>
      <c r="H373" s="80"/>
      <c r="I373" s="80"/>
      <c r="J373" s="80"/>
      <c r="K373" s="80"/>
      <c r="L373" s="80"/>
      <c r="M373" s="81"/>
      <c r="N373" s="75" t="s">
        <v>2</v>
      </c>
      <c r="O373" s="75"/>
      <c r="P373" s="75"/>
      <c r="Q373" s="75"/>
      <c r="R373" s="75"/>
      <c r="S373" s="75"/>
      <c r="T373" s="75"/>
      <c r="U373" s="76"/>
    </row>
    <row r="374" spans="3:21" ht="29.4" thickBot="1" x14ac:dyDescent="0.35">
      <c r="C374" s="5" t="s">
        <v>10</v>
      </c>
      <c r="D374" s="4" t="s">
        <v>11</v>
      </c>
      <c r="E374" s="3"/>
      <c r="F374" s="6" t="s">
        <v>12</v>
      </c>
      <c r="G374" s="7" t="s">
        <v>13</v>
      </c>
      <c r="H374" s="7" t="s">
        <v>14</v>
      </c>
      <c r="I374" s="7" t="s">
        <v>15</v>
      </c>
      <c r="J374" s="7" t="s">
        <v>16</v>
      </c>
      <c r="K374" s="7" t="s">
        <v>17</v>
      </c>
      <c r="L374" s="7" t="s">
        <v>18</v>
      </c>
      <c r="M374" s="8" t="s">
        <v>19</v>
      </c>
      <c r="N374" s="6" t="s">
        <v>12</v>
      </c>
      <c r="O374" s="7" t="s">
        <v>13</v>
      </c>
      <c r="P374" s="7" t="s">
        <v>14</v>
      </c>
      <c r="Q374" s="7" t="s">
        <v>15</v>
      </c>
      <c r="R374" s="7" t="s">
        <v>16</v>
      </c>
      <c r="S374" s="7" t="s">
        <v>17</v>
      </c>
      <c r="T374" s="7" t="s">
        <v>18</v>
      </c>
      <c r="U374" s="8" t="s">
        <v>19</v>
      </c>
    </row>
    <row r="375" spans="3:21" x14ac:dyDescent="0.3">
      <c r="C375" s="65">
        <v>1</v>
      </c>
      <c r="D375" s="71" t="s">
        <v>20</v>
      </c>
      <c r="E375" s="72"/>
      <c r="F375" s="21">
        <v>2.1322641509433899</v>
      </c>
      <c r="G375" s="22">
        <v>0.80526315789473601</v>
      </c>
      <c r="H375" s="22">
        <v>0.58457627118643996</v>
      </c>
      <c r="I375" s="22">
        <v>1.65322033898305</v>
      </c>
      <c r="J375" s="22">
        <v>3.45220338983051</v>
      </c>
      <c r="K375" s="22">
        <v>0.37610169491525403</v>
      </c>
      <c r="L375" s="22">
        <v>0.53406779661016901</v>
      </c>
      <c r="M375" s="23">
        <v>0.92033898305084605</v>
      </c>
      <c r="N375" s="21">
        <v>2.0803703703703702</v>
      </c>
      <c r="O375" s="22">
        <v>0.84</v>
      </c>
      <c r="P375" s="22">
        <v>0.57733333333333303</v>
      </c>
      <c r="Q375" s="22">
        <v>1.6501666666666599</v>
      </c>
      <c r="R375" s="22">
        <v>3.4418333333333302</v>
      </c>
      <c r="S375" s="22">
        <v>0.37383333333333302</v>
      </c>
      <c r="T375" s="22">
        <v>0.53166666666666595</v>
      </c>
      <c r="U375" s="23">
        <v>0.91916666666666502</v>
      </c>
    </row>
    <row r="376" spans="3:21" ht="15" customHeight="1" x14ac:dyDescent="0.3">
      <c r="C376" s="66"/>
      <c r="D376" s="68" t="s">
        <v>21</v>
      </c>
      <c r="E376" s="69"/>
      <c r="F376" s="24">
        <v>0.61494175674330498</v>
      </c>
      <c r="G376" s="25">
        <v>0.192363921035997</v>
      </c>
      <c r="H376" s="25">
        <v>0.81571705387304205</v>
      </c>
      <c r="I376" s="25">
        <v>1.3635266347432</v>
      </c>
      <c r="J376" s="25">
        <v>1.3006635435606799</v>
      </c>
      <c r="K376" s="25">
        <v>0.26586613777889401</v>
      </c>
      <c r="L376" s="25">
        <v>0.36558343731754001</v>
      </c>
      <c r="M376" s="26">
        <v>1.0873727723772699</v>
      </c>
      <c r="N376" s="24">
        <v>0.61954273150374495</v>
      </c>
      <c r="O376" s="25">
        <v>0.20741798914805301</v>
      </c>
      <c r="P376" s="25">
        <v>0.81080179794790497</v>
      </c>
      <c r="Q376" s="25">
        <v>1.3728710690455299</v>
      </c>
      <c r="R376" s="25">
        <v>1.3030240361900001</v>
      </c>
      <c r="S376" s="25">
        <v>0.264317307206487</v>
      </c>
      <c r="T376" s="25">
        <v>0.36299295983377999</v>
      </c>
      <c r="U376" s="26">
        <v>1.0783108575710201</v>
      </c>
    </row>
    <row r="377" spans="3:21" ht="15" customHeight="1" x14ac:dyDescent="0.3">
      <c r="C377" s="66"/>
      <c r="D377" s="68" t="s">
        <v>22</v>
      </c>
      <c r="E377" s="69"/>
      <c r="F377" s="33">
        <v>2.4233333333333298</v>
      </c>
      <c r="G377" s="34">
        <v>0.70799999999999996</v>
      </c>
      <c r="H377" s="34">
        <v>0.15652173913043399</v>
      </c>
      <c r="I377" s="34">
        <v>0.81</v>
      </c>
      <c r="J377" s="34">
        <v>4.1497560975609797</v>
      </c>
      <c r="K377" s="34">
        <v>0.24391304347826001</v>
      </c>
      <c r="L377" s="34">
        <v>0.44999999999999901</v>
      </c>
      <c r="M377" s="35">
        <v>0.71684210526315695</v>
      </c>
      <c r="N377" s="33">
        <v>2.3871428571428499</v>
      </c>
      <c r="O377" s="34">
        <v>0.73</v>
      </c>
      <c r="P377" s="34">
        <v>0.15638297872340401</v>
      </c>
      <c r="Q377" s="34">
        <v>0.81093023255814001</v>
      </c>
      <c r="R377" s="34">
        <v>4.1511627906976702</v>
      </c>
      <c r="S377" s="34">
        <v>0.243829787234042</v>
      </c>
      <c r="T377" s="34">
        <v>0.44894736842105198</v>
      </c>
      <c r="U377" s="35">
        <v>0.71913793103448198</v>
      </c>
    </row>
    <row r="378" spans="3:21" x14ac:dyDescent="0.3">
      <c r="C378" s="66"/>
      <c r="D378" s="73" t="s">
        <v>23</v>
      </c>
      <c r="E378" s="38" t="s">
        <v>24</v>
      </c>
      <c r="F378" s="27">
        <v>3.22</v>
      </c>
      <c r="G378" s="28">
        <v>3.62</v>
      </c>
      <c r="H378" s="28">
        <v>3.44</v>
      </c>
      <c r="I378" s="28">
        <v>4.1399999999999997</v>
      </c>
      <c r="J378" s="28">
        <v>3.37</v>
      </c>
      <c r="K378" s="28">
        <v>3.24</v>
      </c>
      <c r="L378" s="28">
        <v>1.95</v>
      </c>
      <c r="M378" s="29">
        <v>1.66</v>
      </c>
      <c r="N378" s="27">
        <v>3.22</v>
      </c>
      <c r="O378" s="28">
        <v>3.62</v>
      </c>
      <c r="P378" s="28">
        <v>3.44</v>
      </c>
      <c r="Q378" s="28">
        <v>4.1399999999999997</v>
      </c>
      <c r="R378" s="28">
        <v>3.37</v>
      </c>
      <c r="S378" s="28">
        <v>3.24</v>
      </c>
      <c r="T378" s="28">
        <v>1.95</v>
      </c>
      <c r="U378" s="29">
        <v>1.66</v>
      </c>
    </row>
    <row r="379" spans="3:21" x14ac:dyDescent="0.3">
      <c r="C379" s="66"/>
      <c r="D379" s="70"/>
      <c r="E379" s="39" t="s">
        <v>25</v>
      </c>
      <c r="F379" s="9">
        <v>0.79666666666667041</v>
      </c>
      <c r="G379" s="10">
        <v>2.9119999999999999</v>
      </c>
      <c r="H379" s="10">
        <v>3.2834782608695661</v>
      </c>
      <c r="I379" s="10">
        <v>3.3299999999999996</v>
      </c>
      <c r="J379" s="10">
        <v>-0.77975609756097963</v>
      </c>
      <c r="K379" s="10">
        <v>2.9960869565217401</v>
      </c>
      <c r="L379" s="10">
        <v>1.5000000000000009</v>
      </c>
      <c r="M379" s="11">
        <v>0.94315789473684297</v>
      </c>
      <c r="N379" s="9">
        <v>0.83285714285715029</v>
      </c>
      <c r="O379" s="10">
        <v>2.89</v>
      </c>
      <c r="P379" s="10">
        <v>3.283617021276596</v>
      </c>
      <c r="Q379" s="10">
        <v>3.3290697674418599</v>
      </c>
      <c r="R379" s="10">
        <v>-0.78116279069767014</v>
      </c>
      <c r="S379" s="10">
        <v>2.9961702127659584</v>
      </c>
      <c r="T379" s="10">
        <v>1.5010526315789479</v>
      </c>
      <c r="U379" s="11">
        <v>0.94086206896551794</v>
      </c>
    </row>
    <row r="380" spans="3:21" x14ac:dyDescent="0.3">
      <c r="C380" s="66"/>
      <c r="D380" s="70"/>
      <c r="E380" s="39" t="s">
        <v>26</v>
      </c>
      <c r="F380" s="9">
        <v>32.874828060522901</v>
      </c>
      <c r="G380" s="10">
        <v>411.29943502824864</v>
      </c>
      <c r="H380" s="10">
        <v>2097.7777777777887</v>
      </c>
      <c r="I380" s="10">
        <v>411.11111111111109</v>
      </c>
      <c r="J380" s="10">
        <v>-18.790407899377062</v>
      </c>
      <c r="K380" s="10">
        <v>1228.3422459893095</v>
      </c>
      <c r="L380" s="10">
        <v>333.33333333333428</v>
      </c>
      <c r="M380" s="11">
        <v>131.57121879588868</v>
      </c>
      <c r="N380" s="9">
        <v>34.889287851586289</v>
      </c>
      <c r="O380" s="10">
        <v>395.89041095890411</v>
      </c>
      <c r="P380" s="10">
        <v>2099.7278911564658</v>
      </c>
      <c r="Q380" s="10">
        <v>410.52480642385973</v>
      </c>
      <c r="R380" s="10">
        <v>-18.817927170868263</v>
      </c>
      <c r="S380" s="10">
        <v>1228.7958115183278</v>
      </c>
      <c r="T380" s="10">
        <v>334.3493552168822</v>
      </c>
      <c r="U380" s="11">
        <v>130.83193478782093</v>
      </c>
    </row>
    <row r="381" spans="3:21" x14ac:dyDescent="0.3">
      <c r="C381" s="66"/>
      <c r="D381" s="70" t="s">
        <v>27</v>
      </c>
      <c r="E381" s="40" t="s">
        <v>24</v>
      </c>
      <c r="F381" s="27">
        <v>3.12</v>
      </c>
      <c r="G381" s="28">
        <v>3.51</v>
      </c>
      <c r="H381" s="28">
        <v>3.3</v>
      </c>
      <c r="I381" s="28">
        <v>3.94</v>
      </c>
      <c r="J381" s="28">
        <v>3.23</v>
      </c>
      <c r="K381" s="28">
        <v>3.11</v>
      </c>
      <c r="L381" s="28">
        <v>1.86</v>
      </c>
      <c r="M381" s="29">
        <v>1.53</v>
      </c>
      <c r="N381" s="27">
        <v>3.12</v>
      </c>
      <c r="O381" s="28">
        <v>3.51</v>
      </c>
      <c r="P381" s="28">
        <v>3.3</v>
      </c>
      <c r="Q381" s="28">
        <v>3.94</v>
      </c>
      <c r="R381" s="28">
        <v>3.23</v>
      </c>
      <c r="S381" s="28">
        <v>3.11</v>
      </c>
      <c r="T381" s="28">
        <v>1.86</v>
      </c>
      <c r="U381" s="29">
        <v>1.53</v>
      </c>
    </row>
    <row r="382" spans="3:21" x14ac:dyDescent="0.3">
      <c r="C382" s="66"/>
      <c r="D382" s="70"/>
      <c r="E382" s="39" t="s">
        <v>25</v>
      </c>
      <c r="F382" s="9">
        <v>0.69666666666667032</v>
      </c>
      <c r="G382" s="10">
        <v>2.8019999999999996</v>
      </c>
      <c r="H382" s="10">
        <v>3.1434782608695659</v>
      </c>
      <c r="I382" s="10">
        <v>3.13</v>
      </c>
      <c r="J382" s="10">
        <v>-0.91975609756097976</v>
      </c>
      <c r="K382" s="10">
        <v>2.8660869565217397</v>
      </c>
      <c r="L382" s="10">
        <v>1.410000000000001</v>
      </c>
      <c r="M382" s="11">
        <v>0.81315789473684308</v>
      </c>
      <c r="N382" s="9">
        <v>0.7328571428571502</v>
      </c>
      <c r="O382" s="10">
        <v>2.78</v>
      </c>
      <c r="P382" s="10">
        <v>3.1436170212765959</v>
      </c>
      <c r="Q382" s="10">
        <v>3.1290697674418597</v>
      </c>
      <c r="R382" s="10">
        <v>-0.92116279069767026</v>
      </c>
      <c r="S382" s="10">
        <v>2.8661702127659581</v>
      </c>
      <c r="T382" s="10">
        <v>1.411052631578948</v>
      </c>
      <c r="U382" s="11">
        <v>0.81086206896551805</v>
      </c>
    </row>
    <row r="383" spans="3:21" x14ac:dyDescent="0.3">
      <c r="C383" s="66"/>
      <c r="D383" s="70"/>
      <c r="E383" s="39" t="s">
        <v>26</v>
      </c>
      <c r="F383" s="9">
        <v>28.748280605227155</v>
      </c>
      <c r="G383" s="10">
        <v>395.76271186440675</v>
      </c>
      <c r="H383" s="10">
        <v>2008.3333333333439</v>
      </c>
      <c r="I383" s="10">
        <v>386.41975308641969</v>
      </c>
      <c r="J383" s="10">
        <v>-22.164100152815404</v>
      </c>
      <c r="K383" s="10">
        <v>1175.0445632798619</v>
      </c>
      <c r="L383" s="10">
        <v>313.33333333333428</v>
      </c>
      <c r="M383" s="11">
        <v>113.43612334801792</v>
      </c>
      <c r="N383" s="9">
        <v>30.700179533214044</v>
      </c>
      <c r="O383" s="10">
        <v>380.82191780821915</v>
      </c>
      <c r="P383" s="10">
        <v>2010.2040816326564</v>
      </c>
      <c r="Q383" s="10">
        <v>385.86177229710319</v>
      </c>
      <c r="R383" s="10">
        <v>-22.190476190476112</v>
      </c>
      <c r="S383" s="10">
        <v>1175.479930191975</v>
      </c>
      <c r="T383" s="10">
        <v>314.30246189917995</v>
      </c>
      <c r="U383" s="11">
        <v>112.75473507552169</v>
      </c>
    </row>
    <row r="384" spans="3:21" x14ac:dyDescent="0.3">
      <c r="C384" s="66"/>
      <c r="D384" s="70" t="s">
        <v>28</v>
      </c>
      <c r="E384" s="40" t="s">
        <v>24</v>
      </c>
      <c r="F384" s="27">
        <v>3.05</v>
      </c>
      <c r="G384" s="28">
        <v>3.61</v>
      </c>
      <c r="H384" s="28">
        <v>3.36</v>
      </c>
      <c r="I384" s="28">
        <v>4.0199999999999996</v>
      </c>
      <c r="J384" s="28">
        <v>3.32</v>
      </c>
      <c r="K384" s="28">
        <v>3.17</v>
      </c>
      <c r="L384" s="28">
        <v>1.87</v>
      </c>
      <c r="M384" s="29">
        <v>1.57</v>
      </c>
      <c r="N384" s="27">
        <v>3.05</v>
      </c>
      <c r="O384" s="28">
        <v>3.61</v>
      </c>
      <c r="P384" s="28">
        <v>3.36</v>
      </c>
      <c r="Q384" s="28">
        <v>4.0199999999999996</v>
      </c>
      <c r="R384" s="28">
        <v>3.32</v>
      </c>
      <c r="S384" s="28">
        <v>3.17</v>
      </c>
      <c r="T384" s="28">
        <v>1.87</v>
      </c>
      <c r="U384" s="29">
        <v>1.57</v>
      </c>
    </row>
    <row r="385" spans="3:21" x14ac:dyDescent="0.3">
      <c r="C385" s="66"/>
      <c r="D385" s="70"/>
      <c r="E385" s="39" t="s">
        <v>25</v>
      </c>
      <c r="F385" s="9">
        <v>0.62666666666667004</v>
      </c>
      <c r="G385" s="10">
        <v>2.9020000000000001</v>
      </c>
      <c r="H385" s="10">
        <v>3.203478260869566</v>
      </c>
      <c r="I385" s="10">
        <v>3.2099999999999995</v>
      </c>
      <c r="J385" s="10">
        <v>-0.8297560975609799</v>
      </c>
      <c r="K385" s="10">
        <v>2.9260869565217398</v>
      </c>
      <c r="L385" s="10">
        <v>1.420000000000001</v>
      </c>
      <c r="M385" s="11">
        <v>0.85315789473684311</v>
      </c>
      <c r="N385" s="9">
        <v>0.66285714285714992</v>
      </c>
      <c r="O385" s="10">
        <v>2.88</v>
      </c>
      <c r="P385" s="10">
        <v>3.203617021276596</v>
      </c>
      <c r="Q385" s="10">
        <v>3.2090697674418598</v>
      </c>
      <c r="R385" s="10">
        <v>-0.83116279069767041</v>
      </c>
      <c r="S385" s="10">
        <v>2.9261702127659581</v>
      </c>
      <c r="T385" s="10">
        <v>1.4210526315789482</v>
      </c>
      <c r="U385" s="11">
        <v>0.85086206896551808</v>
      </c>
    </row>
    <row r="386" spans="3:21" ht="15" thickBot="1" x14ac:dyDescent="0.35">
      <c r="C386" s="66"/>
      <c r="D386" s="74"/>
      <c r="E386" s="41" t="s">
        <v>26</v>
      </c>
      <c r="F386" s="12">
        <v>25.859697386520118</v>
      </c>
      <c r="G386" s="13">
        <v>409.88700564971754</v>
      </c>
      <c r="H386" s="13">
        <v>2046.6666666666774</v>
      </c>
      <c r="I386" s="13">
        <v>396.29629629629619</v>
      </c>
      <c r="J386" s="13">
        <v>-19.995297989890762</v>
      </c>
      <c r="K386" s="13">
        <v>1199.6434937611452</v>
      </c>
      <c r="L386" s="13">
        <v>315.55555555555645</v>
      </c>
      <c r="M386" s="14">
        <v>119.01615271659354</v>
      </c>
      <c r="N386" s="12">
        <v>27.767803710353462</v>
      </c>
      <c r="O386" s="13">
        <v>394.52054794520546</v>
      </c>
      <c r="P386" s="13">
        <v>2048.5714285714321</v>
      </c>
      <c r="Q386" s="13">
        <v>395.72698594780582</v>
      </c>
      <c r="R386" s="13">
        <v>-20.022408963585359</v>
      </c>
      <c r="S386" s="13">
        <v>1200.0872600349069</v>
      </c>
      <c r="T386" s="13">
        <v>316.52989449003582</v>
      </c>
      <c r="U386" s="14">
        <v>118.31695037161376</v>
      </c>
    </row>
    <row r="387" spans="3:21" x14ac:dyDescent="0.3">
      <c r="C387" s="65">
        <v>2</v>
      </c>
      <c r="D387" s="71" t="s">
        <v>20</v>
      </c>
      <c r="E387" s="72"/>
      <c r="F387" s="21">
        <v>2.2692592592592602</v>
      </c>
      <c r="G387" s="22">
        <v>0.80599999999999905</v>
      </c>
      <c r="H387" s="22">
        <v>0.45166666666666599</v>
      </c>
      <c r="I387" s="22">
        <v>1.63516666666666</v>
      </c>
      <c r="J387" s="22">
        <v>3.4198333333333299</v>
      </c>
      <c r="K387" s="22">
        <v>0.39133333333333298</v>
      </c>
      <c r="L387" s="22">
        <v>0.51299999999999901</v>
      </c>
      <c r="M387" s="23">
        <v>1.2103333333333299</v>
      </c>
      <c r="N387" s="21">
        <v>2.2551851851851801</v>
      </c>
      <c r="O387" s="22">
        <v>0.81818181818181801</v>
      </c>
      <c r="P387" s="22">
        <v>0.49</v>
      </c>
      <c r="Q387" s="22">
        <v>1.80433333333333</v>
      </c>
      <c r="R387" s="22">
        <v>3.4543333333333299</v>
      </c>
      <c r="S387" s="22">
        <v>0.33500000000000002</v>
      </c>
      <c r="T387" s="22">
        <v>0.56799999999999895</v>
      </c>
      <c r="U387" s="23">
        <v>1.29</v>
      </c>
    </row>
    <row r="388" spans="3:21" ht="15" customHeight="1" x14ac:dyDescent="0.3">
      <c r="C388" s="66"/>
      <c r="D388" s="68" t="s">
        <v>21</v>
      </c>
      <c r="E388" s="69"/>
      <c r="F388" s="24">
        <v>0.57406881718023195</v>
      </c>
      <c r="G388" s="25">
        <v>0.24137936945812</v>
      </c>
      <c r="H388" s="25">
        <v>0.70016466317256798</v>
      </c>
      <c r="I388" s="25">
        <v>1.3693410722760799</v>
      </c>
      <c r="J388" s="25">
        <v>1.30188772130659</v>
      </c>
      <c r="K388" s="25">
        <v>0.343547506014654</v>
      </c>
      <c r="L388" s="25">
        <v>0.31586547769580597</v>
      </c>
      <c r="M388" s="26">
        <v>1.60720768899217</v>
      </c>
      <c r="N388" s="24">
        <v>0.55161963794421398</v>
      </c>
      <c r="O388" s="25">
        <v>0.26487795411946302</v>
      </c>
      <c r="P388" s="25">
        <v>0.74248232302190198</v>
      </c>
      <c r="Q388" s="25">
        <v>1.5638556696688899</v>
      </c>
      <c r="R388" s="25">
        <v>1.27849047274075</v>
      </c>
      <c r="S388" s="25">
        <v>0.222122338663479</v>
      </c>
      <c r="T388" s="25">
        <v>0.43922203951987598</v>
      </c>
      <c r="U388" s="26">
        <v>1.7083715442881</v>
      </c>
    </row>
    <row r="389" spans="3:21" ht="15" customHeight="1" x14ac:dyDescent="0.3">
      <c r="C389" s="66"/>
      <c r="D389" s="68" t="s">
        <v>22</v>
      </c>
      <c r="E389" s="69"/>
      <c r="F389" s="33">
        <v>2.5139999999999998</v>
      </c>
      <c r="G389" s="34">
        <v>0.671333333333333</v>
      </c>
      <c r="H389" s="34">
        <v>0.159411764705882</v>
      </c>
      <c r="I389" s="34">
        <v>0.82818181818181802</v>
      </c>
      <c r="J389" s="34">
        <v>4.1662222222222196</v>
      </c>
      <c r="K389" s="34">
        <v>0.25319999999999998</v>
      </c>
      <c r="L389" s="34">
        <v>0.45448275862068899</v>
      </c>
      <c r="M389" s="35">
        <v>0.72727272727272696</v>
      </c>
      <c r="N389" s="33">
        <v>2.5036363636363599</v>
      </c>
      <c r="O389" s="34">
        <v>0.66125</v>
      </c>
      <c r="P389" s="34">
        <v>0.158799999999999</v>
      </c>
      <c r="Q389" s="34">
        <v>0.82142857142857095</v>
      </c>
      <c r="R389" s="34">
        <v>4.1530434782608703</v>
      </c>
      <c r="S389" s="34">
        <v>0.23680000000000001</v>
      </c>
      <c r="T389" s="34">
        <v>0.45071428571428501</v>
      </c>
      <c r="U389" s="35">
        <v>0.72296296296296203</v>
      </c>
    </row>
    <row r="390" spans="3:21" x14ac:dyDescent="0.3">
      <c r="C390" s="66"/>
      <c r="D390" s="73" t="s">
        <v>23</v>
      </c>
      <c r="E390" s="38" t="s">
        <v>24</v>
      </c>
      <c r="F390" s="27">
        <v>3.22</v>
      </c>
      <c r="G390" s="28">
        <v>3.62</v>
      </c>
      <c r="H390" s="28">
        <v>3.44</v>
      </c>
      <c r="I390" s="28">
        <v>4.1399999999999997</v>
      </c>
      <c r="J390" s="28">
        <v>3.37</v>
      </c>
      <c r="K390" s="28">
        <v>3.24</v>
      </c>
      <c r="L390" s="28">
        <v>1.95</v>
      </c>
      <c r="M390" s="29">
        <v>1.66</v>
      </c>
      <c r="N390" s="27">
        <v>3.22</v>
      </c>
      <c r="O390" s="28">
        <v>3.62</v>
      </c>
      <c r="P390" s="28">
        <v>3.44</v>
      </c>
      <c r="Q390" s="28">
        <v>4.1399999999999997</v>
      </c>
      <c r="R390" s="28">
        <v>3.37</v>
      </c>
      <c r="S390" s="28">
        <v>3.24</v>
      </c>
      <c r="T390" s="28">
        <v>1.95</v>
      </c>
      <c r="U390" s="29">
        <v>1.66</v>
      </c>
    </row>
    <row r="391" spans="3:21" x14ac:dyDescent="0.3">
      <c r="C391" s="66"/>
      <c r="D391" s="70"/>
      <c r="E391" s="39" t="s">
        <v>25</v>
      </c>
      <c r="F391" s="9">
        <v>0.70600000000000041</v>
      </c>
      <c r="G391" s="10">
        <v>2.948666666666667</v>
      </c>
      <c r="H391" s="10">
        <v>3.2805882352941178</v>
      </c>
      <c r="I391" s="10">
        <v>3.3118181818181816</v>
      </c>
      <c r="J391" s="10">
        <v>-0.7962222222222195</v>
      </c>
      <c r="K391" s="10">
        <v>2.9868000000000001</v>
      </c>
      <c r="L391" s="10">
        <v>1.495517241379311</v>
      </c>
      <c r="M391" s="11">
        <v>0.93272727272727296</v>
      </c>
      <c r="N391" s="9">
        <v>0.71636363636364031</v>
      </c>
      <c r="O391" s="10">
        <v>2.9587500000000002</v>
      </c>
      <c r="P391" s="10">
        <v>3.281200000000001</v>
      </c>
      <c r="Q391" s="10">
        <v>3.3185714285714285</v>
      </c>
      <c r="R391" s="10">
        <v>-0.78304347826087017</v>
      </c>
      <c r="S391" s="10">
        <v>3.0032000000000001</v>
      </c>
      <c r="T391" s="10">
        <v>1.499285714285715</v>
      </c>
      <c r="U391" s="11">
        <v>0.93703703703703789</v>
      </c>
    </row>
    <row r="392" spans="3:21" x14ac:dyDescent="0.3">
      <c r="C392" s="66"/>
      <c r="D392" s="70"/>
      <c r="E392" s="39" t="s">
        <v>26</v>
      </c>
      <c r="F392" s="9">
        <v>28.082736674622133</v>
      </c>
      <c r="G392" s="10">
        <v>439.22542204568049</v>
      </c>
      <c r="H392" s="10">
        <v>2057.9335793357982</v>
      </c>
      <c r="I392" s="10">
        <v>399.89023051591658</v>
      </c>
      <c r="J392" s="10">
        <v>-19.111371879667111</v>
      </c>
      <c r="K392" s="10">
        <v>1179.6208530805688</v>
      </c>
      <c r="L392" s="10">
        <v>329.05918057663189</v>
      </c>
      <c r="M392" s="11">
        <v>128.25000000000009</v>
      </c>
      <c r="N392" s="9">
        <v>28.612926652142541</v>
      </c>
      <c r="O392" s="10">
        <v>447.44801512287336</v>
      </c>
      <c r="P392" s="10">
        <v>2066.2468513854042</v>
      </c>
      <c r="Q392" s="10">
        <v>404.00000000000028</v>
      </c>
      <c r="R392" s="10">
        <v>-18.854690117252943</v>
      </c>
      <c r="S392" s="10">
        <v>1268.2432432432431</v>
      </c>
      <c r="T392" s="10">
        <v>332.64659270998482</v>
      </c>
      <c r="U392" s="11">
        <v>129.6106557377052</v>
      </c>
    </row>
    <row r="393" spans="3:21" x14ac:dyDescent="0.3">
      <c r="C393" s="66"/>
      <c r="D393" s="70" t="s">
        <v>27</v>
      </c>
      <c r="E393" s="40" t="s">
        <v>24</v>
      </c>
      <c r="F393" s="27">
        <v>3.12</v>
      </c>
      <c r="G393" s="28">
        <v>3.51</v>
      </c>
      <c r="H393" s="28">
        <v>3.3</v>
      </c>
      <c r="I393" s="28">
        <v>3.94</v>
      </c>
      <c r="J393" s="28">
        <v>3.23</v>
      </c>
      <c r="K393" s="28">
        <v>3.11</v>
      </c>
      <c r="L393" s="28">
        <v>1.86</v>
      </c>
      <c r="M393" s="29">
        <v>1.53</v>
      </c>
      <c r="N393" s="27">
        <v>3.12</v>
      </c>
      <c r="O393" s="28">
        <v>3.51</v>
      </c>
      <c r="P393" s="28">
        <v>3.3</v>
      </c>
      <c r="Q393" s="28">
        <v>3.94</v>
      </c>
      <c r="R393" s="28">
        <v>3.23</v>
      </c>
      <c r="S393" s="28">
        <v>3.11</v>
      </c>
      <c r="T393" s="28">
        <v>1.86</v>
      </c>
      <c r="U393" s="29">
        <v>1.53</v>
      </c>
    </row>
    <row r="394" spans="3:21" x14ac:dyDescent="0.3">
      <c r="C394" s="66"/>
      <c r="D394" s="70"/>
      <c r="E394" s="39" t="s">
        <v>25</v>
      </c>
      <c r="F394" s="9">
        <v>0.60600000000000032</v>
      </c>
      <c r="G394" s="10">
        <v>2.8386666666666667</v>
      </c>
      <c r="H394" s="10">
        <v>3.1405882352941177</v>
      </c>
      <c r="I394" s="10">
        <v>3.1118181818181818</v>
      </c>
      <c r="J394" s="10">
        <v>-0.93622222222221962</v>
      </c>
      <c r="K394" s="10">
        <v>2.8567999999999998</v>
      </c>
      <c r="L394" s="10">
        <v>1.4055172413793111</v>
      </c>
      <c r="M394" s="11">
        <v>0.80272727272727307</v>
      </c>
      <c r="N394" s="9">
        <v>0.61636363636364022</v>
      </c>
      <c r="O394" s="10">
        <v>2.8487499999999999</v>
      </c>
      <c r="P394" s="10">
        <v>3.1412000000000009</v>
      </c>
      <c r="Q394" s="10">
        <v>3.1185714285714292</v>
      </c>
      <c r="R394" s="10">
        <v>-0.9230434782608703</v>
      </c>
      <c r="S394" s="10">
        <v>2.8731999999999998</v>
      </c>
      <c r="T394" s="10">
        <v>1.4092857142857151</v>
      </c>
      <c r="U394" s="11">
        <v>0.807037037037038</v>
      </c>
    </row>
    <row r="395" spans="3:21" x14ac:dyDescent="0.3">
      <c r="C395" s="66"/>
      <c r="D395" s="70"/>
      <c r="E395" s="39" t="s">
        <v>26</v>
      </c>
      <c r="F395" s="9">
        <v>24.105011933174239</v>
      </c>
      <c r="G395" s="10">
        <v>422.84011916583933</v>
      </c>
      <c r="H395" s="10">
        <v>1970.1107011070153</v>
      </c>
      <c r="I395" s="10">
        <v>375.74094401756321</v>
      </c>
      <c r="J395" s="10">
        <v>-22.47173031790053</v>
      </c>
      <c r="K395" s="10">
        <v>1128.2780410742496</v>
      </c>
      <c r="L395" s="10">
        <v>309.25644916540278</v>
      </c>
      <c r="M395" s="11">
        <v>110.37500000000009</v>
      </c>
      <c r="N395" s="9">
        <v>24.618736383442457</v>
      </c>
      <c r="O395" s="10">
        <v>430.81285444234408</v>
      </c>
      <c r="P395" s="10">
        <v>1978.0856423173934</v>
      </c>
      <c r="Q395" s="10">
        <v>379.65217391304378</v>
      </c>
      <c r="R395" s="10">
        <v>-22.225711892797335</v>
      </c>
      <c r="S395" s="10">
        <v>1213.3445945945944</v>
      </c>
      <c r="T395" s="10">
        <v>312.67828843106247</v>
      </c>
      <c r="U395" s="11">
        <v>111.62909836065602</v>
      </c>
    </row>
    <row r="396" spans="3:21" x14ac:dyDescent="0.3">
      <c r="C396" s="66"/>
      <c r="D396" s="70" t="s">
        <v>28</v>
      </c>
      <c r="E396" s="40" t="s">
        <v>24</v>
      </c>
      <c r="F396" s="27">
        <v>3.05</v>
      </c>
      <c r="G396" s="28">
        <v>3.61</v>
      </c>
      <c r="H396" s="28">
        <v>3.36</v>
      </c>
      <c r="I396" s="28">
        <v>4.0199999999999996</v>
      </c>
      <c r="J396" s="28">
        <v>3.32</v>
      </c>
      <c r="K396" s="28">
        <v>3.17</v>
      </c>
      <c r="L396" s="28">
        <v>1.87</v>
      </c>
      <c r="M396" s="29">
        <v>1.57</v>
      </c>
      <c r="N396" s="27">
        <v>3.05</v>
      </c>
      <c r="O396" s="28">
        <v>3.61</v>
      </c>
      <c r="P396" s="28">
        <v>3.36</v>
      </c>
      <c r="Q396" s="28">
        <v>4.0199999999999996</v>
      </c>
      <c r="R396" s="28">
        <v>3.32</v>
      </c>
      <c r="S396" s="28">
        <v>3.17</v>
      </c>
      <c r="T396" s="28">
        <v>1.87</v>
      </c>
      <c r="U396" s="29">
        <v>1.57</v>
      </c>
    </row>
    <row r="397" spans="3:21" x14ac:dyDescent="0.3">
      <c r="C397" s="66"/>
      <c r="D397" s="70"/>
      <c r="E397" s="39" t="s">
        <v>25</v>
      </c>
      <c r="F397" s="9">
        <v>0.53600000000000003</v>
      </c>
      <c r="G397" s="10">
        <v>2.9386666666666668</v>
      </c>
      <c r="H397" s="10">
        <v>3.2005882352941177</v>
      </c>
      <c r="I397" s="10">
        <v>3.1918181818181814</v>
      </c>
      <c r="J397" s="10">
        <v>-0.84622222222221977</v>
      </c>
      <c r="K397" s="10">
        <v>2.9167999999999998</v>
      </c>
      <c r="L397" s="10">
        <v>1.4155172413793111</v>
      </c>
      <c r="M397" s="11">
        <v>0.8427272727272731</v>
      </c>
      <c r="N397" s="9">
        <v>0.54636363636363994</v>
      </c>
      <c r="O397" s="10">
        <v>2.94875</v>
      </c>
      <c r="P397" s="10">
        <v>3.2012000000000009</v>
      </c>
      <c r="Q397" s="10">
        <v>3.1985714285714284</v>
      </c>
      <c r="R397" s="10">
        <v>-0.83304347826087044</v>
      </c>
      <c r="S397" s="10">
        <v>2.9331999999999998</v>
      </c>
      <c r="T397" s="10">
        <v>1.4192857142857151</v>
      </c>
      <c r="U397" s="11">
        <v>0.84703703703703803</v>
      </c>
    </row>
    <row r="398" spans="3:21" ht="15" thickBot="1" x14ac:dyDescent="0.35">
      <c r="C398" s="66"/>
      <c r="D398" s="74"/>
      <c r="E398" s="41" t="s">
        <v>26</v>
      </c>
      <c r="F398" s="12">
        <v>21.320604614160704</v>
      </c>
      <c r="G398" s="13">
        <v>437.73584905660402</v>
      </c>
      <c r="H398" s="13">
        <v>2007.7490774907794</v>
      </c>
      <c r="I398" s="13">
        <v>385.40065861690454</v>
      </c>
      <c r="J398" s="13">
        <v>-20.311499893321908</v>
      </c>
      <c r="K398" s="13">
        <v>1151.9747235387047</v>
      </c>
      <c r="L398" s="13">
        <v>311.45675265553933</v>
      </c>
      <c r="M398" s="14">
        <v>115.8750000000001</v>
      </c>
      <c r="N398" s="12">
        <v>21.822803195352392</v>
      </c>
      <c r="O398" s="13">
        <v>445.93572778827973</v>
      </c>
      <c r="P398" s="13">
        <v>2015.8690176322552</v>
      </c>
      <c r="Q398" s="13">
        <v>389.39130434782629</v>
      </c>
      <c r="R398" s="13">
        <v>-20.058626465661657</v>
      </c>
      <c r="S398" s="13">
        <v>1238.6824324324323</v>
      </c>
      <c r="T398" s="13">
        <v>314.89698890649834</v>
      </c>
      <c r="U398" s="14">
        <v>117.16188524590191</v>
      </c>
    </row>
    <row r="399" spans="3:21" x14ac:dyDescent="0.3">
      <c r="C399" s="65">
        <v>3</v>
      </c>
      <c r="D399" s="71" t="s">
        <v>20</v>
      </c>
      <c r="E399" s="72"/>
      <c r="F399" s="21">
        <v>2.1686440677966101</v>
      </c>
      <c r="G399" s="22">
        <v>0.84222222222222198</v>
      </c>
      <c r="H399" s="22">
        <v>0.706666666666666</v>
      </c>
      <c r="I399" s="22">
        <v>1.56216666666666</v>
      </c>
      <c r="J399" s="22">
        <v>3.5716666666666601</v>
      </c>
      <c r="K399" s="22">
        <v>0.37813559322033802</v>
      </c>
      <c r="L399" s="22">
        <v>0.45433333333333298</v>
      </c>
      <c r="M399" s="23">
        <v>0.91199999999999903</v>
      </c>
      <c r="N399" s="21">
        <v>2.1468965517241299</v>
      </c>
      <c r="O399" s="22">
        <v>0.84199999999999997</v>
      </c>
      <c r="P399" s="22">
        <v>0.71699999999999997</v>
      </c>
      <c r="Q399" s="22">
        <v>1.6746666666666601</v>
      </c>
      <c r="R399" s="22">
        <v>3.5683333333333298</v>
      </c>
      <c r="S399" s="22">
        <v>0.358305084745762</v>
      </c>
      <c r="T399" s="22">
        <v>0.455666666666666</v>
      </c>
      <c r="U399" s="23">
        <v>1.00616666666666</v>
      </c>
    </row>
    <row r="400" spans="3:21" ht="15" customHeight="1" x14ac:dyDescent="0.3">
      <c r="C400" s="66"/>
      <c r="D400" s="68" t="s">
        <v>21</v>
      </c>
      <c r="E400" s="69"/>
      <c r="F400" s="24">
        <v>0.61344113479178997</v>
      </c>
      <c r="G400" s="25">
        <v>0.19688939051854801</v>
      </c>
      <c r="H400" s="25">
        <v>0.88572506393851602</v>
      </c>
      <c r="I400" s="25">
        <v>1.4950708920389699</v>
      </c>
      <c r="J400" s="25">
        <v>1.4584719934080099</v>
      </c>
      <c r="K400" s="25">
        <v>0.28808234802152799</v>
      </c>
      <c r="L400" s="25">
        <v>2.1630739443876799E-2</v>
      </c>
      <c r="M400" s="26">
        <v>1.08012159809285</v>
      </c>
      <c r="N400" s="24">
        <v>0.62468531911606795</v>
      </c>
      <c r="O400" s="25">
        <v>0.20133554082675001</v>
      </c>
      <c r="P400" s="25">
        <v>0.89894623495141901</v>
      </c>
      <c r="Q400" s="25">
        <v>1.56740918574428</v>
      </c>
      <c r="R400" s="25">
        <v>1.46371919741762</v>
      </c>
      <c r="S400" s="25">
        <v>0.26215632897491298</v>
      </c>
      <c r="T400" s="25">
        <v>2.3690129214975202E-2</v>
      </c>
      <c r="U400" s="26">
        <v>1.3121294291680501</v>
      </c>
    </row>
    <row r="401" spans="3:21" ht="15" customHeight="1" x14ac:dyDescent="0.3">
      <c r="C401" s="66"/>
      <c r="D401" s="68" t="s">
        <v>22</v>
      </c>
      <c r="E401" s="69"/>
      <c r="F401" s="33">
        <v>2.4474999999999998</v>
      </c>
      <c r="G401" s="34">
        <v>0.79</v>
      </c>
      <c r="H401" s="34">
        <v>0.185909090909091</v>
      </c>
      <c r="I401" s="34">
        <v>0.85812500000000003</v>
      </c>
      <c r="J401" s="34">
        <v>4.3891111111111103</v>
      </c>
      <c r="K401" s="34">
        <v>0.23521739130434699</v>
      </c>
      <c r="L401" s="34">
        <v>0.44999999999999901</v>
      </c>
      <c r="M401" s="35">
        <v>0.71172413793103395</v>
      </c>
      <c r="N401" s="33">
        <v>2.4495652173912998</v>
      </c>
      <c r="O401" s="34">
        <v>0.78714285714285703</v>
      </c>
      <c r="P401" s="34">
        <v>0.218</v>
      </c>
      <c r="Q401" s="34">
        <v>0.85847826086956502</v>
      </c>
      <c r="R401" s="34">
        <v>4.3891111111111103</v>
      </c>
      <c r="S401" s="34">
        <v>0.231914893617021</v>
      </c>
      <c r="T401" s="34">
        <v>0.44999999999999901</v>
      </c>
      <c r="U401" s="35">
        <v>0.70543859649122698</v>
      </c>
    </row>
    <row r="402" spans="3:21" x14ac:dyDescent="0.3">
      <c r="C402" s="66"/>
      <c r="D402" s="73" t="s">
        <v>23</v>
      </c>
      <c r="E402" s="38" t="s">
        <v>24</v>
      </c>
      <c r="F402" s="30">
        <v>3.22</v>
      </c>
      <c r="G402" s="31">
        <v>3.62</v>
      </c>
      <c r="H402" s="31">
        <v>3.44</v>
      </c>
      <c r="I402" s="31">
        <v>4.1399999999999997</v>
      </c>
      <c r="J402" s="31">
        <v>3.37</v>
      </c>
      <c r="K402" s="31">
        <v>3.24</v>
      </c>
      <c r="L402" s="31">
        <v>1.95</v>
      </c>
      <c r="M402" s="32">
        <v>1.66</v>
      </c>
      <c r="N402" s="30">
        <v>3.22</v>
      </c>
      <c r="O402" s="31">
        <v>3.62</v>
      </c>
      <c r="P402" s="31">
        <v>3.44</v>
      </c>
      <c r="Q402" s="31">
        <v>4.1399999999999997</v>
      </c>
      <c r="R402" s="31">
        <v>3.37</v>
      </c>
      <c r="S402" s="31">
        <v>3.24</v>
      </c>
      <c r="T402" s="31">
        <v>1.95</v>
      </c>
      <c r="U402" s="32">
        <v>1.66</v>
      </c>
    </row>
    <row r="403" spans="3:21" x14ac:dyDescent="0.3">
      <c r="C403" s="66"/>
      <c r="D403" s="70"/>
      <c r="E403" s="39" t="s">
        <v>25</v>
      </c>
      <c r="F403" s="15">
        <v>0.77250000000000041</v>
      </c>
      <c r="G403" s="16">
        <v>2.83</v>
      </c>
      <c r="H403" s="16">
        <v>3.2540909090909089</v>
      </c>
      <c r="I403" s="16">
        <v>3.2818749999999994</v>
      </c>
      <c r="J403" s="16">
        <v>-1.0191111111111102</v>
      </c>
      <c r="K403" s="16">
        <v>3.0047826086956531</v>
      </c>
      <c r="L403" s="16">
        <v>1.5000000000000009</v>
      </c>
      <c r="M403" s="17">
        <v>0.94827586206896597</v>
      </c>
      <c r="N403" s="15">
        <v>0.77043478260870035</v>
      </c>
      <c r="O403" s="16">
        <v>2.8328571428571432</v>
      </c>
      <c r="P403" s="16">
        <v>3.222</v>
      </c>
      <c r="Q403" s="16">
        <v>3.2815217391304348</v>
      </c>
      <c r="R403" s="16">
        <v>-1.0191111111111102</v>
      </c>
      <c r="S403" s="16">
        <v>3.0080851063829792</v>
      </c>
      <c r="T403" s="16">
        <v>1.5000000000000009</v>
      </c>
      <c r="U403" s="17">
        <v>0.95456140350877294</v>
      </c>
    </row>
    <row r="404" spans="3:21" x14ac:dyDescent="0.3">
      <c r="C404" s="66"/>
      <c r="D404" s="70"/>
      <c r="E404" s="39" t="s">
        <v>26</v>
      </c>
      <c r="F404" s="15">
        <v>31.56281920326866</v>
      </c>
      <c r="G404" s="16">
        <v>358.22784810126581</v>
      </c>
      <c r="H404" s="16">
        <v>1750.3667481662583</v>
      </c>
      <c r="I404" s="16">
        <v>382.44719592134004</v>
      </c>
      <c r="J404" s="16">
        <v>-23.219077515062512</v>
      </c>
      <c r="K404" s="16">
        <v>1277.4491682070288</v>
      </c>
      <c r="L404" s="16">
        <v>333.33333333333428</v>
      </c>
      <c r="M404" s="17">
        <v>133.23643410852731</v>
      </c>
      <c r="N404" s="15">
        <v>31.451899183528827</v>
      </c>
      <c r="O404" s="16">
        <v>359.89110707804002</v>
      </c>
      <c r="P404" s="16">
        <v>1477.9816513761468</v>
      </c>
      <c r="Q404" s="16">
        <v>382.2486705495063</v>
      </c>
      <c r="R404" s="16">
        <v>-23.219077515062512</v>
      </c>
      <c r="S404" s="16">
        <v>1297.064220183488</v>
      </c>
      <c r="T404" s="16">
        <v>333.33333333333428</v>
      </c>
      <c r="U404" s="17">
        <v>135.31459835861762</v>
      </c>
    </row>
    <row r="405" spans="3:21" x14ac:dyDescent="0.3">
      <c r="C405" s="66"/>
      <c r="D405" s="70" t="s">
        <v>27</v>
      </c>
      <c r="E405" s="40" t="s">
        <v>24</v>
      </c>
      <c r="F405" s="30">
        <v>3.12</v>
      </c>
      <c r="G405" s="31">
        <v>3.51</v>
      </c>
      <c r="H405" s="31">
        <v>3.3</v>
      </c>
      <c r="I405" s="31">
        <v>3.94</v>
      </c>
      <c r="J405" s="31">
        <v>3.23</v>
      </c>
      <c r="K405" s="31">
        <v>3.11</v>
      </c>
      <c r="L405" s="31">
        <v>1.86</v>
      </c>
      <c r="M405" s="32">
        <v>1.53</v>
      </c>
      <c r="N405" s="30">
        <v>3.12</v>
      </c>
      <c r="O405" s="31">
        <v>3.51</v>
      </c>
      <c r="P405" s="31">
        <v>3.3</v>
      </c>
      <c r="Q405" s="31">
        <v>3.94</v>
      </c>
      <c r="R405" s="31">
        <v>3.23</v>
      </c>
      <c r="S405" s="31">
        <v>3.11</v>
      </c>
      <c r="T405" s="31">
        <v>1.86</v>
      </c>
      <c r="U405" s="32">
        <v>1.53</v>
      </c>
    </row>
    <row r="406" spans="3:21" x14ac:dyDescent="0.3">
      <c r="C406" s="66"/>
      <c r="D406" s="70"/>
      <c r="E406" s="39" t="s">
        <v>25</v>
      </c>
      <c r="F406" s="15">
        <v>0.67250000000000032</v>
      </c>
      <c r="G406" s="16">
        <v>2.7199999999999998</v>
      </c>
      <c r="H406" s="16">
        <v>3.1140909090909088</v>
      </c>
      <c r="I406" s="16">
        <v>3.0818750000000001</v>
      </c>
      <c r="J406" s="16">
        <v>-1.1591111111111103</v>
      </c>
      <c r="K406" s="16">
        <v>2.8747826086956527</v>
      </c>
      <c r="L406" s="16">
        <v>1.410000000000001</v>
      </c>
      <c r="M406" s="17">
        <v>0.81827586206896608</v>
      </c>
      <c r="N406" s="15">
        <v>0.67043478260870026</v>
      </c>
      <c r="O406" s="16">
        <v>2.7228571428571429</v>
      </c>
      <c r="P406" s="16">
        <v>3.0819999999999999</v>
      </c>
      <c r="Q406" s="16">
        <v>3.081521739130435</v>
      </c>
      <c r="R406" s="16">
        <v>-1.1591111111111103</v>
      </c>
      <c r="S406" s="16">
        <v>2.8780851063829789</v>
      </c>
      <c r="T406" s="16">
        <v>1.410000000000001</v>
      </c>
      <c r="U406" s="17">
        <v>0.82456140350877305</v>
      </c>
    </row>
    <row r="407" spans="3:21" x14ac:dyDescent="0.3">
      <c r="C407" s="66"/>
      <c r="D407" s="70"/>
      <c r="E407" s="39" t="s">
        <v>26</v>
      </c>
      <c r="F407" s="15">
        <v>27.477017364657829</v>
      </c>
      <c r="G407" s="16">
        <v>344.30379746835439</v>
      </c>
      <c r="H407" s="16">
        <v>1675.0611246943756</v>
      </c>
      <c r="I407" s="16">
        <v>359.14056809905321</v>
      </c>
      <c r="J407" s="16">
        <v>-26.408789428383361</v>
      </c>
      <c r="K407" s="16">
        <v>1222.1811460258825</v>
      </c>
      <c r="L407" s="16">
        <v>313.33333333333428</v>
      </c>
      <c r="M407" s="17">
        <v>114.97093023255832</v>
      </c>
      <c r="N407" s="15">
        <v>27.369542066027929</v>
      </c>
      <c r="O407" s="16">
        <v>345.91651542649731</v>
      </c>
      <c r="P407" s="16">
        <v>1413.7614678899081</v>
      </c>
      <c r="Q407" s="16">
        <v>358.9516333248925</v>
      </c>
      <c r="R407" s="16">
        <v>-26.408789428383361</v>
      </c>
      <c r="S407" s="16">
        <v>1241.0091743119281</v>
      </c>
      <c r="T407" s="16">
        <v>313.33333333333428</v>
      </c>
      <c r="U407" s="17">
        <v>116.8863466799307</v>
      </c>
    </row>
    <row r="408" spans="3:21" x14ac:dyDescent="0.3">
      <c r="C408" s="66"/>
      <c r="D408" s="70" t="s">
        <v>28</v>
      </c>
      <c r="E408" s="40" t="s">
        <v>24</v>
      </c>
      <c r="F408" s="30">
        <v>3.05</v>
      </c>
      <c r="G408" s="31">
        <v>3.61</v>
      </c>
      <c r="H408" s="31">
        <v>3.36</v>
      </c>
      <c r="I408" s="31">
        <v>4.0199999999999996</v>
      </c>
      <c r="J408" s="31">
        <v>3.32</v>
      </c>
      <c r="K408" s="31">
        <v>3.17</v>
      </c>
      <c r="L408" s="31">
        <v>1.87</v>
      </c>
      <c r="M408" s="32">
        <v>1.57</v>
      </c>
      <c r="N408" s="30">
        <v>3.05</v>
      </c>
      <c r="O408" s="31">
        <v>3.61</v>
      </c>
      <c r="P408" s="31">
        <v>3.36</v>
      </c>
      <c r="Q408" s="31">
        <v>4.0199999999999996</v>
      </c>
      <c r="R408" s="31">
        <v>3.32</v>
      </c>
      <c r="S408" s="31">
        <v>3.17</v>
      </c>
      <c r="T408" s="31">
        <v>1.87</v>
      </c>
      <c r="U408" s="32">
        <v>1.57</v>
      </c>
    </row>
    <row r="409" spans="3:21" x14ac:dyDescent="0.3">
      <c r="C409" s="66"/>
      <c r="D409" s="70"/>
      <c r="E409" s="39" t="s">
        <v>25</v>
      </c>
      <c r="F409" s="15">
        <v>0.60250000000000004</v>
      </c>
      <c r="G409" s="16">
        <v>2.82</v>
      </c>
      <c r="H409" s="16">
        <v>3.1740909090909089</v>
      </c>
      <c r="I409" s="16">
        <v>3.1618749999999993</v>
      </c>
      <c r="J409" s="16">
        <v>-1.0691111111111105</v>
      </c>
      <c r="K409" s="16">
        <v>2.9347826086956528</v>
      </c>
      <c r="L409" s="16">
        <v>1.420000000000001</v>
      </c>
      <c r="M409" s="17">
        <v>0.85827586206896611</v>
      </c>
      <c r="N409" s="15">
        <v>0.60043478260869998</v>
      </c>
      <c r="O409" s="16">
        <v>2.822857142857143</v>
      </c>
      <c r="P409" s="16">
        <v>3.1419999999999999</v>
      </c>
      <c r="Q409" s="16">
        <v>3.1615217391304347</v>
      </c>
      <c r="R409" s="16">
        <v>-1.0691111111111105</v>
      </c>
      <c r="S409" s="16">
        <v>2.9380851063829789</v>
      </c>
      <c r="T409" s="16">
        <v>1.420000000000001</v>
      </c>
      <c r="U409" s="17">
        <v>0.86456140350877309</v>
      </c>
    </row>
    <row r="410" spans="3:21" ht="15" thickBot="1" x14ac:dyDescent="0.35">
      <c r="C410" s="67"/>
      <c r="D410" s="74"/>
      <c r="E410" s="41" t="s">
        <v>26</v>
      </c>
      <c r="F410" s="18">
        <v>24.616956077630238</v>
      </c>
      <c r="G410" s="19">
        <v>356.96202531645565</v>
      </c>
      <c r="H410" s="19">
        <v>1707.3349633251823</v>
      </c>
      <c r="I410" s="19">
        <v>368.46321922796784</v>
      </c>
      <c r="J410" s="19">
        <v>-24.358260341248535</v>
      </c>
      <c r="K410" s="19">
        <v>1247.6894639556424</v>
      </c>
      <c r="L410" s="19">
        <v>315.55555555555645</v>
      </c>
      <c r="M410" s="20">
        <v>120.59108527131801</v>
      </c>
      <c r="N410" s="18">
        <v>24.51189208377729</v>
      </c>
      <c r="O410" s="19">
        <v>358.62068965517244</v>
      </c>
      <c r="P410" s="19">
        <v>1441.2844036697247</v>
      </c>
      <c r="Q410" s="19">
        <v>368.27044821473794</v>
      </c>
      <c r="R410" s="19">
        <v>-24.358260341248535</v>
      </c>
      <c r="S410" s="19">
        <v>1266.8807339449559</v>
      </c>
      <c r="T410" s="19">
        <v>315.55555555555645</v>
      </c>
      <c r="U410" s="20">
        <v>122.55657796568053</v>
      </c>
    </row>
    <row r="413" spans="3:21" ht="15" thickBot="1" x14ac:dyDescent="0.35"/>
    <row r="414" spans="3:21" ht="15" thickBot="1" x14ac:dyDescent="0.35">
      <c r="C414" s="77" t="s">
        <v>52</v>
      </c>
      <c r="D414" s="77"/>
      <c r="E414" s="78"/>
      <c r="F414" s="79" t="s">
        <v>1</v>
      </c>
      <c r="G414" s="80"/>
      <c r="H414" s="80"/>
      <c r="I414" s="80"/>
      <c r="J414" s="80"/>
      <c r="K414" s="80"/>
      <c r="L414" s="80"/>
      <c r="M414" s="81"/>
      <c r="N414" s="75" t="s">
        <v>2</v>
      </c>
      <c r="O414" s="75"/>
      <c r="P414" s="75"/>
      <c r="Q414" s="75"/>
      <c r="R414" s="75"/>
      <c r="S414" s="75"/>
      <c r="T414" s="75"/>
      <c r="U414" s="76"/>
    </row>
    <row r="415" spans="3:21" ht="29.4" thickBot="1" x14ac:dyDescent="0.35">
      <c r="C415" s="5" t="s">
        <v>10</v>
      </c>
      <c r="D415" s="4" t="s">
        <v>11</v>
      </c>
      <c r="E415" s="3"/>
      <c r="F415" s="6" t="s">
        <v>12</v>
      </c>
      <c r="G415" s="7" t="s">
        <v>13</v>
      </c>
      <c r="H415" s="7" t="s">
        <v>14</v>
      </c>
      <c r="I415" s="7" t="s">
        <v>15</v>
      </c>
      <c r="J415" s="7" t="s">
        <v>16</v>
      </c>
      <c r="K415" s="7" t="s">
        <v>17</v>
      </c>
      <c r="L415" s="7" t="s">
        <v>18</v>
      </c>
      <c r="M415" s="8" t="s">
        <v>19</v>
      </c>
      <c r="N415" s="6" t="s">
        <v>12</v>
      </c>
      <c r="O415" s="7" t="s">
        <v>13</v>
      </c>
      <c r="P415" s="7" t="s">
        <v>14</v>
      </c>
      <c r="Q415" s="7" t="s">
        <v>15</v>
      </c>
      <c r="R415" s="7" t="s">
        <v>16</v>
      </c>
      <c r="S415" s="7" t="s">
        <v>17</v>
      </c>
      <c r="T415" s="7" t="s">
        <v>18</v>
      </c>
      <c r="U415" s="8" t="s">
        <v>19</v>
      </c>
    </row>
    <row r="416" spans="3:21" x14ac:dyDescent="0.3">
      <c r="C416" s="65">
        <v>1</v>
      </c>
      <c r="D416" s="71" t="s">
        <v>20</v>
      </c>
      <c r="E416" s="72"/>
      <c r="F416" s="21">
        <v>0.48288135593220299</v>
      </c>
      <c r="G416" s="22">
        <v>0.94070175438596504</v>
      </c>
      <c r="H416" s="22">
        <v>0.41288135593220299</v>
      </c>
      <c r="I416" s="22">
        <v>2.0379661016949102</v>
      </c>
      <c r="J416" s="22">
        <v>3.5891525423728798</v>
      </c>
      <c r="K416" s="22">
        <v>0.22050847457627101</v>
      </c>
      <c r="L416" s="22">
        <v>0.52118644067796605</v>
      </c>
      <c r="M416" s="23">
        <v>0.18694915254237199</v>
      </c>
      <c r="N416" s="21">
        <v>0.480833333333333</v>
      </c>
      <c r="O416" s="22">
        <v>0.97586206896551697</v>
      </c>
      <c r="P416" s="22">
        <v>0.41349999999999898</v>
      </c>
      <c r="Q416" s="22">
        <v>2.0759999999999899</v>
      </c>
      <c r="R416" s="22">
        <v>3.5724999999999998</v>
      </c>
      <c r="S416" s="22">
        <v>0.199333333333333</v>
      </c>
      <c r="T416" s="22">
        <v>0.51166666666666705</v>
      </c>
      <c r="U416" s="23">
        <v>0.185999999999999</v>
      </c>
    </row>
    <row r="417" spans="3:21" ht="15" customHeight="1" x14ac:dyDescent="0.3">
      <c r="C417" s="66"/>
      <c r="D417" s="68" t="s">
        <v>21</v>
      </c>
      <c r="E417" s="69"/>
      <c r="F417" s="24">
        <v>0.18362684017337899</v>
      </c>
      <c r="G417" s="25">
        <v>1.2308203791725201</v>
      </c>
      <c r="H417" s="25">
        <v>0.107009438003805</v>
      </c>
      <c r="I417" s="25">
        <v>1.5689916654681499</v>
      </c>
      <c r="J417" s="25">
        <v>2.5077731955780198</v>
      </c>
      <c r="K417" s="25">
        <v>0.15618788912025899</v>
      </c>
      <c r="L417" s="25">
        <v>0.13293409537981499</v>
      </c>
      <c r="M417" s="26">
        <v>0.32945385848728898</v>
      </c>
      <c r="N417" s="24">
        <v>0.18218389671489099</v>
      </c>
      <c r="O417" s="25">
        <v>1.2508494141330899</v>
      </c>
      <c r="P417" s="25">
        <v>0.106220289963829</v>
      </c>
      <c r="Q417" s="25">
        <v>1.6093302954956099</v>
      </c>
      <c r="R417" s="25">
        <v>2.4900747144078501</v>
      </c>
      <c r="S417" s="25">
        <v>0.132172446279682</v>
      </c>
      <c r="T417" s="25">
        <v>0.10035215770254</v>
      </c>
      <c r="U417" s="26">
        <v>0.32675781041417601</v>
      </c>
    </row>
    <row r="418" spans="3:21" ht="15" customHeight="1" x14ac:dyDescent="0.3">
      <c r="C418" s="66"/>
      <c r="D418" s="68" t="s">
        <v>22</v>
      </c>
      <c r="E418" s="69"/>
      <c r="F418" s="33">
        <v>0.47791666666666599</v>
      </c>
      <c r="G418" s="34">
        <v>0.410833333333333</v>
      </c>
      <c r="H418" s="34">
        <v>0.43679999999999902</v>
      </c>
      <c r="I418" s="34">
        <v>1.63418181818181</v>
      </c>
      <c r="J418" s="34">
        <v>2.4075000000000002</v>
      </c>
      <c r="K418" s="34">
        <v>0.155714285714285</v>
      </c>
      <c r="L418" s="34">
        <v>0.49842105263157899</v>
      </c>
      <c r="M418" s="35">
        <v>0.110714285714285</v>
      </c>
      <c r="N418" s="33">
        <v>0.47791666666666599</v>
      </c>
      <c r="O418" s="34">
        <v>0.40958333333333302</v>
      </c>
      <c r="P418" s="34">
        <v>0.437058823529411</v>
      </c>
      <c r="Q418" s="34">
        <v>1.6614285714285699</v>
      </c>
      <c r="R418" s="34">
        <v>2.4112244897959099</v>
      </c>
      <c r="S418" s="34">
        <v>0.15528301886792401</v>
      </c>
      <c r="T418" s="34">
        <v>0.52039999999999997</v>
      </c>
      <c r="U418" s="35">
        <v>0.111052631578947</v>
      </c>
    </row>
    <row r="419" spans="3:21" x14ac:dyDescent="0.3">
      <c r="C419" s="66"/>
      <c r="D419" s="73" t="s">
        <v>23</v>
      </c>
      <c r="E419" s="38" t="s">
        <v>24</v>
      </c>
      <c r="F419" s="27">
        <v>5.07</v>
      </c>
      <c r="G419" s="28">
        <v>5.65</v>
      </c>
      <c r="H419" s="28">
        <v>1.37</v>
      </c>
      <c r="I419" s="28">
        <v>3.57</v>
      </c>
      <c r="J419" s="28">
        <v>4.6500000000000004</v>
      </c>
      <c r="K419" s="28">
        <v>1.3</v>
      </c>
      <c r="L419" s="28">
        <v>4.17</v>
      </c>
      <c r="M419" s="29">
        <v>2.82</v>
      </c>
      <c r="N419" s="27">
        <v>5.07</v>
      </c>
      <c r="O419" s="28">
        <v>5.65</v>
      </c>
      <c r="P419" s="28">
        <v>1.37</v>
      </c>
      <c r="Q419" s="28">
        <v>3.57</v>
      </c>
      <c r="R419" s="28">
        <v>4.6500000000000004</v>
      </c>
      <c r="S419" s="28">
        <v>1.3</v>
      </c>
      <c r="T419" s="28">
        <v>4.17</v>
      </c>
      <c r="U419" s="29">
        <v>2.82</v>
      </c>
    </row>
    <row r="420" spans="3:21" x14ac:dyDescent="0.3">
      <c r="C420" s="66"/>
      <c r="D420" s="70"/>
      <c r="E420" s="39" t="s">
        <v>25</v>
      </c>
      <c r="F420" s="9">
        <v>4.592083333333334</v>
      </c>
      <c r="G420" s="10">
        <v>5.2391666666666676</v>
      </c>
      <c r="H420" s="10">
        <v>0.93320000000000114</v>
      </c>
      <c r="I420" s="10">
        <v>1.9358181818181899</v>
      </c>
      <c r="J420" s="10">
        <v>2.2425000000000002</v>
      </c>
      <c r="K420" s="10">
        <v>1.144285714285715</v>
      </c>
      <c r="L420" s="10">
        <v>3.6715789473684208</v>
      </c>
      <c r="M420" s="11">
        <v>2.709285714285715</v>
      </c>
      <c r="N420" s="9">
        <v>4.592083333333334</v>
      </c>
      <c r="O420" s="10">
        <v>5.2404166666666674</v>
      </c>
      <c r="P420" s="10">
        <v>0.93294117647058905</v>
      </c>
      <c r="Q420" s="10">
        <v>1.9085714285714299</v>
      </c>
      <c r="R420" s="10">
        <v>2.2387755102040905</v>
      </c>
      <c r="S420" s="10">
        <v>1.1447169811320761</v>
      </c>
      <c r="T420" s="10">
        <v>3.6496</v>
      </c>
      <c r="U420" s="11">
        <v>2.708947368421053</v>
      </c>
    </row>
    <row r="421" spans="3:21" x14ac:dyDescent="0.3">
      <c r="C421" s="66"/>
      <c r="D421" s="70"/>
      <c r="E421" s="39" t="s">
        <v>26</v>
      </c>
      <c r="F421" s="9">
        <v>960.85440278988813</v>
      </c>
      <c r="G421" s="10">
        <v>1275.2535496957416</v>
      </c>
      <c r="H421" s="10">
        <v>213.64468864468938</v>
      </c>
      <c r="I421" s="10">
        <v>118.45794392523474</v>
      </c>
      <c r="J421" s="10">
        <v>93.146417445482868</v>
      </c>
      <c r="K421" s="10">
        <v>734.86238532110474</v>
      </c>
      <c r="L421" s="10">
        <v>736.64202745512137</v>
      </c>
      <c r="M421" s="11">
        <v>2447.0967741935647</v>
      </c>
      <c r="N421" s="9">
        <v>960.85440278988813</v>
      </c>
      <c r="O421" s="10">
        <v>1279.4506612410999</v>
      </c>
      <c r="P421" s="10">
        <v>213.45895020188485</v>
      </c>
      <c r="Q421" s="10">
        <v>114.87532244196063</v>
      </c>
      <c r="R421" s="10">
        <v>92.848074481591894</v>
      </c>
      <c r="S421" s="10">
        <v>737.18104495747548</v>
      </c>
      <c r="T421" s="10">
        <v>701.30668716372031</v>
      </c>
      <c r="U421" s="11">
        <v>2439.3364928910037</v>
      </c>
    </row>
    <row r="422" spans="3:21" x14ac:dyDescent="0.3">
      <c r="C422" s="66"/>
      <c r="D422" s="70" t="s">
        <v>27</v>
      </c>
      <c r="E422" s="40" t="s">
        <v>24</v>
      </c>
      <c r="F422" s="27">
        <v>4.95</v>
      </c>
      <c r="G422" s="28">
        <v>5.51</v>
      </c>
      <c r="H422" s="28">
        <v>1.27</v>
      </c>
      <c r="I422" s="28">
        <v>3.39</v>
      </c>
      <c r="J422" s="28">
        <v>4.53</v>
      </c>
      <c r="K422" s="28">
        <v>1.21</v>
      </c>
      <c r="L422" s="28">
        <v>4.07</v>
      </c>
      <c r="M422" s="29">
        <v>2.74</v>
      </c>
      <c r="N422" s="27">
        <v>4.95</v>
      </c>
      <c r="O422" s="28">
        <v>5.51</v>
      </c>
      <c r="P422" s="28">
        <v>1.27</v>
      </c>
      <c r="Q422" s="28">
        <v>3.39</v>
      </c>
      <c r="R422" s="28">
        <v>4.53</v>
      </c>
      <c r="S422" s="28">
        <v>1.21</v>
      </c>
      <c r="T422" s="28">
        <v>4.07</v>
      </c>
      <c r="U422" s="29">
        <v>2.74</v>
      </c>
    </row>
    <row r="423" spans="3:21" x14ac:dyDescent="0.3">
      <c r="C423" s="66"/>
      <c r="D423" s="70"/>
      <c r="E423" s="39" t="s">
        <v>25</v>
      </c>
      <c r="F423" s="9">
        <v>4.4720833333333339</v>
      </c>
      <c r="G423" s="10">
        <v>5.0991666666666671</v>
      </c>
      <c r="H423" s="10">
        <v>0.83320000000000105</v>
      </c>
      <c r="I423" s="10">
        <v>1.7558181818181902</v>
      </c>
      <c r="J423" s="10">
        <v>2.1225000000000001</v>
      </c>
      <c r="K423" s="10">
        <v>1.0542857142857149</v>
      </c>
      <c r="L423" s="10">
        <v>3.5715789473684212</v>
      </c>
      <c r="M423" s="11">
        <v>2.6292857142857153</v>
      </c>
      <c r="N423" s="9">
        <v>4.4720833333333339</v>
      </c>
      <c r="O423" s="10">
        <v>5.1004166666666668</v>
      </c>
      <c r="P423" s="10">
        <v>0.83294117647058896</v>
      </c>
      <c r="Q423" s="10">
        <v>1.7285714285714302</v>
      </c>
      <c r="R423" s="10">
        <v>2.1187755102040904</v>
      </c>
      <c r="S423" s="10">
        <v>1.054716981132076</v>
      </c>
      <c r="T423" s="10">
        <v>3.5496000000000003</v>
      </c>
      <c r="U423" s="11">
        <v>2.6289473684210534</v>
      </c>
    </row>
    <row r="424" spans="3:21" x14ac:dyDescent="0.3">
      <c r="C424" s="66"/>
      <c r="D424" s="70"/>
      <c r="E424" s="39" t="s">
        <v>26</v>
      </c>
      <c r="F424" s="9">
        <v>935.74542284219842</v>
      </c>
      <c r="G424" s="10">
        <v>1241.1764705882365</v>
      </c>
      <c r="H424" s="10">
        <v>190.75091575091642</v>
      </c>
      <c r="I424" s="10">
        <v>107.44325767690358</v>
      </c>
      <c r="J424" s="10">
        <v>88.161993769470399</v>
      </c>
      <c r="K424" s="10">
        <v>677.06422018348974</v>
      </c>
      <c r="L424" s="10">
        <v>716.57866948257652</v>
      </c>
      <c r="M424" s="11">
        <v>2374.8387096774354</v>
      </c>
      <c r="N424" s="9">
        <v>935.74542284219842</v>
      </c>
      <c r="O424" s="10">
        <v>1245.2695829094619</v>
      </c>
      <c r="P424" s="10">
        <v>190.57873485868154</v>
      </c>
      <c r="Q424" s="10">
        <v>104.04127257093742</v>
      </c>
      <c r="R424" s="10">
        <v>87.871349978841124</v>
      </c>
      <c r="S424" s="10">
        <v>679.22235722965024</v>
      </c>
      <c r="T424" s="10">
        <v>682.09069946195245</v>
      </c>
      <c r="U424" s="11">
        <v>2367.298578199061</v>
      </c>
    </row>
    <row r="425" spans="3:21" x14ac:dyDescent="0.3">
      <c r="C425" s="66"/>
      <c r="D425" s="70" t="s">
        <v>28</v>
      </c>
      <c r="E425" s="40" t="s">
        <v>24</v>
      </c>
      <c r="F425" s="27">
        <v>4.93</v>
      </c>
      <c r="G425" s="28">
        <v>5.56</v>
      </c>
      <c r="H425" s="28">
        <v>1.32</v>
      </c>
      <c r="I425" s="28">
        <v>3.44</v>
      </c>
      <c r="J425" s="28">
        <v>4.59</v>
      </c>
      <c r="K425" s="28">
        <v>1.25</v>
      </c>
      <c r="L425" s="28">
        <v>4.05</v>
      </c>
      <c r="M425" s="29">
        <v>2.72</v>
      </c>
      <c r="N425" s="27">
        <v>4.93</v>
      </c>
      <c r="O425" s="28">
        <v>5.56</v>
      </c>
      <c r="P425" s="28">
        <v>1.32</v>
      </c>
      <c r="Q425" s="28">
        <v>3.44</v>
      </c>
      <c r="R425" s="28">
        <v>4.59</v>
      </c>
      <c r="S425" s="28">
        <v>1.25</v>
      </c>
      <c r="T425" s="28">
        <v>4.05</v>
      </c>
      <c r="U425" s="29">
        <v>2.72</v>
      </c>
    </row>
    <row r="426" spans="3:21" x14ac:dyDescent="0.3">
      <c r="C426" s="66"/>
      <c r="D426" s="70"/>
      <c r="E426" s="39" t="s">
        <v>25</v>
      </c>
      <c r="F426" s="9">
        <v>4.4520833333333334</v>
      </c>
      <c r="G426" s="10">
        <v>5.1491666666666669</v>
      </c>
      <c r="H426" s="10">
        <v>0.8832000000000011</v>
      </c>
      <c r="I426" s="10">
        <v>1.80581818181819</v>
      </c>
      <c r="J426" s="10">
        <v>2.1824999999999997</v>
      </c>
      <c r="K426" s="10">
        <v>1.094285714285715</v>
      </c>
      <c r="L426" s="10">
        <v>3.5515789473684207</v>
      </c>
      <c r="M426" s="11">
        <v>2.6092857142857153</v>
      </c>
      <c r="N426" s="9">
        <v>4.4520833333333334</v>
      </c>
      <c r="O426" s="10">
        <v>5.1504166666666666</v>
      </c>
      <c r="P426" s="10">
        <v>0.88294117647058901</v>
      </c>
      <c r="Q426" s="10">
        <v>1.77857142857143</v>
      </c>
      <c r="R426" s="10">
        <v>2.17877551020409</v>
      </c>
      <c r="S426" s="10">
        <v>1.0947169811320761</v>
      </c>
      <c r="T426" s="10">
        <v>3.5295999999999998</v>
      </c>
      <c r="U426" s="11">
        <v>2.6089473684210533</v>
      </c>
    </row>
    <row r="427" spans="3:21" ht="15" thickBot="1" x14ac:dyDescent="0.35">
      <c r="C427" s="66"/>
      <c r="D427" s="74"/>
      <c r="E427" s="41" t="s">
        <v>26</v>
      </c>
      <c r="F427" s="12">
        <v>931.56059285091681</v>
      </c>
      <c r="G427" s="13">
        <v>1253.346855983774</v>
      </c>
      <c r="H427" s="13">
        <v>202.1978021978029</v>
      </c>
      <c r="I427" s="13">
        <v>110.50289274588445</v>
      </c>
      <c r="J427" s="13">
        <v>90.654205607476612</v>
      </c>
      <c r="K427" s="13">
        <v>702.75229357798526</v>
      </c>
      <c r="L427" s="13">
        <v>712.5659978880675</v>
      </c>
      <c r="M427" s="14">
        <v>2356.7741935484032</v>
      </c>
      <c r="N427" s="12">
        <v>931.56059285091681</v>
      </c>
      <c r="O427" s="13">
        <v>1257.4771108850466</v>
      </c>
      <c r="P427" s="13">
        <v>202.01884253028317</v>
      </c>
      <c r="Q427" s="13">
        <v>107.05073086844385</v>
      </c>
      <c r="R427" s="13">
        <v>90.359712230216488</v>
      </c>
      <c r="S427" s="13">
        <v>704.98177399757265</v>
      </c>
      <c r="T427" s="13">
        <v>678.24750192159877</v>
      </c>
      <c r="U427" s="14">
        <v>2349.2890995260746</v>
      </c>
    </row>
    <row r="428" spans="3:21" x14ac:dyDescent="0.3">
      <c r="C428" s="65">
        <v>2</v>
      </c>
      <c r="D428" s="71" t="s">
        <v>20</v>
      </c>
      <c r="E428" s="72"/>
      <c r="F428" s="21">
        <v>0.47271186440677898</v>
      </c>
      <c r="G428" s="22">
        <v>1.5235087719298199</v>
      </c>
      <c r="H428" s="22">
        <v>0.44050847457627001</v>
      </c>
      <c r="I428" s="22">
        <v>1.9930508474576201</v>
      </c>
      <c r="J428" s="22">
        <v>3.95338983050847</v>
      </c>
      <c r="K428" s="22">
        <v>0.195762711864406</v>
      </c>
      <c r="L428" s="22">
        <v>0.500169491525424</v>
      </c>
      <c r="M428" s="23">
        <v>0.21203389830508401</v>
      </c>
      <c r="N428" s="21">
        <v>0.47449999999999998</v>
      </c>
      <c r="O428" s="22">
        <v>1.50293103448275</v>
      </c>
      <c r="P428" s="22">
        <v>0.44783333333333197</v>
      </c>
      <c r="Q428" s="22">
        <v>1.9893333333333301</v>
      </c>
      <c r="R428" s="22">
        <v>4.0415000000000001</v>
      </c>
      <c r="S428" s="22">
        <v>0.197333333333333</v>
      </c>
      <c r="T428" s="22">
        <v>0.50066666666666604</v>
      </c>
      <c r="U428" s="23">
        <v>0.21033333333333301</v>
      </c>
    </row>
    <row r="429" spans="3:21" ht="15" customHeight="1" x14ac:dyDescent="0.3">
      <c r="C429" s="66"/>
      <c r="D429" s="68" t="s">
        <v>21</v>
      </c>
      <c r="E429" s="69"/>
      <c r="F429" s="24">
        <v>0.18657329643864201</v>
      </c>
      <c r="G429" s="25">
        <v>1.5873618091288899</v>
      </c>
      <c r="H429" s="25">
        <v>9.1121519325095504E-2</v>
      </c>
      <c r="I429" s="25">
        <v>1.5850159109903199</v>
      </c>
      <c r="J429" s="25">
        <v>2.6150059857788599</v>
      </c>
      <c r="K429" s="25">
        <v>0.109222264288809</v>
      </c>
      <c r="L429" s="25">
        <v>5.1337749200386501E-2</v>
      </c>
      <c r="M429" s="26">
        <v>0.37706619326736501</v>
      </c>
      <c r="N429" s="24">
        <v>0.182468490430539</v>
      </c>
      <c r="O429" s="25">
        <v>1.5812293434613001</v>
      </c>
      <c r="P429" s="25">
        <v>7.6856829379191902E-2</v>
      </c>
      <c r="Q429" s="25">
        <v>1.57333389830498</v>
      </c>
      <c r="R429" s="25">
        <v>2.6799862095416298</v>
      </c>
      <c r="S429" s="25">
        <v>0.11007371267574299</v>
      </c>
      <c r="T429" s="25">
        <v>5.1051172584204302E-2</v>
      </c>
      <c r="U429" s="26">
        <v>0.37413886310952599</v>
      </c>
    </row>
    <row r="430" spans="3:21" ht="15" customHeight="1" x14ac:dyDescent="0.3">
      <c r="C430" s="66"/>
      <c r="D430" s="68" t="s">
        <v>22</v>
      </c>
      <c r="E430" s="69"/>
      <c r="F430" s="33">
        <v>0.47260869565217301</v>
      </c>
      <c r="G430" s="34">
        <v>0.40736842105263099</v>
      </c>
      <c r="H430" s="34">
        <v>0.45690909090908999</v>
      </c>
      <c r="I430" s="34">
        <v>1.5860000000000001</v>
      </c>
      <c r="J430" s="34">
        <v>2.4722727272727201</v>
      </c>
      <c r="K430" s="34">
        <v>0.15040816326530601</v>
      </c>
      <c r="L430" s="34">
        <v>0.51745098039215698</v>
      </c>
      <c r="M430" s="35">
        <v>0.110363636363636</v>
      </c>
      <c r="N430" s="33">
        <v>0.46999999999999897</v>
      </c>
      <c r="O430" s="34">
        <v>0.40538461538461501</v>
      </c>
      <c r="P430" s="34">
        <v>0.447599999999999</v>
      </c>
      <c r="Q430" s="34">
        <v>1.58928571428571</v>
      </c>
      <c r="R430" s="34">
        <v>2.7434042553191502</v>
      </c>
      <c r="S430" s="34">
        <v>0.14959183673469401</v>
      </c>
      <c r="T430" s="34">
        <v>0.51769230769230701</v>
      </c>
      <c r="U430" s="35">
        <v>0.110357142857142</v>
      </c>
    </row>
    <row r="431" spans="3:21" x14ac:dyDescent="0.3">
      <c r="C431" s="66"/>
      <c r="D431" s="73" t="s">
        <v>23</v>
      </c>
      <c r="E431" s="38" t="s">
        <v>24</v>
      </c>
      <c r="F431" s="27">
        <v>5.07</v>
      </c>
      <c r="G431" s="28">
        <v>5.65</v>
      </c>
      <c r="H431" s="28">
        <v>1.37</v>
      </c>
      <c r="I431" s="28">
        <v>3.57</v>
      </c>
      <c r="J431" s="28">
        <v>4.6500000000000004</v>
      </c>
      <c r="K431" s="28">
        <v>1.3</v>
      </c>
      <c r="L431" s="28">
        <v>4.17</v>
      </c>
      <c r="M431" s="29">
        <v>2.82</v>
      </c>
      <c r="N431" s="27">
        <v>5.07</v>
      </c>
      <c r="O431" s="28">
        <v>5.65</v>
      </c>
      <c r="P431" s="28">
        <v>1.37</v>
      </c>
      <c r="Q431" s="28">
        <v>3.57</v>
      </c>
      <c r="R431" s="28">
        <v>4.6500000000000004</v>
      </c>
      <c r="S431" s="28">
        <v>1.3</v>
      </c>
      <c r="T431" s="28">
        <v>4.17</v>
      </c>
      <c r="U431" s="29">
        <v>2.82</v>
      </c>
    </row>
    <row r="432" spans="3:21" x14ac:dyDescent="0.3">
      <c r="C432" s="66"/>
      <c r="D432" s="70"/>
      <c r="E432" s="39" t="s">
        <v>25</v>
      </c>
      <c r="F432" s="9">
        <v>4.5973913043478269</v>
      </c>
      <c r="G432" s="10">
        <v>5.2426315789473694</v>
      </c>
      <c r="H432" s="10">
        <v>0.91309090909091006</v>
      </c>
      <c r="I432" s="10">
        <v>1.9839999999999998</v>
      </c>
      <c r="J432" s="10">
        <v>2.1777272727272803</v>
      </c>
      <c r="K432" s="10">
        <v>1.149591836734694</v>
      </c>
      <c r="L432" s="10">
        <v>3.652549019607843</v>
      </c>
      <c r="M432" s="11">
        <v>2.7096363636363638</v>
      </c>
      <c r="N432" s="9">
        <v>4.6000000000000014</v>
      </c>
      <c r="O432" s="10">
        <v>5.2446153846153853</v>
      </c>
      <c r="P432" s="10">
        <v>0.92240000000000111</v>
      </c>
      <c r="Q432" s="10">
        <v>1.9807142857142899</v>
      </c>
      <c r="R432" s="10">
        <v>1.9065957446808501</v>
      </c>
      <c r="S432" s="10">
        <v>1.150408163265306</v>
      </c>
      <c r="T432" s="10">
        <v>3.6523076923076929</v>
      </c>
      <c r="U432" s="11">
        <v>2.7096428571428577</v>
      </c>
    </row>
    <row r="433" spans="3:21" x14ac:dyDescent="0.3">
      <c r="C433" s="66"/>
      <c r="D433" s="70"/>
      <c r="E433" s="39" t="s">
        <v>26</v>
      </c>
      <c r="F433" s="9">
        <v>972.76908923643259</v>
      </c>
      <c r="G433" s="10">
        <v>1286.9509043927669</v>
      </c>
      <c r="H433" s="10">
        <v>199.84082769598152</v>
      </c>
      <c r="I433" s="10">
        <v>125.09457755359392</v>
      </c>
      <c r="J433" s="10">
        <v>88.086045228902933</v>
      </c>
      <c r="K433" s="10">
        <v>764.31478968792464</v>
      </c>
      <c r="L433" s="10">
        <v>705.87343690791954</v>
      </c>
      <c r="M433" s="11">
        <v>2455.1894563426772</v>
      </c>
      <c r="N433" s="9">
        <v>978.72340425532161</v>
      </c>
      <c r="O433" s="10">
        <v>1293.7381404174587</v>
      </c>
      <c r="P433" s="10">
        <v>206.07685433422768</v>
      </c>
      <c r="Q433" s="10">
        <v>124.62921348314666</v>
      </c>
      <c r="R433" s="10">
        <v>69.49744067007903</v>
      </c>
      <c r="S433" s="10">
        <v>769.0313778990444</v>
      </c>
      <c r="T433" s="10">
        <v>705.49777117384951</v>
      </c>
      <c r="U433" s="11">
        <v>2455.3398058252624</v>
      </c>
    </row>
    <row r="434" spans="3:21" x14ac:dyDescent="0.3">
      <c r="C434" s="66"/>
      <c r="D434" s="70" t="s">
        <v>27</v>
      </c>
      <c r="E434" s="40" t="s">
        <v>24</v>
      </c>
      <c r="F434" s="27">
        <v>4.95</v>
      </c>
      <c r="G434" s="28">
        <v>5.51</v>
      </c>
      <c r="H434" s="28">
        <v>1.27</v>
      </c>
      <c r="I434" s="28">
        <v>3.39</v>
      </c>
      <c r="J434" s="28">
        <v>4.53</v>
      </c>
      <c r="K434" s="28">
        <v>1.21</v>
      </c>
      <c r="L434" s="28">
        <v>4.07</v>
      </c>
      <c r="M434" s="29">
        <v>2.74</v>
      </c>
      <c r="N434" s="27">
        <v>4.95</v>
      </c>
      <c r="O434" s="28">
        <v>5.51</v>
      </c>
      <c r="P434" s="28">
        <v>1.27</v>
      </c>
      <c r="Q434" s="28">
        <v>3.39</v>
      </c>
      <c r="R434" s="28">
        <v>4.53</v>
      </c>
      <c r="S434" s="28">
        <v>1.21</v>
      </c>
      <c r="T434" s="28">
        <v>4.07</v>
      </c>
      <c r="U434" s="29">
        <v>2.74</v>
      </c>
    </row>
    <row r="435" spans="3:21" x14ac:dyDescent="0.3">
      <c r="C435" s="66"/>
      <c r="D435" s="70"/>
      <c r="E435" s="39" t="s">
        <v>25</v>
      </c>
      <c r="F435" s="9">
        <v>4.4773913043478268</v>
      </c>
      <c r="G435" s="10">
        <v>5.1026315789473689</v>
      </c>
      <c r="H435" s="10">
        <v>0.81309090909090997</v>
      </c>
      <c r="I435" s="10">
        <v>1.804</v>
      </c>
      <c r="J435" s="10">
        <v>2.0577272727272802</v>
      </c>
      <c r="K435" s="10">
        <v>1.0595918367346939</v>
      </c>
      <c r="L435" s="10">
        <v>3.5525490196078433</v>
      </c>
      <c r="M435" s="11">
        <v>2.6296363636363642</v>
      </c>
      <c r="N435" s="9">
        <v>4.4800000000000013</v>
      </c>
      <c r="O435" s="10">
        <v>5.1046153846153848</v>
      </c>
      <c r="P435" s="10">
        <v>0.82240000000000102</v>
      </c>
      <c r="Q435" s="10">
        <v>1.8007142857142902</v>
      </c>
      <c r="R435" s="10">
        <v>1.78659574468085</v>
      </c>
      <c r="S435" s="10">
        <v>1.060408163265306</v>
      </c>
      <c r="T435" s="10">
        <v>3.5523076923076933</v>
      </c>
      <c r="U435" s="11">
        <v>2.6296428571428581</v>
      </c>
    </row>
    <row r="436" spans="3:21" x14ac:dyDescent="0.3">
      <c r="C436" s="66"/>
      <c r="D436" s="70"/>
      <c r="E436" s="39" t="s">
        <v>26</v>
      </c>
      <c r="F436" s="9">
        <v>947.37810487580703</v>
      </c>
      <c r="G436" s="10">
        <v>1252.5839793281673</v>
      </c>
      <c r="H436" s="10">
        <v>177.95463589335512</v>
      </c>
      <c r="I436" s="10">
        <v>113.74527112232029</v>
      </c>
      <c r="J436" s="10">
        <v>83.232211803640922</v>
      </c>
      <c r="K436" s="10">
        <v>704.47761194029908</v>
      </c>
      <c r="L436" s="10">
        <v>686.54793482379682</v>
      </c>
      <c r="M436" s="11">
        <v>2382.7018121911124</v>
      </c>
      <c r="N436" s="9">
        <v>953.19148936170461</v>
      </c>
      <c r="O436" s="10">
        <v>1259.2030360531321</v>
      </c>
      <c r="P436" s="10">
        <v>183.73547810545193</v>
      </c>
      <c r="Q436" s="10">
        <v>113.30337078651745</v>
      </c>
      <c r="R436" s="10">
        <v>65.123313168915715</v>
      </c>
      <c r="S436" s="10">
        <v>708.86766712141809</v>
      </c>
      <c r="T436" s="10">
        <v>686.18127786032801</v>
      </c>
      <c r="U436" s="11">
        <v>2382.8478964401488</v>
      </c>
    </row>
    <row r="437" spans="3:21" x14ac:dyDescent="0.3">
      <c r="C437" s="66"/>
      <c r="D437" s="70" t="s">
        <v>28</v>
      </c>
      <c r="E437" s="40" t="s">
        <v>24</v>
      </c>
      <c r="F437" s="27">
        <v>4.93</v>
      </c>
      <c r="G437" s="28">
        <v>5.56</v>
      </c>
      <c r="H437" s="28">
        <v>1.32</v>
      </c>
      <c r="I437" s="28">
        <v>3.44</v>
      </c>
      <c r="J437" s="28">
        <v>4.59</v>
      </c>
      <c r="K437" s="28">
        <v>1.25</v>
      </c>
      <c r="L437" s="28">
        <v>4.05</v>
      </c>
      <c r="M437" s="29">
        <v>2.72</v>
      </c>
      <c r="N437" s="27">
        <v>4.93</v>
      </c>
      <c r="O437" s="28">
        <v>5.56</v>
      </c>
      <c r="P437" s="28">
        <v>1.32</v>
      </c>
      <c r="Q437" s="28">
        <v>3.44</v>
      </c>
      <c r="R437" s="28">
        <v>4.59</v>
      </c>
      <c r="S437" s="28">
        <v>1.25</v>
      </c>
      <c r="T437" s="28">
        <v>4.05</v>
      </c>
      <c r="U437" s="29">
        <v>2.72</v>
      </c>
    </row>
    <row r="438" spans="3:21" x14ac:dyDescent="0.3">
      <c r="C438" s="66"/>
      <c r="D438" s="70"/>
      <c r="E438" s="39" t="s">
        <v>25</v>
      </c>
      <c r="F438" s="9">
        <v>4.4573913043478264</v>
      </c>
      <c r="G438" s="10">
        <v>5.1526315789473687</v>
      </c>
      <c r="H438" s="10">
        <v>0.86309090909091002</v>
      </c>
      <c r="I438" s="10">
        <v>1.8539999999999999</v>
      </c>
      <c r="J438" s="10">
        <v>2.1177272727272798</v>
      </c>
      <c r="K438" s="10">
        <v>1.099591836734694</v>
      </c>
      <c r="L438" s="10">
        <v>3.5325490196078428</v>
      </c>
      <c r="M438" s="11">
        <v>2.6096363636363642</v>
      </c>
      <c r="N438" s="9">
        <v>4.4600000000000009</v>
      </c>
      <c r="O438" s="10">
        <v>5.1546153846153846</v>
      </c>
      <c r="P438" s="10">
        <v>0.87240000000000106</v>
      </c>
      <c r="Q438" s="10">
        <v>1.85071428571429</v>
      </c>
      <c r="R438" s="10">
        <v>1.8465957446808496</v>
      </c>
      <c r="S438" s="10">
        <v>1.100408163265306</v>
      </c>
      <c r="T438" s="10">
        <v>3.5323076923076928</v>
      </c>
      <c r="U438" s="11">
        <v>2.609642857142858</v>
      </c>
    </row>
    <row r="439" spans="3:21" ht="15" thickBot="1" x14ac:dyDescent="0.35">
      <c r="C439" s="66"/>
      <c r="D439" s="74"/>
      <c r="E439" s="41" t="s">
        <v>26</v>
      </c>
      <c r="F439" s="12">
        <v>943.14627414903589</v>
      </c>
      <c r="G439" s="13">
        <v>1264.8578811369528</v>
      </c>
      <c r="H439" s="13">
        <v>188.89773179466832</v>
      </c>
      <c r="I439" s="13">
        <v>116.89785624211852</v>
      </c>
      <c r="J439" s="13">
        <v>85.659128516271906</v>
      </c>
      <c r="K439" s="13">
        <v>731.071913161466</v>
      </c>
      <c r="L439" s="13">
        <v>682.68283440697212</v>
      </c>
      <c r="M439" s="14">
        <v>2364.5799011532208</v>
      </c>
      <c r="N439" s="12">
        <v>948.93617021276827</v>
      </c>
      <c r="O439" s="13">
        <v>1271.5370018975343</v>
      </c>
      <c r="P439" s="13">
        <v>194.9061662198398</v>
      </c>
      <c r="Q439" s="13">
        <v>116.44943820224778</v>
      </c>
      <c r="R439" s="13">
        <v>67.310376919497358</v>
      </c>
      <c r="S439" s="13">
        <v>735.60709413369636</v>
      </c>
      <c r="T439" s="13">
        <v>682.31797919762357</v>
      </c>
      <c r="U439" s="14">
        <v>2364.7249190938701</v>
      </c>
    </row>
    <row r="440" spans="3:21" x14ac:dyDescent="0.3">
      <c r="C440" s="65">
        <v>3</v>
      </c>
      <c r="D440" s="71" t="s">
        <v>20</v>
      </c>
      <c r="E440" s="72"/>
      <c r="F440" s="21">
        <v>0.456610169491525</v>
      </c>
      <c r="G440" s="22">
        <v>1.21362068965517</v>
      </c>
      <c r="H440" s="22">
        <v>0.44283333333333302</v>
      </c>
      <c r="I440" s="22">
        <v>1.873</v>
      </c>
      <c r="J440" s="22">
        <v>3.90766666666666</v>
      </c>
      <c r="K440" s="22">
        <v>0.19166666666666601</v>
      </c>
      <c r="L440" s="22">
        <v>0.50866666666666704</v>
      </c>
      <c r="M440" s="23">
        <v>0.136333333333333</v>
      </c>
      <c r="N440" s="21">
        <v>0.45271186440677902</v>
      </c>
      <c r="O440" s="22">
        <v>1.26827586206896</v>
      </c>
      <c r="P440" s="22">
        <v>0.437999999999999</v>
      </c>
      <c r="Q440" s="22">
        <v>1.8536666666666599</v>
      </c>
      <c r="R440" s="22">
        <v>4.1496666666666604</v>
      </c>
      <c r="S440" s="22">
        <v>0.21133333333333301</v>
      </c>
      <c r="T440" s="22">
        <v>0.51300000000000001</v>
      </c>
      <c r="U440" s="23">
        <v>0.16066666666666601</v>
      </c>
    </row>
    <row r="441" spans="3:21" ht="15" customHeight="1" x14ac:dyDescent="0.3">
      <c r="C441" s="66"/>
      <c r="D441" s="68" t="s">
        <v>21</v>
      </c>
      <c r="E441" s="69"/>
      <c r="F441" s="24">
        <v>0.12665996343461999</v>
      </c>
      <c r="G441" s="25">
        <v>1.4473741959217701</v>
      </c>
      <c r="H441" s="25">
        <v>5.8397821496658203E-2</v>
      </c>
      <c r="I441" s="25">
        <v>1.09929416748505</v>
      </c>
      <c r="J441" s="25">
        <v>2.73088103406615</v>
      </c>
      <c r="K441" s="25">
        <v>0.108829632402617</v>
      </c>
      <c r="L441" s="25">
        <v>0.103012404862499</v>
      </c>
      <c r="M441" s="26">
        <v>0.192024014701865</v>
      </c>
      <c r="N441" s="24">
        <v>0.12906220427026699</v>
      </c>
      <c r="O441" s="25">
        <v>1.47483270580327</v>
      </c>
      <c r="P441" s="25">
        <v>7.5538069872085098E-2</v>
      </c>
      <c r="Q441" s="25">
        <v>1.1089829675077101</v>
      </c>
      <c r="R441" s="25">
        <v>2.8654272320584599</v>
      </c>
      <c r="S441" s="25">
        <v>0.134690591934089</v>
      </c>
      <c r="T441" s="25">
        <v>0.105944954260848</v>
      </c>
      <c r="U441" s="26">
        <v>0.26923265445005401</v>
      </c>
    </row>
    <row r="442" spans="3:21" ht="15" customHeight="1" x14ac:dyDescent="0.3">
      <c r="C442" s="66"/>
      <c r="D442" s="68" t="s">
        <v>22</v>
      </c>
      <c r="E442" s="69"/>
      <c r="F442" s="33">
        <v>0.46921568627450899</v>
      </c>
      <c r="G442" s="34">
        <v>0.40636363636363598</v>
      </c>
      <c r="H442" s="34">
        <v>0.43981132075471602</v>
      </c>
      <c r="I442" s="34">
        <v>1.7566666666666599</v>
      </c>
      <c r="J442" s="34">
        <v>2.4562222222222201</v>
      </c>
      <c r="K442" s="34">
        <v>0.14760000000000001</v>
      </c>
      <c r="L442" s="34">
        <v>0.52489361702127602</v>
      </c>
      <c r="M442" s="35">
        <v>0.111355932203389</v>
      </c>
      <c r="N442" s="33">
        <v>0.46919999999999901</v>
      </c>
      <c r="O442" s="34">
        <v>0.40674418604651102</v>
      </c>
      <c r="P442" s="34">
        <v>0.439411764705882</v>
      </c>
      <c r="Q442" s="34">
        <v>1.7541509433962199</v>
      </c>
      <c r="R442" s="34">
        <v>2.5747727272727201</v>
      </c>
      <c r="S442" s="34">
        <v>0.15840000000000001</v>
      </c>
      <c r="T442" s="34">
        <v>0.52319148936170201</v>
      </c>
      <c r="U442" s="35">
        <v>0.110689655172413</v>
      </c>
    </row>
    <row r="443" spans="3:21" x14ac:dyDescent="0.3">
      <c r="C443" s="66"/>
      <c r="D443" s="73" t="s">
        <v>23</v>
      </c>
      <c r="E443" s="38" t="s">
        <v>24</v>
      </c>
      <c r="F443" s="30">
        <v>5.07</v>
      </c>
      <c r="G443" s="31">
        <v>5.65</v>
      </c>
      <c r="H443" s="31">
        <v>1.37</v>
      </c>
      <c r="I443" s="31">
        <v>3.57</v>
      </c>
      <c r="J443" s="31">
        <v>4.6500000000000004</v>
      </c>
      <c r="K443" s="31">
        <v>1.3</v>
      </c>
      <c r="L443" s="31">
        <v>4.17</v>
      </c>
      <c r="M443" s="32">
        <v>2.82</v>
      </c>
      <c r="N443" s="30">
        <v>5.07</v>
      </c>
      <c r="O443" s="31">
        <v>5.65</v>
      </c>
      <c r="P443" s="31">
        <v>1.37</v>
      </c>
      <c r="Q443" s="31">
        <v>3.57</v>
      </c>
      <c r="R443" s="31">
        <v>4.6500000000000004</v>
      </c>
      <c r="S443" s="31">
        <v>1.3</v>
      </c>
      <c r="T443" s="31">
        <v>4.17</v>
      </c>
      <c r="U443" s="32">
        <v>2.82</v>
      </c>
    </row>
    <row r="444" spans="3:21" x14ac:dyDescent="0.3">
      <c r="C444" s="66"/>
      <c r="D444" s="70"/>
      <c r="E444" s="39" t="s">
        <v>25</v>
      </c>
      <c r="F444" s="15">
        <v>4.6007843137254909</v>
      </c>
      <c r="G444" s="16">
        <v>5.2436363636363641</v>
      </c>
      <c r="H444" s="16">
        <v>0.93018867924528403</v>
      </c>
      <c r="I444" s="16">
        <v>1.8133333333333399</v>
      </c>
      <c r="J444" s="16">
        <v>2.1937777777777803</v>
      </c>
      <c r="K444" s="16">
        <v>1.1524000000000001</v>
      </c>
      <c r="L444" s="16">
        <v>3.645106382978724</v>
      </c>
      <c r="M444" s="17">
        <v>2.708644067796611</v>
      </c>
      <c r="N444" s="15">
        <v>4.6008000000000013</v>
      </c>
      <c r="O444" s="16">
        <v>5.2432558139534891</v>
      </c>
      <c r="P444" s="16">
        <v>0.93058823529411816</v>
      </c>
      <c r="Q444" s="16">
        <v>1.8158490566037799</v>
      </c>
      <c r="R444" s="16">
        <v>2.0752272727272802</v>
      </c>
      <c r="S444" s="16">
        <v>1.1415999999999999</v>
      </c>
      <c r="T444" s="16">
        <v>3.6468085106382979</v>
      </c>
      <c r="U444" s="17">
        <v>2.7093103448275868</v>
      </c>
    </row>
    <row r="445" spans="3:21" x14ac:dyDescent="0.3">
      <c r="C445" s="66"/>
      <c r="D445" s="70"/>
      <c r="E445" s="39" t="s">
        <v>26</v>
      </c>
      <c r="F445" s="15">
        <v>980.52653572921201</v>
      </c>
      <c r="G445" s="16">
        <v>1290.3803131991065</v>
      </c>
      <c r="H445" s="16">
        <v>211.49721149721219</v>
      </c>
      <c r="I445" s="16">
        <v>103.22580645161368</v>
      </c>
      <c r="J445" s="16">
        <v>89.315118067493174</v>
      </c>
      <c r="K445" s="16">
        <v>780.7588075880758</v>
      </c>
      <c r="L445" s="16">
        <v>694.44669639238032</v>
      </c>
      <c r="M445" s="17">
        <v>2432.4200913242198</v>
      </c>
      <c r="N445" s="15">
        <v>980.56265984654965</v>
      </c>
      <c r="O445" s="16">
        <v>1289.0794739851365</v>
      </c>
      <c r="P445" s="16">
        <v>211.78045515394942</v>
      </c>
      <c r="Q445" s="16">
        <v>103.51726363343087</v>
      </c>
      <c r="R445" s="16">
        <v>80.598464118634112</v>
      </c>
      <c r="S445" s="16">
        <v>720.70707070707056</v>
      </c>
      <c r="T445" s="16">
        <v>697.03131354209052</v>
      </c>
      <c r="U445" s="17">
        <v>2447.6635514018872</v>
      </c>
    </row>
    <row r="446" spans="3:21" x14ac:dyDescent="0.3">
      <c r="C446" s="66"/>
      <c r="D446" s="70" t="s">
        <v>27</v>
      </c>
      <c r="E446" s="40" t="s">
        <v>24</v>
      </c>
      <c r="F446" s="30">
        <v>4.95</v>
      </c>
      <c r="G446" s="31">
        <v>5.51</v>
      </c>
      <c r="H446" s="31">
        <v>1.27</v>
      </c>
      <c r="I446" s="31">
        <v>3.39</v>
      </c>
      <c r="J446" s="31">
        <v>4.53</v>
      </c>
      <c r="K446" s="31">
        <v>1.21</v>
      </c>
      <c r="L446" s="31">
        <v>4.07</v>
      </c>
      <c r="M446" s="32">
        <v>2.74</v>
      </c>
      <c r="N446" s="30">
        <v>4.95</v>
      </c>
      <c r="O446" s="31">
        <v>5.51</v>
      </c>
      <c r="P446" s="31">
        <v>1.27</v>
      </c>
      <c r="Q446" s="31">
        <v>3.39</v>
      </c>
      <c r="R446" s="31">
        <v>4.53</v>
      </c>
      <c r="S446" s="31">
        <v>1.21</v>
      </c>
      <c r="T446" s="31">
        <v>4.07</v>
      </c>
      <c r="U446" s="32">
        <v>2.74</v>
      </c>
    </row>
    <row r="447" spans="3:21" x14ac:dyDescent="0.3">
      <c r="C447" s="66"/>
      <c r="D447" s="70"/>
      <c r="E447" s="39" t="s">
        <v>25</v>
      </c>
      <c r="F447" s="15">
        <v>4.4807843137254908</v>
      </c>
      <c r="G447" s="16">
        <v>5.1036363636363635</v>
      </c>
      <c r="H447" s="16">
        <v>0.83018867924528394</v>
      </c>
      <c r="I447" s="16">
        <v>1.6333333333333402</v>
      </c>
      <c r="J447" s="16">
        <v>2.0737777777777802</v>
      </c>
      <c r="K447" s="16">
        <v>1.0624</v>
      </c>
      <c r="L447" s="16">
        <v>3.5451063829787244</v>
      </c>
      <c r="M447" s="17">
        <v>2.6286440677966114</v>
      </c>
      <c r="N447" s="15">
        <v>4.4808000000000012</v>
      </c>
      <c r="O447" s="16">
        <v>5.1032558139534885</v>
      </c>
      <c r="P447" s="16">
        <v>0.83058823529411807</v>
      </c>
      <c r="Q447" s="16">
        <v>1.6358490566037802</v>
      </c>
      <c r="R447" s="16">
        <v>1.9552272727272801</v>
      </c>
      <c r="S447" s="16">
        <v>1.0515999999999999</v>
      </c>
      <c r="T447" s="16">
        <v>3.5468085106382983</v>
      </c>
      <c r="U447" s="17">
        <v>2.6293103448275872</v>
      </c>
    </row>
    <row r="448" spans="3:21" x14ac:dyDescent="0.3">
      <c r="C448" s="66"/>
      <c r="D448" s="70"/>
      <c r="E448" s="39" t="s">
        <v>26</v>
      </c>
      <c r="F448" s="15">
        <v>954.95194316757386</v>
      </c>
      <c r="G448" s="16">
        <v>1255.9284116331107</v>
      </c>
      <c r="H448" s="16">
        <v>188.76018876018938</v>
      </c>
      <c r="I448" s="16">
        <v>92.979127134725601</v>
      </c>
      <c r="J448" s="16">
        <v>84.429566633493337</v>
      </c>
      <c r="K448" s="16">
        <v>719.78319783197833</v>
      </c>
      <c r="L448" s="16">
        <v>675.39521686258706</v>
      </c>
      <c r="M448" s="17">
        <v>2360.5783866058027</v>
      </c>
      <c r="N448" s="15">
        <v>954.98721227621706</v>
      </c>
      <c r="O448" s="16">
        <v>1254.6598056032037</v>
      </c>
      <c r="P448" s="16">
        <v>189.02275769745674</v>
      </c>
      <c r="Q448" s="16">
        <v>93.255888996451191</v>
      </c>
      <c r="R448" s="16">
        <v>75.93785859299193</v>
      </c>
      <c r="S448" s="16">
        <v>663.8888888888888</v>
      </c>
      <c r="T448" s="16">
        <v>677.91785278568545</v>
      </c>
      <c r="U448" s="17">
        <v>2375.3894080997065</v>
      </c>
    </row>
    <row r="449" spans="3:21" x14ac:dyDescent="0.3">
      <c r="C449" s="66"/>
      <c r="D449" s="70" t="s">
        <v>28</v>
      </c>
      <c r="E449" s="40" t="s">
        <v>24</v>
      </c>
      <c r="F449" s="30">
        <v>4.93</v>
      </c>
      <c r="G449" s="31">
        <v>5.56</v>
      </c>
      <c r="H449" s="31">
        <v>1.32</v>
      </c>
      <c r="I449" s="31">
        <v>3.44</v>
      </c>
      <c r="J449" s="31">
        <v>4.59</v>
      </c>
      <c r="K449" s="31">
        <v>1.25</v>
      </c>
      <c r="L449" s="31">
        <v>4.05</v>
      </c>
      <c r="M449" s="32">
        <v>2.72</v>
      </c>
      <c r="N449" s="30">
        <v>4.93</v>
      </c>
      <c r="O449" s="31">
        <v>5.56</v>
      </c>
      <c r="P449" s="31">
        <v>1.32</v>
      </c>
      <c r="Q449" s="31">
        <v>3.44</v>
      </c>
      <c r="R449" s="31">
        <v>4.59</v>
      </c>
      <c r="S449" s="31">
        <v>1.25</v>
      </c>
      <c r="T449" s="31">
        <v>4.05</v>
      </c>
      <c r="U449" s="32">
        <v>2.72</v>
      </c>
    </row>
    <row r="450" spans="3:21" x14ac:dyDescent="0.3">
      <c r="C450" s="66"/>
      <c r="D450" s="70"/>
      <c r="E450" s="39" t="s">
        <v>25</v>
      </c>
      <c r="F450" s="15">
        <v>4.4607843137254903</v>
      </c>
      <c r="G450" s="16">
        <v>5.1536363636363633</v>
      </c>
      <c r="H450" s="16">
        <v>0.88018867924528399</v>
      </c>
      <c r="I450" s="16">
        <v>1.68333333333334</v>
      </c>
      <c r="J450" s="16">
        <v>2.1337777777777798</v>
      </c>
      <c r="K450" s="16">
        <v>1.1024</v>
      </c>
      <c r="L450" s="16">
        <v>3.5251063829787239</v>
      </c>
      <c r="M450" s="17">
        <v>2.6086440677966114</v>
      </c>
      <c r="N450" s="15">
        <v>4.4608000000000008</v>
      </c>
      <c r="O450" s="16">
        <v>5.1532558139534883</v>
      </c>
      <c r="P450" s="16">
        <v>0.88058823529411812</v>
      </c>
      <c r="Q450" s="16">
        <v>1.68584905660378</v>
      </c>
      <c r="R450" s="16">
        <v>2.0152272727272798</v>
      </c>
      <c r="S450" s="16">
        <v>1.0915999999999999</v>
      </c>
      <c r="T450" s="16">
        <v>3.5268085106382978</v>
      </c>
      <c r="U450" s="17">
        <v>2.6093103448275872</v>
      </c>
    </row>
    <row r="451" spans="3:21" ht="15" thickBot="1" x14ac:dyDescent="0.35">
      <c r="C451" s="67"/>
      <c r="D451" s="74"/>
      <c r="E451" s="41" t="s">
        <v>26</v>
      </c>
      <c r="F451" s="18">
        <v>950.68951107396731</v>
      </c>
      <c r="G451" s="19">
        <v>1268.2326621923949</v>
      </c>
      <c r="H451" s="19">
        <v>200.12870012870079</v>
      </c>
      <c r="I451" s="19">
        <v>95.825426944972278</v>
      </c>
      <c r="J451" s="19">
        <v>86.872342350493241</v>
      </c>
      <c r="K451" s="19">
        <v>746.88346883468841</v>
      </c>
      <c r="L451" s="19">
        <v>671.58492095662825</v>
      </c>
      <c r="M451" s="20">
        <v>2342.6179604261984</v>
      </c>
      <c r="N451" s="18">
        <v>950.72463768116154</v>
      </c>
      <c r="O451" s="19">
        <v>1266.9525443110367</v>
      </c>
      <c r="P451" s="19">
        <v>200.40160642570308</v>
      </c>
      <c r="Q451" s="19">
        <v>96.106270840056652</v>
      </c>
      <c r="R451" s="19">
        <v>78.268161355813007</v>
      </c>
      <c r="S451" s="19">
        <v>689.14141414141397</v>
      </c>
      <c r="T451" s="19">
        <v>674.09516063440435</v>
      </c>
      <c r="U451" s="20">
        <v>2357.320872274161</v>
      </c>
    </row>
    <row r="454" spans="3:21" ht="15" thickBot="1" x14ac:dyDescent="0.35"/>
    <row r="455" spans="3:21" ht="15" thickBot="1" x14ac:dyDescent="0.35">
      <c r="C455" s="77" t="s">
        <v>53</v>
      </c>
      <c r="D455" s="77"/>
      <c r="E455" s="78"/>
      <c r="F455" s="79" t="s">
        <v>1</v>
      </c>
      <c r="G455" s="80"/>
      <c r="H455" s="80"/>
      <c r="I455" s="80"/>
      <c r="J455" s="80"/>
      <c r="K455" s="80"/>
      <c r="L455" s="80"/>
      <c r="M455" s="81"/>
      <c r="N455" s="75" t="s">
        <v>2</v>
      </c>
      <c r="O455" s="75"/>
      <c r="P455" s="75"/>
      <c r="Q455" s="75"/>
      <c r="R455" s="75"/>
      <c r="S455" s="75"/>
      <c r="T455" s="75"/>
      <c r="U455" s="76"/>
    </row>
    <row r="456" spans="3:21" ht="29.4" thickBot="1" x14ac:dyDescent="0.35">
      <c r="C456" s="5" t="s">
        <v>10</v>
      </c>
      <c r="D456" s="4" t="s">
        <v>11</v>
      </c>
      <c r="E456" s="3"/>
      <c r="F456" s="6" t="s">
        <v>12</v>
      </c>
      <c r="G456" s="7" t="s">
        <v>13</v>
      </c>
      <c r="H456" s="7" t="s">
        <v>14</v>
      </c>
      <c r="I456" s="7" t="s">
        <v>15</v>
      </c>
      <c r="J456" s="7" t="s">
        <v>16</v>
      </c>
      <c r="K456" s="7" t="s">
        <v>17</v>
      </c>
      <c r="L456" s="7" t="s">
        <v>18</v>
      </c>
      <c r="M456" s="8" t="s">
        <v>19</v>
      </c>
      <c r="N456" s="6" t="s">
        <v>12</v>
      </c>
      <c r="O456" s="7" t="s">
        <v>13</v>
      </c>
      <c r="P456" s="7" t="s">
        <v>14</v>
      </c>
      <c r="Q456" s="7" t="s">
        <v>15</v>
      </c>
      <c r="R456" s="7" t="s">
        <v>16</v>
      </c>
      <c r="S456" s="7" t="s">
        <v>17</v>
      </c>
      <c r="T456" s="7" t="s">
        <v>18</v>
      </c>
      <c r="U456" s="8" t="s">
        <v>19</v>
      </c>
    </row>
    <row r="457" spans="3:21" x14ac:dyDescent="0.3">
      <c r="C457" s="65">
        <v>1</v>
      </c>
      <c r="D457" s="71" t="s">
        <v>20</v>
      </c>
      <c r="E457" s="72"/>
      <c r="F457" s="21">
        <v>1.71</v>
      </c>
      <c r="G457" s="22">
        <v>0.83779661016949103</v>
      </c>
      <c r="H457" s="22">
        <v>0.44661016949152499</v>
      </c>
      <c r="I457" s="22">
        <v>3.3730508474576202</v>
      </c>
      <c r="J457" s="22">
        <v>0.46593220338982999</v>
      </c>
      <c r="K457" s="22">
        <v>0.37440677966101599</v>
      </c>
      <c r="L457" s="22">
        <v>0.85016949152542298</v>
      </c>
      <c r="M457" s="23">
        <v>0.41593220338983</v>
      </c>
      <c r="N457" s="21">
        <v>1.70999999999999</v>
      </c>
      <c r="O457" s="22">
        <v>0.85933333333333295</v>
      </c>
      <c r="P457" s="22">
        <v>0.40699999999999997</v>
      </c>
      <c r="Q457" s="22">
        <v>3.3861666666666599</v>
      </c>
      <c r="R457" s="22">
        <v>0.462666666666666</v>
      </c>
      <c r="S457" s="22">
        <v>0.38333333333333303</v>
      </c>
      <c r="T457" s="22">
        <v>0.83716666666666595</v>
      </c>
      <c r="U457" s="23">
        <v>0.41266666666666602</v>
      </c>
    </row>
    <row r="458" spans="3:21" ht="15" customHeight="1" x14ac:dyDescent="0.3">
      <c r="C458" s="66"/>
      <c r="D458" s="68" t="s">
        <v>21</v>
      </c>
      <c r="E458" s="69"/>
      <c r="F458" s="24">
        <v>1.57670915666329</v>
      </c>
      <c r="G458" s="25">
        <v>1.0875178826452701</v>
      </c>
      <c r="H458" s="25">
        <v>0.26809819962533099</v>
      </c>
      <c r="I458" s="25">
        <v>1.3905994978843501</v>
      </c>
      <c r="J458" s="25">
        <v>0.234478278738628</v>
      </c>
      <c r="K458" s="25">
        <v>0.100478030087713</v>
      </c>
      <c r="L458" s="25">
        <v>0.46655060046906599</v>
      </c>
      <c r="M458" s="26">
        <v>0.41611243039069801</v>
      </c>
      <c r="N458" s="24">
        <v>1.57670915666329</v>
      </c>
      <c r="O458" s="25">
        <v>1.08912329676467</v>
      </c>
      <c r="P458" s="25">
        <v>0.18123925255492099</v>
      </c>
      <c r="Q458" s="25">
        <v>1.4397790243259101</v>
      </c>
      <c r="R458" s="25">
        <v>0.233094163137751</v>
      </c>
      <c r="S458" s="25">
        <v>9.6153811965805899E-2</v>
      </c>
      <c r="T458" s="25">
        <v>0.462529608661855</v>
      </c>
      <c r="U458" s="26">
        <v>0.41312575432776999</v>
      </c>
    </row>
    <row r="459" spans="3:21" ht="15" customHeight="1" x14ac:dyDescent="0.3">
      <c r="C459" s="66"/>
      <c r="D459" s="68" t="s">
        <v>22</v>
      </c>
      <c r="E459" s="69"/>
      <c r="F459" s="33">
        <v>0.84076923076923005</v>
      </c>
      <c r="G459" s="34">
        <v>0.56890909090909103</v>
      </c>
      <c r="H459" s="34">
        <v>0.37509090909090897</v>
      </c>
      <c r="I459" s="34">
        <v>4.18</v>
      </c>
      <c r="J459" s="34">
        <v>0.43586206896551699</v>
      </c>
      <c r="K459" s="34">
        <v>0.41452380952380902</v>
      </c>
      <c r="L459" s="34">
        <v>0.71358490566037702</v>
      </c>
      <c r="M459" s="35">
        <v>0.31982142857142798</v>
      </c>
      <c r="N459" s="33">
        <v>0.84076923076923005</v>
      </c>
      <c r="O459" s="34">
        <v>0.59678571428571403</v>
      </c>
      <c r="P459" s="34">
        <v>0.37379310344827599</v>
      </c>
      <c r="Q459" s="34">
        <v>4.18</v>
      </c>
      <c r="R459" s="34">
        <v>0.43305084745762701</v>
      </c>
      <c r="S459" s="34">
        <v>0.41651162790697599</v>
      </c>
      <c r="T459" s="34">
        <v>0.70166666666666599</v>
      </c>
      <c r="U459" s="35">
        <v>0.318070175438596</v>
      </c>
    </row>
    <row r="460" spans="3:21" x14ac:dyDescent="0.3">
      <c r="C460" s="66"/>
      <c r="D460" s="73" t="s">
        <v>23</v>
      </c>
      <c r="E460" s="38" t="s">
        <v>24</v>
      </c>
      <c r="F460" s="27">
        <v>5.33</v>
      </c>
      <c r="G460" s="28">
        <v>3.38</v>
      </c>
      <c r="H460" s="28">
        <v>2.97</v>
      </c>
      <c r="I460" s="28">
        <v>2.06</v>
      </c>
      <c r="J460" s="28">
        <v>1.91</v>
      </c>
      <c r="K460" s="28">
        <v>3.95</v>
      </c>
      <c r="L460" s="28">
        <v>2.75</v>
      </c>
      <c r="M460" s="29">
        <v>1.78</v>
      </c>
      <c r="N460" s="27">
        <v>5.33</v>
      </c>
      <c r="O460" s="28">
        <v>3.38</v>
      </c>
      <c r="P460" s="28">
        <v>2.97</v>
      </c>
      <c r="Q460" s="28">
        <v>2.06</v>
      </c>
      <c r="R460" s="28">
        <v>1.91</v>
      </c>
      <c r="S460" s="28">
        <v>3.95</v>
      </c>
      <c r="T460" s="28">
        <v>2.75</v>
      </c>
      <c r="U460" s="29">
        <v>1.78</v>
      </c>
    </row>
    <row r="461" spans="3:21" x14ac:dyDescent="0.3">
      <c r="C461" s="66"/>
      <c r="D461" s="70"/>
      <c r="E461" s="39" t="s">
        <v>25</v>
      </c>
      <c r="F461" s="9">
        <v>4.4892307692307698</v>
      </c>
      <c r="G461" s="10">
        <v>2.8110909090909089</v>
      </c>
      <c r="H461" s="10">
        <v>2.5949090909090913</v>
      </c>
      <c r="I461" s="10">
        <v>-2.1199999999999997</v>
      </c>
      <c r="J461" s="10">
        <v>1.4741379310344829</v>
      </c>
      <c r="K461" s="10">
        <v>3.5354761904761913</v>
      </c>
      <c r="L461" s="10">
        <v>2.0364150943396231</v>
      </c>
      <c r="M461" s="11">
        <v>1.460178571428572</v>
      </c>
      <c r="N461" s="9">
        <v>4.4892307692307698</v>
      </c>
      <c r="O461" s="10">
        <v>2.7832142857142861</v>
      </c>
      <c r="P461" s="10">
        <v>2.596206896551724</v>
      </c>
      <c r="Q461" s="10">
        <v>-2.1199999999999997</v>
      </c>
      <c r="R461" s="10">
        <v>1.4769491525423728</v>
      </c>
      <c r="S461" s="10">
        <v>3.5334883720930241</v>
      </c>
      <c r="T461" s="10">
        <v>2.0483333333333338</v>
      </c>
      <c r="U461" s="11">
        <v>1.4619298245614041</v>
      </c>
    </row>
    <row r="462" spans="3:21" x14ac:dyDescent="0.3">
      <c r="C462" s="66"/>
      <c r="D462" s="70"/>
      <c r="E462" s="39" t="s">
        <v>26</v>
      </c>
      <c r="F462" s="9">
        <v>533.94327538883863</v>
      </c>
      <c r="G462" s="10">
        <v>494.11952700543287</v>
      </c>
      <c r="H462" s="10">
        <v>691.80804653417385</v>
      </c>
      <c r="I462" s="10">
        <v>-50.717703349282296</v>
      </c>
      <c r="J462" s="10">
        <v>338.21202531645594</v>
      </c>
      <c r="K462" s="10">
        <v>852.90063182079393</v>
      </c>
      <c r="L462" s="10">
        <v>285.37810682178758</v>
      </c>
      <c r="M462" s="11">
        <v>456.56058068118472</v>
      </c>
      <c r="N462" s="9">
        <v>533.94327538883863</v>
      </c>
      <c r="O462" s="10">
        <v>466.36744464392604</v>
      </c>
      <c r="P462" s="10">
        <v>694.55719557195539</v>
      </c>
      <c r="Q462" s="10">
        <v>-50.717703349282296</v>
      </c>
      <c r="R462" s="10">
        <v>341.05675146771046</v>
      </c>
      <c r="S462" s="10">
        <v>848.3528754885557</v>
      </c>
      <c r="T462" s="10">
        <v>291.92399049881266</v>
      </c>
      <c r="U462" s="11">
        <v>459.62493105350336</v>
      </c>
    </row>
    <row r="463" spans="3:21" x14ac:dyDescent="0.3">
      <c r="C463" s="66"/>
      <c r="D463" s="70" t="s">
        <v>27</v>
      </c>
      <c r="E463" s="40" t="s">
        <v>24</v>
      </c>
      <c r="F463" s="27">
        <v>5.21</v>
      </c>
      <c r="G463" s="28">
        <v>3.2</v>
      </c>
      <c r="H463" s="28">
        <v>2.89</v>
      </c>
      <c r="I463" s="28">
        <v>1.87</v>
      </c>
      <c r="J463" s="28">
        <v>1.75</v>
      </c>
      <c r="K463" s="28">
        <v>3.89</v>
      </c>
      <c r="L463" s="28">
        <v>2.65</v>
      </c>
      <c r="M463" s="29">
        <v>1.68</v>
      </c>
      <c r="N463" s="27">
        <v>5.21</v>
      </c>
      <c r="O463" s="28">
        <v>3.2</v>
      </c>
      <c r="P463" s="28">
        <v>2.89</v>
      </c>
      <c r="Q463" s="28">
        <v>1.87</v>
      </c>
      <c r="R463" s="28">
        <v>1.75</v>
      </c>
      <c r="S463" s="28">
        <v>3.89</v>
      </c>
      <c r="T463" s="28">
        <v>2.65</v>
      </c>
      <c r="U463" s="29">
        <v>1.68</v>
      </c>
    </row>
    <row r="464" spans="3:21" x14ac:dyDescent="0.3">
      <c r="C464" s="66"/>
      <c r="D464" s="70"/>
      <c r="E464" s="39" t="s">
        <v>25</v>
      </c>
      <c r="F464" s="9">
        <v>4.3692307692307697</v>
      </c>
      <c r="G464" s="10">
        <v>2.6310909090909091</v>
      </c>
      <c r="H464" s="10">
        <v>2.5149090909090912</v>
      </c>
      <c r="I464" s="10">
        <v>-2.3099999999999996</v>
      </c>
      <c r="J464" s="10">
        <v>1.314137931034483</v>
      </c>
      <c r="K464" s="10">
        <v>3.4754761904761913</v>
      </c>
      <c r="L464" s="10">
        <v>1.936415094339623</v>
      </c>
      <c r="M464" s="11">
        <v>1.3601785714285719</v>
      </c>
      <c r="N464" s="9">
        <v>4.3692307692307697</v>
      </c>
      <c r="O464" s="10">
        <v>2.6032142857142864</v>
      </c>
      <c r="P464" s="10">
        <v>2.5162068965517239</v>
      </c>
      <c r="Q464" s="10">
        <v>-2.3099999999999996</v>
      </c>
      <c r="R464" s="10">
        <v>1.3169491525423731</v>
      </c>
      <c r="S464" s="10">
        <v>3.4734883720930241</v>
      </c>
      <c r="T464" s="10">
        <v>1.9483333333333339</v>
      </c>
      <c r="U464" s="11">
        <v>1.361929824561404</v>
      </c>
    </row>
    <row r="465" spans="3:21" x14ac:dyDescent="0.3">
      <c r="C465" s="66"/>
      <c r="D465" s="70"/>
      <c r="E465" s="39" t="s">
        <v>26</v>
      </c>
      <c r="F465" s="9">
        <v>519.67063129002793</v>
      </c>
      <c r="G465" s="10">
        <v>462.48002556727374</v>
      </c>
      <c r="H465" s="10">
        <v>670.47988366456639</v>
      </c>
      <c r="I465" s="10">
        <v>-55.263157894736835</v>
      </c>
      <c r="J465" s="10">
        <v>301.50316455696225</v>
      </c>
      <c r="K465" s="10">
        <v>838.42619184376929</v>
      </c>
      <c r="L465" s="10">
        <v>271.36435748281349</v>
      </c>
      <c r="M465" s="11">
        <v>425.29313232830913</v>
      </c>
      <c r="N465" s="9">
        <v>519.67063129002793</v>
      </c>
      <c r="O465" s="10">
        <v>436.205864751646</v>
      </c>
      <c r="P465" s="10">
        <v>673.15498154981515</v>
      </c>
      <c r="Q465" s="10">
        <v>-55.263157894736835</v>
      </c>
      <c r="R465" s="10">
        <v>304.10958904109606</v>
      </c>
      <c r="S465" s="10">
        <v>833.94751535455237</v>
      </c>
      <c r="T465" s="10">
        <v>277.67220902612866</v>
      </c>
      <c r="U465" s="11">
        <v>428.18532818532901</v>
      </c>
    </row>
    <row r="466" spans="3:21" x14ac:dyDescent="0.3">
      <c r="C466" s="66"/>
      <c r="D466" s="70" t="s">
        <v>28</v>
      </c>
      <c r="E466" s="40" t="s">
        <v>24</v>
      </c>
      <c r="F466" s="27">
        <v>5.14</v>
      </c>
      <c r="G466" s="28">
        <v>3.27</v>
      </c>
      <c r="H466" s="28">
        <v>2.9</v>
      </c>
      <c r="I466" s="28">
        <v>1.94</v>
      </c>
      <c r="J466" s="28">
        <v>1.81</v>
      </c>
      <c r="K466" s="28">
        <v>3.93</v>
      </c>
      <c r="L466" s="28">
        <v>2.65</v>
      </c>
      <c r="M466" s="29">
        <v>1.66</v>
      </c>
      <c r="N466" s="27">
        <v>5.14</v>
      </c>
      <c r="O466" s="28">
        <v>3.27</v>
      </c>
      <c r="P466" s="28">
        <v>2.9</v>
      </c>
      <c r="Q466" s="28">
        <v>1.94</v>
      </c>
      <c r="R466" s="28">
        <v>1.81</v>
      </c>
      <c r="S466" s="28">
        <v>3.93</v>
      </c>
      <c r="T466" s="28">
        <v>2.65</v>
      </c>
      <c r="U466" s="29">
        <v>1.66</v>
      </c>
    </row>
    <row r="467" spans="3:21" x14ac:dyDescent="0.3">
      <c r="C467" s="66"/>
      <c r="D467" s="70"/>
      <c r="E467" s="39" t="s">
        <v>25</v>
      </c>
      <c r="F467" s="9">
        <v>4.2992307692307694</v>
      </c>
      <c r="G467" s="10">
        <v>2.701090909090909</v>
      </c>
      <c r="H467" s="10">
        <v>2.524909090909091</v>
      </c>
      <c r="I467" s="10">
        <v>-2.2399999999999998</v>
      </c>
      <c r="J467" s="10">
        <v>1.374137931034483</v>
      </c>
      <c r="K467" s="10">
        <v>3.5154761904761913</v>
      </c>
      <c r="L467" s="10">
        <v>1.936415094339623</v>
      </c>
      <c r="M467" s="11">
        <v>1.3401785714285719</v>
      </c>
      <c r="N467" s="9">
        <v>4.2992307692307694</v>
      </c>
      <c r="O467" s="10">
        <v>2.6732142857142858</v>
      </c>
      <c r="P467" s="10">
        <v>2.5262068965517237</v>
      </c>
      <c r="Q467" s="10">
        <v>-2.2399999999999998</v>
      </c>
      <c r="R467" s="10">
        <v>1.3769491525423732</v>
      </c>
      <c r="S467" s="10">
        <v>3.5134883720930241</v>
      </c>
      <c r="T467" s="10">
        <v>1.9483333333333339</v>
      </c>
      <c r="U467" s="11">
        <v>1.341929824561404</v>
      </c>
    </row>
    <row r="468" spans="3:21" ht="15" thickBot="1" x14ac:dyDescent="0.35">
      <c r="C468" s="66"/>
      <c r="D468" s="74"/>
      <c r="E468" s="41" t="s">
        <v>26</v>
      </c>
      <c r="F468" s="12">
        <v>511.3449222323884</v>
      </c>
      <c r="G468" s="13">
        <v>474.78427612655787</v>
      </c>
      <c r="H468" s="13">
        <v>673.14590402326735</v>
      </c>
      <c r="I468" s="13">
        <v>-53.588516746411486</v>
      </c>
      <c r="J468" s="13">
        <v>315.2689873417724</v>
      </c>
      <c r="K468" s="13">
        <v>848.07581849511905</v>
      </c>
      <c r="L468" s="13">
        <v>271.36435748281349</v>
      </c>
      <c r="M468" s="14">
        <v>419.03964265773402</v>
      </c>
      <c r="N468" s="12">
        <v>511.3449222323884</v>
      </c>
      <c r="O468" s="13">
        <v>447.9353680430882</v>
      </c>
      <c r="P468" s="13">
        <v>675.83025830258271</v>
      </c>
      <c r="Q468" s="13">
        <v>-53.588516746411486</v>
      </c>
      <c r="R468" s="13">
        <v>317.96477495107649</v>
      </c>
      <c r="S468" s="13">
        <v>843.55108877722125</v>
      </c>
      <c r="T468" s="13">
        <v>277.67220902612866</v>
      </c>
      <c r="U468" s="14">
        <v>421.89740761169412</v>
      </c>
    </row>
    <row r="469" spans="3:21" x14ac:dyDescent="0.3">
      <c r="C469" s="65">
        <v>2</v>
      </c>
      <c r="D469" s="71" t="s">
        <v>20</v>
      </c>
      <c r="E469" s="72"/>
      <c r="F469" s="21">
        <v>1.4107692307692301</v>
      </c>
      <c r="G469" s="22">
        <v>0.92576271186440695</v>
      </c>
      <c r="H469" s="22">
        <v>0.40491525423728802</v>
      </c>
      <c r="I469" s="22">
        <v>3.7632203389830399</v>
      </c>
      <c r="J469" s="22">
        <v>0.54237288135593198</v>
      </c>
      <c r="K469" s="22">
        <v>0.37355932203389802</v>
      </c>
      <c r="L469" s="22">
        <v>0.94620689655172296</v>
      </c>
      <c r="M469" s="23">
        <v>0.35999999999999899</v>
      </c>
      <c r="N469" s="21">
        <v>1.2722222222222199</v>
      </c>
      <c r="O469" s="22">
        <v>0.9768</v>
      </c>
      <c r="P469" s="22">
        <v>0.40759999999999902</v>
      </c>
      <c r="Q469" s="22">
        <v>3.8395999999999999</v>
      </c>
      <c r="R469" s="22">
        <v>0.54920000000000002</v>
      </c>
      <c r="S469" s="22">
        <v>0.34720000000000001</v>
      </c>
      <c r="T469" s="22">
        <v>0.93374999999999997</v>
      </c>
      <c r="U469" s="23">
        <v>0.39760000000000001</v>
      </c>
    </row>
    <row r="470" spans="3:21" ht="15" customHeight="1" x14ac:dyDescent="0.3">
      <c r="C470" s="66"/>
      <c r="D470" s="68" t="s">
        <v>21</v>
      </c>
      <c r="E470" s="69"/>
      <c r="F470" s="24">
        <v>1.3417122329234099</v>
      </c>
      <c r="G470" s="25">
        <v>0.98244972854496204</v>
      </c>
      <c r="H470" s="25">
        <v>0.18284357379785701</v>
      </c>
      <c r="I470" s="25">
        <v>1.3875810444224701</v>
      </c>
      <c r="J470" s="25">
        <v>0.41280905826618303</v>
      </c>
      <c r="K470" s="25">
        <v>0.10169350281505</v>
      </c>
      <c r="L470" s="25">
        <v>0.53300005688751295</v>
      </c>
      <c r="M470" s="26">
        <v>0.294370917870865</v>
      </c>
      <c r="N470" s="24">
        <v>1.28001543200573</v>
      </c>
      <c r="O470" s="25">
        <v>1.1697750894937</v>
      </c>
      <c r="P470" s="25">
        <v>0.198499974811081</v>
      </c>
      <c r="Q470" s="25">
        <v>1.3943671826316</v>
      </c>
      <c r="R470" s="25">
        <v>0.39849637388563502</v>
      </c>
      <c r="S470" s="25">
        <v>0.100698361456381</v>
      </c>
      <c r="T470" s="25">
        <v>0.51897184011594799</v>
      </c>
      <c r="U470" s="26">
        <v>0.37074282191298003</v>
      </c>
    </row>
    <row r="471" spans="3:21" ht="15" customHeight="1" x14ac:dyDescent="0.3">
      <c r="C471" s="66"/>
      <c r="D471" s="68" t="s">
        <v>22</v>
      </c>
      <c r="E471" s="69"/>
      <c r="F471" s="33">
        <v>0.84272727272727199</v>
      </c>
      <c r="G471" s="34">
        <v>0.73875000000000002</v>
      </c>
      <c r="H471" s="34">
        <v>0.37105263157894702</v>
      </c>
      <c r="I471" s="34">
        <v>4.5349999999999904</v>
      </c>
      <c r="J471" s="34">
        <v>0.43272727272727202</v>
      </c>
      <c r="K471" s="34">
        <v>0.41023809523809501</v>
      </c>
      <c r="L471" s="34">
        <v>0.82314814814814696</v>
      </c>
      <c r="M471" s="35">
        <v>0.32155172413792998</v>
      </c>
      <c r="N471" s="33">
        <v>0.81999999999999895</v>
      </c>
      <c r="O471" s="34">
        <v>0.66739130434782601</v>
      </c>
      <c r="P471" s="34">
        <v>0.36749999999999899</v>
      </c>
      <c r="Q471" s="34">
        <v>4.5910526315789397</v>
      </c>
      <c r="R471" s="34">
        <v>0.43260869565217303</v>
      </c>
      <c r="S471" s="34">
        <v>0.39</v>
      </c>
      <c r="T471" s="34">
        <v>0.842173913043478</v>
      </c>
      <c r="U471" s="35">
        <v>0.322083333333333</v>
      </c>
    </row>
    <row r="472" spans="3:21" x14ac:dyDescent="0.3">
      <c r="C472" s="66"/>
      <c r="D472" s="73" t="s">
        <v>23</v>
      </c>
      <c r="E472" s="38" t="s">
        <v>24</v>
      </c>
      <c r="F472" s="27">
        <v>5.33</v>
      </c>
      <c r="G472" s="28">
        <v>3.38</v>
      </c>
      <c r="H472" s="28">
        <v>2.97</v>
      </c>
      <c r="I472" s="28">
        <v>2.06</v>
      </c>
      <c r="J472" s="28">
        <v>1.91</v>
      </c>
      <c r="K472" s="28">
        <v>3.95</v>
      </c>
      <c r="L472" s="28">
        <v>2.75</v>
      </c>
      <c r="M472" s="29">
        <v>1.78</v>
      </c>
      <c r="N472" s="27">
        <v>5.33</v>
      </c>
      <c r="O472" s="28">
        <v>3.38</v>
      </c>
      <c r="P472" s="28">
        <v>2.97</v>
      </c>
      <c r="Q472" s="28">
        <v>2.06</v>
      </c>
      <c r="R472" s="28">
        <v>1.91</v>
      </c>
      <c r="S472" s="28">
        <v>3.95</v>
      </c>
      <c r="T472" s="28">
        <v>2.75</v>
      </c>
      <c r="U472" s="29">
        <v>1.78</v>
      </c>
    </row>
    <row r="473" spans="3:21" x14ac:dyDescent="0.3">
      <c r="C473" s="66"/>
      <c r="D473" s="70"/>
      <c r="E473" s="39" t="s">
        <v>25</v>
      </c>
      <c r="F473" s="9">
        <v>4.4872727272727282</v>
      </c>
      <c r="G473" s="10">
        <v>2.6412499999999999</v>
      </c>
      <c r="H473" s="10">
        <v>2.5989473684210531</v>
      </c>
      <c r="I473" s="10">
        <v>-2.4749999999999903</v>
      </c>
      <c r="J473" s="10">
        <v>1.477272727272728</v>
      </c>
      <c r="K473" s="10">
        <v>3.5397619047619053</v>
      </c>
      <c r="L473" s="10">
        <v>1.9268518518518531</v>
      </c>
      <c r="M473" s="11">
        <v>1.45844827586207</v>
      </c>
      <c r="N473" s="9">
        <v>4.5100000000000016</v>
      </c>
      <c r="O473" s="10">
        <v>2.712608695652174</v>
      </c>
      <c r="P473" s="10">
        <v>2.6025000000000014</v>
      </c>
      <c r="Q473" s="10">
        <v>-2.5310526315789397</v>
      </c>
      <c r="R473" s="10">
        <v>1.4773913043478268</v>
      </c>
      <c r="S473" s="10">
        <v>3.56</v>
      </c>
      <c r="T473" s="10">
        <v>1.907826086956522</v>
      </c>
      <c r="U473" s="11">
        <v>1.457916666666667</v>
      </c>
    </row>
    <row r="474" spans="3:21" x14ac:dyDescent="0.3">
      <c r="C474" s="66"/>
      <c r="D474" s="70"/>
      <c r="E474" s="39" t="s">
        <v>26</v>
      </c>
      <c r="F474" s="9">
        <v>532.47033441208259</v>
      </c>
      <c r="G474" s="10">
        <v>357.52961082910321</v>
      </c>
      <c r="H474" s="10">
        <v>700.42553191489446</v>
      </c>
      <c r="I474" s="10">
        <v>-54.5755237045203</v>
      </c>
      <c r="J474" s="10">
        <v>341.38655462184948</v>
      </c>
      <c r="K474" s="10">
        <v>862.85548461984968</v>
      </c>
      <c r="L474" s="10">
        <v>234.08323959505114</v>
      </c>
      <c r="M474" s="11">
        <v>453.56568364611445</v>
      </c>
      <c r="N474" s="9">
        <v>550.00000000000091</v>
      </c>
      <c r="O474" s="10">
        <v>406.44951140065155</v>
      </c>
      <c r="P474" s="10">
        <v>708.1632653061248</v>
      </c>
      <c r="Q474" s="10">
        <v>-55.13011578585342</v>
      </c>
      <c r="R474" s="10">
        <v>341.50753768844305</v>
      </c>
      <c r="S474" s="10">
        <v>912.82051282051282</v>
      </c>
      <c r="T474" s="10">
        <v>226.5358802271555</v>
      </c>
      <c r="U474" s="11">
        <v>452.65200517464478</v>
      </c>
    </row>
    <row r="475" spans="3:21" x14ac:dyDescent="0.3">
      <c r="C475" s="66"/>
      <c r="D475" s="70" t="s">
        <v>27</v>
      </c>
      <c r="E475" s="40" t="s">
        <v>24</v>
      </c>
      <c r="F475" s="27">
        <v>5.21</v>
      </c>
      <c r="G475" s="28">
        <v>3.2</v>
      </c>
      <c r="H475" s="28">
        <v>2.89</v>
      </c>
      <c r="I475" s="28">
        <v>1.87</v>
      </c>
      <c r="J475" s="28">
        <v>1.75</v>
      </c>
      <c r="K475" s="28">
        <v>3.89</v>
      </c>
      <c r="L475" s="28">
        <v>2.65</v>
      </c>
      <c r="M475" s="29">
        <v>1.68</v>
      </c>
      <c r="N475" s="27">
        <v>5.21</v>
      </c>
      <c r="O475" s="28">
        <v>3.2</v>
      </c>
      <c r="P475" s="28">
        <v>2.89</v>
      </c>
      <c r="Q475" s="28">
        <v>1.87</v>
      </c>
      <c r="R475" s="28">
        <v>1.75</v>
      </c>
      <c r="S475" s="28">
        <v>3.89</v>
      </c>
      <c r="T475" s="28">
        <v>2.65</v>
      </c>
      <c r="U475" s="29">
        <v>1.68</v>
      </c>
    </row>
    <row r="476" spans="3:21" x14ac:dyDescent="0.3">
      <c r="C476" s="66"/>
      <c r="D476" s="70"/>
      <c r="E476" s="39" t="s">
        <v>25</v>
      </c>
      <c r="F476" s="9">
        <v>4.3672727272727281</v>
      </c>
      <c r="G476" s="10">
        <v>2.4612500000000002</v>
      </c>
      <c r="H476" s="10">
        <v>2.518947368421053</v>
      </c>
      <c r="I476" s="10">
        <v>-2.6649999999999903</v>
      </c>
      <c r="J476" s="10">
        <v>1.317272727272728</v>
      </c>
      <c r="K476" s="10">
        <v>3.4797619047619053</v>
      </c>
      <c r="L476" s="10">
        <v>1.8268518518518531</v>
      </c>
      <c r="M476" s="11">
        <v>1.35844827586207</v>
      </c>
      <c r="N476" s="9">
        <v>4.3900000000000006</v>
      </c>
      <c r="O476" s="10">
        <v>2.5326086956521743</v>
      </c>
      <c r="P476" s="10">
        <v>2.5225000000000013</v>
      </c>
      <c r="Q476" s="10">
        <v>-2.7210526315789396</v>
      </c>
      <c r="R476" s="10">
        <v>1.3173913043478269</v>
      </c>
      <c r="S476" s="10">
        <v>3.5</v>
      </c>
      <c r="T476" s="10">
        <v>1.8078260869565219</v>
      </c>
      <c r="U476" s="11">
        <v>1.3579166666666669</v>
      </c>
    </row>
    <row r="477" spans="3:21" x14ac:dyDescent="0.3">
      <c r="C477" s="66"/>
      <c r="D477" s="70"/>
      <c r="E477" s="39" t="s">
        <v>26</v>
      </c>
      <c r="F477" s="9">
        <v>518.23085221143526</v>
      </c>
      <c r="G477" s="10">
        <v>333.16412859560069</v>
      </c>
      <c r="H477" s="10">
        <v>678.86524822695117</v>
      </c>
      <c r="I477" s="10">
        <v>-58.765159867695616</v>
      </c>
      <c r="J477" s="10">
        <v>304.41176470588306</v>
      </c>
      <c r="K477" s="10">
        <v>848.22983168891528</v>
      </c>
      <c r="L477" s="10">
        <v>221.93475815523107</v>
      </c>
      <c r="M477" s="11">
        <v>422.46648793565856</v>
      </c>
      <c r="N477" s="9">
        <v>535.36585365853739</v>
      </c>
      <c r="O477" s="10">
        <v>379.47882736156362</v>
      </c>
      <c r="P477" s="10">
        <v>686.39455782313144</v>
      </c>
      <c r="Q477" s="10">
        <v>-59.268600252206738</v>
      </c>
      <c r="R477" s="10">
        <v>304.52261306532745</v>
      </c>
      <c r="S477" s="10">
        <v>897.43589743589746</v>
      </c>
      <c r="T477" s="10">
        <v>214.6618482188953</v>
      </c>
      <c r="U477" s="11">
        <v>421.60413971539504</v>
      </c>
    </row>
    <row r="478" spans="3:21" x14ac:dyDescent="0.3">
      <c r="C478" s="66"/>
      <c r="D478" s="70" t="s">
        <v>28</v>
      </c>
      <c r="E478" s="40" t="s">
        <v>24</v>
      </c>
      <c r="F478" s="27">
        <v>5.14</v>
      </c>
      <c r="G478" s="28">
        <v>3.27</v>
      </c>
      <c r="H478" s="28">
        <v>2.9</v>
      </c>
      <c r="I478" s="28">
        <v>1.94</v>
      </c>
      <c r="J478" s="28">
        <v>1.81</v>
      </c>
      <c r="K478" s="28">
        <v>3.93</v>
      </c>
      <c r="L478" s="28">
        <v>2.65</v>
      </c>
      <c r="M478" s="29">
        <v>1.66</v>
      </c>
      <c r="N478" s="27">
        <v>5.14</v>
      </c>
      <c r="O478" s="28">
        <v>3.27</v>
      </c>
      <c r="P478" s="28">
        <v>2.9</v>
      </c>
      <c r="Q478" s="28">
        <v>1.94</v>
      </c>
      <c r="R478" s="28">
        <v>1.81</v>
      </c>
      <c r="S478" s="28">
        <v>3.93</v>
      </c>
      <c r="T478" s="28">
        <v>2.65</v>
      </c>
      <c r="U478" s="29">
        <v>1.66</v>
      </c>
    </row>
    <row r="479" spans="3:21" x14ac:dyDescent="0.3">
      <c r="C479" s="66"/>
      <c r="D479" s="70"/>
      <c r="E479" s="39" t="s">
        <v>25</v>
      </c>
      <c r="F479" s="9">
        <v>4.2972727272727278</v>
      </c>
      <c r="G479" s="10">
        <v>2.53125</v>
      </c>
      <c r="H479" s="10">
        <v>2.5289473684210528</v>
      </c>
      <c r="I479" s="10">
        <v>-2.5949999999999904</v>
      </c>
      <c r="J479" s="10">
        <v>1.3772727272727281</v>
      </c>
      <c r="K479" s="10">
        <v>3.5197619047619053</v>
      </c>
      <c r="L479" s="10">
        <v>1.8268518518518531</v>
      </c>
      <c r="M479" s="11">
        <v>1.3384482758620699</v>
      </c>
      <c r="N479" s="9">
        <v>4.32</v>
      </c>
      <c r="O479" s="10">
        <v>2.6026086956521741</v>
      </c>
      <c r="P479" s="10">
        <v>2.5325000000000011</v>
      </c>
      <c r="Q479" s="10">
        <v>-2.6510526315789398</v>
      </c>
      <c r="R479" s="10">
        <v>1.377391304347827</v>
      </c>
      <c r="S479" s="10">
        <v>3.54</v>
      </c>
      <c r="T479" s="10">
        <v>1.8078260869565219</v>
      </c>
      <c r="U479" s="11">
        <v>1.3379166666666669</v>
      </c>
    </row>
    <row r="480" spans="3:21" ht="15" thickBot="1" x14ac:dyDescent="0.35">
      <c r="C480" s="66"/>
      <c r="D480" s="74"/>
      <c r="E480" s="41" t="s">
        <v>26</v>
      </c>
      <c r="F480" s="12">
        <v>509.924487594391</v>
      </c>
      <c r="G480" s="13">
        <v>342.63959390862942</v>
      </c>
      <c r="H480" s="13">
        <v>681.56028368794398</v>
      </c>
      <c r="I480" s="13">
        <v>-57.221609702315234</v>
      </c>
      <c r="J480" s="13">
        <v>318.27731092437045</v>
      </c>
      <c r="K480" s="13">
        <v>857.98026697620492</v>
      </c>
      <c r="L480" s="13">
        <v>221.93475815523107</v>
      </c>
      <c r="M480" s="14">
        <v>416.24664879356732</v>
      </c>
      <c r="N480" s="12">
        <v>526.82926829268365</v>
      </c>
      <c r="O480" s="13">
        <v>389.96742671009781</v>
      </c>
      <c r="P480" s="13">
        <v>689.11564625850565</v>
      </c>
      <c r="Q480" s="13">
        <v>-57.743895448813412</v>
      </c>
      <c r="R480" s="13">
        <v>318.39195979899586</v>
      </c>
      <c r="S480" s="13">
        <v>907.69230769230762</v>
      </c>
      <c r="T480" s="13">
        <v>214.6618482188953</v>
      </c>
      <c r="U480" s="14">
        <v>415.39456662354507</v>
      </c>
    </row>
    <row r="481" spans="3:21" x14ac:dyDescent="0.3">
      <c r="C481" s="65">
        <v>3</v>
      </c>
      <c r="D481" s="71" t="s">
        <v>20</v>
      </c>
      <c r="E481" s="72"/>
      <c r="F481" s="21">
        <v>0.831538461538461</v>
      </c>
      <c r="G481" s="22">
        <v>0.88694915254237305</v>
      </c>
      <c r="H481" s="22">
        <v>0.40796610169491498</v>
      </c>
      <c r="I481" s="22">
        <v>3.68050847457627</v>
      </c>
      <c r="J481" s="22">
        <v>0.53813559322033899</v>
      </c>
      <c r="K481" s="22">
        <v>0.382033898305084</v>
      </c>
      <c r="L481" s="22">
        <v>0.81762711864406701</v>
      </c>
      <c r="M481" s="23">
        <v>0.34440677966101602</v>
      </c>
      <c r="N481" s="21">
        <v>1.0559999999999901</v>
      </c>
      <c r="O481" s="22">
        <v>0.88900000000000001</v>
      </c>
      <c r="P481" s="22">
        <v>0.40766666666666601</v>
      </c>
      <c r="Q481" s="22">
        <v>3.71383333333333</v>
      </c>
      <c r="R481" s="22">
        <v>0.53366666666666596</v>
      </c>
      <c r="S481" s="22">
        <v>0.38466666666666599</v>
      </c>
      <c r="T481" s="22">
        <v>0.82499999999999896</v>
      </c>
      <c r="U481" s="23">
        <v>0.34416666666666601</v>
      </c>
    </row>
    <row r="482" spans="3:21" ht="15" customHeight="1" x14ac:dyDescent="0.3">
      <c r="C482" s="66"/>
      <c r="D482" s="68" t="s">
        <v>21</v>
      </c>
      <c r="E482" s="69"/>
      <c r="F482" s="24">
        <v>4.3296145475293098E-2</v>
      </c>
      <c r="G482" s="25">
        <v>0.938645353213582</v>
      </c>
      <c r="H482" s="25">
        <v>0.18206703608991301</v>
      </c>
      <c r="I482" s="25">
        <v>1.3089035697914899</v>
      </c>
      <c r="J482" s="25">
        <v>0.43301260237765399</v>
      </c>
      <c r="K482" s="25">
        <v>8.7426088124788096E-2</v>
      </c>
      <c r="L482" s="25">
        <v>0.405518454440359</v>
      </c>
      <c r="M482" s="26">
        <v>0.24835234119646399</v>
      </c>
      <c r="N482" s="24">
        <v>0.83590908596569202</v>
      </c>
      <c r="O482" s="25">
        <v>0.94109457548112496</v>
      </c>
      <c r="P482" s="25">
        <v>0.18055808545236099</v>
      </c>
      <c r="Q482" s="25">
        <v>1.24927858071057</v>
      </c>
      <c r="R482" s="25">
        <v>0.430340821003797</v>
      </c>
      <c r="S482" s="25">
        <v>8.6399588476386194E-2</v>
      </c>
      <c r="T482" s="25">
        <v>0.40897228919980999</v>
      </c>
      <c r="U482" s="26">
        <v>0.24628094842182899</v>
      </c>
    </row>
    <row r="483" spans="3:21" ht="15" customHeight="1" x14ac:dyDescent="0.3">
      <c r="C483" s="66"/>
      <c r="D483" s="68" t="s">
        <v>22</v>
      </c>
      <c r="E483" s="69"/>
      <c r="F483" s="33">
        <v>0.84999999999999898</v>
      </c>
      <c r="G483" s="34">
        <v>0.63653846153846105</v>
      </c>
      <c r="H483" s="34">
        <v>0.37421052631578899</v>
      </c>
      <c r="I483" s="34">
        <v>4.4059090909090903</v>
      </c>
      <c r="J483" s="34">
        <v>0.422363636363636</v>
      </c>
      <c r="K483" s="34">
        <v>0.41297872340425501</v>
      </c>
      <c r="L483" s="34">
        <v>0.69634615384615295</v>
      </c>
      <c r="M483" s="35">
        <v>0.31224137931034401</v>
      </c>
      <c r="N483" s="33">
        <v>0.83285714285714196</v>
      </c>
      <c r="O483" s="34">
        <v>0.59470588235294097</v>
      </c>
      <c r="P483" s="34">
        <v>0.37448275862068903</v>
      </c>
      <c r="Q483" s="34">
        <v>4.4008888888888897</v>
      </c>
      <c r="R483" s="34">
        <v>0.41964285714285698</v>
      </c>
      <c r="S483" s="34">
        <v>0.41499999999999998</v>
      </c>
      <c r="T483" s="34">
        <v>0.69423076923076898</v>
      </c>
      <c r="U483" s="35">
        <v>0.312542372881355</v>
      </c>
    </row>
    <row r="484" spans="3:21" x14ac:dyDescent="0.3">
      <c r="C484" s="66"/>
      <c r="D484" s="73" t="s">
        <v>23</v>
      </c>
      <c r="E484" s="38" t="s">
        <v>24</v>
      </c>
      <c r="F484" s="30">
        <v>5.33</v>
      </c>
      <c r="G484" s="31">
        <v>3.38</v>
      </c>
      <c r="H484" s="31">
        <v>2.97</v>
      </c>
      <c r="I484" s="31">
        <v>2.06</v>
      </c>
      <c r="J484" s="31">
        <v>1.91</v>
      </c>
      <c r="K484" s="31">
        <v>3.95</v>
      </c>
      <c r="L484" s="31">
        <v>2.75</v>
      </c>
      <c r="M484" s="32">
        <v>1.78</v>
      </c>
      <c r="N484" s="30">
        <v>5.33</v>
      </c>
      <c r="O484" s="31">
        <v>3.38</v>
      </c>
      <c r="P484" s="31">
        <v>2.97</v>
      </c>
      <c r="Q484" s="31">
        <v>2.06</v>
      </c>
      <c r="R484" s="31">
        <v>1.91</v>
      </c>
      <c r="S484" s="31">
        <v>3.95</v>
      </c>
      <c r="T484" s="31">
        <v>2.75</v>
      </c>
      <c r="U484" s="32">
        <v>1.78</v>
      </c>
    </row>
    <row r="485" spans="3:21" x14ac:dyDescent="0.3">
      <c r="C485" s="66"/>
      <c r="D485" s="70"/>
      <c r="E485" s="39" t="s">
        <v>25</v>
      </c>
      <c r="F485" s="15">
        <v>4.4800000000000013</v>
      </c>
      <c r="G485" s="16">
        <v>2.7434615384615388</v>
      </c>
      <c r="H485" s="16">
        <v>2.5957894736842113</v>
      </c>
      <c r="I485" s="16">
        <v>-2.3459090909090903</v>
      </c>
      <c r="J485" s="16">
        <v>1.4876363636363639</v>
      </c>
      <c r="K485" s="16">
        <v>3.5370212765957452</v>
      </c>
      <c r="L485" s="16">
        <v>2.0536538461538472</v>
      </c>
      <c r="M485" s="17">
        <v>1.467758620689656</v>
      </c>
      <c r="N485" s="15">
        <v>4.4971428571428582</v>
      </c>
      <c r="O485" s="16">
        <v>2.7852941176470587</v>
      </c>
      <c r="P485" s="16">
        <v>2.5955172413793113</v>
      </c>
      <c r="Q485" s="16">
        <v>-2.3408888888888897</v>
      </c>
      <c r="R485" s="16">
        <v>1.4903571428571429</v>
      </c>
      <c r="S485" s="16">
        <v>3.5350000000000001</v>
      </c>
      <c r="T485" s="16">
        <v>2.055769230769231</v>
      </c>
      <c r="U485" s="17">
        <v>1.467457627118645</v>
      </c>
    </row>
    <row r="486" spans="3:21" x14ac:dyDescent="0.3">
      <c r="C486" s="66"/>
      <c r="D486" s="70"/>
      <c r="E486" s="39" t="s">
        <v>26</v>
      </c>
      <c r="F486" s="15">
        <v>527.05882352941251</v>
      </c>
      <c r="G486" s="16">
        <v>430.99697885196412</v>
      </c>
      <c r="H486" s="16">
        <v>693.67088607595053</v>
      </c>
      <c r="I486" s="16">
        <v>-53.244609512018968</v>
      </c>
      <c r="J486" s="16">
        <v>352.21696082651783</v>
      </c>
      <c r="K486" s="16">
        <v>856.46573930963507</v>
      </c>
      <c r="L486" s="16">
        <v>294.91853079259926</v>
      </c>
      <c r="M486" s="17">
        <v>470.07178354500422</v>
      </c>
      <c r="N486" s="15">
        <v>539.9656946826766</v>
      </c>
      <c r="O486" s="16">
        <v>468.34817012858576</v>
      </c>
      <c r="P486" s="16">
        <v>693.09392265193515</v>
      </c>
      <c r="Q486" s="16">
        <v>-53.19127449000203</v>
      </c>
      <c r="R486" s="16">
        <v>355.14893617021295</v>
      </c>
      <c r="S486" s="16">
        <v>851.80722891566279</v>
      </c>
      <c r="T486" s="16">
        <v>296.12188365650979</v>
      </c>
      <c r="U486" s="17">
        <v>469.52277657266978</v>
      </c>
    </row>
    <row r="487" spans="3:21" x14ac:dyDescent="0.3">
      <c r="C487" s="66"/>
      <c r="D487" s="70" t="s">
        <v>27</v>
      </c>
      <c r="E487" s="40" t="s">
        <v>24</v>
      </c>
      <c r="F487" s="30">
        <v>5.21</v>
      </c>
      <c r="G487" s="31">
        <v>3.2</v>
      </c>
      <c r="H487" s="31">
        <v>2.89</v>
      </c>
      <c r="I487" s="31">
        <v>1.87</v>
      </c>
      <c r="J487" s="31">
        <v>1.75</v>
      </c>
      <c r="K487" s="31">
        <v>3.89</v>
      </c>
      <c r="L487" s="31">
        <v>2.65</v>
      </c>
      <c r="M487" s="32">
        <v>1.68</v>
      </c>
      <c r="N487" s="30">
        <v>5.21</v>
      </c>
      <c r="O487" s="31">
        <v>3.2</v>
      </c>
      <c r="P487" s="31">
        <v>2.89</v>
      </c>
      <c r="Q487" s="31">
        <v>1.87</v>
      </c>
      <c r="R487" s="31">
        <v>1.75</v>
      </c>
      <c r="S487" s="31">
        <v>3.89</v>
      </c>
      <c r="T487" s="31">
        <v>2.65</v>
      </c>
      <c r="U487" s="32">
        <v>1.68</v>
      </c>
    </row>
    <row r="488" spans="3:21" x14ac:dyDescent="0.3">
      <c r="C488" s="66"/>
      <c r="D488" s="70"/>
      <c r="E488" s="39" t="s">
        <v>25</v>
      </c>
      <c r="F488" s="15">
        <v>4.3600000000000012</v>
      </c>
      <c r="G488" s="16">
        <v>2.5634615384615391</v>
      </c>
      <c r="H488" s="16">
        <v>2.5157894736842112</v>
      </c>
      <c r="I488" s="16">
        <v>-2.5359090909090902</v>
      </c>
      <c r="J488" s="16">
        <v>1.3276363636363639</v>
      </c>
      <c r="K488" s="16">
        <v>3.4770212765957451</v>
      </c>
      <c r="L488" s="16">
        <v>1.9536538461538471</v>
      </c>
      <c r="M488" s="17">
        <v>1.3677586206896559</v>
      </c>
      <c r="N488" s="15">
        <v>4.3771428571428581</v>
      </c>
      <c r="O488" s="16">
        <v>2.605294117647059</v>
      </c>
      <c r="P488" s="16">
        <v>2.5155172413793112</v>
      </c>
      <c r="Q488" s="16">
        <v>-2.5308888888888896</v>
      </c>
      <c r="R488" s="16">
        <v>1.330357142857143</v>
      </c>
      <c r="S488" s="16">
        <v>3.4750000000000001</v>
      </c>
      <c r="T488" s="16">
        <v>1.9557692307692309</v>
      </c>
      <c r="U488" s="17">
        <v>1.3674576271186449</v>
      </c>
    </row>
    <row r="489" spans="3:21" x14ac:dyDescent="0.3">
      <c r="C489" s="66"/>
      <c r="D489" s="70"/>
      <c r="E489" s="39" t="s">
        <v>26</v>
      </c>
      <c r="F489" s="15">
        <v>512.94117647058897</v>
      </c>
      <c r="G489" s="16">
        <v>402.71903323262882</v>
      </c>
      <c r="H489" s="16">
        <v>672.29254571026831</v>
      </c>
      <c r="I489" s="16">
        <v>-57.556999896832764</v>
      </c>
      <c r="J489" s="16">
        <v>314.33491175204512</v>
      </c>
      <c r="K489" s="16">
        <v>841.93714580113431</v>
      </c>
      <c r="L489" s="16">
        <v>280.55785694559563</v>
      </c>
      <c r="M489" s="17">
        <v>438.04527885146467</v>
      </c>
      <c r="N489" s="15">
        <v>525.55746140651877</v>
      </c>
      <c r="O489" s="16">
        <v>438.08110781404565</v>
      </c>
      <c r="P489" s="16">
        <v>671.73112338858334</v>
      </c>
      <c r="Q489" s="16">
        <v>-57.508584124419315</v>
      </c>
      <c r="R489" s="16">
        <v>317.02127659574484</v>
      </c>
      <c r="S489" s="16">
        <v>837.3493975903616</v>
      </c>
      <c r="T489" s="16">
        <v>281.71745152354583</v>
      </c>
      <c r="U489" s="17">
        <v>437.5271149674636</v>
      </c>
    </row>
    <row r="490" spans="3:21" x14ac:dyDescent="0.3">
      <c r="C490" s="66"/>
      <c r="D490" s="70" t="s">
        <v>28</v>
      </c>
      <c r="E490" s="40" t="s">
        <v>24</v>
      </c>
      <c r="F490" s="30">
        <v>5.14</v>
      </c>
      <c r="G490" s="31">
        <v>3.27</v>
      </c>
      <c r="H490" s="31">
        <v>2.9</v>
      </c>
      <c r="I490" s="31">
        <v>1.94</v>
      </c>
      <c r="J490" s="31">
        <v>1.81</v>
      </c>
      <c r="K490" s="31">
        <v>3.93</v>
      </c>
      <c r="L490" s="31">
        <v>2.65</v>
      </c>
      <c r="M490" s="32">
        <v>1.66</v>
      </c>
      <c r="N490" s="30">
        <v>5.14</v>
      </c>
      <c r="O490" s="31">
        <v>3.27</v>
      </c>
      <c r="P490" s="31">
        <v>2.9</v>
      </c>
      <c r="Q490" s="31">
        <v>1.94</v>
      </c>
      <c r="R490" s="31">
        <v>1.81</v>
      </c>
      <c r="S490" s="31">
        <v>3.93</v>
      </c>
      <c r="T490" s="31">
        <v>2.65</v>
      </c>
      <c r="U490" s="32">
        <v>1.66</v>
      </c>
    </row>
    <row r="491" spans="3:21" x14ac:dyDescent="0.3">
      <c r="C491" s="66"/>
      <c r="D491" s="70"/>
      <c r="E491" s="39" t="s">
        <v>25</v>
      </c>
      <c r="F491" s="15">
        <v>4.2900000000000009</v>
      </c>
      <c r="G491" s="16">
        <v>2.633461538461539</v>
      </c>
      <c r="H491" s="16">
        <v>2.525789473684211</v>
      </c>
      <c r="I491" s="16">
        <v>-2.4659090909090904</v>
      </c>
      <c r="J491" s="16">
        <v>1.387636363636364</v>
      </c>
      <c r="K491" s="16">
        <v>3.5170212765957451</v>
      </c>
      <c r="L491" s="16">
        <v>1.9536538461538471</v>
      </c>
      <c r="M491" s="17">
        <v>1.3477586206896559</v>
      </c>
      <c r="N491" s="15">
        <v>4.3071428571428578</v>
      </c>
      <c r="O491" s="16">
        <v>2.6752941176470593</v>
      </c>
      <c r="P491" s="16">
        <v>2.525517241379311</v>
      </c>
      <c r="Q491" s="16">
        <v>-2.4608888888888898</v>
      </c>
      <c r="R491" s="16">
        <v>1.3903571428571431</v>
      </c>
      <c r="S491" s="16">
        <v>3.5150000000000001</v>
      </c>
      <c r="T491" s="16">
        <v>1.9557692307692309</v>
      </c>
      <c r="U491" s="17">
        <v>1.3474576271186449</v>
      </c>
    </row>
    <row r="492" spans="3:21" ht="15" thickBot="1" x14ac:dyDescent="0.35">
      <c r="C492" s="67"/>
      <c r="D492" s="74"/>
      <c r="E492" s="41" t="s">
        <v>26</v>
      </c>
      <c r="F492" s="18">
        <v>504.7058823529419</v>
      </c>
      <c r="G492" s="19">
        <v>413.71601208459248</v>
      </c>
      <c r="H492" s="19">
        <v>674.96483825597852</v>
      </c>
      <c r="I492" s="19">
        <v>-55.968224491901367</v>
      </c>
      <c r="J492" s="19">
        <v>328.54068015497239</v>
      </c>
      <c r="K492" s="19">
        <v>851.62287480680141</v>
      </c>
      <c r="L492" s="19">
        <v>280.55785694559563</v>
      </c>
      <c r="M492" s="20">
        <v>431.63997791275676</v>
      </c>
      <c r="N492" s="18">
        <v>517.15265866209324</v>
      </c>
      <c r="O492" s="19">
        <v>449.85163204747795</v>
      </c>
      <c r="P492" s="19">
        <v>674.40147329650222</v>
      </c>
      <c r="Q492" s="19">
        <v>-55.91799636437085</v>
      </c>
      <c r="R492" s="19">
        <v>331.31914893617039</v>
      </c>
      <c r="S492" s="19">
        <v>846.98795180722891</v>
      </c>
      <c r="T492" s="19">
        <v>281.71745152354583</v>
      </c>
      <c r="U492" s="20">
        <v>431.12798264642242</v>
      </c>
    </row>
    <row r="495" spans="3:21" ht="15" thickBot="1" x14ac:dyDescent="0.35"/>
    <row r="496" spans="3:21" ht="15" thickBot="1" x14ac:dyDescent="0.35">
      <c r="C496" s="77" t="s">
        <v>54</v>
      </c>
      <c r="D496" s="77"/>
      <c r="E496" s="78"/>
      <c r="F496" s="79" t="s">
        <v>1</v>
      </c>
      <c r="G496" s="80"/>
      <c r="H496" s="80"/>
      <c r="I496" s="80"/>
      <c r="J496" s="80"/>
      <c r="K496" s="80"/>
      <c r="L496" s="80"/>
      <c r="M496" s="81"/>
      <c r="N496" s="75" t="s">
        <v>2</v>
      </c>
      <c r="O496" s="75"/>
      <c r="P496" s="75"/>
      <c r="Q496" s="75"/>
      <c r="R496" s="75"/>
      <c r="S496" s="75"/>
      <c r="T496" s="75"/>
      <c r="U496" s="76"/>
    </row>
    <row r="497" spans="3:21" ht="29.4" thickBot="1" x14ac:dyDescent="0.35">
      <c r="C497" s="5" t="s">
        <v>10</v>
      </c>
      <c r="D497" s="4" t="s">
        <v>11</v>
      </c>
      <c r="E497" s="3"/>
      <c r="F497" s="6" t="s">
        <v>12</v>
      </c>
      <c r="G497" s="7" t="s">
        <v>13</v>
      </c>
      <c r="H497" s="7" t="s">
        <v>14</v>
      </c>
      <c r="I497" s="7" t="s">
        <v>15</v>
      </c>
      <c r="J497" s="7" t="s">
        <v>16</v>
      </c>
      <c r="K497" s="7" t="s">
        <v>17</v>
      </c>
      <c r="L497" s="7" t="s">
        <v>18</v>
      </c>
      <c r="M497" s="8" t="s">
        <v>19</v>
      </c>
      <c r="N497" s="6" t="s">
        <v>12</v>
      </c>
      <c r="O497" s="7" t="s">
        <v>13</v>
      </c>
      <c r="P497" s="7" t="s">
        <v>14</v>
      </c>
      <c r="Q497" s="7" t="s">
        <v>15</v>
      </c>
      <c r="R497" s="7" t="s">
        <v>16</v>
      </c>
      <c r="S497" s="7" t="s">
        <v>17</v>
      </c>
      <c r="T497" s="7" t="s">
        <v>18</v>
      </c>
      <c r="U497" s="8" t="s">
        <v>19</v>
      </c>
    </row>
    <row r="498" spans="3:21" x14ac:dyDescent="0.3">
      <c r="C498" s="65">
        <v>1</v>
      </c>
      <c r="D498" s="71" t="s">
        <v>20</v>
      </c>
      <c r="E498" s="72"/>
      <c r="F498" s="21">
        <v>1.85372881355932</v>
      </c>
      <c r="G498" s="22">
        <v>0.44661016949152499</v>
      </c>
      <c r="H498" s="22">
        <v>0.26779661016949102</v>
      </c>
      <c r="I498" s="22">
        <v>3.2686206896551702</v>
      </c>
      <c r="J498" s="22">
        <v>7.9101694915254201</v>
      </c>
      <c r="K498" s="22">
        <v>3.2974576271186402</v>
      </c>
      <c r="L498" s="22">
        <v>0.71372881355932205</v>
      </c>
      <c r="M498" s="23">
        <v>2.8864000000000001</v>
      </c>
      <c r="N498" s="21">
        <v>1.85049999999999</v>
      </c>
      <c r="O498" s="22">
        <v>0.44666666666666599</v>
      </c>
      <c r="P498" s="22">
        <v>0.27783333333333299</v>
      </c>
      <c r="Q498" s="22">
        <v>3.2679661016949102</v>
      </c>
      <c r="R498" s="22">
        <v>7.9289999999999896</v>
      </c>
      <c r="S498" s="22">
        <v>3.2690000000000001</v>
      </c>
      <c r="T498" s="22">
        <v>0.70133333333333303</v>
      </c>
      <c r="U498" s="23">
        <v>2.88071428571428</v>
      </c>
    </row>
    <row r="499" spans="3:21" ht="15" customHeight="1" x14ac:dyDescent="0.3">
      <c r="C499" s="66"/>
      <c r="D499" s="68" t="s">
        <v>21</v>
      </c>
      <c r="E499" s="69"/>
      <c r="F499" s="24">
        <v>0.33745256191450101</v>
      </c>
      <c r="G499" s="25">
        <v>2.3907318891532799E-2</v>
      </c>
      <c r="H499" s="25">
        <v>0.19961885543739599</v>
      </c>
      <c r="I499" s="25">
        <v>0.74914767264806104</v>
      </c>
      <c r="J499" s="25">
        <v>0.68142794121552797</v>
      </c>
      <c r="K499" s="25">
        <v>0.69497614450056999</v>
      </c>
      <c r="L499" s="25">
        <v>0.24231159590238699</v>
      </c>
      <c r="M499" s="26">
        <v>1.55823459081102</v>
      </c>
      <c r="N499" s="24">
        <v>0.30294347657607601</v>
      </c>
      <c r="O499" s="25">
        <v>2.3711225658371599E-2</v>
      </c>
      <c r="P499" s="25">
        <v>0.20711584251867801</v>
      </c>
      <c r="Q499" s="25">
        <v>0.83025783142799403</v>
      </c>
      <c r="R499" s="25">
        <v>0.657778331456223</v>
      </c>
      <c r="S499" s="25">
        <v>0.69426867997915598</v>
      </c>
      <c r="T499" s="25">
        <v>0.24435265953580701</v>
      </c>
      <c r="U499" s="26">
        <v>1.5336020357581699</v>
      </c>
    </row>
    <row r="500" spans="3:21" ht="15" customHeight="1" x14ac:dyDescent="0.3">
      <c r="C500" s="66"/>
      <c r="D500" s="68" t="s">
        <v>22</v>
      </c>
      <c r="E500" s="69"/>
      <c r="F500" s="33">
        <v>1.7112765957446801</v>
      </c>
      <c r="G500" s="34">
        <v>0.44999999999999901</v>
      </c>
      <c r="H500" s="34">
        <v>0.18</v>
      </c>
      <c r="I500" s="34">
        <v>3.3387234042553202</v>
      </c>
      <c r="J500" s="34">
        <v>7.8799999999999901</v>
      </c>
      <c r="K500" s="34">
        <v>3.4897297297297301</v>
      </c>
      <c r="L500" s="34">
        <v>0.84733333333333405</v>
      </c>
      <c r="M500" s="35">
        <v>3.7053333333333298</v>
      </c>
      <c r="N500" s="33">
        <v>1.71723404255319</v>
      </c>
      <c r="O500" s="34">
        <v>0.44999999999999901</v>
      </c>
      <c r="P500" s="34">
        <v>0.17595744680851</v>
      </c>
      <c r="Q500" s="34">
        <v>3.3354545454545401</v>
      </c>
      <c r="R500" s="34">
        <v>7.8799999999999901</v>
      </c>
      <c r="S500" s="34">
        <v>3.4464999999999999</v>
      </c>
      <c r="T500" s="34">
        <v>0.84727272727272795</v>
      </c>
      <c r="U500" s="35">
        <v>3.7844444444444401</v>
      </c>
    </row>
    <row r="501" spans="3:21" x14ac:dyDescent="0.3">
      <c r="C501" s="66"/>
      <c r="D501" s="73" t="s">
        <v>23</v>
      </c>
      <c r="E501" s="38" t="s">
        <v>24</v>
      </c>
      <c r="F501" s="27">
        <v>3.8</v>
      </c>
      <c r="G501" s="28">
        <v>2.5</v>
      </c>
      <c r="H501" s="28">
        <v>4.05</v>
      </c>
      <c r="I501" s="28">
        <v>3.84</v>
      </c>
      <c r="J501" s="28">
        <v>2.25</v>
      </c>
      <c r="K501" s="28">
        <v>4.26</v>
      </c>
      <c r="L501" s="28">
        <v>1.27</v>
      </c>
      <c r="M501" s="29">
        <v>1.64</v>
      </c>
      <c r="N501" s="27">
        <v>3.8</v>
      </c>
      <c r="O501" s="28">
        <v>2.5</v>
      </c>
      <c r="P501" s="28">
        <v>4.05</v>
      </c>
      <c r="Q501" s="28">
        <v>3.84</v>
      </c>
      <c r="R501" s="28">
        <v>2.25</v>
      </c>
      <c r="S501" s="28">
        <v>4.26</v>
      </c>
      <c r="T501" s="28">
        <v>1.27</v>
      </c>
      <c r="U501" s="29">
        <v>1.64</v>
      </c>
    </row>
    <row r="502" spans="3:21" x14ac:dyDescent="0.3">
      <c r="C502" s="66"/>
      <c r="D502" s="70"/>
      <c r="E502" s="39" t="s">
        <v>25</v>
      </c>
      <c r="F502" s="9">
        <v>2.0887234042553198</v>
      </c>
      <c r="G502" s="10">
        <v>2.0500000000000012</v>
      </c>
      <c r="H502" s="10">
        <v>3.8699999999999997</v>
      </c>
      <c r="I502" s="10">
        <v>0.50127659574467964</v>
      </c>
      <c r="J502" s="10">
        <v>-5.6299999999999901</v>
      </c>
      <c r="K502" s="10">
        <v>0.77027027027026973</v>
      </c>
      <c r="L502" s="10">
        <v>0.42266666666666597</v>
      </c>
      <c r="M502" s="11">
        <v>-2.0653333333333297</v>
      </c>
      <c r="N502" s="9">
        <v>2.08276595744681</v>
      </c>
      <c r="O502" s="10">
        <v>2.0500000000000012</v>
      </c>
      <c r="P502" s="10">
        <v>3.8740425531914897</v>
      </c>
      <c r="Q502" s="10">
        <v>0.50454545454545974</v>
      </c>
      <c r="R502" s="10">
        <v>-5.6299999999999901</v>
      </c>
      <c r="S502" s="10">
        <v>0.81349999999999989</v>
      </c>
      <c r="T502" s="10">
        <v>0.42272727272727206</v>
      </c>
      <c r="U502" s="11">
        <v>-2.1444444444444404</v>
      </c>
    </row>
    <row r="503" spans="3:21" x14ac:dyDescent="0.3">
      <c r="C503" s="66"/>
      <c r="D503" s="70"/>
      <c r="E503" s="39" t="s">
        <v>26</v>
      </c>
      <c r="F503" s="9">
        <v>122.05644659952763</v>
      </c>
      <c r="G503" s="10">
        <v>455.55555555555679</v>
      </c>
      <c r="H503" s="10">
        <v>2150</v>
      </c>
      <c r="I503" s="10">
        <v>15.014019882742758</v>
      </c>
      <c r="J503" s="10">
        <v>-71.446700507614182</v>
      </c>
      <c r="K503" s="10">
        <v>22.072490706319687</v>
      </c>
      <c r="L503" s="10">
        <v>49.881982690794523</v>
      </c>
      <c r="M503" s="11">
        <v>-55.739474631162246</v>
      </c>
      <c r="N503" s="9">
        <v>121.28608598686674</v>
      </c>
      <c r="O503" s="10">
        <v>455.55555555555679</v>
      </c>
      <c r="P503" s="10">
        <v>2201.6928657799358</v>
      </c>
      <c r="Q503" s="10">
        <v>15.126737530662485</v>
      </c>
      <c r="R503" s="10">
        <v>-71.446700507614182</v>
      </c>
      <c r="S503" s="10">
        <v>23.603655882779627</v>
      </c>
      <c r="T503" s="10">
        <v>49.892703862660824</v>
      </c>
      <c r="U503" s="11">
        <v>-56.664709336465023</v>
      </c>
    </row>
    <row r="504" spans="3:21" x14ac:dyDescent="0.3">
      <c r="C504" s="66"/>
      <c r="D504" s="70" t="s">
        <v>27</v>
      </c>
      <c r="E504" s="40" t="s">
        <v>24</v>
      </c>
      <c r="F504" s="27">
        <v>3.62</v>
      </c>
      <c r="G504" s="28">
        <v>2.38</v>
      </c>
      <c r="H504" s="28">
        <v>3.96</v>
      </c>
      <c r="I504" s="28">
        <v>3.68</v>
      </c>
      <c r="J504" s="28">
        <v>2.14</v>
      </c>
      <c r="K504" s="28">
        <v>4.1100000000000003</v>
      </c>
      <c r="L504" s="28">
        <v>1.1399999999999999</v>
      </c>
      <c r="M504" s="29">
        <v>1.5</v>
      </c>
      <c r="N504" s="27">
        <v>3.62</v>
      </c>
      <c r="O504" s="28">
        <v>2.38</v>
      </c>
      <c r="P504" s="28">
        <v>3.96</v>
      </c>
      <c r="Q504" s="28">
        <v>3.68</v>
      </c>
      <c r="R504" s="28">
        <v>2.14</v>
      </c>
      <c r="S504" s="28">
        <v>4.1100000000000003</v>
      </c>
      <c r="T504" s="28">
        <v>1.1399999999999999</v>
      </c>
      <c r="U504" s="29">
        <v>1.5</v>
      </c>
    </row>
    <row r="505" spans="3:21" x14ac:dyDescent="0.3">
      <c r="C505" s="66"/>
      <c r="D505" s="70"/>
      <c r="E505" s="39" t="s">
        <v>25</v>
      </c>
      <c r="F505" s="9">
        <v>1.9087234042553201</v>
      </c>
      <c r="G505" s="10">
        <v>1.9300000000000008</v>
      </c>
      <c r="H505" s="10">
        <v>3.78</v>
      </c>
      <c r="I505" s="10">
        <v>0.34127659574467994</v>
      </c>
      <c r="J505" s="10">
        <v>-5.7399999999999896</v>
      </c>
      <c r="K505" s="10">
        <v>0.62027027027027026</v>
      </c>
      <c r="L505" s="10">
        <v>0.29266666666666585</v>
      </c>
      <c r="M505" s="11">
        <v>-2.2053333333333298</v>
      </c>
      <c r="N505" s="9">
        <v>1.9027659574468101</v>
      </c>
      <c r="O505" s="10">
        <v>1.9300000000000008</v>
      </c>
      <c r="P505" s="10">
        <v>3.7840425531914899</v>
      </c>
      <c r="Q505" s="10">
        <v>0.34454545454546004</v>
      </c>
      <c r="R505" s="10">
        <v>-5.7399999999999896</v>
      </c>
      <c r="S505" s="10">
        <v>0.66350000000000042</v>
      </c>
      <c r="T505" s="10">
        <v>0.29272727272727195</v>
      </c>
      <c r="U505" s="11">
        <v>-2.2844444444444401</v>
      </c>
    </row>
    <row r="506" spans="3:21" x14ac:dyDescent="0.3">
      <c r="C506" s="66"/>
      <c r="D506" s="70"/>
      <c r="E506" s="39" t="s">
        <v>26</v>
      </c>
      <c r="F506" s="9">
        <v>111.53798333955002</v>
      </c>
      <c r="G506" s="10">
        <v>428.88888888889005</v>
      </c>
      <c r="H506" s="10">
        <v>2100</v>
      </c>
      <c r="I506" s="10">
        <v>10.221769054295152</v>
      </c>
      <c r="J506" s="10">
        <v>-72.842639593908586</v>
      </c>
      <c r="K506" s="10">
        <v>17.774163568773233</v>
      </c>
      <c r="L506" s="10">
        <v>34.539732494099006</v>
      </c>
      <c r="M506" s="11">
        <v>-59.517812162648397</v>
      </c>
      <c r="N506" s="9">
        <v>110.80411349275201</v>
      </c>
      <c r="O506" s="10">
        <v>428.88888888889005</v>
      </c>
      <c r="P506" s="10">
        <v>2150.5441354292707</v>
      </c>
      <c r="Q506" s="10">
        <v>10.329790133551557</v>
      </c>
      <c r="R506" s="10">
        <v>-72.842639593908586</v>
      </c>
      <c r="S506" s="10">
        <v>19.251414478456418</v>
      </c>
      <c r="T506" s="10">
        <v>34.549356223175849</v>
      </c>
      <c r="U506" s="11">
        <v>-60.364063417498478</v>
      </c>
    </row>
    <row r="507" spans="3:21" x14ac:dyDescent="0.3">
      <c r="C507" s="66"/>
      <c r="D507" s="70" t="s">
        <v>28</v>
      </c>
      <c r="E507" s="40" t="s">
        <v>24</v>
      </c>
      <c r="F507" s="27">
        <v>3.55</v>
      </c>
      <c r="G507" s="28">
        <v>2.44</v>
      </c>
      <c r="H507" s="28">
        <v>3.99</v>
      </c>
      <c r="I507" s="28">
        <v>3.75</v>
      </c>
      <c r="J507" s="28">
        <v>2.2000000000000002</v>
      </c>
      <c r="K507" s="28">
        <v>4.25</v>
      </c>
      <c r="L507" s="28">
        <v>1.1599999999999999</v>
      </c>
      <c r="M507" s="29">
        <v>1.51</v>
      </c>
      <c r="N507" s="27">
        <v>3.55</v>
      </c>
      <c r="O507" s="28">
        <v>2.44</v>
      </c>
      <c r="P507" s="28">
        <v>3.99</v>
      </c>
      <c r="Q507" s="28">
        <v>3.75</v>
      </c>
      <c r="R507" s="28">
        <v>2.2000000000000002</v>
      </c>
      <c r="S507" s="28">
        <v>4.25</v>
      </c>
      <c r="T507" s="28">
        <v>1.1599999999999999</v>
      </c>
      <c r="U507" s="29">
        <v>1.51</v>
      </c>
    </row>
    <row r="508" spans="3:21" x14ac:dyDescent="0.3">
      <c r="C508" s="66"/>
      <c r="D508" s="70"/>
      <c r="E508" s="39" t="s">
        <v>25</v>
      </c>
      <c r="F508" s="9">
        <v>1.8387234042553198</v>
      </c>
      <c r="G508" s="10">
        <v>1.9900000000000009</v>
      </c>
      <c r="H508" s="10">
        <v>3.81</v>
      </c>
      <c r="I508" s="10">
        <v>0.41127659574467978</v>
      </c>
      <c r="J508" s="10">
        <v>-5.6799999999999899</v>
      </c>
      <c r="K508" s="10">
        <v>0.76027027027026994</v>
      </c>
      <c r="L508" s="10">
        <v>0.31266666666666587</v>
      </c>
      <c r="M508" s="11">
        <v>-2.1953333333333296</v>
      </c>
      <c r="N508" s="9">
        <v>1.8327659574468098</v>
      </c>
      <c r="O508" s="10">
        <v>1.9900000000000009</v>
      </c>
      <c r="P508" s="10">
        <v>3.8140425531914901</v>
      </c>
      <c r="Q508" s="10">
        <v>0.41454545454545988</v>
      </c>
      <c r="R508" s="10">
        <v>-5.6799999999999899</v>
      </c>
      <c r="S508" s="10">
        <v>0.8035000000000001</v>
      </c>
      <c r="T508" s="10">
        <v>0.31272727272727197</v>
      </c>
      <c r="U508" s="11">
        <v>-2.2744444444444403</v>
      </c>
    </row>
    <row r="509" spans="3:21" ht="15" thickBot="1" x14ac:dyDescent="0.35">
      <c r="C509" s="66"/>
      <c r="D509" s="74"/>
      <c r="E509" s="41" t="s">
        <v>26</v>
      </c>
      <c r="F509" s="12">
        <v>107.4474698495587</v>
      </c>
      <c r="G509" s="13">
        <v>442.22222222222342</v>
      </c>
      <c r="H509" s="13">
        <v>2116.666666666667</v>
      </c>
      <c r="I509" s="13">
        <v>12.318378791740979</v>
      </c>
      <c r="J509" s="13">
        <v>-72.081218274111635</v>
      </c>
      <c r="K509" s="13">
        <v>21.785935563816594</v>
      </c>
      <c r="L509" s="13">
        <v>36.900078678206008</v>
      </c>
      <c r="M509" s="14">
        <v>-59.247930910399383</v>
      </c>
      <c r="N509" s="12">
        <v>106.72779085615183</v>
      </c>
      <c r="O509" s="13">
        <v>442.22222222222342</v>
      </c>
      <c r="P509" s="13">
        <v>2167.5937122128257</v>
      </c>
      <c r="Q509" s="13">
        <v>12.428454619787587</v>
      </c>
      <c r="R509" s="13">
        <v>-72.081218274111635</v>
      </c>
      <c r="S509" s="13">
        <v>23.313506455824754</v>
      </c>
      <c r="T509" s="13">
        <v>36.90987124463507</v>
      </c>
      <c r="U509" s="14">
        <v>-60.099823840281822</v>
      </c>
    </row>
    <row r="510" spans="3:21" x14ac:dyDescent="0.3">
      <c r="C510" s="65">
        <v>2</v>
      </c>
      <c r="D510" s="71" t="s">
        <v>20</v>
      </c>
      <c r="E510" s="72"/>
      <c r="F510" s="21">
        <v>1.8915254237288099</v>
      </c>
      <c r="G510" s="22">
        <v>0.446949152542372</v>
      </c>
      <c r="H510" s="22">
        <v>0.27355932203389799</v>
      </c>
      <c r="I510" s="22">
        <v>3.4031034482758602</v>
      </c>
      <c r="J510" s="22">
        <v>7.9140677966101602</v>
      </c>
      <c r="K510" s="22">
        <v>3.2255932203389799</v>
      </c>
      <c r="L510" s="22">
        <v>0.69508474576271195</v>
      </c>
      <c r="M510" s="23">
        <v>2.9559999999999902</v>
      </c>
      <c r="N510" s="21">
        <v>1.9124999999999901</v>
      </c>
      <c r="O510" s="22">
        <v>0.44599999999999901</v>
      </c>
      <c r="P510" s="22">
        <v>0.27933333333333299</v>
      </c>
      <c r="Q510" s="22">
        <v>3.4459322033898299</v>
      </c>
      <c r="R510" s="22">
        <v>7.9328333333333303</v>
      </c>
      <c r="S510" s="22">
        <v>3.2311666666666601</v>
      </c>
      <c r="T510" s="22">
        <v>0.68816666666666704</v>
      </c>
      <c r="U510" s="23">
        <v>3.0851851851851801</v>
      </c>
    </row>
    <row r="511" spans="3:21" ht="15" customHeight="1" x14ac:dyDescent="0.3">
      <c r="C511" s="66"/>
      <c r="D511" s="68" t="s">
        <v>21</v>
      </c>
      <c r="E511" s="69"/>
      <c r="F511" s="24">
        <v>0.35208730407757799</v>
      </c>
      <c r="G511" s="25">
        <v>2.7262331203909199E-2</v>
      </c>
      <c r="H511" s="25">
        <v>0.20051427703396901</v>
      </c>
      <c r="I511" s="25">
        <v>0.687590011403025</v>
      </c>
      <c r="J511" s="25">
        <v>0.740874697528211</v>
      </c>
      <c r="K511" s="25">
        <v>0.77450973270561996</v>
      </c>
      <c r="L511" s="25">
        <v>0.247114691558914</v>
      </c>
      <c r="M511" s="26">
        <v>1.7337681505899201</v>
      </c>
      <c r="N511" s="24">
        <v>0.35629868088445099</v>
      </c>
      <c r="O511" s="25">
        <v>2.79999999999999E-2</v>
      </c>
      <c r="P511" s="25">
        <v>0.203722578250151</v>
      </c>
      <c r="Q511" s="25">
        <v>0.70481905033044001</v>
      </c>
      <c r="R511" s="25">
        <v>0.71810187686396898</v>
      </c>
      <c r="S511" s="25">
        <v>0.76922058315905395</v>
      </c>
      <c r="T511" s="25">
        <v>0.25074217612696997</v>
      </c>
      <c r="U511" s="26">
        <v>1.65993835309532</v>
      </c>
    </row>
    <row r="512" spans="3:21" ht="15" customHeight="1" x14ac:dyDescent="0.3">
      <c r="C512" s="66"/>
      <c r="D512" s="68" t="s">
        <v>22</v>
      </c>
      <c r="E512" s="69"/>
      <c r="F512" s="33">
        <v>1.7811999999999899</v>
      </c>
      <c r="G512" s="34">
        <v>0.44999999999999901</v>
      </c>
      <c r="H512" s="34">
        <v>0.163333333333333</v>
      </c>
      <c r="I512" s="34">
        <v>3.3113043478260802</v>
      </c>
      <c r="J512" s="34">
        <v>7.8799999999999901</v>
      </c>
      <c r="K512" s="34">
        <v>3.40738095238095</v>
      </c>
      <c r="L512" s="34">
        <v>0.84441860465116303</v>
      </c>
      <c r="M512" s="35">
        <v>3.4224999999999999</v>
      </c>
      <c r="N512" s="33">
        <v>1.79239999999999</v>
      </c>
      <c r="O512" s="34">
        <v>0.44999999999999901</v>
      </c>
      <c r="P512" s="34">
        <v>0.163333333333333</v>
      </c>
      <c r="Q512" s="34">
        <v>3.33391304347826</v>
      </c>
      <c r="R512" s="34">
        <v>7.8799999999999901</v>
      </c>
      <c r="S512" s="34">
        <v>3.4109302325581399</v>
      </c>
      <c r="T512" s="34">
        <v>0.84441860465116303</v>
      </c>
      <c r="U512" s="35">
        <v>3.42133333333333</v>
      </c>
    </row>
    <row r="513" spans="3:21" x14ac:dyDescent="0.3">
      <c r="C513" s="66"/>
      <c r="D513" s="73" t="s">
        <v>23</v>
      </c>
      <c r="E513" s="38" t="s">
        <v>24</v>
      </c>
      <c r="F513" s="27">
        <v>3.8</v>
      </c>
      <c r="G513" s="28">
        <v>2.5</v>
      </c>
      <c r="H513" s="28">
        <v>4.05</v>
      </c>
      <c r="I513" s="28">
        <v>3.84</v>
      </c>
      <c r="J513" s="28">
        <v>2.25</v>
      </c>
      <c r="K513" s="28">
        <v>4.26</v>
      </c>
      <c r="L513" s="28">
        <v>1.27</v>
      </c>
      <c r="M513" s="29">
        <v>1.64</v>
      </c>
      <c r="N513" s="27">
        <v>3.8</v>
      </c>
      <c r="O513" s="28">
        <v>2.5</v>
      </c>
      <c r="P513" s="28">
        <v>4.05</v>
      </c>
      <c r="Q513" s="28">
        <v>3.84</v>
      </c>
      <c r="R513" s="28">
        <v>2.25</v>
      </c>
      <c r="S513" s="28">
        <v>4.26</v>
      </c>
      <c r="T513" s="28">
        <v>1.27</v>
      </c>
      <c r="U513" s="29">
        <v>1.64</v>
      </c>
    </row>
    <row r="514" spans="3:21" x14ac:dyDescent="0.3">
      <c r="C514" s="66"/>
      <c r="D514" s="70"/>
      <c r="E514" s="39" t="s">
        <v>25</v>
      </c>
      <c r="F514" s="9">
        <v>2.0188000000000099</v>
      </c>
      <c r="G514" s="10">
        <v>2.0500000000000012</v>
      </c>
      <c r="H514" s="10">
        <v>3.8866666666666667</v>
      </c>
      <c r="I514" s="10">
        <v>0.52869565217391967</v>
      </c>
      <c r="J514" s="10">
        <v>-5.6299999999999901</v>
      </c>
      <c r="K514" s="10">
        <v>0.85261904761904983</v>
      </c>
      <c r="L514" s="10">
        <v>0.42558139534883699</v>
      </c>
      <c r="M514" s="11">
        <v>-1.7825</v>
      </c>
      <c r="N514" s="9">
        <v>2.0076000000000098</v>
      </c>
      <c r="O514" s="10">
        <v>2.0500000000000012</v>
      </c>
      <c r="P514" s="10">
        <v>3.8866666666666667</v>
      </c>
      <c r="Q514" s="10">
        <v>0.50608695652173985</v>
      </c>
      <c r="R514" s="10">
        <v>-5.6299999999999901</v>
      </c>
      <c r="S514" s="10">
        <v>0.84906976744185991</v>
      </c>
      <c r="T514" s="10">
        <v>0.42558139534883699</v>
      </c>
      <c r="U514" s="11">
        <v>-1.7813333333333301</v>
      </c>
    </row>
    <row r="515" spans="3:21" x14ac:dyDescent="0.3">
      <c r="C515" s="66"/>
      <c r="D515" s="70"/>
      <c r="E515" s="39" t="s">
        <v>26</v>
      </c>
      <c r="F515" s="9">
        <v>113.33932180552557</v>
      </c>
      <c r="G515" s="10">
        <v>455.55555555555679</v>
      </c>
      <c r="H515" s="10">
        <v>2379.591836734699</v>
      </c>
      <c r="I515" s="10">
        <v>15.96638655462208</v>
      </c>
      <c r="J515" s="10">
        <v>-71.446700507614182</v>
      </c>
      <c r="K515" s="10">
        <v>25.022709803647626</v>
      </c>
      <c r="L515" s="10">
        <v>50.399339025061927</v>
      </c>
      <c r="M515" s="11">
        <v>-52.081811541271009</v>
      </c>
      <c r="N515" s="9">
        <v>112.00624860522322</v>
      </c>
      <c r="O515" s="10">
        <v>455.55555555555679</v>
      </c>
      <c r="P515" s="10">
        <v>2379.591836734699</v>
      </c>
      <c r="Q515" s="10">
        <v>15.179968701095486</v>
      </c>
      <c r="R515" s="10">
        <v>-71.446700507614182</v>
      </c>
      <c r="S515" s="10">
        <v>24.892616076907327</v>
      </c>
      <c r="T515" s="10">
        <v>50.399339025061927</v>
      </c>
      <c r="U515" s="11">
        <v>-52.065471551052177</v>
      </c>
    </row>
    <row r="516" spans="3:21" x14ac:dyDescent="0.3">
      <c r="C516" s="66"/>
      <c r="D516" s="70" t="s">
        <v>27</v>
      </c>
      <c r="E516" s="40" t="s">
        <v>24</v>
      </c>
      <c r="F516" s="27">
        <v>3.62</v>
      </c>
      <c r="G516" s="28">
        <v>2.38</v>
      </c>
      <c r="H516" s="28">
        <v>3.96</v>
      </c>
      <c r="I516" s="28">
        <v>3.68</v>
      </c>
      <c r="J516" s="28">
        <v>2.14</v>
      </c>
      <c r="K516" s="28">
        <v>4.1100000000000003</v>
      </c>
      <c r="L516" s="28">
        <v>1.1399999999999999</v>
      </c>
      <c r="M516" s="29">
        <v>1.5</v>
      </c>
      <c r="N516" s="27">
        <v>3.62</v>
      </c>
      <c r="O516" s="28">
        <v>2.38</v>
      </c>
      <c r="P516" s="28">
        <v>3.96</v>
      </c>
      <c r="Q516" s="28">
        <v>3.68</v>
      </c>
      <c r="R516" s="28">
        <v>2.14</v>
      </c>
      <c r="S516" s="28">
        <v>4.1100000000000003</v>
      </c>
      <c r="T516" s="28">
        <v>1.1399999999999999</v>
      </c>
      <c r="U516" s="29">
        <v>1.5</v>
      </c>
    </row>
    <row r="517" spans="3:21" x14ac:dyDescent="0.3">
      <c r="C517" s="66"/>
      <c r="D517" s="70"/>
      <c r="E517" s="39" t="s">
        <v>25</v>
      </c>
      <c r="F517" s="9">
        <v>1.8388000000000102</v>
      </c>
      <c r="G517" s="10">
        <v>1.9300000000000008</v>
      </c>
      <c r="H517" s="10">
        <v>3.7966666666666669</v>
      </c>
      <c r="I517" s="10">
        <v>0.36869565217391997</v>
      </c>
      <c r="J517" s="10">
        <v>-5.7399999999999896</v>
      </c>
      <c r="K517" s="10">
        <v>0.70261904761905036</v>
      </c>
      <c r="L517" s="10">
        <v>0.29558139534883687</v>
      </c>
      <c r="M517" s="11">
        <v>-1.9224999999999999</v>
      </c>
      <c r="N517" s="9">
        <v>1.8276000000000101</v>
      </c>
      <c r="O517" s="10">
        <v>1.9300000000000008</v>
      </c>
      <c r="P517" s="10">
        <v>3.7966666666666669</v>
      </c>
      <c r="Q517" s="10">
        <v>0.34608695652174015</v>
      </c>
      <c r="R517" s="10">
        <v>-5.7399999999999896</v>
      </c>
      <c r="S517" s="10">
        <v>0.69906976744186045</v>
      </c>
      <c r="T517" s="10">
        <v>0.29558139534883687</v>
      </c>
      <c r="U517" s="11">
        <v>-1.92133333333333</v>
      </c>
    </row>
    <row r="518" spans="3:21" x14ac:dyDescent="0.3">
      <c r="C518" s="66"/>
      <c r="D518" s="70"/>
      <c r="E518" s="39" t="s">
        <v>26</v>
      </c>
      <c r="F518" s="9">
        <v>103.23377498315858</v>
      </c>
      <c r="G518" s="10">
        <v>428.88888888889005</v>
      </c>
      <c r="H518" s="10">
        <v>2324.4897959183722</v>
      </c>
      <c r="I518" s="10">
        <v>11.134453781512837</v>
      </c>
      <c r="J518" s="10">
        <v>-72.842639593908586</v>
      </c>
      <c r="K518" s="10">
        <v>20.620501711969908</v>
      </c>
      <c r="L518" s="10">
        <v>35.004131093362659</v>
      </c>
      <c r="M518" s="11">
        <v>-56.17238860482103</v>
      </c>
      <c r="N518" s="9">
        <v>101.96384735550214</v>
      </c>
      <c r="O518" s="10">
        <v>428.88888888889005</v>
      </c>
      <c r="P518" s="10">
        <v>2324.4897959183722</v>
      </c>
      <c r="Q518" s="10">
        <v>10.38080333854985</v>
      </c>
      <c r="R518" s="10">
        <v>-72.842639593908586</v>
      </c>
      <c r="S518" s="10">
        <v>20.494988750255676</v>
      </c>
      <c r="T518" s="10">
        <v>35.004131093362659</v>
      </c>
      <c r="U518" s="11">
        <v>-56.157443491816018</v>
      </c>
    </row>
    <row r="519" spans="3:21" x14ac:dyDescent="0.3">
      <c r="C519" s="66"/>
      <c r="D519" s="70" t="s">
        <v>28</v>
      </c>
      <c r="E519" s="40" t="s">
        <v>24</v>
      </c>
      <c r="F519" s="27">
        <v>3.55</v>
      </c>
      <c r="G519" s="28">
        <v>2.44</v>
      </c>
      <c r="H519" s="28">
        <v>3.99</v>
      </c>
      <c r="I519" s="28">
        <v>3.75</v>
      </c>
      <c r="J519" s="28">
        <v>2.2000000000000002</v>
      </c>
      <c r="K519" s="28">
        <v>4.25</v>
      </c>
      <c r="L519" s="28">
        <v>1.1599999999999999</v>
      </c>
      <c r="M519" s="29">
        <v>1.51</v>
      </c>
      <c r="N519" s="27">
        <v>3.55</v>
      </c>
      <c r="O519" s="28">
        <v>2.44</v>
      </c>
      <c r="P519" s="28">
        <v>3.99</v>
      </c>
      <c r="Q519" s="28">
        <v>3.75</v>
      </c>
      <c r="R519" s="28">
        <v>2.2000000000000002</v>
      </c>
      <c r="S519" s="28">
        <v>4.25</v>
      </c>
      <c r="T519" s="28">
        <v>1.1599999999999999</v>
      </c>
      <c r="U519" s="29">
        <v>1.51</v>
      </c>
    </row>
    <row r="520" spans="3:21" x14ac:dyDescent="0.3">
      <c r="C520" s="66"/>
      <c r="D520" s="70"/>
      <c r="E520" s="39" t="s">
        <v>25</v>
      </c>
      <c r="F520" s="9">
        <v>1.7688000000000099</v>
      </c>
      <c r="G520" s="10">
        <v>1.9900000000000009</v>
      </c>
      <c r="H520" s="10">
        <v>3.8266666666666671</v>
      </c>
      <c r="I520" s="10">
        <v>0.43869565217391981</v>
      </c>
      <c r="J520" s="10">
        <v>-5.6799999999999899</v>
      </c>
      <c r="K520" s="10">
        <v>0.84261904761905004</v>
      </c>
      <c r="L520" s="10">
        <v>0.31558139534883689</v>
      </c>
      <c r="M520" s="11">
        <v>-1.9124999999999999</v>
      </c>
      <c r="N520" s="9">
        <v>1.7576000000000098</v>
      </c>
      <c r="O520" s="10">
        <v>1.9900000000000009</v>
      </c>
      <c r="P520" s="10">
        <v>3.8266666666666671</v>
      </c>
      <c r="Q520" s="10">
        <v>0.41608695652173999</v>
      </c>
      <c r="R520" s="10">
        <v>-5.6799999999999899</v>
      </c>
      <c r="S520" s="10">
        <v>0.83906976744186013</v>
      </c>
      <c r="T520" s="10">
        <v>0.31558139534883689</v>
      </c>
      <c r="U520" s="11">
        <v>-1.91133333333333</v>
      </c>
    </row>
    <row r="521" spans="3:21" ht="15" thickBot="1" x14ac:dyDescent="0.35">
      <c r="C521" s="66"/>
      <c r="D521" s="74"/>
      <c r="E521" s="41" t="s">
        <v>26</v>
      </c>
      <c r="F521" s="12">
        <v>99.303840107793619</v>
      </c>
      <c r="G521" s="13">
        <v>442.22222222222342</v>
      </c>
      <c r="H521" s="13">
        <v>2342.8571428571481</v>
      </c>
      <c r="I521" s="13">
        <v>13.248424369748129</v>
      </c>
      <c r="J521" s="13">
        <v>-72.081218274111635</v>
      </c>
      <c r="K521" s="13">
        <v>24.729229264202452</v>
      </c>
      <c r="L521" s="13">
        <v>37.37262462131639</v>
      </c>
      <c r="M521" s="14">
        <v>-55.88020452885317</v>
      </c>
      <c r="N521" s="12">
        <v>98.05846909172169</v>
      </c>
      <c r="O521" s="13">
        <v>442.22222222222342</v>
      </c>
      <c r="P521" s="13">
        <v>2342.8571428571481</v>
      </c>
      <c r="Q521" s="13">
        <v>12.480438184663566</v>
      </c>
      <c r="R521" s="13">
        <v>-72.081218274111635</v>
      </c>
      <c r="S521" s="13">
        <v>24.599440921797218</v>
      </c>
      <c r="T521" s="13">
        <v>37.37262462131639</v>
      </c>
      <c r="U521" s="14">
        <v>-55.865159781761456</v>
      </c>
    </row>
    <row r="522" spans="3:21" x14ac:dyDescent="0.3">
      <c r="C522" s="65">
        <v>3</v>
      </c>
      <c r="D522" s="71" t="s">
        <v>20</v>
      </c>
      <c r="E522" s="72"/>
      <c r="F522" s="21">
        <v>1.91508474576271</v>
      </c>
      <c r="G522" s="22">
        <v>0.45084745762711798</v>
      </c>
      <c r="H522" s="22">
        <v>0.27813559322033898</v>
      </c>
      <c r="I522" s="22">
        <v>3.4129310344827601</v>
      </c>
      <c r="J522" s="22">
        <v>8.02881355932203</v>
      </c>
      <c r="K522" s="22">
        <v>3.2879661016949102</v>
      </c>
      <c r="L522" s="22">
        <v>0.70898305084745805</v>
      </c>
      <c r="M522" s="23">
        <v>3.4447826086956499</v>
      </c>
      <c r="N522" s="21">
        <v>1.90699999999999</v>
      </c>
      <c r="O522" s="22">
        <v>0.44749999999999901</v>
      </c>
      <c r="P522" s="22">
        <v>0.24533333333333299</v>
      </c>
      <c r="Q522" s="22">
        <v>3.40491525423728</v>
      </c>
      <c r="R522" s="22">
        <v>8.0166666666666604</v>
      </c>
      <c r="S522" s="22">
        <v>3.2978333333333301</v>
      </c>
      <c r="T522" s="22">
        <v>0.73150000000000004</v>
      </c>
      <c r="U522" s="23">
        <v>3.5904761904761902</v>
      </c>
    </row>
    <row r="523" spans="3:21" ht="15" customHeight="1" x14ac:dyDescent="0.3">
      <c r="C523" s="66"/>
      <c r="D523" s="68" t="s">
        <v>21</v>
      </c>
      <c r="E523" s="69"/>
      <c r="F523" s="24">
        <v>0.30043117535176</v>
      </c>
      <c r="G523" s="25">
        <v>3.4360409598455398E-2</v>
      </c>
      <c r="H523" s="25">
        <v>0.21371987508022899</v>
      </c>
      <c r="I523" s="25">
        <v>0.76204807663678598</v>
      </c>
      <c r="J523" s="25">
        <v>0.80870912988867405</v>
      </c>
      <c r="K523" s="25">
        <v>0.68995892695493299</v>
      </c>
      <c r="L523" s="25">
        <v>0.228797111775463</v>
      </c>
      <c r="M523" s="26">
        <v>1.4866649854045699</v>
      </c>
      <c r="N523" s="24">
        <v>0.27877888490103803</v>
      </c>
      <c r="O523" s="25">
        <v>3.41869858279433E-2</v>
      </c>
      <c r="P523" s="25">
        <v>0.19302389028879799</v>
      </c>
      <c r="Q523" s="25">
        <v>0.74938024762467503</v>
      </c>
      <c r="R523" s="25">
        <v>0.71290173859297601</v>
      </c>
      <c r="S523" s="25">
        <v>0.67530756367417799</v>
      </c>
      <c r="T523" s="25">
        <v>0.21639335325590101</v>
      </c>
      <c r="U523" s="26">
        <v>1.3769928456793601</v>
      </c>
    </row>
    <row r="524" spans="3:21" ht="15" customHeight="1" x14ac:dyDescent="0.3">
      <c r="C524" s="66"/>
      <c r="D524" s="68" t="s">
        <v>22</v>
      </c>
      <c r="E524" s="69"/>
      <c r="F524" s="33">
        <v>1.96314285714285</v>
      </c>
      <c r="G524" s="34">
        <v>0.44999999999999901</v>
      </c>
      <c r="H524" s="34">
        <v>0.154090909090909</v>
      </c>
      <c r="I524" s="34">
        <v>3.3247619047619001</v>
      </c>
      <c r="J524" s="34">
        <v>7.8799999999999901</v>
      </c>
      <c r="K524" s="34">
        <v>3.5311111111111102</v>
      </c>
      <c r="L524" s="34">
        <v>0.83399999999999996</v>
      </c>
      <c r="M524" s="35">
        <v>4.0541176470588196</v>
      </c>
      <c r="N524" s="33">
        <v>1.89</v>
      </c>
      <c r="O524" s="34">
        <v>0.44999999999999901</v>
      </c>
      <c r="P524" s="34">
        <v>0.15448979591836701</v>
      </c>
      <c r="Q524" s="34">
        <v>3.3354545454545401</v>
      </c>
      <c r="R524" s="34">
        <v>7.8799999999999901</v>
      </c>
      <c r="S524" s="34">
        <v>3.53189189189189</v>
      </c>
      <c r="T524" s="34">
        <v>0.83750000000000002</v>
      </c>
      <c r="U524" s="35">
        <v>4.2273333333333296</v>
      </c>
    </row>
    <row r="525" spans="3:21" x14ac:dyDescent="0.3">
      <c r="C525" s="66"/>
      <c r="D525" s="73" t="s">
        <v>23</v>
      </c>
      <c r="E525" s="38" t="s">
        <v>24</v>
      </c>
      <c r="F525" s="30">
        <v>3.8</v>
      </c>
      <c r="G525" s="31">
        <v>2.5</v>
      </c>
      <c r="H525" s="31">
        <v>4.05</v>
      </c>
      <c r="I525" s="31">
        <v>3.84</v>
      </c>
      <c r="J525" s="31">
        <v>2.25</v>
      </c>
      <c r="K525" s="31">
        <v>4.26</v>
      </c>
      <c r="L525" s="31">
        <v>1.27</v>
      </c>
      <c r="M525" s="32">
        <v>1.64</v>
      </c>
      <c r="N525" s="30">
        <v>3.8</v>
      </c>
      <c r="O525" s="31">
        <v>2.5</v>
      </c>
      <c r="P525" s="31">
        <v>4.05</v>
      </c>
      <c r="Q525" s="31">
        <v>3.84</v>
      </c>
      <c r="R525" s="31">
        <v>2.25</v>
      </c>
      <c r="S525" s="31">
        <v>4.26</v>
      </c>
      <c r="T525" s="31">
        <v>1.27</v>
      </c>
      <c r="U525" s="32">
        <v>1.64</v>
      </c>
    </row>
    <row r="526" spans="3:21" x14ac:dyDescent="0.3">
      <c r="C526" s="66"/>
      <c r="D526" s="70"/>
      <c r="E526" s="39" t="s">
        <v>25</v>
      </c>
      <c r="F526" s="15">
        <v>1.8368571428571498</v>
      </c>
      <c r="G526" s="16">
        <v>2.0500000000000012</v>
      </c>
      <c r="H526" s="16">
        <v>3.895909090909091</v>
      </c>
      <c r="I526" s="16">
        <v>0.51523809523809971</v>
      </c>
      <c r="J526" s="16">
        <v>-5.6299999999999901</v>
      </c>
      <c r="K526" s="16">
        <v>0.72888888888888959</v>
      </c>
      <c r="L526" s="16">
        <v>0.43600000000000005</v>
      </c>
      <c r="M526" s="17">
        <v>-2.4141176470588199</v>
      </c>
      <c r="N526" s="15">
        <v>1.91</v>
      </c>
      <c r="O526" s="16">
        <v>2.0500000000000012</v>
      </c>
      <c r="P526" s="16">
        <v>3.8955102040816327</v>
      </c>
      <c r="Q526" s="16">
        <v>0.50454545454545974</v>
      </c>
      <c r="R526" s="16">
        <v>-5.6299999999999901</v>
      </c>
      <c r="S526" s="16">
        <v>0.72810810810810978</v>
      </c>
      <c r="T526" s="16">
        <v>0.4325</v>
      </c>
      <c r="U526" s="17">
        <v>-2.5873333333333299</v>
      </c>
    </row>
    <row r="527" spans="3:21" x14ac:dyDescent="0.3">
      <c r="C527" s="66"/>
      <c r="D527" s="70"/>
      <c r="E527" s="39" t="s">
        <v>26</v>
      </c>
      <c r="F527" s="15">
        <v>93.567166351332389</v>
      </c>
      <c r="G527" s="16">
        <v>455.55555555555679</v>
      </c>
      <c r="H527" s="16">
        <v>2528.3185840707979</v>
      </c>
      <c r="I527" s="16">
        <v>15.496992265826567</v>
      </c>
      <c r="J527" s="16">
        <v>-71.446700507614182</v>
      </c>
      <c r="K527" s="16">
        <v>20.641913152926396</v>
      </c>
      <c r="L527" s="16">
        <v>52.278177458033582</v>
      </c>
      <c r="M527" s="17">
        <v>-59.547301218804385</v>
      </c>
      <c r="N527" s="15">
        <v>101.05820105820106</v>
      </c>
      <c r="O527" s="16">
        <v>455.55555555555679</v>
      </c>
      <c r="P527" s="16">
        <v>2521.5323645970993</v>
      </c>
      <c r="Q527" s="16">
        <v>15.126737530662485</v>
      </c>
      <c r="R527" s="16">
        <v>-71.446700507614182</v>
      </c>
      <c r="S527" s="16">
        <v>20.615243342516131</v>
      </c>
      <c r="T527" s="16">
        <v>51.64179104477612</v>
      </c>
      <c r="U527" s="17">
        <v>-61.204857278031831</v>
      </c>
    </row>
    <row r="528" spans="3:21" x14ac:dyDescent="0.3">
      <c r="C528" s="66"/>
      <c r="D528" s="70" t="s">
        <v>27</v>
      </c>
      <c r="E528" s="40" t="s">
        <v>24</v>
      </c>
      <c r="F528" s="30">
        <v>3.62</v>
      </c>
      <c r="G528" s="31">
        <v>2.38</v>
      </c>
      <c r="H528" s="31">
        <v>3.96</v>
      </c>
      <c r="I528" s="31">
        <v>3.68</v>
      </c>
      <c r="J528" s="31">
        <v>2.14</v>
      </c>
      <c r="K528" s="31">
        <v>4.1100000000000003</v>
      </c>
      <c r="L528" s="31">
        <v>1.1399999999999999</v>
      </c>
      <c r="M528" s="32">
        <v>1.5</v>
      </c>
      <c r="N528" s="30">
        <v>3.62</v>
      </c>
      <c r="O528" s="31">
        <v>2.38</v>
      </c>
      <c r="P528" s="31">
        <v>3.96</v>
      </c>
      <c r="Q528" s="31">
        <v>3.68</v>
      </c>
      <c r="R528" s="31">
        <v>2.14</v>
      </c>
      <c r="S528" s="31">
        <v>4.1100000000000003</v>
      </c>
      <c r="T528" s="31">
        <v>1.1399999999999999</v>
      </c>
      <c r="U528" s="32">
        <v>1.5</v>
      </c>
    </row>
    <row r="529" spans="3:21" x14ac:dyDescent="0.3">
      <c r="C529" s="66"/>
      <c r="D529" s="70"/>
      <c r="E529" s="39" t="s">
        <v>25</v>
      </c>
      <c r="F529" s="15">
        <v>1.6568571428571501</v>
      </c>
      <c r="G529" s="16">
        <v>1.9300000000000008</v>
      </c>
      <c r="H529" s="16">
        <v>3.8059090909090911</v>
      </c>
      <c r="I529" s="16">
        <v>0.35523809523810002</v>
      </c>
      <c r="J529" s="16">
        <v>-5.7399999999999896</v>
      </c>
      <c r="K529" s="16">
        <v>0.57888888888889012</v>
      </c>
      <c r="L529" s="16">
        <v>0.30599999999999994</v>
      </c>
      <c r="M529" s="17">
        <v>-2.5541176470588196</v>
      </c>
      <c r="N529" s="15">
        <v>1.7300000000000002</v>
      </c>
      <c r="O529" s="16">
        <v>1.9300000000000008</v>
      </c>
      <c r="P529" s="16">
        <v>3.8055102040816329</v>
      </c>
      <c r="Q529" s="16">
        <v>0.34454545454546004</v>
      </c>
      <c r="R529" s="16">
        <v>-5.7399999999999896</v>
      </c>
      <c r="S529" s="16">
        <v>0.57810810810811031</v>
      </c>
      <c r="T529" s="16">
        <v>0.30249999999999988</v>
      </c>
      <c r="U529" s="17">
        <v>-2.7273333333333296</v>
      </c>
    </row>
    <row r="530" spans="3:21" x14ac:dyDescent="0.3">
      <c r="C530" s="66"/>
      <c r="D530" s="70"/>
      <c r="E530" s="39" t="s">
        <v>26</v>
      </c>
      <c r="F530" s="15">
        <v>84.3981953136377</v>
      </c>
      <c r="G530" s="16">
        <v>428.88888888889005</v>
      </c>
      <c r="H530" s="16">
        <v>2469.9115044247806</v>
      </c>
      <c r="I530" s="16">
        <v>10.684617588083801</v>
      </c>
      <c r="J530" s="16">
        <v>-72.842639593908586</v>
      </c>
      <c r="K530" s="16">
        <v>16.393958464443084</v>
      </c>
      <c r="L530" s="16">
        <v>36.690647482014384</v>
      </c>
      <c r="M530" s="17">
        <v>-63.000580383052785</v>
      </c>
      <c r="N530" s="15">
        <v>91.534391534391546</v>
      </c>
      <c r="O530" s="16">
        <v>428.88888888889005</v>
      </c>
      <c r="P530" s="16">
        <v>2463.276089828275</v>
      </c>
      <c r="Q530" s="16">
        <v>10.329790133551557</v>
      </c>
      <c r="R530" s="16">
        <v>-72.842639593908586</v>
      </c>
      <c r="S530" s="16">
        <v>16.368227731864167</v>
      </c>
      <c r="T530" s="16">
        <v>36.119402985074615</v>
      </c>
      <c r="U530" s="17">
        <v>-64.516637754297406</v>
      </c>
    </row>
    <row r="531" spans="3:21" x14ac:dyDescent="0.3">
      <c r="C531" s="66"/>
      <c r="D531" s="70" t="s">
        <v>28</v>
      </c>
      <c r="E531" s="40" t="s">
        <v>24</v>
      </c>
      <c r="F531" s="30">
        <v>3.55</v>
      </c>
      <c r="G531" s="31">
        <v>2.44</v>
      </c>
      <c r="H531" s="31">
        <v>3.99</v>
      </c>
      <c r="I531" s="31">
        <v>3.75</v>
      </c>
      <c r="J531" s="31">
        <v>2.2000000000000002</v>
      </c>
      <c r="K531" s="31">
        <v>4.25</v>
      </c>
      <c r="L531" s="31">
        <v>1.1599999999999999</v>
      </c>
      <c r="M531" s="32">
        <v>1.51</v>
      </c>
      <c r="N531" s="30">
        <v>3.55</v>
      </c>
      <c r="O531" s="31">
        <v>2.44</v>
      </c>
      <c r="P531" s="31">
        <v>3.99</v>
      </c>
      <c r="Q531" s="31">
        <v>3.75</v>
      </c>
      <c r="R531" s="31">
        <v>2.2000000000000002</v>
      </c>
      <c r="S531" s="31">
        <v>4.25</v>
      </c>
      <c r="T531" s="31">
        <v>1.1599999999999999</v>
      </c>
      <c r="U531" s="32">
        <v>1.51</v>
      </c>
    </row>
    <row r="532" spans="3:21" x14ac:dyDescent="0.3">
      <c r="C532" s="66"/>
      <c r="D532" s="70"/>
      <c r="E532" s="39" t="s">
        <v>25</v>
      </c>
      <c r="F532" s="15">
        <v>1.5868571428571498</v>
      </c>
      <c r="G532" s="16">
        <v>1.9900000000000009</v>
      </c>
      <c r="H532" s="16">
        <v>3.8359090909090914</v>
      </c>
      <c r="I532" s="16">
        <v>0.42523809523809986</v>
      </c>
      <c r="J532" s="16">
        <v>-5.6799999999999899</v>
      </c>
      <c r="K532" s="16">
        <v>0.7188888888888898</v>
      </c>
      <c r="L532" s="16">
        <v>0.32599999999999996</v>
      </c>
      <c r="M532" s="17">
        <v>-2.5441176470588198</v>
      </c>
      <c r="N532" s="15">
        <v>1.66</v>
      </c>
      <c r="O532" s="16">
        <v>1.9900000000000009</v>
      </c>
      <c r="P532" s="16">
        <v>3.8355102040816331</v>
      </c>
      <c r="Q532" s="16">
        <v>0.41454545454545988</v>
      </c>
      <c r="R532" s="16">
        <v>-5.6799999999999899</v>
      </c>
      <c r="S532" s="16">
        <v>0.71810810810810999</v>
      </c>
      <c r="T532" s="16">
        <v>0.3224999999999999</v>
      </c>
      <c r="U532" s="17">
        <v>-2.7173333333333298</v>
      </c>
    </row>
    <row r="533" spans="3:21" ht="15" thickBot="1" x14ac:dyDescent="0.35">
      <c r="C533" s="67"/>
      <c r="D533" s="74"/>
      <c r="E533" s="41" t="s">
        <v>26</v>
      </c>
      <c r="F533" s="18">
        <v>80.832484354534202</v>
      </c>
      <c r="G533" s="19">
        <v>442.22222222222342</v>
      </c>
      <c r="H533" s="19">
        <v>2489.380530973453</v>
      </c>
      <c r="I533" s="19">
        <v>12.790031509596261</v>
      </c>
      <c r="J533" s="19">
        <v>-72.081218274111635</v>
      </c>
      <c r="K533" s="19">
        <v>20.358716173694177</v>
      </c>
      <c r="L533" s="19">
        <v>39.088729016786566</v>
      </c>
      <c r="M533" s="20">
        <v>-62.753917585606466</v>
      </c>
      <c r="N533" s="18">
        <v>87.830687830687822</v>
      </c>
      <c r="O533" s="19">
        <v>442.22222222222342</v>
      </c>
      <c r="P533" s="19">
        <v>2482.6948480845504</v>
      </c>
      <c r="Q533" s="19">
        <v>12.428454619787587</v>
      </c>
      <c r="R533" s="19">
        <v>-72.081218274111635</v>
      </c>
      <c r="S533" s="19">
        <v>20.332108968472671</v>
      </c>
      <c r="T533" s="19">
        <v>38.507462686567152</v>
      </c>
      <c r="U533" s="20">
        <v>-64.280082005992725</v>
      </c>
    </row>
  </sheetData>
  <mergeCells count="824">
    <mergeCell ref="D457:E457"/>
    <mergeCell ref="D469:E469"/>
    <mergeCell ref="D481:E481"/>
    <mergeCell ref="D498:E498"/>
    <mergeCell ref="D510:E510"/>
    <mergeCell ref="D522:E522"/>
    <mergeCell ref="D317:E317"/>
    <mergeCell ref="D334:E334"/>
    <mergeCell ref="D346:E346"/>
    <mergeCell ref="D358:E358"/>
    <mergeCell ref="D375:E375"/>
    <mergeCell ref="D387:E387"/>
    <mergeCell ref="D399:E399"/>
    <mergeCell ref="D416:E416"/>
    <mergeCell ref="D428:E428"/>
    <mergeCell ref="D500:E500"/>
    <mergeCell ref="D501:D503"/>
    <mergeCell ref="D504:D506"/>
    <mergeCell ref="D507:D509"/>
    <mergeCell ref="D511:E511"/>
    <mergeCell ref="D512:E512"/>
    <mergeCell ref="D513:D515"/>
    <mergeCell ref="D516:D518"/>
    <mergeCell ref="D519:D521"/>
    <mergeCell ref="C522:C533"/>
    <mergeCell ref="D131:E131"/>
    <mergeCell ref="C143:C154"/>
    <mergeCell ref="D145:E145"/>
    <mergeCell ref="D146:D148"/>
    <mergeCell ref="D149:D151"/>
    <mergeCell ref="D152:D154"/>
    <mergeCell ref="C155:C166"/>
    <mergeCell ref="D156:E156"/>
    <mergeCell ref="D157:E157"/>
    <mergeCell ref="D158:D160"/>
    <mergeCell ref="D161:D163"/>
    <mergeCell ref="D164:D166"/>
    <mergeCell ref="D170:E170"/>
    <mergeCell ref="D182:E182"/>
    <mergeCell ref="D194:E194"/>
    <mergeCell ref="D211:E211"/>
    <mergeCell ref="D223:E223"/>
    <mergeCell ref="D235:E235"/>
    <mergeCell ref="D252:E252"/>
    <mergeCell ref="D264:E264"/>
    <mergeCell ref="D276:E276"/>
    <mergeCell ref="D293:E293"/>
    <mergeCell ref="D305:E305"/>
    <mergeCell ref="D523:E523"/>
    <mergeCell ref="D524:E524"/>
    <mergeCell ref="D525:D527"/>
    <mergeCell ref="D528:D530"/>
    <mergeCell ref="D531:D533"/>
    <mergeCell ref="C131:C142"/>
    <mergeCell ref="C252:C263"/>
    <mergeCell ref="C264:C275"/>
    <mergeCell ref="C276:C287"/>
    <mergeCell ref="C293:C304"/>
    <mergeCell ref="C305:C316"/>
    <mergeCell ref="C317:C328"/>
    <mergeCell ref="C334:C345"/>
    <mergeCell ref="C346:C357"/>
    <mergeCell ref="C358:C369"/>
    <mergeCell ref="C375:C386"/>
    <mergeCell ref="C387:C398"/>
    <mergeCell ref="C399:C410"/>
    <mergeCell ref="C416:C427"/>
    <mergeCell ref="C428:C439"/>
    <mergeCell ref="C440:C451"/>
    <mergeCell ref="C457:C468"/>
    <mergeCell ref="C469:C480"/>
    <mergeCell ref="D499:E499"/>
    <mergeCell ref="C498:C509"/>
    <mergeCell ref="C510:C521"/>
    <mergeCell ref="D482:E482"/>
    <mergeCell ref="D483:E483"/>
    <mergeCell ref="D484:D486"/>
    <mergeCell ref="D487:D489"/>
    <mergeCell ref="D490:D492"/>
    <mergeCell ref="C496:E496"/>
    <mergeCell ref="F496:M496"/>
    <mergeCell ref="N496:U496"/>
    <mergeCell ref="C481:C492"/>
    <mergeCell ref="D458:E458"/>
    <mergeCell ref="D459:E459"/>
    <mergeCell ref="D460:D462"/>
    <mergeCell ref="D463:D465"/>
    <mergeCell ref="D466:D468"/>
    <mergeCell ref="D470:E470"/>
    <mergeCell ref="D471:E471"/>
    <mergeCell ref="D472:D474"/>
    <mergeCell ref="D475:D477"/>
    <mergeCell ref="D478:D480"/>
    <mergeCell ref="D441:E441"/>
    <mergeCell ref="D442:E442"/>
    <mergeCell ref="D443:D445"/>
    <mergeCell ref="D446:D448"/>
    <mergeCell ref="D449:D451"/>
    <mergeCell ref="C455:E455"/>
    <mergeCell ref="F455:M455"/>
    <mergeCell ref="N455:U455"/>
    <mergeCell ref="D417:E417"/>
    <mergeCell ref="D418:E418"/>
    <mergeCell ref="D419:D421"/>
    <mergeCell ref="D422:D424"/>
    <mergeCell ref="D425:D427"/>
    <mergeCell ref="D429:E429"/>
    <mergeCell ref="D430:E430"/>
    <mergeCell ref="D431:D433"/>
    <mergeCell ref="D434:D436"/>
    <mergeCell ref="D437:D439"/>
    <mergeCell ref="D440:E440"/>
    <mergeCell ref="D400:E400"/>
    <mergeCell ref="D401:E401"/>
    <mergeCell ref="D402:D404"/>
    <mergeCell ref="D405:D407"/>
    <mergeCell ref="D408:D410"/>
    <mergeCell ref="C414:E414"/>
    <mergeCell ref="F414:M414"/>
    <mergeCell ref="N414:U414"/>
    <mergeCell ref="D376:E376"/>
    <mergeCell ref="D377:E377"/>
    <mergeCell ref="D378:D380"/>
    <mergeCell ref="D381:D383"/>
    <mergeCell ref="D384:D386"/>
    <mergeCell ref="D388:E388"/>
    <mergeCell ref="D389:E389"/>
    <mergeCell ref="D390:D392"/>
    <mergeCell ref="D393:D395"/>
    <mergeCell ref="D396:D398"/>
    <mergeCell ref="D359:E359"/>
    <mergeCell ref="D360:E360"/>
    <mergeCell ref="D361:D363"/>
    <mergeCell ref="D364:D366"/>
    <mergeCell ref="D367:D369"/>
    <mergeCell ref="C373:E373"/>
    <mergeCell ref="F373:M373"/>
    <mergeCell ref="N373:U373"/>
    <mergeCell ref="D335:E335"/>
    <mergeCell ref="D336:E336"/>
    <mergeCell ref="D337:D339"/>
    <mergeCell ref="D340:D342"/>
    <mergeCell ref="D343:D345"/>
    <mergeCell ref="D347:E347"/>
    <mergeCell ref="D348:E348"/>
    <mergeCell ref="D349:D351"/>
    <mergeCell ref="D352:D354"/>
    <mergeCell ref="D355:D357"/>
    <mergeCell ref="D318:E318"/>
    <mergeCell ref="D319:E319"/>
    <mergeCell ref="D320:D322"/>
    <mergeCell ref="D323:D325"/>
    <mergeCell ref="D326:D328"/>
    <mergeCell ref="C332:E332"/>
    <mergeCell ref="F332:M332"/>
    <mergeCell ref="N332:U332"/>
    <mergeCell ref="D294:E294"/>
    <mergeCell ref="D295:E295"/>
    <mergeCell ref="D296:D298"/>
    <mergeCell ref="D299:D301"/>
    <mergeCell ref="D302:D304"/>
    <mergeCell ref="D306:E306"/>
    <mergeCell ref="D307:E307"/>
    <mergeCell ref="D308:D310"/>
    <mergeCell ref="D311:D313"/>
    <mergeCell ref="D314:D316"/>
    <mergeCell ref="D277:E277"/>
    <mergeCell ref="D278:E278"/>
    <mergeCell ref="D279:D281"/>
    <mergeCell ref="D282:D284"/>
    <mergeCell ref="D285:D287"/>
    <mergeCell ref="C291:E291"/>
    <mergeCell ref="F291:M291"/>
    <mergeCell ref="N291:U291"/>
    <mergeCell ref="D253:E253"/>
    <mergeCell ref="D254:E254"/>
    <mergeCell ref="D255:D257"/>
    <mergeCell ref="D258:D260"/>
    <mergeCell ref="D261:D263"/>
    <mergeCell ref="D265:E265"/>
    <mergeCell ref="D266:E266"/>
    <mergeCell ref="D267:D269"/>
    <mergeCell ref="D270:D272"/>
    <mergeCell ref="D273:D275"/>
    <mergeCell ref="D237:E237"/>
    <mergeCell ref="D238:D240"/>
    <mergeCell ref="D241:D243"/>
    <mergeCell ref="D244:D246"/>
    <mergeCell ref="C223:C234"/>
    <mergeCell ref="C235:C246"/>
    <mergeCell ref="C250:E250"/>
    <mergeCell ref="F250:M250"/>
    <mergeCell ref="N250:U250"/>
    <mergeCell ref="D217:D219"/>
    <mergeCell ref="D220:D222"/>
    <mergeCell ref="C211:C222"/>
    <mergeCell ref="D224:E224"/>
    <mergeCell ref="D225:E225"/>
    <mergeCell ref="D226:D228"/>
    <mergeCell ref="D229:D231"/>
    <mergeCell ref="D232:D234"/>
    <mergeCell ref="D236:E236"/>
    <mergeCell ref="D203:D205"/>
    <mergeCell ref="C182:C193"/>
    <mergeCell ref="C194:C205"/>
    <mergeCell ref="C209:E209"/>
    <mergeCell ref="F209:M209"/>
    <mergeCell ref="N209:U209"/>
    <mergeCell ref="D212:E212"/>
    <mergeCell ref="D213:E213"/>
    <mergeCell ref="D214:D216"/>
    <mergeCell ref="D183:E183"/>
    <mergeCell ref="D184:E184"/>
    <mergeCell ref="D185:D187"/>
    <mergeCell ref="D188:D190"/>
    <mergeCell ref="D191:D193"/>
    <mergeCell ref="D195:E195"/>
    <mergeCell ref="D196:E196"/>
    <mergeCell ref="D197:D199"/>
    <mergeCell ref="D200:D202"/>
    <mergeCell ref="C168:E168"/>
    <mergeCell ref="F168:M168"/>
    <mergeCell ref="N168:U168"/>
    <mergeCell ref="D171:E171"/>
    <mergeCell ref="D172:E172"/>
    <mergeCell ref="D173:D175"/>
    <mergeCell ref="D176:D178"/>
    <mergeCell ref="D179:D181"/>
    <mergeCell ref="C170:C181"/>
    <mergeCell ref="D143:E143"/>
    <mergeCell ref="D144:E144"/>
    <mergeCell ref="D155:E155"/>
    <mergeCell ref="C129:E129"/>
    <mergeCell ref="F129:M129"/>
    <mergeCell ref="N129:U129"/>
    <mergeCell ref="D132:E132"/>
    <mergeCell ref="D133:E133"/>
    <mergeCell ref="D134:D136"/>
    <mergeCell ref="D137:D139"/>
    <mergeCell ref="D140:D142"/>
    <mergeCell ref="DT123:DT125"/>
    <mergeCell ref="EN123:EN125"/>
    <mergeCell ref="EM114:EM125"/>
    <mergeCell ref="D114:E114"/>
    <mergeCell ref="X114:Y114"/>
    <mergeCell ref="AR114:AS114"/>
    <mergeCell ref="BL114:BM114"/>
    <mergeCell ref="CF114:CG114"/>
    <mergeCell ref="CZ114:DA114"/>
    <mergeCell ref="DT114:DU114"/>
    <mergeCell ref="EN114:EO114"/>
    <mergeCell ref="DT115:DU115"/>
    <mergeCell ref="EN115:EO115"/>
    <mergeCell ref="D116:E116"/>
    <mergeCell ref="X116:Y116"/>
    <mergeCell ref="AR116:AS116"/>
    <mergeCell ref="BL116:BM116"/>
    <mergeCell ref="CF116:CG116"/>
    <mergeCell ref="CZ116:DA116"/>
    <mergeCell ref="DT116:DU116"/>
    <mergeCell ref="EN116:EO116"/>
    <mergeCell ref="D115:E115"/>
    <mergeCell ref="X115:Y115"/>
    <mergeCell ref="AR115:AS115"/>
    <mergeCell ref="BL115:BM115"/>
    <mergeCell ref="DS114:DS125"/>
    <mergeCell ref="DT117:DT119"/>
    <mergeCell ref="EN117:EN119"/>
    <mergeCell ref="D120:D122"/>
    <mergeCell ref="CF120:CF122"/>
    <mergeCell ref="CZ120:CZ122"/>
    <mergeCell ref="DT120:DT122"/>
    <mergeCell ref="EN120:EN122"/>
    <mergeCell ref="D123:D125"/>
    <mergeCell ref="X123:X125"/>
    <mergeCell ref="BL120:BL122"/>
    <mergeCell ref="CF115:CG115"/>
    <mergeCell ref="CZ115:DA115"/>
    <mergeCell ref="D117:D119"/>
    <mergeCell ref="X117:X119"/>
    <mergeCell ref="AR117:AR119"/>
    <mergeCell ref="BL117:BL119"/>
    <mergeCell ref="CF117:CF119"/>
    <mergeCell ref="CZ117:CZ119"/>
    <mergeCell ref="CE114:CE125"/>
    <mergeCell ref="CY114:CY125"/>
    <mergeCell ref="AR123:AR125"/>
    <mergeCell ref="BL123:BL125"/>
    <mergeCell ref="CF123:CF125"/>
    <mergeCell ref="CZ123:CZ125"/>
    <mergeCell ref="DT105:DT107"/>
    <mergeCell ref="EN105:EN107"/>
    <mergeCell ref="D108:D110"/>
    <mergeCell ref="CF108:CF110"/>
    <mergeCell ref="CZ108:CZ110"/>
    <mergeCell ref="DT108:DT110"/>
    <mergeCell ref="EN108:EN110"/>
    <mergeCell ref="D111:D113"/>
    <mergeCell ref="X111:X113"/>
    <mergeCell ref="AR111:AR113"/>
    <mergeCell ref="BL111:BL113"/>
    <mergeCell ref="CF111:CF113"/>
    <mergeCell ref="CZ111:CZ113"/>
    <mergeCell ref="DT111:DT113"/>
    <mergeCell ref="EN111:EN113"/>
    <mergeCell ref="EM102:EM113"/>
    <mergeCell ref="D102:E102"/>
    <mergeCell ref="X102:Y102"/>
    <mergeCell ref="AR102:AS102"/>
    <mergeCell ref="BL102:BM102"/>
    <mergeCell ref="CF102:CG102"/>
    <mergeCell ref="CZ102:DA102"/>
    <mergeCell ref="DT102:DU102"/>
    <mergeCell ref="EN102:EO102"/>
    <mergeCell ref="DT103:DU103"/>
    <mergeCell ref="EN103:EO103"/>
    <mergeCell ref="D104:E104"/>
    <mergeCell ref="X104:Y104"/>
    <mergeCell ref="AR104:AS104"/>
    <mergeCell ref="BL104:BM104"/>
    <mergeCell ref="CF104:CG104"/>
    <mergeCell ref="CZ104:DA104"/>
    <mergeCell ref="DT104:DU104"/>
    <mergeCell ref="EN104:EO104"/>
    <mergeCell ref="D103:E103"/>
    <mergeCell ref="X103:Y103"/>
    <mergeCell ref="AR103:AS103"/>
    <mergeCell ref="BL103:BM103"/>
    <mergeCell ref="BL108:BL110"/>
    <mergeCell ref="CF103:CG103"/>
    <mergeCell ref="CZ103:DA103"/>
    <mergeCell ref="D105:D107"/>
    <mergeCell ref="X105:X107"/>
    <mergeCell ref="AR105:AR107"/>
    <mergeCell ref="BL105:BL107"/>
    <mergeCell ref="CF105:CF107"/>
    <mergeCell ref="CZ105:CZ107"/>
    <mergeCell ref="BL96:BL98"/>
    <mergeCell ref="CF96:CF98"/>
    <mergeCell ref="CZ96:CZ98"/>
    <mergeCell ref="DT96:DT98"/>
    <mergeCell ref="EN96:EN98"/>
    <mergeCell ref="D99:D101"/>
    <mergeCell ref="X99:X101"/>
    <mergeCell ref="AR99:AR101"/>
    <mergeCell ref="BL99:BL101"/>
    <mergeCell ref="CF99:CF101"/>
    <mergeCell ref="CZ99:CZ101"/>
    <mergeCell ref="DT99:DT101"/>
    <mergeCell ref="EN99:EN101"/>
    <mergeCell ref="BL92:BM92"/>
    <mergeCell ref="CF92:CG92"/>
    <mergeCell ref="CZ92:DA92"/>
    <mergeCell ref="DT92:DU92"/>
    <mergeCell ref="EN92:EO92"/>
    <mergeCell ref="D93:D95"/>
    <mergeCell ref="X93:X95"/>
    <mergeCell ref="AR93:AR95"/>
    <mergeCell ref="BL93:BL95"/>
    <mergeCell ref="CF93:CF95"/>
    <mergeCell ref="CZ93:CZ95"/>
    <mergeCell ref="DT93:DT95"/>
    <mergeCell ref="EN93:EN95"/>
    <mergeCell ref="EM90:EM101"/>
    <mergeCell ref="D90:E90"/>
    <mergeCell ref="X90:Y90"/>
    <mergeCell ref="AR90:AS90"/>
    <mergeCell ref="BL90:BM90"/>
    <mergeCell ref="CF90:CG90"/>
    <mergeCell ref="CZ90:DA90"/>
    <mergeCell ref="DT90:DU90"/>
    <mergeCell ref="D96:D98"/>
    <mergeCell ref="X96:X98"/>
    <mergeCell ref="AR96:AR98"/>
    <mergeCell ref="DS88:DU88"/>
    <mergeCell ref="DV88:EC88"/>
    <mergeCell ref="ED88:EK88"/>
    <mergeCell ref="EM88:EO88"/>
    <mergeCell ref="EP88:EW88"/>
    <mergeCell ref="EX88:FE88"/>
    <mergeCell ref="D91:E91"/>
    <mergeCell ref="X91:Y91"/>
    <mergeCell ref="AR91:AS91"/>
    <mergeCell ref="BL91:BM91"/>
    <mergeCell ref="CF91:CG91"/>
    <mergeCell ref="CZ91:DA91"/>
    <mergeCell ref="DT91:DU91"/>
    <mergeCell ref="EN91:EO91"/>
    <mergeCell ref="EN90:EO90"/>
    <mergeCell ref="BK88:BM88"/>
    <mergeCell ref="BN88:BU88"/>
    <mergeCell ref="BV88:CC88"/>
    <mergeCell ref="CE88:CG88"/>
    <mergeCell ref="CH88:CO88"/>
    <mergeCell ref="CP88:CW88"/>
    <mergeCell ref="CY88:DA88"/>
    <mergeCell ref="DB88:DI88"/>
    <mergeCell ref="DJ88:DQ88"/>
    <mergeCell ref="C88:E88"/>
    <mergeCell ref="F88:M88"/>
    <mergeCell ref="N88:U88"/>
    <mergeCell ref="W88:Y88"/>
    <mergeCell ref="Z88:AG88"/>
    <mergeCell ref="AH88:AO88"/>
    <mergeCell ref="AQ88:AS88"/>
    <mergeCell ref="AT88:BA88"/>
    <mergeCell ref="BB88:BI88"/>
    <mergeCell ref="AI2:AJ2"/>
    <mergeCell ref="AK2:AL2"/>
    <mergeCell ref="C6:E6"/>
    <mergeCell ref="D11:D13"/>
    <mergeCell ref="D14:D16"/>
    <mergeCell ref="D9:E9"/>
    <mergeCell ref="W2:X2"/>
    <mergeCell ref="Y2:Z2"/>
    <mergeCell ref="AA2:AB2"/>
    <mergeCell ref="AC2:AD2"/>
    <mergeCell ref="AE2:AF2"/>
    <mergeCell ref="AG2:AH2"/>
    <mergeCell ref="W6:Y6"/>
    <mergeCell ref="Z6:AG6"/>
    <mergeCell ref="AH6:AO6"/>
    <mergeCell ref="X9:Y9"/>
    <mergeCell ref="X11:X13"/>
    <mergeCell ref="X14:X16"/>
    <mergeCell ref="X10:Y10"/>
    <mergeCell ref="D8:E8"/>
    <mergeCell ref="C8:C19"/>
    <mergeCell ref="AR38:AR40"/>
    <mergeCell ref="N6:U6"/>
    <mergeCell ref="D35:D37"/>
    <mergeCell ref="D38:D40"/>
    <mergeCell ref="D29:D31"/>
    <mergeCell ref="D26:D28"/>
    <mergeCell ref="D23:D25"/>
    <mergeCell ref="D17:D19"/>
    <mergeCell ref="D10:E10"/>
    <mergeCell ref="D22:E22"/>
    <mergeCell ref="D34:E34"/>
    <mergeCell ref="D21:E21"/>
    <mergeCell ref="D33:E33"/>
    <mergeCell ref="X17:X19"/>
    <mergeCell ref="X21:Y21"/>
    <mergeCell ref="X23:X25"/>
    <mergeCell ref="X26:X28"/>
    <mergeCell ref="X29:X31"/>
    <mergeCell ref="F6:M6"/>
    <mergeCell ref="AQ6:AS6"/>
    <mergeCell ref="AR21:AS21"/>
    <mergeCell ref="AR22:AS22"/>
    <mergeCell ref="X22:Y22"/>
    <mergeCell ref="AR23:AR25"/>
    <mergeCell ref="AR26:AR28"/>
    <mergeCell ref="AR29:AR31"/>
    <mergeCell ref="AR33:AS33"/>
    <mergeCell ref="BB6:BI6"/>
    <mergeCell ref="AT6:BA6"/>
    <mergeCell ref="BV6:CC6"/>
    <mergeCell ref="BL9:BM9"/>
    <mergeCell ref="BL10:BM10"/>
    <mergeCell ref="BL11:BL13"/>
    <mergeCell ref="BL14:BL16"/>
    <mergeCell ref="BL17:BL19"/>
    <mergeCell ref="BL21:BM21"/>
    <mergeCell ref="CE6:CG6"/>
    <mergeCell ref="CH6:CO6"/>
    <mergeCell ref="CP6:CW6"/>
    <mergeCell ref="CF9:CG9"/>
    <mergeCell ref="CF10:CG10"/>
    <mergeCell ref="CF11:CF13"/>
    <mergeCell ref="CF14:CF16"/>
    <mergeCell ref="CF17:CF19"/>
    <mergeCell ref="BL33:BM33"/>
    <mergeCell ref="BK6:BM6"/>
    <mergeCell ref="BN6:BU6"/>
    <mergeCell ref="BL22:BM22"/>
    <mergeCell ref="BL23:BL25"/>
    <mergeCell ref="BL26:BL28"/>
    <mergeCell ref="BL29:BL31"/>
    <mergeCell ref="BK32:BK43"/>
    <mergeCell ref="CE8:CE19"/>
    <mergeCell ref="CE20:CE31"/>
    <mergeCell ref="CE32:CE43"/>
    <mergeCell ref="CZ21:DA21"/>
    <mergeCell ref="CZ22:DA22"/>
    <mergeCell ref="CZ23:CZ25"/>
    <mergeCell ref="CZ26:CZ28"/>
    <mergeCell ref="CZ29:CZ31"/>
    <mergeCell ref="CY6:DA6"/>
    <mergeCell ref="DB6:DI6"/>
    <mergeCell ref="DJ6:DQ6"/>
    <mergeCell ref="CZ9:DA9"/>
    <mergeCell ref="CZ10:DA10"/>
    <mergeCell ref="CZ11:CZ13"/>
    <mergeCell ref="CZ14:CZ16"/>
    <mergeCell ref="CZ17:CZ19"/>
    <mergeCell ref="CY8:CY19"/>
    <mergeCell ref="CY20:CY31"/>
    <mergeCell ref="DT29:DT31"/>
    <mergeCell ref="DS6:DU6"/>
    <mergeCell ref="DV6:EC6"/>
    <mergeCell ref="ED6:EK6"/>
    <mergeCell ref="DT9:DU9"/>
    <mergeCell ref="DT10:DU10"/>
    <mergeCell ref="DT11:DT13"/>
    <mergeCell ref="DT14:DT16"/>
    <mergeCell ref="DT17:DT19"/>
    <mergeCell ref="DS8:DS19"/>
    <mergeCell ref="DS20:DS31"/>
    <mergeCell ref="EN21:EO21"/>
    <mergeCell ref="EN22:EO22"/>
    <mergeCell ref="EN23:EN25"/>
    <mergeCell ref="EN26:EN28"/>
    <mergeCell ref="EN29:EN31"/>
    <mergeCell ref="EM6:EO6"/>
    <mergeCell ref="EP6:EW6"/>
    <mergeCell ref="EX6:FE6"/>
    <mergeCell ref="EN9:EO9"/>
    <mergeCell ref="EN10:EO10"/>
    <mergeCell ref="EN11:EN13"/>
    <mergeCell ref="EN14:EN16"/>
    <mergeCell ref="EN17:EN19"/>
    <mergeCell ref="EN8:EO8"/>
    <mergeCell ref="EN20:EO20"/>
    <mergeCell ref="BK47:BM47"/>
    <mergeCell ref="C47:E47"/>
    <mergeCell ref="F47:M47"/>
    <mergeCell ref="N47:U47"/>
    <mergeCell ref="W47:Y47"/>
    <mergeCell ref="Z47:AG47"/>
    <mergeCell ref="EN33:EO33"/>
    <mergeCell ref="EN34:EO34"/>
    <mergeCell ref="EN35:EN37"/>
    <mergeCell ref="EN38:EN40"/>
    <mergeCell ref="EN41:EN43"/>
    <mergeCell ref="DT33:DU33"/>
    <mergeCell ref="DT34:DU34"/>
    <mergeCell ref="DT35:DT37"/>
    <mergeCell ref="DT38:DT40"/>
    <mergeCell ref="DT41:DT43"/>
    <mergeCell ref="CZ33:DA33"/>
    <mergeCell ref="CZ34:DA34"/>
    <mergeCell ref="CZ35:CZ37"/>
    <mergeCell ref="CZ38:CZ40"/>
    <mergeCell ref="CZ41:CZ43"/>
    <mergeCell ref="CF33:CG33"/>
    <mergeCell ref="CF34:CG34"/>
    <mergeCell ref="CF35:CF37"/>
    <mergeCell ref="ED47:EK47"/>
    <mergeCell ref="EM47:EO47"/>
    <mergeCell ref="EP47:EW47"/>
    <mergeCell ref="EX47:FE47"/>
    <mergeCell ref="D50:E50"/>
    <mergeCell ref="X50:Y50"/>
    <mergeCell ref="AR50:AS50"/>
    <mergeCell ref="BL50:BM50"/>
    <mergeCell ref="CF50:CG50"/>
    <mergeCell ref="CZ50:DA50"/>
    <mergeCell ref="CY47:DA47"/>
    <mergeCell ref="DB47:DI47"/>
    <mergeCell ref="DJ47:DQ47"/>
    <mergeCell ref="DS47:DU47"/>
    <mergeCell ref="DV47:EC47"/>
    <mergeCell ref="BN47:BU47"/>
    <mergeCell ref="BV47:CC47"/>
    <mergeCell ref="CE47:CG47"/>
    <mergeCell ref="CH47:CO47"/>
    <mergeCell ref="CP47:CW47"/>
    <mergeCell ref="AH47:AO47"/>
    <mergeCell ref="AQ47:AS47"/>
    <mergeCell ref="AT47:BA47"/>
    <mergeCell ref="BB47:BI47"/>
    <mergeCell ref="EN50:EO50"/>
    <mergeCell ref="D51:E51"/>
    <mergeCell ref="X51:Y51"/>
    <mergeCell ref="AR51:AS51"/>
    <mergeCell ref="BL51:BM51"/>
    <mergeCell ref="CF51:CG51"/>
    <mergeCell ref="CZ51:DA51"/>
    <mergeCell ref="DT51:DU51"/>
    <mergeCell ref="EN51:EO51"/>
    <mergeCell ref="DT50:DU50"/>
    <mergeCell ref="EN52:EN54"/>
    <mergeCell ref="D55:D57"/>
    <mergeCell ref="X55:X57"/>
    <mergeCell ref="AR55:AR57"/>
    <mergeCell ref="BL55:BL57"/>
    <mergeCell ref="CF55:CF57"/>
    <mergeCell ref="CZ55:CZ57"/>
    <mergeCell ref="DT55:DT57"/>
    <mergeCell ref="EN55:EN57"/>
    <mergeCell ref="D52:D54"/>
    <mergeCell ref="X52:X54"/>
    <mergeCell ref="AR52:AR54"/>
    <mergeCell ref="BL52:BL54"/>
    <mergeCell ref="CZ52:CZ54"/>
    <mergeCell ref="DT52:DT54"/>
    <mergeCell ref="EN58:EN60"/>
    <mergeCell ref="D62:E62"/>
    <mergeCell ref="X62:Y62"/>
    <mergeCell ref="AR62:AS62"/>
    <mergeCell ref="BL62:BM62"/>
    <mergeCell ref="CF62:CG62"/>
    <mergeCell ref="CZ62:DA62"/>
    <mergeCell ref="D58:D60"/>
    <mergeCell ref="X58:X60"/>
    <mergeCell ref="AR58:AR60"/>
    <mergeCell ref="BL58:BL60"/>
    <mergeCell ref="CF58:CF60"/>
    <mergeCell ref="DT62:DU62"/>
    <mergeCell ref="EN62:EO62"/>
    <mergeCell ref="EM49:EM60"/>
    <mergeCell ref="CZ58:CZ60"/>
    <mergeCell ref="DT58:DT60"/>
    <mergeCell ref="CF52:CF54"/>
    <mergeCell ref="D49:E49"/>
    <mergeCell ref="AR49:AS49"/>
    <mergeCell ref="BL49:BM49"/>
    <mergeCell ref="CF49:CG49"/>
    <mergeCell ref="CZ49:DA49"/>
    <mergeCell ref="DT49:DU49"/>
    <mergeCell ref="DT63:DU63"/>
    <mergeCell ref="EN63:EO63"/>
    <mergeCell ref="D64:D66"/>
    <mergeCell ref="X64:X66"/>
    <mergeCell ref="AR64:AR66"/>
    <mergeCell ref="BL64:BL66"/>
    <mergeCell ref="CF64:CF66"/>
    <mergeCell ref="CZ64:CZ66"/>
    <mergeCell ref="DT64:DT66"/>
    <mergeCell ref="EN64:EN66"/>
    <mergeCell ref="D67:D69"/>
    <mergeCell ref="X67:X69"/>
    <mergeCell ref="AR67:AR69"/>
    <mergeCell ref="BL67:BL69"/>
    <mergeCell ref="CF67:CF69"/>
    <mergeCell ref="CZ67:CZ69"/>
    <mergeCell ref="DT67:DT69"/>
    <mergeCell ref="EN67:EN69"/>
    <mergeCell ref="CZ70:CZ72"/>
    <mergeCell ref="DT70:DT72"/>
    <mergeCell ref="EN70:EN72"/>
    <mergeCell ref="EM61:EM72"/>
    <mergeCell ref="D61:E61"/>
    <mergeCell ref="AR61:AS61"/>
    <mergeCell ref="BL61:BM61"/>
    <mergeCell ref="CF61:CG61"/>
    <mergeCell ref="CZ61:DA61"/>
    <mergeCell ref="DT61:DU61"/>
    <mergeCell ref="D63:E63"/>
    <mergeCell ref="X63:Y63"/>
    <mergeCell ref="AR63:AS63"/>
    <mergeCell ref="BL63:BM63"/>
    <mergeCell ref="CF63:CG63"/>
    <mergeCell ref="CZ63:DA63"/>
    <mergeCell ref="D70:D72"/>
    <mergeCell ref="X70:X72"/>
    <mergeCell ref="AR70:AR72"/>
    <mergeCell ref="BL70:BL72"/>
    <mergeCell ref="CF70:CF72"/>
    <mergeCell ref="CZ76:CZ78"/>
    <mergeCell ref="D74:E74"/>
    <mergeCell ref="X74:Y74"/>
    <mergeCell ref="AR74:AS74"/>
    <mergeCell ref="BL74:BM74"/>
    <mergeCell ref="AR76:AR78"/>
    <mergeCell ref="BL76:BL78"/>
    <mergeCell ref="CF76:CF78"/>
    <mergeCell ref="AR75:AS75"/>
    <mergeCell ref="BL75:BM75"/>
    <mergeCell ref="CF75:CG75"/>
    <mergeCell ref="CZ75:DA75"/>
    <mergeCell ref="X73:Y73"/>
    <mergeCell ref="AR73:AS73"/>
    <mergeCell ref="BL73:BM73"/>
    <mergeCell ref="CF73:CG73"/>
    <mergeCell ref="CZ73:DA73"/>
    <mergeCell ref="EN76:EN78"/>
    <mergeCell ref="D79:D81"/>
    <mergeCell ref="X79:X81"/>
    <mergeCell ref="AR79:AR81"/>
    <mergeCell ref="BL79:BL81"/>
    <mergeCell ref="CF79:CF81"/>
    <mergeCell ref="CZ79:CZ81"/>
    <mergeCell ref="DT79:DT81"/>
    <mergeCell ref="EN79:EN81"/>
    <mergeCell ref="EM73:EM84"/>
    <mergeCell ref="D73:E73"/>
    <mergeCell ref="DT74:DU74"/>
    <mergeCell ref="EN74:EO74"/>
    <mergeCell ref="D75:E75"/>
    <mergeCell ref="X75:Y75"/>
    <mergeCell ref="CF74:CG74"/>
    <mergeCell ref="CZ74:DA74"/>
    <mergeCell ref="DT73:DU73"/>
    <mergeCell ref="C20:C31"/>
    <mergeCell ref="D20:E20"/>
    <mergeCell ref="C32:C43"/>
    <mergeCell ref="D32:E32"/>
    <mergeCell ref="W8:W19"/>
    <mergeCell ref="W20:W31"/>
    <mergeCell ref="W32:W43"/>
    <mergeCell ref="X8:Y8"/>
    <mergeCell ref="X20:Y20"/>
    <mergeCell ref="X32:Y32"/>
    <mergeCell ref="D41:D43"/>
    <mergeCell ref="X33:Y33"/>
    <mergeCell ref="X35:X37"/>
    <mergeCell ref="X38:X40"/>
    <mergeCell ref="X41:X43"/>
    <mergeCell ref="X34:Y34"/>
    <mergeCell ref="AQ8:AQ19"/>
    <mergeCell ref="CF38:CF40"/>
    <mergeCell ref="CF41:CF43"/>
    <mergeCell ref="CF21:CG21"/>
    <mergeCell ref="CF22:CG22"/>
    <mergeCell ref="CF23:CF25"/>
    <mergeCell ref="CF26:CF28"/>
    <mergeCell ref="CF29:CF31"/>
    <mergeCell ref="BL34:BM34"/>
    <mergeCell ref="BL35:BL37"/>
    <mergeCell ref="BL38:BL40"/>
    <mergeCell ref="BL41:BL43"/>
    <mergeCell ref="AR41:AR43"/>
    <mergeCell ref="AQ20:AQ31"/>
    <mergeCell ref="AQ32:AQ43"/>
    <mergeCell ref="BK8:BK19"/>
    <mergeCell ref="BK20:BK31"/>
    <mergeCell ref="AR9:AS9"/>
    <mergeCell ref="AR10:AS10"/>
    <mergeCell ref="AR11:AR13"/>
    <mergeCell ref="AR14:AR16"/>
    <mergeCell ref="AR17:AR19"/>
    <mergeCell ref="AR34:AS34"/>
    <mergeCell ref="AR35:AR37"/>
    <mergeCell ref="DS32:DS43"/>
    <mergeCell ref="EM8:EM19"/>
    <mergeCell ref="EM20:EM31"/>
    <mergeCell ref="EM32:EM43"/>
    <mergeCell ref="AR8:AS8"/>
    <mergeCell ref="AR20:AS20"/>
    <mergeCell ref="AR32:AS32"/>
    <mergeCell ref="BL8:BM8"/>
    <mergeCell ref="BL20:BM20"/>
    <mergeCell ref="BL32:BM32"/>
    <mergeCell ref="CF8:CG8"/>
    <mergeCell ref="CF20:CG20"/>
    <mergeCell ref="CF32:CG32"/>
    <mergeCell ref="CZ8:DA8"/>
    <mergeCell ref="CZ20:DA20"/>
    <mergeCell ref="CZ32:DA32"/>
    <mergeCell ref="DT8:DU8"/>
    <mergeCell ref="DT20:DU20"/>
    <mergeCell ref="DT32:DU32"/>
    <mergeCell ref="CY32:CY43"/>
    <mergeCell ref="DT21:DU21"/>
    <mergeCell ref="DT22:DU22"/>
    <mergeCell ref="DT23:DT25"/>
    <mergeCell ref="DT26:DT28"/>
    <mergeCell ref="EN32:EO32"/>
    <mergeCell ref="C73:C84"/>
    <mergeCell ref="C61:C72"/>
    <mergeCell ref="C49:C60"/>
    <mergeCell ref="W49:W60"/>
    <mergeCell ref="W61:W72"/>
    <mergeCell ref="W73:W84"/>
    <mergeCell ref="AQ49:AQ60"/>
    <mergeCell ref="AQ61:AQ72"/>
    <mergeCell ref="AQ73:AQ84"/>
    <mergeCell ref="BK49:BK60"/>
    <mergeCell ref="BK61:BK72"/>
    <mergeCell ref="BK73:BK84"/>
    <mergeCell ref="CE49:CE60"/>
    <mergeCell ref="CE61:CE72"/>
    <mergeCell ref="CE73:CE84"/>
    <mergeCell ref="CY49:CY60"/>
    <mergeCell ref="CY61:CY72"/>
    <mergeCell ref="CY73:CY84"/>
    <mergeCell ref="DS49:DS60"/>
    <mergeCell ref="DS61:DS72"/>
    <mergeCell ref="DS73:DS84"/>
    <mergeCell ref="X49:Y49"/>
    <mergeCell ref="X61:Y61"/>
    <mergeCell ref="EN49:EO49"/>
    <mergeCell ref="EN61:EO61"/>
    <mergeCell ref="EN73:EO73"/>
    <mergeCell ref="C90:C101"/>
    <mergeCell ref="C102:C113"/>
    <mergeCell ref="CE90:CE101"/>
    <mergeCell ref="CE102:CE113"/>
    <mergeCell ref="CY90:CY101"/>
    <mergeCell ref="CY102:CY113"/>
    <mergeCell ref="DS90:DS101"/>
    <mergeCell ref="DS102:DS113"/>
    <mergeCell ref="DT75:DU75"/>
    <mergeCell ref="EN75:EO75"/>
    <mergeCell ref="D76:D78"/>
    <mergeCell ref="X76:X78"/>
    <mergeCell ref="CZ82:CZ84"/>
    <mergeCell ref="DT82:DT84"/>
    <mergeCell ref="EN82:EN84"/>
    <mergeCell ref="D82:D84"/>
    <mergeCell ref="X82:X84"/>
    <mergeCell ref="AR82:AR84"/>
    <mergeCell ref="BL82:BL84"/>
    <mergeCell ref="CF82:CF84"/>
    <mergeCell ref="DT76:DT78"/>
    <mergeCell ref="C114:C125"/>
    <mergeCell ref="W90:W101"/>
    <mergeCell ref="W102:W113"/>
    <mergeCell ref="W114:W125"/>
    <mergeCell ref="AQ90:AQ101"/>
    <mergeCell ref="AQ102:AQ113"/>
    <mergeCell ref="AQ114:AQ125"/>
    <mergeCell ref="BK90:BK101"/>
    <mergeCell ref="BK102:BK113"/>
    <mergeCell ref="BK114:BK125"/>
    <mergeCell ref="D92:E92"/>
    <mergeCell ref="X92:Y92"/>
    <mergeCell ref="AR92:AS92"/>
    <mergeCell ref="X108:X110"/>
    <mergeCell ref="AR108:AR110"/>
    <mergeCell ref="X120:X122"/>
    <mergeCell ref="AR120:AR1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26A7-C788-4473-B463-A5505D430E40}">
  <dimension ref="C2:S123"/>
  <sheetViews>
    <sheetView workbookViewId="0">
      <selection activeCell="C24" sqref="C24"/>
    </sheetView>
  </sheetViews>
  <sheetFormatPr defaultRowHeight="14.4" x14ac:dyDescent="0.3"/>
  <cols>
    <col min="3" max="3" width="11.33203125" bestFit="1" customWidth="1"/>
    <col min="4" max="4" width="17.33203125" bestFit="1" customWidth="1"/>
    <col min="5" max="5" width="12" bestFit="1" customWidth="1"/>
    <col min="6" max="6" width="17.33203125" bestFit="1" customWidth="1"/>
    <col min="7" max="7" width="15.5546875" customWidth="1"/>
    <col min="8" max="8" width="17.33203125" bestFit="1" customWidth="1"/>
    <col min="9" max="9" width="17.6640625" bestFit="1" customWidth="1"/>
    <col min="10" max="10" width="17.33203125" bestFit="1" customWidth="1"/>
    <col min="11" max="11" width="17.6640625" bestFit="1" customWidth="1"/>
    <col min="12" max="12" width="17.33203125" bestFit="1" customWidth="1"/>
    <col min="14" max="14" width="17.33203125" bestFit="1" customWidth="1"/>
    <col min="16" max="16" width="17.33203125" bestFit="1" customWidth="1"/>
    <col min="18" max="18" width="17.33203125" bestFit="1" customWidth="1"/>
  </cols>
  <sheetData>
    <row r="2" spans="3:19" ht="15" thickBot="1" x14ac:dyDescent="0.35">
      <c r="C2" s="86" t="s">
        <v>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3:19" ht="15" thickBot="1" x14ac:dyDescent="0.35">
      <c r="C3" s="44" t="s">
        <v>56</v>
      </c>
      <c r="D3" s="83" t="s">
        <v>57</v>
      </c>
      <c r="E3" s="84"/>
      <c r="F3" s="83" t="s">
        <v>58</v>
      </c>
      <c r="G3" s="84"/>
      <c r="H3" s="83" t="s">
        <v>59</v>
      </c>
      <c r="I3" s="84"/>
      <c r="J3" s="83" t="s">
        <v>60</v>
      </c>
      <c r="K3" s="84"/>
      <c r="L3" s="83" t="s">
        <v>61</v>
      </c>
      <c r="M3" s="84"/>
      <c r="N3" s="83" t="s">
        <v>62</v>
      </c>
      <c r="O3" s="84"/>
      <c r="P3" s="83" t="s">
        <v>63</v>
      </c>
      <c r="Q3" s="84"/>
      <c r="R3" s="83" t="s">
        <v>64</v>
      </c>
      <c r="S3" s="84"/>
    </row>
    <row r="4" spans="3:19" x14ac:dyDescent="0.3">
      <c r="C4" s="65" t="s">
        <v>23</v>
      </c>
      <c r="D4" s="50" t="s">
        <v>65</v>
      </c>
      <c r="E4" s="51" cm="1">
        <f t="array" ref="E4">AVERAGE(ABS(data!F12:U12),ABS(data!F24:U24),ABS(data!F36:U36))</f>
        <v>0.20684152574575787</v>
      </c>
      <c r="F4" s="50" t="s">
        <v>65</v>
      </c>
      <c r="G4" s="51" cm="1">
        <f t="array" ref="G4">AVERAGE(ABS(data!Z12:AO12),ABS(data!Z24:AO24),ABS(data!Z36:AO36))</f>
        <v>0.18111195639275565</v>
      </c>
      <c r="H4" s="50" t="s">
        <v>65</v>
      </c>
      <c r="I4" s="51" cm="1">
        <f t="array" ref="I4">AVERAGE(ABS(data!AT12:BI12),ABS(data!AT24:BI24),ABS(data!AT36:BI36))</f>
        <v>9.0793354744902202E-2</v>
      </c>
      <c r="J4" s="50" t="s">
        <v>65</v>
      </c>
      <c r="K4" s="51" cm="1">
        <f t="array" ref="K4">AVERAGE(ABS(data!BN12:CC12),ABS(data!BN24:CC24),ABS(data!BN36:CC36))</f>
        <v>0.10416565999180687</v>
      </c>
      <c r="L4" s="50" t="s">
        <v>65</v>
      </c>
      <c r="M4" s="51" cm="1">
        <f t="array" ref="M4">AVERAGE(ABS(data!CH12:CW12),ABS(data!CH24:CW24),ABS(data!CH36:CW36))</f>
        <v>1.5764699952158594</v>
      </c>
      <c r="N4" s="50" t="s">
        <v>65</v>
      </c>
      <c r="O4" s="51" cm="1">
        <f t="array" ref="O4">AVERAGE(ABS(data!DB12:DQ12),ABS(data!DB24:DQ24),ABS(data!DB36:DQ36))</f>
        <v>2.7113299075363586</v>
      </c>
      <c r="P4" s="50" t="s">
        <v>65</v>
      </c>
      <c r="Q4" s="51" cm="1">
        <f t="array" ref="Q4">AVERAGE(ABS(data!DV12:EK12),ABS(data!DV24:EK24),ABS(data!DV36:EK36))</f>
        <v>2.5150279166651499</v>
      </c>
      <c r="R4" s="50" t="s">
        <v>65</v>
      </c>
      <c r="S4" s="51" cm="1">
        <f t="array" ref="S4">AVERAGE(ABS(data!EP12:FE12),ABS(data!EP24:FE24),ABS(data!EP36:FE36))</f>
        <v>3.0972299033534196</v>
      </c>
    </row>
    <row r="5" spans="3:19" x14ac:dyDescent="0.3">
      <c r="C5" s="66"/>
      <c r="D5" s="45" t="s">
        <v>66</v>
      </c>
      <c r="E5" s="46" cm="1">
        <f t="array" ref="E5">_xlfn.STDEV.P(ABS(data!F12:U12),ABS(data!F24:U24),ABS(data!F36:U36))</f>
        <v>0.13504428857659015</v>
      </c>
      <c r="F5" s="45" t="s">
        <v>66</v>
      </c>
      <c r="G5" s="46" cm="1">
        <f t="array" ref="G5">_xlfn.STDEV.P(ABS(data!Z12:AO12),ABS(data!Z24:AO24),ABS(data!Z36:AO36))</f>
        <v>0.13433277205607699</v>
      </c>
      <c r="H5" s="45" t="s">
        <v>66</v>
      </c>
      <c r="I5" s="46" cm="1">
        <f t="array" ref="I5">_xlfn.STDEV.P(ABS(data!AT12:BI12),ABS(data!AT24:BI24),ABS(data!AT36:BI36))</f>
        <v>7.8280552277929918E-2</v>
      </c>
      <c r="J5" s="45" t="s">
        <v>66</v>
      </c>
      <c r="K5" s="46" cm="1">
        <f t="array" ref="K5">_xlfn.STDEV.P(ABS(data!BN12:CC12),ABS(data!BN24:CC24),ABS(data!BN36:CC36))</f>
        <v>9.9644179560236565E-2</v>
      </c>
      <c r="L5" s="45" t="s">
        <v>66</v>
      </c>
      <c r="M5" s="46" cm="1">
        <f t="array" ref="M5">_xlfn.STDEV.P(ABS(data!CH12:CW12),ABS(data!CH24:CW24),ABS(data!CH36:CW36))</f>
        <v>1.2219387105021389</v>
      </c>
      <c r="N5" s="45" t="s">
        <v>66</v>
      </c>
      <c r="O5" s="46" cm="1">
        <f t="array" ref="O5">_xlfn.STDEV.P(ABS(data!DB12:DQ12),ABS(data!DB24:DQ24),ABS(data!DB36:DQ36))</f>
        <v>1.2086135962709383</v>
      </c>
      <c r="P5" s="45" t="s">
        <v>66</v>
      </c>
      <c r="Q5" s="46" cm="1">
        <f t="array" ref="Q5">_xlfn.STDEV.P(ABS(data!DV12:EK12),ABS(data!DV24:EK24),ABS(data!DV36:EK36))</f>
        <v>2.5574785574338135</v>
      </c>
      <c r="R5" s="45" t="s">
        <v>66</v>
      </c>
      <c r="S5" s="46" cm="1">
        <f t="array" ref="S5">_xlfn.STDEV.P(ABS(data!EP12:FE12),ABS(data!EP24:FE24),ABS(data!EP36:FE36))</f>
        <v>1.435460415977192</v>
      </c>
    </row>
    <row r="6" spans="3:19" x14ac:dyDescent="0.3">
      <c r="C6" s="66"/>
      <c r="D6" s="45" t="s">
        <v>67</v>
      </c>
      <c r="E6" s="46" cm="1">
        <f t="array" ref="E6">AVERAGE(ABS(data!F13:U13),ABS(data!F25:U25),ABS(data!F37:U37))</f>
        <v>5.7319794625131459</v>
      </c>
      <c r="F6" s="45" t="s">
        <v>67</v>
      </c>
      <c r="G6" s="46" cm="1">
        <f t="array" ref="G6">AVERAGE(ABS(data!Z13:AO13),ABS(data!Z25:AO25),ABS(data!Z37:AO37))</f>
        <v>4.2873026227428239</v>
      </c>
      <c r="H6" s="45" t="s">
        <v>67</v>
      </c>
      <c r="I6" s="46" cm="1">
        <f t="array" ref="I6">AVERAGE(ABS(data!AT13:BI13),ABS(data!AT25:BI25),ABS(data!AT37:BI37))</f>
        <v>3.3881537825710666</v>
      </c>
      <c r="J6" s="45" t="s">
        <v>67</v>
      </c>
      <c r="K6" s="46" cm="1">
        <f t="array" ref="K6">AVERAGE(ABS(data!BN13:CC13),ABS(data!BN25:CC25),ABS(data!BN37:CC37))</f>
        <v>2.7406406029597221</v>
      </c>
      <c r="L6" s="45" t="s">
        <v>67</v>
      </c>
      <c r="M6" s="46" cm="1">
        <f t="array" ref="M6">AVERAGE(ABS(data!CH13:CW13),ABS(data!CH25:CW25),ABS(data!CH37:CW37))</f>
        <v>92.493813686767353</v>
      </c>
      <c r="N6" s="45" t="s">
        <v>67</v>
      </c>
      <c r="O6" s="46" cm="1">
        <f t="array" ref="O6">AVERAGE(ABS(data!DB13:DQ13),ABS(data!DB25:DQ25),ABS(data!DB37:DQ37))</f>
        <v>351.60979637062354</v>
      </c>
      <c r="P6" s="45" t="s">
        <v>67</v>
      </c>
      <c r="Q6" s="46" cm="1">
        <f t="array" ref="Q6">AVERAGE(ABS(data!DV13:EK13),ABS(data!DV25:EK25),ABS(data!DV37:EK37))</f>
        <v>207.51146456404049</v>
      </c>
      <c r="R6" s="45" t="s">
        <v>67</v>
      </c>
      <c r="S6" s="46" cm="1">
        <f t="array" ref="S6">AVERAGE(ABS(data!EP13:FE13),ABS(data!EP25:FE25),ABS(data!EP37:FE37))</f>
        <v>677.52224374484933</v>
      </c>
    </row>
    <row r="7" spans="3:19" x14ac:dyDescent="0.3">
      <c r="C7" s="66"/>
      <c r="D7" s="45" t="s">
        <v>66</v>
      </c>
      <c r="E7" s="46" cm="1">
        <f t="array" ref="E7">_xlfn.STDEV.P(ABS(data!F13:U13),ABS(data!F25:U25),ABS(data!F37:U37))</f>
        <v>3.5544792340120908</v>
      </c>
      <c r="F7" s="45" t="s">
        <v>66</v>
      </c>
      <c r="G7" s="46" cm="1">
        <f t="array" ref="G7">_xlfn.STDEV.P(ABS(data!Z13:AO13),ABS(data!Z25:AO25),ABS(data!Z37:AO37))</f>
        <v>3.2107213036326909</v>
      </c>
      <c r="H7" s="45" t="s">
        <v>66</v>
      </c>
      <c r="I7" s="46" cm="1">
        <f t="array" ref="I7">_xlfn.STDEV.P(ABS(data!AT13:BI13),ABS(data!AT25:BI25),ABS(data!AT37:BI37))</f>
        <v>2.8798935828967318</v>
      </c>
      <c r="J7" s="45" t="s">
        <v>66</v>
      </c>
      <c r="K7" s="46" cm="1">
        <f t="array" ref="K7">_xlfn.STDEV.P(ABS(data!BN13:CC13),ABS(data!BN25:CC25),ABS(data!BN37:CC37))</f>
        <v>2.7753037448976303</v>
      </c>
      <c r="L7" s="45" t="s">
        <v>66</v>
      </c>
      <c r="M7" s="46" cm="1">
        <f t="array" ref="M7">_xlfn.STDEV.P(ABS(data!CH13:CW13),ABS(data!CH25:CW25),ABS(data!CH37:CW37))</f>
        <v>87.043486274627739</v>
      </c>
      <c r="N7" s="45" t="s">
        <v>66</v>
      </c>
      <c r="O7" s="46" cm="1">
        <f t="array" ref="O7">_xlfn.STDEV.P(ABS(data!DB13:DQ13),ABS(data!DB25:DQ25),ABS(data!DB37:DQ37))</f>
        <v>404.63078234847342</v>
      </c>
      <c r="P7" s="45" t="s">
        <v>66</v>
      </c>
      <c r="Q7" s="46" cm="1">
        <f t="array" ref="Q7">_xlfn.STDEV.P(ABS(data!DV13:EK13),ABS(data!DV25:EK25),ABS(data!DV37:EK37))</f>
        <v>204.46583926000386</v>
      </c>
      <c r="R7" s="45" t="s">
        <v>66</v>
      </c>
      <c r="S7" s="46" cm="1">
        <f t="array" ref="S7">_xlfn.STDEV.P(ABS(data!EP13:FE13),ABS(data!EP25:FE25),ABS(data!EP37:FE37))</f>
        <v>731.06747862954069</v>
      </c>
    </row>
    <row r="8" spans="3:19" x14ac:dyDescent="0.3">
      <c r="C8" s="85"/>
      <c r="D8" s="47"/>
      <c r="E8" s="54"/>
      <c r="F8" s="47"/>
      <c r="G8" s="54"/>
      <c r="H8" s="47"/>
      <c r="I8" s="54"/>
      <c r="J8" s="47"/>
      <c r="K8" s="54"/>
      <c r="L8" s="47"/>
      <c r="M8" s="54"/>
      <c r="N8" s="47"/>
      <c r="O8" s="54"/>
      <c r="P8" s="47"/>
      <c r="Q8" s="54"/>
      <c r="R8" s="47"/>
      <c r="S8" s="54"/>
    </row>
    <row r="9" spans="3:19" x14ac:dyDescent="0.3">
      <c r="C9" s="66" t="s">
        <v>68</v>
      </c>
      <c r="D9" s="45" t="s">
        <v>65</v>
      </c>
      <c r="E9" s="46" cm="1">
        <f t="array" ref="E9">AVERAGE(ABS(data!F15:U15),ABS(data!F27:U27),ABS(data!F39:U39))</f>
        <v>0.15755752517023255</v>
      </c>
      <c r="F9" s="45" t="s">
        <v>65</v>
      </c>
      <c r="G9" s="46" cm="1">
        <f t="array" ref="G9">AVERAGE(ABS(data!Z15:AO15),ABS(data!Z27:AO27),ABS(data!Z39:AO39))</f>
        <v>0.13952290447487062</v>
      </c>
      <c r="H9" s="45" t="s">
        <v>65</v>
      </c>
      <c r="I9" s="46" cm="1">
        <f t="array" ref="I9">AVERAGE(ABS(data!AT15:BI15),ABS(data!AT27:BI27),ABS(data!AT39:BI39))</f>
        <v>0.15829335474490222</v>
      </c>
      <c r="J9" s="45" t="s">
        <v>65</v>
      </c>
      <c r="K9" s="46" cm="1">
        <f t="array" ref="K9">AVERAGE(ABS(data!BN15:CC15),ABS(data!BN27:CC27),ABS(data!BN39:CC39))</f>
        <v>8.1982743375390965E-2</v>
      </c>
      <c r="L9" s="45" t="s">
        <v>65</v>
      </c>
      <c r="M9" s="46" cm="1">
        <f t="array" ref="M9">AVERAGE(ABS(data!CH15:CW15),ABS(data!CH27:CW27),ABS(data!CH39:CW39))</f>
        <v>1.5956366618825262</v>
      </c>
      <c r="N9" s="45" t="s">
        <v>65</v>
      </c>
      <c r="O9" s="46" cm="1">
        <f t="array" ref="O9">AVERAGE(ABS(data!DB15:DQ15),ABS(data!DB27:DQ27),ABS(data!DB39:DQ39))</f>
        <v>2.7450799075363577</v>
      </c>
      <c r="P9" s="45" t="s">
        <v>65</v>
      </c>
      <c r="Q9" s="46" cm="1">
        <f t="array" ref="Q9">AVERAGE(ABS(data!DV15:EK15),ABS(data!DV27:EK27),ABS(data!DV39:EK39))</f>
        <v>2.45002791666515</v>
      </c>
      <c r="R9" s="45" t="s">
        <v>65</v>
      </c>
      <c r="S9" s="46" cm="1">
        <f t="array" ref="S9">AVERAGE(ABS(data!EP15:FE15),ABS(data!EP27:FE27),ABS(data!EP39:FE39))</f>
        <v>3.0959799033534203</v>
      </c>
    </row>
    <row r="10" spans="3:19" x14ac:dyDescent="0.3">
      <c r="C10" s="66"/>
      <c r="D10" s="45" t="s">
        <v>66</v>
      </c>
      <c r="E10" s="46" cm="1">
        <f t="array" ref="E10">_xlfn.STDEV.P(ABS(data!F15:U15),ABS(data!F27:U27),ABS(data!F39:U39))</f>
        <v>0.1183266914238577</v>
      </c>
      <c r="F10" s="45" t="s">
        <v>66</v>
      </c>
      <c r="G10" s="46" cm="1">
        <f t="array" ref="G10">_xlfn.STDEV.P(ABS(data!Z15:AO15),ABS(data!Z27:AO27),ABS(data!Z39:AO39))</f>
        <v>0.13056438027247466</v>
      </c>
      <c r="H10" s="45" t="s">
        <v>66</v>
      </c>
      <c r="I10" s="46" cm="1">
        <f t="array" ref="I10">_xlfn.STDEV.P(ABS(data!AT15:BI15),ABS(data!AT27:BI27),ABS(data!AT39:BI39))</f>
        <v>0.23853889176051782</v>
      </c>
      <c r="J10" s="45" t="s">
        <v>66</v>
      </c>
      <c r="K10" s="46" cm="1">
        <f t="array" ref="K10">_xlfn.STDEV.P(ABS(data!BN15:CC15),ABS(data!BN27:CC27),ABS(data!BN39:CC39))</f>
        <v>8.7235678096451566E-2</v>
      </c>
      <c r="L10" s="45" t="s">
        <v>66</v>
      </c>
      <c r="M10" s="46" cm="1">
        <f t="array" ref="M10">_xlfn.STDEV.P(ABS(data!CH15:CW15),ABS(data!CH27:CW27),ABS(data!CH39:CW39))</f>
        <v>1.2404191505243689</v>
      </c>
      <c r="N10" s="45" t="s">
        <v>66</v>
      </c>
      <c r="O10" s="46" cm="1">
        <f t="array" ref="O10">_xlfn.STDEV.P(ABS(data!DB15:DQ15),ABS(data!DB27:DQ27),ABS(data!DB39:DQ39))</f>
        <v>1.1914737757356313</v>
      </c>
      <c r="P10" s="45" t="s">
        <v>66</v>
      </c>
      <c r="Q10" s="46" cm="1">
        <f t="array" ref="Q10">_xlfn.STDEV.P(ABS(data!DV15:EK15),ABS(data!DV27:EK27),ABS(data!DV39:EK39))</f>
        <v>2.5740150283159182</v>
      </c>
      <c r="R10" s="45" t="s">
        <v>66</v>
      </c>
      <c r="S10" s="46" cm="1">
        <f t="array" ref="S10">_xlfn.STDEV.P(ABS(data!EP15:FE15),ABS(data!EP27:FE27),ABS(data!EP39:FE39))</f>
        <v>1.4231074405578836</v>
      </c>
    </row>
    <row r="11" spans="3:19" x14ac:dyDescent="0.3">
      <c r="C11" s="66"/>
      <c r="D11" s="45" t="s">
        <v>67</v>
      </c>
      <c r="E11" s="46" cm="1">
        <f t="array" ref="E11">AVERAGE(ABS(data!F16:U16),ABS(data!F28:U28),ABS(data!F40:U40))</f>
        <v>4.4102246782190413</v>
      </c>
      <c r="F11" s="45" t="s">
        <v>67</v>
      </c>
      <c r="G11" s="46" cm="1">
        <f t="array" ref="G11">AVERAGE(ABS(data!Z16:AO16),ABS(data!Z28:AO28),ABS(data!Z40:AO40))</f>
        <v>3.2020008157853717</v>
      </c>
      <c r="H11" s="45" t="s">
        <v>67</v>
      </c>
      <c r="I11" s="46" cm="1">
        <f t="array" ref="I11">AVERAGE(ABS(data!AT16:BI16),ABS(data!AT28:BI28),ABS(data!AT40:BI40))</f>
        <v>5.2812699688965843</v>
      </c>
      <c r="J11" s="45" t="s">
        <v>67</v>
      </c>
      <c r="K11" s="46" cm="1">
        <f t="array" ref="K11">AVERAGE(ABS(data!BN16:CC16),ABS(data!BN28:CC28),ABS(data!BN40:CC40))</f>
        <v>2.1405597466928827</v>
      </c>
      <c r="L11" s="45" t="s">
        <v>67</v>
      </c>
      <c r="M11" s="46" cm="1">
        <f t="array" ref="M11">AVERAGE(ABS(data!CH16:CW16),ABS(data!CH28:CW28),ABS(data!CH40:CW40))</f>
        <v>94.578112396540675</v>
      </c>
      <c r="N11" s="45" t="s">
        <v>67</v>
      </c>
      <c r="O11" s="46" cm="1">
        <f t="array" ref="O11">AVERAGE(ABS(data!DB16:DQ16),ABS(data!DB28:DQ28),ABS(data!DB40:DQ40))</f>
        <v>355.35435263010146</v>
      </c>
      <c r="P11" s="45" t="s">
        <v>67</v>
      </c>
      <c r="Q11" s="46" cm="1">
        <f t="array" ref="Q11">AVERAGE(ABS(data!DV16:EK16),ABS(data!DV28:EK28),ABS(data!DV40:EK40))</f>
        <v>202.95381235961747</v>
      </c>
      <c r="R11" s="45" t="s">
        <v>67</v>
      </c>
      <c r="S11" s="46" cm="1">
        <f t="array" ref="S11">AVERAGE(ABS(data!EP16:FE16),ABS(data!EP28:FE28),ABS(data!EP40:FE40))</f>
        <v>680.10196223446655</v>
      </c>
    </row>
    <row r="12" spans="3:19" x14ac:dyDescent="0.3">
      <c r="C12" s="66"/>
      <c r="D12" s="45" t="s">
        <v>66</v>
      </c>
      <c r="E12" s="46" cm="1">
        <f t="array" ref="E12">_xlfn.STDEV.P(ABS(data!F16:U16),ABS(data!F28:U28),ABS(data!F40:U40))</f>
        <v>3.0370938436873858</v>
      </c>
      <c r="F12" s="45" t="s">
        <v>66</v>
      </c>
      <c r="G12" s="46" cm="1">
        <f t="array" ref="G12">_xlfn.STDEV.P(ABS(data!Z16:AO16),ABS(data!Z28:AO28),ABS(data!Z40:AO40))</f>
        <v>2.9223139382302006</v>
      </c>
      <c r="H12" s="45" t="s">
        <v>66</v>
      </c>
      <c r="I12" s="46" cm="1">
        <f t="array" ref="I12">_xlfn.STDEV.P(ABS(data!AT16:BI16),ABS(data!AT28:BI28),ABS(data!AT40:BI40))</f>
        <v>6.020450746284701</v>
      </c>
      <c r="J12" s="45" t="s">
        <v>66</v>
      </c>
      <c r="K12" s="46" cm="1">
        <f t="array" ref="K12">_xlfn.STDEV.P(ABS(data!BN16:CC16),ABS(data!BN28:CC28),ABS(data!BN40:CC40))</f>
        <v>2.4340826382700431</v>
      </c>
      <c r="L12" s="45" t="s">
        <v>66</v>
      </c>
      <c r="M12" s="46" cm="1">
        <f t="array" ref="M12">_xlfn.STDEV.P(ABS(data!CH16:CW16),ABS(data!CH28:CW28),ABS(data!CH40:CW40))</f>
        <v>89.93059674521804</v>
      </c>
      <c r="N12" s="45" t="s">
        <v>66</v>
      </c>
      <c r="O12" s="46" cm="1">
        <f t="array" ref="O12">_xlfn.STDEV.P(ABS(data!DB16:DQ16),ABS(data!DB28:DQ28),ABS(data!DB40:DQ40))</f>
        <v>409.25307866441256</v>
      </c>
      <c r="P12" s="45" t="s">
        <v>66</v>
      </c>
      <c r="Q12" s="46" cm="1">
        <f t="array" ref="Q12">_xlfn.STDEV.P(ABS(data!DV16:EK16),ABS(data!DV28:EK28),ABS(data!DV40:EK40))</f>
        <v>206.96561840015679</v>
      </c>
      <c r="R12" s="45" t="s">
        <v>66</v>
      </c>
      <c r="S12" s="46" cm="1">
        <f t="array" ref="S12">_xlfn.STDEV.P(ABS(data!EP16:FE16),ABS(data!EP28:FE28),ABS(data!EP40:FE40))</f>
        <v>739.00181303221223</v>
      </c>
    </row>
    <row r="13" spans="3:19" x14ac:dyDescent="0.3">
      <c r="C13" s="85"/>
      <c r="D13" s="47"/>
      <c r="E13" s="54"/>
      <c r="F13" s="47"/>
      <c r="G13" s="54"/>
      <c r="H13" s="47"/>
      <c r="I13" s="54"/>
      <c r="J13" s="47"/>
      <c r="K13" s="54"/>
      <c r="L13" s="47"/>
      <c r="M13" s="54"/>
      <c r="N13" s="47"/>
      <c r="O13" s="54"/>
      <c r="P13" s="47"/>
      <c r="Q13" s="54"/>
      <c r="R13" s="47"/>
      <c r="S13" s="54"/>
    </row>
    <row r="14" spans="3:19" x14ac:dyDescent="0.3">
      <c r="C14" s="66" t="s">
        <v>69</v>
      </c>
      <c r="D14" s="45" t="s">
        <v>65</v>
      </c>
      <c r="E14" s="46" cm="1">
        <f t="array" ref="E14">AVERAGE(ABS(data!F18:U18),ABS(data!F30:U30),ABS(data!F42:U42))</f>
        <v>0.14984470548400919</v>
      </c>
      <c r="F14" s="45" t="s">
        <v>65</v>
      </c>
      <c r="G14" s="46" cm="1">
        <f t="array" ref="G14">AVERAGE(ABS(data!Z18:AO18),ABS(data!Z30:AO30),ABS(data!Z42:AO42))</f>
        <v>0.16375246275257063</v>
      </c>
      <c r="H14" s="45" t="s">
        <v>65</v>
      </c>
      <c r="I14" s="46" cm="1">
        <f t="array" ref="I14">AVERAGE(ABS(data!AT18:BI18),ABS(data!AT30:BI30),ABS(data!AT42:BI42))</f>
        <v>9.6589569572767806E-2</v>
      </c>
      <c r="J14" s="45" t="s">
        <v>65</v>
      </c>
      <c r="K14" s="46" cm="1">
        <f t="array" ref="K14">AVERAGE(ABS(data!BN18:CC18),ABS(data!BN30:CC30),ABS(data!BN42:CC42))</f>
        <v>9.6167224912675417E-2</v>
      </c>
      <c r="L14" s="45" t="s">
        <v>65</v>
      </c>
      <c r="M14" s="46" cm="1">
        <f t="array" ref="M14">AVERAGE(ABS(data!CH18:CW18),ABS(data!CH30:CW30),ABS(data!CH42:CW42))</f>
        <v>1.6106366618825263</v>
      </c>
      <c r="N14" s="45" t="s">
        <v>65</v>
      </c>
      <c r="O14" s="46" cm="1">
        <f t="array" ref="O14">AVERAGE(ABS(data!DB18:DQ18),ABS(data!DB30:DQ30),ABS(data!DB42:DQ42))</f>
        <v>2.7413299075363589</v>
      </c>
      <c r="P14" s="45" t="s">
        <v>65</v>
      </c>
      <c r="Q14" s="46" cm="1">
        <f t="array" ref="Q14">AVERAGE(ABS(data!DV18:EK18),ABS(data!DV30:EK30),ABS(data!DV42:EK42))</f>
        <v>2.5487779166651494</v>
      </c>
      <c r="R14" s="45" t="s">
        <v>65</v>
      </c>
      <c r="S14" s="46" cm="1">
        <f t="array" ref="S14">AVERAGE(ABS(data!EP18:FE18),ABS(data!EP30:FE30),ABS(data!EP42:FE42))</f>
        <v>3.1184799033534212</v>
      </c>
    </row>
    <row r="15" spans="3:19" x14ac:dyDescent="0.3">
      <c r="C15" s="66"/>
      <c r="D15" s="45" t="s">
        <v>66</v>
      </c>
      <c r="E15" s="46" cm="1">
        <f t="array" ref="E15">_xlfn.STDEV.P(ABS(data!F18:U18),ABS(data!F30:U30),ABS(data!F42:U42))</f>
        <v>0.11086826014351379</v>
      </c>
      <c r="F15" s="45" t="s">
        <v>66</v>
      </c>
      <c r="G15" s="46" cm="1">
        <f t="array" ref="G15">_xlfn.STDEV.P(ABS(data!Z18:AO18),ABS(data!Z30:AO30),ABS(data!Z42:AO42))</f>
        <v>0.14856822551330404</v>
      </c>
      <c r="H15" s="45" t="s">
        <v>66</v>
      </c>
      <c r="I15" s="46" cm="1">
        <f t="array" ref="I15">_xlfn.STDEV.P(ABS(data!AT18:BI18),ABS(data!AT30:BI30),ABS(data!AT42:BI42))</f>
        <v>5.2148297389919426E-2</v>
      </c>
      <c r="J15" s="45" t="s">
        <v>66</v>
      </c>
      <c r="K15" s="46" cm="1">
        <f t="array" ref="K15">_xlfn.STDEV.P(ABS(data!BN18:CC18),ABS(data!BN30:CC30),ABS(data!BN42:CC42))</f>
        <v>8.9881277649169825E-2</v>
      </c>
      <c r="L15" s="45" t="s">
        <v>66</v>
      </c>
      <c r="M15" s="46" cm="1">
        <f t="array" ref="M15">_xlfn.STDEV.P(ABS(data!CH18:CW18),ABS(data!CH30:CW30),ABS(data!CH42:CW42))</f>
        <v>1.2554288654686945</v>
      </c>
      <c r="N15" s="45" t="s">
        <v>66</v>
      </c>
      <c r="O15" s="46" cm="1">
        <f t="array" ref="O15">_xlfn.STDEV.P(ABS(data!DB18:DQ18),ABS(data!DB30:DQ30),ABS(data!DB42:DQ42))</f>
        <v>1.2060783231657066</v>
      </c>
      <c r="P15" s="45" t="s">
        <v>66</v>
      </c>
      <c r="Q15" s="46" cm="1">
        <f t="array" ref="Q15">_xlfn.STDEV.P(ABS(data!DV18:EK18),ABS(data!DV30:EK30),ABS(data!DV42:EK42))</f>
        <v>2.5686565966943884</v>
      </c>
      <c r="R15" s="45" t="s">
        <v>66</v>
      </c>
      <c r="S15" s="46" cm="1">
        <f t="array" ref="S15">_xlfn.STDEV.P(ABS(data!EP18:FE18),ABS(data!EP30:FE30),ABS(data!EP42:FE42))</f>
        <v>1.4363621525461294</v>
      </c>
    </row>
    <row r="16" spans="3:19" x14ac:dyDescent="0.3">
      <c r="C16" s="66"/>
      <c r="D16" s="45" t="s">
        <v>67</v>
      </c>
      <c r="E16" s="46" cm="1">
        <f t="array" ref="E16">AVERAGE(ABS(data!F19:U19),ABS(data!F31:U31),ABS(data!F43:U43))</f>
        <v>4.217707398377569</v>
      </c>
      <c r="F16" s="45" t="s">
        <v>67</v>
      </c>
      <c r="G16" s="46" cm="1">
        <f t="array" ref="G16">AVERAGE(ABS(data!Z19:AO19),ABS(data!Z31:AO31),ABS(data!Z43:AO43))</f>
        <v>3.8962999908533775</v>
      </c>
      <c r="H16" s="45" t="s">
        <v>67</v>
      </c>
      <c r="I16" s="46" cm="1">
        <f t="array" ref="I16">AVERAGE(ABS(data!AT19:BI19),ABS(data!AT31:BI31),ABS(data!AT43:BI43))</f>
        <v>3.5865628960734486</v>
      </c>
      <c r="J16" s="45" t="s">
        <v>67</v>
      </c>
      <c r="K16" s="46" cm="1">
        <f t="array" ref="K16">AVERAGE(ABS(data!BN19:CC19),ABS(data!BN31:CC31),ABS(data!BN43:CC43))</f>
        <v>2.3616866268653784</v>
      </c>
      <c r="L16" s="45" t="s">
        <v>67</v>
      </c>
      <c r="M16" s="46" cm="1">
        <f t="array" ref="M16">AVERAGE(ABS(data!CH19:CW19),ABS(data!CH31:CW31),ABS(data!CH43:CW43))</f>
        <v>95.355750738008808</v>
      </c>
      <c r="N16" s="45" t="s">
        <v>67</v>
      </c>
      <c r="O16" s="46" cm="1">
        <f t="array" ref="O16">AVERAGE(ABS(data!DB19:DQ19),ABS(data!DB31:DQ31),ABS(data!DB43:DQ43))</f>
        <v>354.89655977602757</v>
      </c>
      <c r="P16" s="45" t="s">
        <v>67</v>
      </c>
      <c r="Q16" s="46" cm="1">
        <f t="array" ref="Q16">AVERAGE(ABS(data!DV19:EK19),ABS(data!DV31:EK31),ABS(data!DV43:EK43))</f>
        <v>207.79942294439681</v>
      </c>
      <c r="R16" s="45" t="s">
        <v>67</v>
      </c>
      <c r="S16" s="46" cm="1">
        <f t="array" ref="S16">AVERAGE(ABS(data!EP19:FE19),ABS(data!EP31:FE31),ABS(data!EP43:FE43))</f>
        <v>683.66250970722501</v>
      </c>
    </row>
    <row r="17" spans="3:19" x14ac:dyDescent="0.3">
      <c r="C17" s="66"/>
      <c r="D17" s="45" t="s">
        <v>66</v>
      </c>
      <c r="E17" s="46" cm="1">
        <f t="array" ref="E17">_xlfn.STDEV.P(ABS(data!F19:U19),ABS(data!F31:U31),ABS(data!F43:U43))</f>
        <v>2.9122824885022234</v>
      </c>
      <c r="F17" s="45" t="s">
        <v>66</v>
      </c>
      <c r="G17" s="46" cm="1">
        <f t="array" ref="G17">_xlfn.STDEV.P(ABS(data!Z19:AO19),ABS(data!Z31:AO31),ABS(data!Z43:AO43))</f>
        <v>3.5342343089491273</v>
      </c>
      <c r="H17" s="45" t="s">
        <v>66</v>
      </c>
      <c r="I17" s="46" cm="1">
        <f t="array" ref="I17">_xlfn.STDEV.P(ABS(data!AT19:BI19),ABS(data!AT31:BI31),ABS(data!AT43:BI43))</f>
        <v>2.5480173774003445</v>
      </c>
      <c r="J17" s="45" t="s">
        <v>66</v>
      </c>
      <c r="K17" s="46" cm="1">
        <f t="array" ref="K17">_xlfn.STDEV.P(ABS(data!BN19:CC19),ABS(data!BN31:CC31),ABS(data!BN43:CC43))</f>
        <v>2.4834548639145542</v>
      </c>
      <c r="L17" s="45" t="s">
        <v>66</v>
      </c>
      <c r="M17" s="46" cm="1">
        <f t="array" ref="M17">_xlfn.STDEV.P(ABS(data!CH19:CW19),ABS(data!CH31:CW31),ABS(data!CH43:CW43))</f>
        <v>90.763742113239644</v>
      </c>
      <c r="N17" s="45" t="s">
        <v>66</v>
      </c>
      <c r="O17" s="46" cm="1">
        <f t="array" ref="O17">_xlfn.STDEV.P(ABS(data!DB19:DQ19),ABS(data!DB31:DQ31),ABS(data!DB43:DQ43))</f>
        <v>409.63145773492926</v>
      </c>
      <c r="P17" s="45" t="s">
        <v>66</v>
      </c>
      <c r="Q17" s="46" cm="1">
        <f t="array" ref="Q17">_xlfn.STDEV.P(ABS(data!DV19:EK19),ABS(data!DV31:EK31),ABS(data!DV43:EK43))</f>
        <v>200.9454792454126</v>
      </c>
      <c r="R17" s="45" t="s">
        <v>66</v>
      </c>
      <c r="S17" s="46" cm="1">
        <f t="array" ref="S17">_xlfn.STDEV.P(ABS(data!EP19:FE19),ABS(data!EP31:FE31),ABS(data!EP43:FE43))</f>
        <v>743.3903998497567</v>
      </c>
    </row>
    <row r="18" spans="3:19" x14ac:dyDescent="0.3">
      <c r="C18" s="85"/>
      <c r="D18" s="45"/>
      <c r="E18" s="46"/>
      <c r="F18" s="45"/>
      <c r="G18" s="46"/>
      <c r="H18" s="45"/>
      <c r="I18" s="46"/>
      <c r="J18" s="45"/>
      <c r="K18" s="46"/>
      <c r="L18" s="45"/>
      <c r="M18" s="46"/>
      <c r="N18" s="45"/>
      <c r="O18" s="46"/>
      <c r="P18" s="45"/>
      <c r="Q18" s="46"/>
      <c r="R18" s="45"/>
      <c r="S18" s="46"/>
    </row>
    <row r="19" spans="3:19" x14ac:dyDescent="0.3">
      <c r="C19" s="66" t="s">
        <v>70</v>
      </c>
      <c r="D19" s="52" t="s">
        <v>65</v>
      </c>
      <c r="E19" s="53">
        <f>AVERAGE(E4,E9,E14)</f>
        <v>0.17141458546666655</v>
      </c>
      <c r="F19" s="52" t="s">
        <v>65</v>
      </c>
      <c r="G19" s="53">
        <f>AVERAGE(G4,G9,G14)</f>
        <v>0.16146244120673228</v>
      </c>
      <c r="H19" s="52" t="s">
        <v>65</v>
      </c>
      <c r="I19" s="53">
        <f>AVERAGE(I4,I9,I14)</f>
        <v>0.11522542635419075</v>
      </c>
      <c r="J19" s="52" t="s">
        <v>65</v>
      </c>
      <c r="K19" s="53">
        <f>AVERAGE(K4,K9,K14)</f>
        <v>9.4105209426624425E-2</v>
      </c>
      <c r="L19" s="52" t="s">
        <v>65</v>
      </c>
      <c r="M19" s="53">
        <f>AVERAGE(M4,M9,M14)</f>
        <v>1.5942477729936373</v>
      </c>
      <c r="N19" s="52" t="s">
        <v>65</v>
      </c>
      <c r="O19" s="53">
        <f>AVERAGE(O4,O9,O14)</f>
        <v>2.7325799075363584</v>
      </c>
      <c r="P19" s="52" t="s">
        <v>65</v>
      </c>
      <c r="Q19" s="53">
        <f>AVERAGE(Q4,Q9,Q14)</f>
        <v>2.5046112499984834</v>
      </c>
      <c r="R19" s="52" t="s">
        <v>65</v>
      </c>
      <c r="S19" s="53">
        <f>AVERAGE(S4,S9,S14)</f>
        <v>3.1038965700200869</v>
      </c>
    </row>
    <row r="20" spans="3:19" x14ac:dyDescent="0.3">
      <c r="C20" s="66"/>
      <c r="D20" s="45" t="s">
        <v>71</v>
      </c>
      <c r="E20" s="46">
        <f>AVERAGE(E5,E10,E15)</f>
        <v>0.12141308004798722</v>
      </c>
      <c r="F20" s="45" t="s">
        <v>71</v>
      </c>
      <c r="G20" s="46">
        <f>AVERAGE(G5,G10,G15)</f>
        <v>0.13782179261395189</v>
      </c>
      <c r="H20" s="45" t="s">
        <v>71</v>
      </c>
      <c r="I20" s="46">
        <f>AVERAGE(I5,I10,I15)</f>
        <v>0.12298924714278907</v>
      </c>
      <c r="J20" s="45" t="s">
        <v>71</v>
      </c>
      <c r="K20" s="46">
        <f>AVERAGE(K5,K10,K15)</f>
        <v>9.2253711768619309E-2</v>
      </c>
      <c r="L20" s="45" t="s">
        <v>71</v>
      </c>
      <c r="M20" s="46">
        <f>AVERAGE(M5,M10,M15)</f>
        <v>1.2392622421650674</v>
      </c>
      <c r="N20" s="45" t="s">
        <v>71</v>
      </c>
      <c r="O20" s="46">
        <f>AVERAGE(O5,O10,O15)</f>
        <v>1.202055231724092</v>
      </c>
      <c r="P20" s="45" t="s">
        <v>71</v>
      </c>
      <c r="Q20" s="46">
        <f>AVERAGE(Q5,Q10,Q15)</f>
        <v>2.5667167274813738</v>
      </c>
      <c r="R20" s="45" t="s">
        <v>71</v>
      </c>
      <c r="S20" s="46">
        <f>AVERAGE(S5,S10,S15)</f>
        <v>1.4316433363604018</v>
      </c>
    </row>
    <row r="21" spans="3:19" x14ac:dyDescent="0.3">
      <c r="C21" s="66"/>
      <c r="D21" s="45" t="s">
        <v>67</v>
      </c>
      <c r="E21" s="46">
        <f>AVERAGE(E6,E11,E16)</f>
        <v>4.7866371797032521</v>
      </c>
      <c r="F21" s="45" t="s">
        <v>67</v>
      </c>
      <c r="G21" s="46">
        <f>AVERAGE(G6,G11,G16)</f>
        <v>3.795201143127191</v>
      </c>
      <c r="H21" s="45" t="s">
        <v>67</v>
      </c>
      <c r="I21" s="46">
        <f>AVERAGE(I6,I11,I16)</f>
        <v>4.0853288825137</v>
      </c>
      <c r="J21" s="45" t="s">
        <v>67</v>
      </c>
      <c r="K21" s="46">
        <f>AVERAGE(K6,K11,K16)</f>
        <v>2.4142956588393276</v>
      </c>
      <c r="L21" s="45" t="s">
        <v>67</v>
      </c>
      <c r="M21" s="46">
        <f>AVERAGE(M6,M11,M16)</f>
        <v>94.142558940438946</v>
      </c>
      <c r="N21" s="45" t="s">
        <v>67</v>
      </c>
      <c r="O21" s="46">
        <f>AVERAGE(O6,O11,O16)</f>
        <v>353.95356959225086</v>
      </c>
      <c r="P21" s="45" t="s">
        <v>67</v>
      </c>
      <c r="Q21" s="46">
        <f>AVERAGE(Q6,Q11,Q16)</f>
        <v>206.08823328935159</v>
      </c>
      <c r="R21" s="45" t="s">
        <v>67</v>
      </c>
      <c r="S21" s="46">
        <f>AVERAGE(S6,S11,S16)</f>
        <v>680.42890522884693</v>
      </c>
    </row>
    <row r="22" spans="3:19" x14ac:dyDescent="0.3">
      <c r="C22" s="66"/>
      <c r="D22" s="45" t="s">
        <v>66</v>
      </c>
      <c r="E22" s="46">
        <f>AVERAGE(E7,E12,E17)</f>
        <v>3.1679518554005668</v>
      </c>
      <c r="F22" s="45" t="s">
        <v>66</v>
      </c>
      <c r="G22" s="46">
        <f>AVERAGE(G7,G12,G17)</f>
        <v>3.2224231836040063</v>
      </c>
      <c r="H22" s="45" t="s">
        <v>66</v>
      </c>
      <c r="I22" s="46">
        <f>AVERAGE(I7,I12,I17)</f>
        <v>3.8161205688605926</v>
      </c>
      <c r="J22" s="45" t="s">
        <v>66</v>
      </c>
      <c r="K22" s="46">
        <f>AVERAGE(K7,K12,K17)</f>
        <v>2.5642804156940762</v>
      </c>
      <c r="L22" s="45" t="s">
        <v>66</v>
      </c>
      <c r="M22" s="46">
        <f>AVERAGE(M7,M12,M17)</f>
        <v>89.245941711028479</v>
      </c>
      <c r="N22" s="45" t="s">
        <v>66</v>
      </c>
      <c r="O22" s="46">
        <f>AVERAGE(O7,O12,O17)</f>
        <v>407.83843958260508</v>
      </c>
      <c r="P22" s="45" t="s">
        <v>66</v>
      </c>
      <c r="Q22" s="46">
        <f>AVERAGE(Q7,Q12,Q17)</f>
        <v>204.12564563519106</v>
      </c>
      <c r="R22" s="45" t="s">
        <v>66</v>
      </c>
      <c r="S22" s="46">
        <f>AVERAGE(S7,S12,S17)</f>
        <v>737.81989717050328</v>
      </c>
    </row>
    <row r="23" spans="3:19" ht="15" thickBot="1" x14ac:dyDescent="0.35">
      <c r="C23" s="67"/>
      <c r="D23" s="48"/>
      <c r="E23" s="49"/>
      <c r="F23" s="48"/>
      <c r="G23" s="49"/>
      <c r="H23" s="48"/>
      <c r="I23" s="49"/>
      <c r="J23" s="48"/>
      <c r="K23" s="49"/>
      <c r="L23" s="48"/>
      <c r="M23" s="49"/>
      <c r="N23" s="48"/>
      <c r="O23" s="49"/>
      <c r="P23" s="48"/>
      <c r="Q23" s="49"/>
      <c r="R23" s="48"/>
      <c r="S23" s="49"/>
    </row>
    <row r="27" spans="3:19" ht="15" thickBot="1" x14ac:dyDescent="0.35">
      <c r="C27" s="86" t="s">
        <v>72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</row>
    <row r="28" spans="3:19" ht="15" thickBot="1" x14ac:dyDescent="0.35">
      <c r="C28" s="44" t="s">
        <v>73</v>
      </c>
      <c r="D28" s="83" t="s">
        <v>57</v>
      </c>
      <c r="E28" s="84"/>
      <c r="F28" s="83" t="s">
        <v>58</v>
      </c>
      <c r="G28" s="84"/>
      <c r="H28" s="83" t="s">
        <v>59</v>
      </c>
      <c r="I28" s="84"/>
      <c r="J28" s="83" t="s">
        <v>60</v>
      </c>
      <c r="K28" s="84"/>
      <c r="L28" s="83" t="s">
        <v>61</v>
      </c>
      <c r="M28" s="84"/>
      <c r="N28" s="83" t="s">
        <v>62</v>
      </c>
      <c r="O28" s="84"/>
      <c r="P28" s="83" t="s">
        <v>63</v>
      </c>
      <c r="Q28" s="84"/>
      <c r="R28" s="83" t="s">
        <v>64</v>
      </c>
      <c r="S28" s="84"/>
    </row>
    <row r="29" spans="3:19" x14ac:dyDescent="0.3">
      <c r="C29" s="65" t="s">
        <v>23</v>
      </c>
      <c r="D29" s="50" t="s">
        <v>65</v>
      </c>
      <c r="E29" s="51" cm="1">
        <f t="array" ref="E29">AVERAGE(ABS(data!F53:U53),ABS(data!F65:U65),ABS(data!F77:U77))</f>
        <v>7.5348974165765817E-2</v>
      </c>
      <c r="F29" s="50" t="s">
        <v>65</v>
      </c>
      <c r="G29" s="51" cm="1">
        <f t="array" ref="G29">AVERAGE(ABS(data!Z53:AO53),ABS(data!Z65:AO65),ABS(data!Z77:AO77))</f>
        <v>0.18279268687668257</v>
      </c>
      <c r="H29" s="50" t="s">
        <v>65</v>
      </c>
      <c r="I29" s="51" cm="1">
        <f t="array" ref="I29">AVERAGE(ABS(data!AT53:BI53),ABS(data!AT65:BI65),ABS(data!AT77:BI77))</f>
        <v>0.16690268905139102</v>
      </c>
      <c r="J29" s="50" t="s">
        <v>65</v>
      </c>
      <c r="K29" s="51" cm="1">
        <f t="array" ref="K29">AVERAGE(ABS(data!BN53:CC53),ABS(data!BN65:CC65),ABS(data!BN77:CC77))</f>
        <v>0.15419456773032539</v>
      </c>
      <c r="L29" s="50" t="s">
        <v>65</v>
      </c>
      <c r="M29" s="51" cm="1">
        <f t="array" ref="M29">AVERAGE(ABS(data!CH53:CW53),ABS(data!CH65:CW65),ABS(data!CH77:CW77))</f>
        <v>2.1263908630078268</v>
      </c>
      <c r="N29" s="50" t="s">
        <v>65</v>
      </c>
      <c r="O29" s="51" cm="1">
        <f t="array" ref="O29">AVERAGE(ABS(data!DB53:DQ53),ABS(data!DB65:DQ65),ABS(data!DB77:DQ77))</f>
        <v>3.046053505338977</v>
      </c>
      <c r="P29" s="50" t="s">
        <v>65</v>
      </c>
      <c r="Q29" s="51" cm="1">
        <f t="array" ref="Q29">AVERAGE(ABS(data!DV53:EK53),ABS(data!DV65:EK65),ABS(data!DV77:EK77))</f>
        <v>1.7577990796172411</v>
      </c>
      <c r="R29" s="50" t="s">
        <v>65</v>
      </c>
      <c r="S29" s="51" cm="1">
        <f t="array" ref="S29">AVERAGE(ABS(data!EP53:FE53),ABS(data!EP65:FE65),ABS(data!EP77:FE77))</f>
        <v>1.9513883436142059</v>
      </c>
    </row>
    <row r="30" spans="3:19" x14ac:dyDescent="0.3">
      <c r="C30" s="66"/>
      <c r="D30" s="45" t="s">
        <v>66</v>
      </c>
      <c r="E30" s="46" cm="1">
        <f t="array" ref="E30">_xlfn.STDEV.P(ABS(data!F53:U53),ABS(data!F65:U65),ABS(data!F77:U77))</f>
        <v>4.9721778689876227E-2</v>
      </c>
      <c r="F30" s="45" t="s">
        <v>66</v>
      </c>
      <c r="G30" s="46" cm="1">
        <f t="array" ref="G30">_xlfn.STDEV.P(ABS(data!Z53:AO53),ABS(data!Z65:AO65),ABS(data!Z77:AO77))</f>
        <v>0.15747839746534109</v>
      </c>
      <c r="H30" s="45" t="s">
        <v>66</v>
      </c>
      <c r="I30" s="46" cm="1">
        <f t="array" ref="I30">_xlfn.STDEV.P(ABS(data!AT53:BI53),ABS(data!AT65:BI65),ABS(data!AT77:BI77))</f>
        <v>0.13213403948383184</v>
      </c>
      <c r="J30" s="45" t="s">
        <v>66</v>
      </c>
      <c r="K30" s="46" cm="1">
        <f t="array" ref="K30">_xlfn.STDEV.P(ABS(data!BN53:CC53),ABS(data!BN65:CC65),ABS(data!BN77:CC77))</f>
        <v>0.11601433508363844</v>
      </c>
      <c r="L30" s="45" t="s">
        <v>66</v>
      </c>
      <c r="M30" s="46" cm="1">
        <f t="array" ref="M30">_xlfn.STDEV.P(ABS(data!CH53:CW53),ABS(data!CH65:CW65),ABS(data!CH77:CW77))</f>
        <v>1.6448365006823609</v>
      </c>
      <c r="N30" s="45" t="s">
        <v>66</v>
      </c>
      <c r="O30" s="46" cm="1">
        <f t="array" ref="O30">_xlfn.STDEV.P(ABS(data!DB53:DQ53),ABS(data!DB65:DQ65),ABS(data!DB77:DQ77))</f>
        <v>1.3747775385993219</v>
      </c>
      <c r="P30" s="45" t="s">
        <v>66</v>
      </c>
      <c r="Q30" s="46" cm="1">
        <f t="array" ref="Q30">_xlfn.STDEV.P(ABS(data!DV53:EK53),ABS(data!DV65:EK65),ABS(data!DV77:EK77))</f>
        <v>0.73515220223802735</v>
      </c>
      <c r="R30" s="45" t="s">
        <v>66</v>
      </c>
      <c r="S30" s="46" cm="1">
        <f t="array" ref="S30">_xlfn.STDEV.P(ABS(data!EP53:FE53),ABS(data!EP65:FE65),ABS(data!EP77:FE77))</f>
        <v>1.0967381903028854</v>
      </c>
    </row>
    <row r="31" spans="3:19" x14ac:dyDescent="0.3">
      <c r="C31" s="66"/>
      <c r="D31" s="45" t="s">
        <v>67</v>
      </c>
      <c r="E31" s="46" cm="1">
        <f t="array" ref="E31">AVERAGE(ABS(data!F54:U54),ABS(data!F66:U66),ABS(data!F78:U78))</f>
        <v>2.5797810472637059</v>
      </c>
      <c r="F31" s="45" t="s">
        <v>67</v>
      </c>
      <c r="G31" s="46" cm="1">
        <f t="array" ref="G31">AVERAGE(ABS(data!Z54:AO54),ABS(data!Z66:AO66),ABS(data!Z78:AO78))</f>
        <v>6.255506825370496</v>
      </c>
      <c r="H31" s="45" t="s">
        <v>67</v>
      </c>
      <c r="I31" s="46" cm="1">
        <f t="array" ref="I31">AVERAGE(ABS(data!AT54:BI54),ABS(data!AT66:BI66),ABS(data!AT78:BI78))</f>
        <v>5.0534315866119233</v>
      </c>
      <c r="J31" s="45" t="s">
        <v>67</v>
      </c>
      <c r="K31" s="46" cm="1">
        <f t="array" ref="K31">AVERAGE(ABS(data!BN54:CC54),ABS(data!BN66:CC66),ABS(data!BN78:CC78))</f>
        <v>4.1055264895119361</v>
      </c>
      <c r="L31" s="45" t="s">
        <v>67</v>
      </c>
      <c r="M31" s="46" cm="1">
        <f t="array" ref="M31">AVERAGE(ABS(data!CH54:CW54),ABS(data!CH66:CW66),ABS(data!CH78:CW78))</f>
        <v>287.84579362184763</v>
      </c>
      <c r="N31" s="45" t="s">
        <v>67</v>
      </c>
      <c r="O31" s="46" cm="1">
        <f t="array" ref="O31">AVERAGE(ABS(data!DB54:DQ54),ABS(data!DB66:DQ66),ABS(data!DB78:DQ78))</f>
        <v>912.91286995244252</v>
      </c>
      <c r="P31" s="45" t="s">
        <v>67</v>
      </c>
      <c r="Q31" s="46" cm="1">
        <f t="array" ref="Q31">AVERAGE(ABS(data!DV54:EK54),ABS(data!DV66:EK66),ABS(data!DV78:EK78))</f>
        <v>246.79259034866257</v>
      </c>
      <c r="R31" s="45" t="s">
        <v>67</v>
      </c>
      <c r="S31" s="46" cm="1">
        <f t="array" ref="S31">AVERAGE(ABS(data!EP54:FE54),ABS(data!EP66:FE66),ABS(data!EP78:FE78))</f>
        <v>354.63240094210045</v>
      </c>
    </row>
    <row r="32" spans="3:19" x14ac:dyDescent="0.3">
      <c r="C32" s="66"/>
      <c r="D32" s="45" t="s">
        <v>66</v>
      </c>
      <c r="E32" s="46" cm="1">
        <f t="array" ref="E32">_xlfn.STDEV.P(ABS(data!F54:U54),ABS(data!F66:U66),ABS(data!F78:U78))</f>
        <v>2.6036065507675397</v>
      </c>
      <c r="F32" s="45" t="s">
        <v>66</v>
      </c>
      <c r="G32" s="46" cm="1">
        <f t="array" ref="G32">_xlfn.STDEV.P(ABS(data!Z54:AO54),ABS(data!Z66:AO66),ABS(data!Z78:AO78))</f>
        <v>5.8140401570059028</v>
      </c>
      <c r="H32" s="45" t="s">
        <v>66</v>
      </c>
      <c r="I32" s="46" cm="1">
        <f t="array" ref="I32">_xlfn.STDEV.P(ABS(data!AT54:BI54),ABS(data!AT66:BI66),ABS(data!AT78:BI78))</f>
        <v>2.8163547781779954</v>
      </c>
      <c r="J32" s="45" t="s">
        <v>66</v>
      </c>
      <c r="K32" s="46" cm="1">
        <f t="array" ref="K32">_xlfn.STDEV.P(ABS(data!BN54:CC54),ABS(data!BN66:CC66),ABS(data!BN78:CC78))</f>
        <v>2.4386323386201787</v>
      </c>
      <c r="L32" s="45" t="s">
        <v>66</v>
      </c>
      <c r="M32" s="46" cm="1">
        <f t="array" ref="M32">_xlfn.STDEV.P(ABS(data!CH54:CW54),ABS(data!CH66:CW66),ABS(data!CH78:CW78))</f>
        <v>298.77720539695201</v>
      </c>
      <c r="N32" s="45" t="s">
        <v>66</v>
      </c>
      <c r="O32" s="46" cm="1">
        <f t="array" ref="O32">_xlfn.STDEV.P(ABS(data!DB54:DQ54),ABS(data!DB66:DQ66),ABS(data!DB78:DQ78))</f>
        <v>1126.6036251002843</v>
      </c>
      <c r="P32" s="45" t="s">
        <v>66</v>
      </c>
      <c r="Q32" s="46" cm="1">
        <f t="array" ref="Q32">_xlfn.STDEV.P(ABS(data!DV54:EK54),ABS(data!DV66:EK66),ABS(data!DV78:EK78))</f>
        <v>218.60584928030809</v>
      </c>
      <c r="R32" s="45" t="s">
        <v>66</v>
      </c>
      <c r="S32" s="46" cm="1">
        <f t="array" ref="S32">_xlfn.STDEV.P(ABS(data!EP54:FE54),ABS(data!EP66:FE66),ABS(data!EP78:FE78))</f>
        <v>293.18586917673593</v>
      </c>
    </row>
    <row r="33" spans="3:19" x14ac:dyDescent="0.3">
      <c r="C33" s="85"/>
      <c r="D33" s="47"/>
      <c r="E33" s="54"/>
      <c r="F33" s="47"/>
      <c r="G33" s="54"/>
      <c r="H33" s="47"/>
      <c r="I33" s="54"/>
      <c r="J33" s="47"/>
      <c r="K33" s="54"/>
      <c r="L33" s="47"/>
      <c r="M33" s="54"/>
      <c r="N33" s="47"/>
      <c r="O33" s="54"/>
      <c r="P33" s="47"/>
      <c r="Q33" s="54"/>
      <c r="R33" s="47"/>
      <c r="S33" s="54"/>
    </row>
    <row r="34" spans="3:19" x14ac:dyDescent="0.3">
      <c r="C34" s="66" t="s">
        <v>68</v>
      </c>
      <c r="D34" s="45" t="s">
        <v>65</v>
      </c>
      <c r="E34" s="46" cm="1">
        <f t="array" ref="E34">AVERAGE(ABS(data!F56:U56),ABS(data!F68:U68),ABS(data!F80:U80))</f>
        <v>7.4847522061919164E-2</v>
      </c>
      <c r="F34" s="45" t="s">
        <v>65</v>
      </c>
      <c r="G34" s="46" cm="1">
        <f t="array" ref="G34">AVERAGE(ABS(data!Z56:AO56),ABS(data!Z68:AO68),ABS(data!Z80:AO80))</f>
        <v>0.1652926868766825</v>
      </c>
      <c r="H34" s="45" t="s">
        <v>65</v>
      </c>
      <c r="I34" s="46" cm="1">
        <f t="array" ref="I34">AVERAGE(ABS(data!AT56:BI56),ABS(data!AT68:BI68),ABS(data!AT80:BI80))</f>
        <v>0.15940268905139104</v>
      </c>
      <c r="J34" s="45" t="s">
        <v>65</v>
      </c>
      <c r="K34" s="46" cm="1">
        <f t="array" ref="K34">AVERAGE(ABS(data!BN56:CC56),ABS(data!BN68:CC68),ABS(data!BN80:CC80))</f>
        <v>0.13345496956547834</v>
      </c>
      <c r="L34" s="45" t="s">
        <v>65</v>
      </c>
      <c r="M34" s="46" cm="1">
        <f t="array" ref="M34">AVERAGE(ABS(data!CH56:CW56),ABS(data!CH68:CW68),ABS(data!CH80:CW80))</f>
        <v>2.1313908630078267</v>
      </c>
      <c r="N34" s="45" t="s">
        <v>65</v>
      </c>
      <c r="O34" s="46" cm="1">
        <f t="array" ref="O34">AVERAGE(ABS(data!DB56:DQ56),ABS(data!DB68:DQ68),ABS(data!DB80:DQ80))</f>
        <v>3.0510535053389773</v>
      </c>
      <c r="P34" s="45" t="s">
        <v>65</v>
      </c>
      <c r="Q34" s="46" cm="1">
        <f t="array" ref="Q34">AVERAGE(ABS(data!DV56:EK56),ABS(data!DV68:EK68),ABS(data!DV80:EK80))</f>
        <v>1.7577990796172411</v>
      </c>
      <c r="R34" s="45" t="s">
        <v>65</v>
      </c>
      <c r="S34" s="46" cm="1">
        <f t="array" ref="S34">AVERAGE(ABS(data!EP56:FE56),ABS(data!EP68:FE68),ABS(data!EP80:FE80))</f>
        <v>1.9759716769475384</v>
      </c>
    </row>
    <row r="35" spans="3:19" x14ac:dyDescent="0.3">
      <c r="C35" s="66"/>
      <c r="D35" s="45" t="s">
        <v>66</v>
      </c>
      <c r="E35" s="46" cm="1">
        <f t="array" ref="E35">_xlfn.STDEV.P(ABS(data!F56:U56),ABS(data!F68:U68),ABS(data!F80:U80))</f>
        <v>4.5458315587383884E-2</v>
      </c>
      <c r="F35" s="45" t="s">
        <v>66</v>
      </c>
      <c r="G35" s="46" cm="1">
        <f t="array" ref="G35">_xlfn.STDEV.P(ABS(data!Z56:AO56),ABS(data!Z68:AO68),ABS(data!Z80:AO80))</f>
        <v>0.12866740429402282</v>
      </c>
      <c r="H35" s="45" t="s">
        <v>66</v>
      </c>
      <c r="I35" s="46" cm="1">
        <f t="array" ref="I35">_xlfn.STDEV.P(ABS(data!AT56:BI56),ABS(data!AT68:BI68),ABS(data!AT80:BI80))</f>
        <v>0.15162043639548123</v>
      </c>
      <c r="J35" s="45" t="s">
        <v>66</v>
      </c>
      <c r="K35" s="46" cm="1">
        <f t="array" ref="K35">_xlfn.STDEV.P(ABS(data!BN56:CC56),ABS(data!BN68:CC68),ABS(data!BN80:CC80))</f>
        <v>0.13713405280803448</v>
      </c>
      <c r="L35" s="45" t="s">
        <v>66</v>
      </c>
      <c r="M35" s="46" cm="1">
        <f t="array" ref="M35">_xlfn.STDEV.P(ABS(data!CH56:CW56),ABS(data!CH68:CW68),ABS(data!CH80:CW80))</f>
        <v>1.6455801172282043</v>
      </c>
      <c r="N35" s="45" t="s">
        <v>66</v>
      </c>
      <c r="O35" s="46" cm="1">
        <f t="array" ref="O35">_xlfn.STDEV.P(ABS(data!DB56:DQ56),ABS(data!DB68:DQ68),ABS(data!DB80:DQ80))</f>
        <v>1.3635286927839694</v>
      </c>
      <c r="P35" s="45" t="s">
        <v>66</v>
      </c>
      <c r="Q35" s="46" cm="1">
        <f t="array" ref="Q35">_xlfn.STDEV.P(ABS(data!DV56:EK56),ABS(data!DV68:EK68),ABS(data!DV80:EK80))</f>
        <v>0.73154801820932325</v>
      </c>
      <c r="R35" s="45" t="s">
        <v>66</v>
      </c>
      <c r="S35" s="46" cm="1">
        <f t="array" ref="S35">_xlfn.STDEV.P(ABS(data!EP56:FE56),ABS(data!EP68:FE68),ABS(data!EP80:FE80))</f>
        <v>1.0922942379058862</v>
      </c>
    </row>
    <row r="36" spans="3:19" x14ac:dyDescent="0.3">
      <c r="C36" s="66"/>
      <c r="D36" s="45" t="s">
        <v>67</v>
      </c>
      <c r="E36" s="46" cm="1">
        <f t="array" ref="E36">AVERAGE(ABS(data!F57:U57),ABS(data!F69:U69),ABS(data!F81:U81))</f>
        <v>2.558133216971866</v>
      </c>
      <c r="F36" s="45" t="s">
        <v>67</v>
      </c>
      <c r="G36" s="46" cm="1">
        <f t="array" ref="G36">AVERAGE(ABS(data!Z57:AO57),ABS(data!Z69:AO69),ABS(data!Z81:AO81))</f>
        <v>5.4909971054514815</v>
      </c>
      <c r="H36" s="45" t="s">
        <v>67</v>
      </c>
      <c r="I36" s="46" cm="1">
        <f t="array" ref="I36">AVERAGE(ABS(data!AT57:BI57),ABS(data!AT69:BI69),ABS(data!AT81:BI81))</f>
        <v>4.5496904438661634</v>
      </c>
      <c r="J36" s="45" t="s">
        <v>67</v>
      </c>
      <c r="K36" s="46" cm="1">
        <f t="array" ref="K36">AVERAGE(ABS(data!BN57:CC57),ABS(data!BN69:CC69),ABS(data!BN81:CC81))</f>
        <v>3.174953896275746</v>
      </c>
      <c r="L36" s="45" t="s">
        <v>67</v>
      </c>
      <c r="M36" s="46" cm="1">
        <f t="array" ref="M36">AVERAGE(ABS(data!CH57:CW57),ABS(data!CH69:CW69),ABS(data!CH81:CW81))</f>
        <v>289.23528009902401</v>
      </c>
      <c r="N36" s="45" t="s">
        <v>67</v>
      </c>
      <c r="O36" s="46" cm="1">
        <f t="array" ref="O36">AVERAGE(ABS(data!DB57:DQ57),ABS(data!DB69:DQ69),ABS(data!DB81:DQ81))</f>
        <v>917.1940697009444</v>
      </c>
      <c r="P36" s="45" t="s">
        <v>67</v>
      </c>
      <c r="Q36" s="46" cm="1">
        <f t="array" ref="Q36">AVERAGE(ABS(data!DV57:EK57),ABS(data!DV69:EK69),ABS(data!DV81:EK81))</f>
        <v>248.2422752284597</v>
      </c>
      <c r="R36" s="45" t="s">
        <v>67</v>
      </c>
      <c r="S36" s="46" cm="1">
        <f t="array" ref="S36">AVERAGE(ABS(data!EP57:FE57),ABS(data!EP69:FE69),ABS(data!EP81:FE81))</f>
        <v>360.62093623241503</v>
      </c>
    </row>
    <row r="37" spans="3:19" x14ac:dyDescent="0.3">
      <c r="C37" s="66"/>
      <c r="D37" s="45" t="s">
        <v>66</v>
      </c>
      <c r="E37" s="46" cm="1">
        <f t="array" ref="E37">_xlfn.STDEV.P(ABS(data!F57:U57),ABS(data!F69:U69),ABS(data!F81:U81))</f>
        <v>2.8273228736791656</v>
      </c>
      <c r="F37" s="45" t="s">
        <v>66</v>
      </c>
      <c r="G37" s="46" cm="1">
        <f t="array" ref="G37">_xlfn.STDEV.P(ABS(data!Z57:AO57),ABS(data!Z69:AO69),ABS(data!Z81:AO81))</f>
        <v>5.0313954780483909</v>
      </c>
      <c r="H37" s="45" t="s">
        <v>66</v>
      </c>
      <c r="I37" s="46" cm="1">
        <f t="array" ref="I37">_xlfn.STDEV.P(ABS(data!AT57:BI57),ABS(data!AT69:BI69),ABS(data!AT81:BI81))</f>
        <v>2.6760509184597505</v>
      </c>
      <c r="J37" s="45" t="s">
        <v>66</v>
      </c>
      <c r="K37" s="46" cm="1">
        <f t="array" ref="K37">_xlfn.STDEV.P(ABS(data!BN57:CC57),ABS(data!BN69:CC69),ABS(data!BN81:CC81))</f>
        <v>2.4208068294685861</v>
      </c>
      <c r="L37" s="45" t="s">
        <v>66</v>
      </c>
      <c r="M37" s="46" cm="1">
        <f t="array" ref="M37">_xlfn.STDEV.P(ABS(data!CH57:CW57),ABS(data!CH69:CW69),ABS(data!CH81:CW81))</f>
        <v>300.29813012540632</v>
      </c>
      <c r="N37" s="45" t="s">
        <v>66</v>
      </c>
      <c r="O37" s="46" cm="1">
        <f t="array" ref="O37">_xlfn.STDEV.P(ABS(data!DB57:DQ57),ABS(data!DB69:DQ69),ABS(data!DB81:DQ81))</f>
        <v>1128.694300609955</v>
      </c>
      <c r="P37" s="45" t="s">
        <v>66</v>
      </c>
      <c r="Q37" s="46" cm="1">
        <f t="array" ref="Q37">_xlfn.STDEV.P(ABS(data!DV57:EK57),ABS(data!DV69:EK69),ABS(data!DV81:EK81))</f>
        <v>222.16983242692291</v>
      </c>
      <c r="R37" s="45" t="s">
        <v>66</v>
      </c>
      <c r="S37" s="46" cm="1">
        <f t="array" ref="S37">_xlfn.STDEV.P(ABS(data!EP57:FE57),ABS(data!EP69:FE69),ABS(data!EP81:FE81))</f>
        <v>298.25198255309419</v>
      </c>
    </row>
    <row r="38" spans="3:19" x14ac:dyDescent="0.3">
      <c r="C38" s="85"/>
      <c r="D38" s="47"/>
      <c r="E38" s="54"/>
      <c r="F38" s="47"/>
      <c r="G38" s="54"/>
      <c r="H38" s="47"/>
      <c r="I38" s="54"/>
      <c r="J38" s="47"/>
      <c r="K38" s="54"/>
      <c r="L38" s="47"/>
      <c r="M38" s="54"/>
      <c r="N38" s="47"/>
      <c r="O38" s="54"/>
      <c r="P38" s="47"/>
      <c r="Q38" s="54"/>
      <c r="R38" s="47"/>
      <c r="S38" s="54"/>
    </row>
    <row r="39" spans="3:19" x14ac:dyDescent="0.3">
      <c r="C39" s="66" t="s">
        <v>69</v>
      </c>
      <c r="D39" s="45" t="s">
        <v>65</v>
      </c>
      <c r="E39" s="46" cm="1">
        <f t="array" ref="E39">AVERAGE(ABS(data!F59:U59),ABS(data!F71:U71),ABS(data!F83:U83))</f>
        <v>9.3597522061919111E-2</v>
      </c>
      <c r="F39" s="45" t="s">
        <v>65</v>
      </c>
      <c r="G39" s="46" cm="1">
        <f t="array" ref="G39">AVERAGE(ABS(data!Z59:AO59),ABS(data!Z71:AO71),ABS(data!Z83:AO83))</f>
        <v>0.19154268687668244</v>
      </c>
      <c r="H39" s="45" t="s">
        <v>65</v>
      </c>
      <c r="I39" s="46" cm="1">
        <f t="array" ref="I39">AVERAGE(ABS(data!AT59:BI59),ABS(data!AT71:BI71),ABS(data!AT83:BI83))</f>
        <v>0.17940268905139098</v>
      </c>
      <c r="J39" s="45" t="s">
        <v>65</v>
      </c>
      <c r="K39" s="46" cm="1">
        <f t="array" ref="K39">AVERAGE(ABS(data!BN59:CC59),ABS(data!BN71:CC71),ABS(data!BN83:CC83))</f>
        <v>0.12715658186743156</v>
      </c>
      <c r="L39" s="45" t="s">
        <v>65</v>
      </c>
      <c r="M39" s="46" cm="1">
        <f t="array" ref="M39">AVERAGE(ABS(data!CH59:CW59),ABS(data!CH71:CW71),ABS(data!CH83:CW83))</f>
        <v>2.1538908630078266</v>
      </c>
      <c r="N39" s="45" t="s">
        <v>65</v>
      </c>
      <c r="O39" s="46" cm="1">
        <f t="array" ref="O39">AVERAGE(ABS(data!DB59:DQ59),ABS(data!DB71:DQ71),ABS(data!DB83:DQ83))</f>
        <v>3.0623035053389764</v>
      </c>
      <c r="P39" s="45" t="s">
        <v>65</v>
      </c>
      <c r="Q39" s="46" cm="1">
        <f t="array" ref="Q39">AVERAGE(ABS(data!DV59:EK59),ABS(data!DV71:EK71),ABS(data!DV83:EK83))</f>
        <v>1.7777990796172414</v>
      </c>
      <c r="R39" s="45" t="s">
        <v>65</v>
      </c>
      <c r="S39" s="46" cm="1">
        <f t="array" ref="S39">AVERAGE(ABS(data!EP59:FE59),ABS(data!EP71:FE71),ABS(data!EP83:FE83))</f>
        <v>1.9926383436142048</v>
      </c>
    </row>
    <row r="40" spans="3:19" x14ac:dyDescent="0.3">
      <c r="C40" s="66"/>
      <c r="D40" s="45" t="s">
        <v>66</v>
      </c>
      <c r="E40" s="46" cm="1">
        <f t="array" ref="E40">_xlfn.STDEV.P(ABS(data!F59:U59),ABS(data!F71:U71),ABS(data!F83:U83))</f>
        <v>7.1665316751938477E-2</v>
      </c>
      <c r="F40" s="45" t="s">
        <v>66</v>
      </c>
      <c r="G40" s="46" cm="1">
        <f t="array" ref="G40">_xlfn.STDEV.P(ABS(data!Z59:AO59),ABS(data!Z71:AO71),ABS(data!Z83:AO83))</f>
        <v>0.112085154359717</v>
      </c>
      <c r="H40" s="45" t="s">
        <v>66</v>
      </c>
      <c r="I40" s="46" cm="1">
        <f t="array" ref="I40">_xlfn.STDEV.P(ABS(data!AT59:BI59),ABS(data!AT71:BI71),ABS(data!AT83:BI83))</f>
        <v>0.15411979436266934</v>
      </c>
      <c r="J40" s="45" t="s">
        <v>66</v>
      </c>
      <c r="K40" s="46" cm="1">
        <f t="array" ref="K40">_xlfn.STDEV.P(ABS(data!BN59:CC59),ABS(data!BN71:CC71),ABS(data!BN83:CC83))</f>
        <v>0.14498878833907725</v>
      </c>
      <c r="L40" s="45" t="s">
        <v>66</v>
      </c>
      <c r="M40" s="46" cm="1">
        <f t="array" ref="M40">_xlfn.STDEV.P(ABS(data!CH59:CW59),ABS(data!CH71:CW71),ABS(data!CH83:CW83))</f>
        <v>1.6580851274546371</v>
      </c>
      <c r="N40" s="45" t="s">
        <v>66</v>
      </c>
      <c r="O40" s="46" cm="1">
        <f t="array" ref="O40">_xlfn.STDEV.P(ABS(data!DB59:DQ59),ABS(data!DB71:DQ71),ABS(data!DB83:DQ83))</f>
        <v>1.3667367625396556</v>
      </c>
      <c r="P40" s="45" t="s">
        <v>66</v>
      </c>
      <c r="Q40" s="46" cm="1">
        <f t="array" ref="Q40">_xlfn.STDEV.P(ABS(data!DV59:EK59),ABS(data!DV71:EK71),ABS(data!DV83:EK83))</f>
        <v>0.72035522533718555</v>
      </c>
      <c r="R40" s="45" t="s">
        <v>66</v>
      </c>
      <c r="S40" s="46" cm="1">
        <f t="array" ref="S40">_xlfn.STDEV.P(ABS(data!EP59:FE59),ABS(data!EP71:FE71),ABS(data!EP83:FE83))</f>
        <v>1.0982280607936639</v>
      </c>
    </row>
    <row r="41" spans="3:19" x14ac:dyDescent="0.3">
      <c r="C41" s="66"/>
      <c r="D41" s="45" t="s">
        <v>67</v>
      </c>
      <c r="E41" s="46" cm="1">
        <f t="array" ref="E41">AVERAGE(ABS(data!F60:U60),ABS(data!F72:U72),ABS(data!F84:U84))</f>
        <v>3.0702382036908542</v>
      </c>
      <c r="F41" s="45" t="s">
        <v>67</v>
      </c>
      <c r="G41" s="46" cm="1">
        <f t="array" ref="G41">AVERAGE(ABS(data!Z60:AO60),ABS(data!Z72:AO72),ABS(data!Z84:AO84))</f>
        <v>6.2565459998517889</v>
      </c>
      <c r="H41" s="45" t="s">
        <v>67</v>
      </c>
      <c r="I41" s="46" cm="1">
        <f t="array" ref="I41">AVERAGE(ABS(data!AT60:BI60),ABS(data!AT72:BI72),ABS(data!AT84:BI84))</f>
        <v>5.194100770779893</v>
      </c>
      <c r="J41" s="45" t="s">
        <v>67</v>
      </c>
      <c r="K41" s="46" cm="1">
        <f t="array" ref="K41">AVERAGE(ABS(data!BN60:CC60),ABS(data!BN72:CC72),ABS(data!BN84:CC84))</f>
        <v>3.0464721893413174</v>
      </c>
      <c r="L41" s="45" t="s">
        <v>67</v>
      </c>
      <c r="M41" s="46" cm="1">
        <f t="array" ref="M41">AVERAGE(ABS(data!CH60:CW60),ABS(data!CH72:CW72),ABS(data!CH84:CW84))</f>
        <v>293.16686267864196</v>
      </c>
      <c r="N41" s="45" t="s">
        <v>67</v>
      </c>
      <c r="O41" s="46" cm="1">
        <f t="array" ref="O41">AVERAGE(ABS(data!DB60:DQ60),ABS(data!DB72:DQ72),ABS(data!DB84:DQ84))</f>
        <v>923.04622545948939</v>
      </c>
      <c r="P41" s="45" t="s">
        <v>67</v>
      </c>
      <c r="Q41" s="46" cm="1">
        <f t="array" ref="Q41">AVERAGE(ABS(data!DV60:EK60),ABS(data!DV72:EK72),ABS(data!DV84:EK84))</f>
        <v>248.61243162240808</v>
      </c>
      <c r="R41" s="45" t="s">
        <v>67</v>
      </c>
      <c r="S41" s="46" cm="1">
        <f t="array" ref="S41">AVERAGE(ABS(data!EP60:FE60),ABS(data!EP72:FE72),ABS(data!EP84:FE84))</f>
        <v>362.22045398741119</v>
      </c>
    </row>
    <row r="42" spans="3:19" x14ac:dyDescent="0.3">
      <c r="C42" s="66"/>
      <c r="D42" s="45" t="s">
        <v>66</v>
      </c>
      <c r="E42" s="46" cm="1">
        <f t="array" ref="E42">_xlfn.STDEV.P(ABS(data!F60:U60),ABS(data!F72:U72),ABS(data!F84:U84))</f>
        <v>3.4083020619573925</v>
      </c>
      <c r="F42" s="45" t="s">
        <v>66</v>
      </c>
      <c r="G42" s="46" cm="1">
        <f t="array" ref="G42">_xlfn.STDEV.P(ABS(data!Z60:AO60),ABS(data!Z72:AO72),ABS(data!Z84:AO84))</f>
        <v>4.6886607973354186</v>
      </c>
      <c r="H42" s="45" t="s">
        <v>66</v>
      </c>
      <c r="I42" s="46" cm="1">
        <f t="array" ref="I42">_xlfn.STDEV.P(ABS(data!AT60:BI60),ABS(data!AT72:BI72),ABS(data!AT84:BI84))</f>
        <v>3.0318167510082215</v>
      </c>
      <c r="J42" s="45" t="s">
        <v>66</v>
      </c>
      <c r="K42" s="46" cm="1">
        <f t="array" ref="K42">_xlfn.STDEV.P(ABS(data!BN60:CC60),ABS(data!BN72:CC72),ABS(data!BN84:CC84))</f>
        <v>2.4867811348375222</v>
      </c>
      <c r="L42" s="45" t="s">
        <v>66</v>
      </c>
      <c r="M42" s="46" cm="1">
        <f t="array" ref="M42">_xlfn.STDEV.P(ABS(data!CH60:CW60),ABS(data!CH72:CW72),ABS(data!CH84:CW84))</f>
        <v>304.87441634386818</v>
      </c>
      <c r="N42" s="45" t="s">
        <v>66</v>
      </c>
      <c r="O42" s="46" cm="1">
        <f t="array" ref="O42">_xlfn.STDEV.P(ABS(data!DB60:DQ60),ABS(data!DB72:DQ72),ABS(data!DB84:DQ84))</f>
        <v>1138.0977143380826</v>
      </c>
      <c r="P42" s="45" t="s">
        <v>66</v>
      </c>
      <c r="Q42" s="46" cm="1">
        <f t="array" ref="Q42">_xlfn.STDEV.P(ABS(data!DV60:EK60),ABS(data!DV72:EK72),ABS(data!DV84:EK84))</f>
        <v>217.72224539486731</v>
      </c>
      <c r="R42" s="45" t="s">
        <v>66</v>
      </c>
      <c r="S42" s="46" cm="1">
        <f t="array" ref="S42">_xlfn.STDEV.P(ABS(data!EP60:FE60),ABS(data!EP72:FE72),ABS(data!EP84:FE84))</f>
        <v>299.20486739875446</v>
      </c>
    </row>
    <row r="43" spans="3:19" x14ac:dyDescent="0.3">
      <c r="C43" s="85"/>
      <c r="D43" s="45"/>
      <c r="E43" s="46"/>
      <c r="F43" s="45"/>
      <c r="G43" s="46"/>
      <c r="H43" s="45"/>
      <c r="I43" s="46"/>
      <c r="J43" s="45"/>
      <c r="K43" s="46"/>
      <c r="L43" s="45"/>
      <c r="M43" s="46"/>
      <c r="N43" s="45"/>
      <c r="O43" s="46"/>
      <c r="P43" s="45"/>
      <c r="Q43" s="46"/>
      <c r="R43" s="45"/>
      <c r="S43" s="46"/>
    </row>
    <row r="44" spans="3:19" x14ac:dyDescent="0.3">
      <c r="C44" s="66" t="s">
        <v>70</v>
      </c>
      <c r="D44" s="52" t="s">
        <v>65</v>
      </c>
      <c r="E44" s="53">
        <f>AVERAGE(E29,E34,E39)</f>
        <v>8.1264672763201373E-2</v>
      </c>
      <c r="F44" s="52" t="s">
        <v>65</v>
      </c>
      <c r="G44" s="53">
        <f>AVERAGE(G29,G34,G39)</f>
        <v>0.17987602021001584</v>
      </c>
      <c r="H44" s="52" t="s">
        <v>65</v>
      </c>
      <c r="I44" s="53">
        <f>AVERAGE(I29,I34,I39)</f>
        <v>0.16856935571805767</v>
      </c>
      <c r="J44" s="52" t="s">
        <v>65</v>
      </c>
      <c r="K44" s="53">
        <f>AVERAGE(K29,K34,K39)</f>
        <v>0.13826870638774511</v>
      </c>
      <c r="L44" s="52" t="s">
        <v>65</v>
      </c>
      <c r="M44" s="53">
        <f>AVERAGE(M29,M34,M39)</f>
        <v>2.13722419634116</v>
      </c>
      <c r="N44" s="52" t="s">
        <v>65</v>
      </c>
      <c r="O44" s="53">
        <f>AVERAGE(O29,O34,O39)</f>
        <v>3.0531368386723101</v>
      </c>
      <c r="P44" s="52" t="s">
        <v>65</v>
      </c>
      <c r="Q44" s="53">
        <f>AVERAGE(Q29,Q34,Q39)</f>
        <v>1.764465746283908</v>
      </c>
      <c r="R44" s="52" t="s">
        <v>65</v>
      </c>
      <c r="S44" s="53">
        <f>AVERAGE(S29,S34,S39)</f>
        <v>1.9733327880586498</v>
      </c>
    </row>
    <row r="45" spans="3:19" x14ac:dyDescent="0.3">
      <c r="C45" s="66"/>
      <c r="D45" s="45" t="s">
        <v>71</v>
      </c>
      <c r="E45" s="46">
        <f>AVERAGE(E30,E35,E40)</f>
        <v>5.5615137009732862E-2</v>
      </c>
      <c r="F45" s="45" t="s">
        <v>71</v>
      </c>
      <c r="G45" s="46">
        <f>AVERAGE(G30,G35,G40)</f>
        <v>0.13274365203969363</v>
      </c>
      <c r="H45" s="45" t="s">
        <v>71</v>
      </c>
      <c r="I45" s="46">
        <f>AVERAGE(I30,I35,I40)</f>
        <v>0.14595809008066082</v>
      </c>
      <c r="J45" s="45" t="s">
        <v>71</v>
      </c>
      <c r="K45" s="46">
        <f>AVERAGE(K30,K35,K40)</f>
        <v>0.13271239207691674</v>
      </c>
      <c r="L45" s="45" t="s">
        <v>71</v>
      </c>
      <c r="M45" s="46">
        <f>AVERAGE(M30,M35,M40)</f>
        <v>1.6495005817884005</v>
      </c>
      <c r="N45" s="45" t="s">
        <v>71</v>
      </c>
      <c r="O45" s="46">
        <f>AVERAGE(O30,O35,O40)</f>
        <v>1.3683476646409822</v>
      </c>
      <c r="P45" s="45" t="s">
        <v>71</v>
      </c>
      <c r="Q45" s="46">
        <f>AVERAGE(Q30,Q35,Q40)</f>
        <v>0.72901848192817864</v>
      </c>
      <c r="R45" s="45" t="s">
        <v>71</v>
      </c>
      <c r="S45" s="46">
        <f>AVERAGE(S30,S35,S40)</f>
        <v>1.0957534963341453</v>
      </c>
    </row>
    <row r="46" spans="3:19" x14ac:dyDescent="0.3">
      <c r="C46" s="66"/>
      <c r="D46" s="45" t="s">
        <v>67</v>
      </c>
      <c r="E46" s="46">
        <f>AVERAGE(E31,E36,E41)</f>
        <v>2.7360508226421421</v>
      </c>
      <c r="F46" s="45" t="s">
        <v>67</v>
      </c>
      <c r="G46" s="46">
        <f>AVERAGE(G31,G36,G41)</f>
        <v>6.0010166435579215</v>
      </c>
      <c r="H46" s="45" t="s">
        <v>67</v>
      </c>
      <c r="I46" s="46">
        <f>AVERAGE(I31,I36,I41)</f>
        <v>4.9324076004193271</v>
      </c>
      <c r="J46" s="45" t="s">
        <v>67</v>
      </c>
      <c r="K46" s="46">
        <f>AVERAGE(K31,K36,K41)</f>
        <v>3.4423175250429998</v>
      </c>
      <c r="L46" s="45" t="s">
        <v>67</v>
      </c>
      <c r="M46" s="46">
        <f>AVERAGE(M31,M36,M41)</f>
        <v>290.08264546650457</v>
      </c>
      <c r="N46" s="45" t="s">
        <v>67</v>
      </c>
      <c r="O46" s="46">
        <f>AVERAGE(O31,O36,O41)</f>
        <v>917.7177217042921</v>
      </c>
      <c r="P46" s="45" t="s">
        <v>67</v>
      </c>
      <c r="Q46" s="46">
        <f>AVERAGE(Q31,Q36,Q41)</f>
        <v>247.88243239984345</v>
      </c>
      <c r="R46" s="45" t="s">
        <v>67</v>
      </c>
      <c r="S46" s="46">
        <f>AVERAGE(S31,S36,S41)</f>
        <v>359.15793038730891</v>
      </c>
    </row>
    <row r="47" spans="3:19" x14ac:dyDescent="0.3">
      <c r="C47" s="66"/>
      <c r="D47" s="45" t="s">
        <v>66</v>
      </c>
      <c r="E47" s="46">
        <f>AVERAGE(E32,E37,E42)</f>
        <v>2.9464104954680326</v>
      </c>
      <c r="F47" s="45" t="s">
        <v>66</v>
      </c>
      <c r="G47" s="46">
        <f>AVERAGE(G32,G37,G42)</f>
        <v>5.1780321441299044</v>
      </c>
      <c r="H47" s="45" t="s">
        <v>66</v>
      </c>
      <c r="I47" s="46">
        <f>AVERAGE(I32,I37,I42)</f>
        <v>2.8414074825486559</v>
      </c>
      <c r="J47" s="45" t="s">
        <v>66</v>
      </c>
      <c r="K47" s="46">
        <f>AVERAGE(K32,K37,K42)</f>
        <v>2.4487401009754288</v>
      </c>
      <c r="L47" s="45" t="s">
        <v>66</v>
      </c>
      <c r="M47" s="46">
        <f>AVERAGE(M32,M37,M42)</f>
        <v>301.31658395540882</v>
      </c>
      <c r="N47" s="45" t="s">
        <v>66</v>
      </c>
      <c r="O47" s="46">
        <f>AVERAGE(O32,O37,O42)</f>
        <v>1131.1318800161073</v>
      </c>
      <c r="P47" s="45" t="s">
        <v>66</v>
      </c>
      <c r="Q47" s="46">
        <f>AVERAGE(Q32,Q37,Q42)</f>
        <v>219.49930903403276</v>
      </c>
      <c r="R47" s="45" t="s">
        <v>66</v>
      </c>
      <c r="S47" s="46">
        <f>AVERAGE(S32,S37,S42)</f>
        <v>296.88090637619484</v>
      </c>
    </row>
    <row r="48" spans="3:19" ht="15" thickBot="1" x14ac:dyDescent="0.35">
      <c r="C48" s="67"/>
      <c r="D48" s="48"/>
      <c r="E48" s="49"/>
      <c r="F48" s="48"/>
      <c r="G48" s="49"/>
      <c r="H48" s="48"/>
      <c r="I48" s="49"/>
      <c r="J48" s="48"/>
      <c r="K48" s="49"/>
      <c r="L48" s="48"/>
      <c r="M48" s="49"/>
      <c r="N48" s="48"/>
      <c r="O48" s="49"/>
      <c r="P48" s="48"/>
      <c r="Q48" s="49"/>
      <c r="R48" s="48"/>
      <c r="S48" s="49"/>
    </row>
    <row r="52" spans="3:19" ht="15" thickBot="1" x14ac:dyDescent="0.35">
      <c r="C52" s="86" t="s">
        <v>74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3:19" ht="15" thickBot="1" x14ac:dyDescent="0.35">
      <c r="C53" s="44" t="s">
        <v>75</v>
      </c>
      <c r="D53" s="83" t="s">
        <v>57</v>
      </c>
      <c r="E53" s="84"/>
      <c r="F53" s="83" t="s">
        <v>58</v>
      </c>
      <c r="G53" s="84"/>
      <c r="H53" s="83" t="s">
        <v>59</v>
      </c>
      <c r="I53" s="84"/>
      <c r="J53" s="83" t="s">
        <v>60</v>
      </c>
      <c r="K53" s="84"/>
      <c r="L53" s="83" t="s">
        <v>61</v>
      </c>
      <c r="M53" s="84"/>
      <c r="N53" s="83" t="s">
        <v>62</v>
      </c>
      <c r="O53" s="84"/>
      <c r="P53" s="83" t="s">
        <v>63</v>
      </c>
      <c r="Q53" s="84"/>
      <c r="R53" s="83" t="s">
        <v>64</v>
      </c>
      <c r="S53" s="84"/>
    </row>
    <row r="54" spans="3:19" x14ac:dyDescent="0.3">
      <c r="C54" s="65" t="s">
        <v>23</v>
      </c>
      <c r="D54" s="50" t="s">
        <v>65</v>
      </c>
      <c r="E54" s="51" cm="1">
        <f t="array" ref="E54">AVERAGE(ABS(data!F94:U94),ABS(data!F106:U106),ABS(data!F118:U118))</f>
        <v>0.2422433651334189</v>
      </c>
      <c r="F54" s="50" t="s">
        <v>65</v>
      </c>
      <c r="G54" s="51" cm="1">
        <f t="array" ref="G54">AVERAGE(ABS(data!Z94:AO94),ABS(data!Z106:AO106),ABS(data!Z118:AO118))</f>
        <v>0.12044414773465122</v>
      </c>
      <c r="H54" s="50" t="s">
        <v>65</v>
      </c>
      <c r="I54" s="51" cm="1">
        <f t="array" ref="I54">AVERAGE(ABS(data!AT94:BI94),ABS(data!AT106:BI106),ABS(data!AT118:BI118))</f>
        <v>8.0914729357556295E-2</v>
      </c>
      <c r="J54" s="50" t="s">
        <v>65</v>
      </c>
      <c r="K54" s="51" cm="1">
        <f t="array" ref="K54">AVERAGE(ABS(data!BN94:CC94),ABS(data!BN106:CC106),ABS(data!BN118:CC118))</f>
        <v>0.11848057671364376</v>
      </c>
      <c r="L54" s="50" t="s">
        <v>65</v>
      </c>
      <c r="M54" s="51" cm="1">
        <f t="array" ref="M54">AVERAGE(ABS(data!CH94:CW94),ABS(data!CH106:CW106),ABS(data!CH118:CW118))</f>
        <v>3.1050367328329238</v>
      </c>
      <c r="N54" s="50" t="s">
        <v>65</v>
      </c>
      <c r="O54" s="51" cm="1">
        <f t="array" ref="O54">AVERAGE(ABS(data!DB94:DQ94),ABS(data!DB106:DQ106),ABS(data!DB118:DQ118))</f>
        <v>18.535112637742699</v>
      </c>
      <c r="P54" s="50" t="s">
        <v>65</v>
      </c>
      <c r="Q54" s="51" cm="1">
        <f t="array" ref="Q54">AVERAGE(ABS(data!DV94:EK94),ABS(data!DV106:EK106),ABS(data!DV118:EK118))</f>
        <v>2.2018201275008003</v>
      </c>
      <c r="R54" s="50" t="s">
        <v>65</v>
      </c>
      <c r="S54" s="51" cm="1">
        <f t="array" ref="S54">AVERAGE(ABS(data!EP94:FE94),ABS(data!EP106:FE106),ABS(data!EP118:FE118))</f>
        <v>2.7009442473897352</v>
      </c>
    </row>
    <row r="55" spans="3:19" x14ac:dyDescent="0.3">
      <c r="C55" s="66"/>
      <c r="D55" s="45" t="s">
        <v>66</v>
      </c>
      <c r="E55" s="46" cm="1">
        <f t="array" ref="E55">_xlfn.STDEV.P(ABS(data!F94:U94),ABS(data!F106:U106),ABS(data!F118:U118))</f>
        <v>0.1694325244153019</v>
      </c>
      <c r="F55" s="45" t="s">
        <v>66</v>
      </c>
      <c r="G55" s="46" cm="1">
        <f t="array" ref="G55">_xlfn.STDEV.P(ABS(data!Z94:AO94),ABS(data!Z106:AO106),ABS(data!Z118:AO118))</f>
        <v>8.8910558663434891E-2</v>
      </c>
      <c r="H55" s="45" t="s">
        <v>66</v>
      </c>
      <c r="I55" s="46" cm="1">
        <f t="array" ref="I55">_xlfn.STDEV.P(ABS(data!AT94:BI94),ABS(data!AT106:BI106),ABS(data!AT118:BI118))</f>
        <v>7.1346603197177338E-2</v>
      </c>
      <c r="J55" s="45" t="s">
        <v>66</v>
      </c>
      <c r="K55" s="46" cm="1">
        <f t="array" ref="K55">_xlfn.STDEV.P(ABS(data!BN94:CC94),ABS(data!BN106:CC106),ABS(data!BN118:CC118))</f>
        <v>0.10399701489725487</v>
      </c>
      <c r="L55" s="45" t="s">
        <v>66</v>
      </c>
      <c r="M55" s="46" cm="1">
        <f t="array" ref="M55">_xlfn.STDEV.P(ABS(data!CH94:CW94),ABS(data!CH106:CW106),ABS(data!CH118:CW118))</f>
        <v>4.1017767104072238</v>
      </c>
      <c r="N55" s="45" t="s">
        <v>66</v>
      </c>
      <c r="O55" s="46" cm="1">
        <f t="array" ref="O55">_xlfn.STDEV.P(ABS(data!DB94:DQ94),ABS(data!DB106:DQ106),ABS(data!DB118:DQ118))</f>
        <v>54.425039492025491</v>
      </c>
      <c r="P55" s="45" t="s">
        <v>66</v>
      </c>
      <c r="Q55" s="46" cm="1">
        <f t="array" ref="Q55">_xlfn.STDEV.P(ABS(data!DV94:EK94),ABS(data!DV106:EK106),ABS(data!DV118:EK118))</f>
        <v>0.87084298115933834</v>
      </c>
      <c r="R55" s="45" t="s">
        <v>66</v>
      </c>
      <c r="S55" s="46" cm="1">
        <f t="array" ref="S55">_xlfn.STDEV.P(ABS(data!EP94:FE94),ABS(data!EP106:FE106),ABS(data!EP118:FE118))</f>
        <v>1.3638624909109847</v>
      </c>
    </row>
    <row r="56" spans="3:19" x14ac:dyDescent="0.3">
      <c r="C56" s="66"/>
      <c r="D56" s="45" t="s">
        <v>67</v>
      </c>
      <c r="E56" s="46" cm="1">
        <f t="array" ref="E56">AVERAGE(ABS(data!F95:U95),ABS(data!F107:U107),ABS(data!F119:U119))</f>
        <v>6.6433259077765543</v>
      </c>
      <c r="F56" s="45" t="s">
        <v>67</v>
      </c>
      <c r="G56" s="46" cm="1">
        <f t="array" ref="G56">AVERAGE(ABS(data!Z95:AO95),ABS(data!Z107:AO107),ABS(data!Z119:AO119))</f>
        <v>5.1190893433113711</v>
      </c>
      <c r="H56" s="45" t="s">
        <v>67</v>
      </c>
      <c r="I56" s="46" cm="1">
        <f t="array" ref="I56">AVERAGE(ABS(data!AT95:BI95),ABS(data!AT107:BI107),ABS(data!AT119:BI119))</f>
        <v>2.9063679208341999</v>
      </c>
      <c r="J56" s="45" t="s">
        <v>67</v>
      </c>
      <c r="K56" s="46" cm="1">
        <f t="array" ref="K56">AVERAGE(ABS(data!BN95:CC95),ABS(data!BN107:CC107),ABS(data!BN119:CC119))</f>
        <v>2.8240069001683743</v>
      </c>
      <c r="L56" s="45" t="s">
        <v>67</v>
      </c>
      <c r="M56" s="46" cm="1">
        <f t="array" ref="M56">AVERAGE(ABS(data!CH95:CW95),ABS(data!CH107:CW107),ABS(data!CH119:CW119))</f>
        <v>103.48165546816644</v>
      </c>
      <c r="N56" s="45" t="s">
        <v>67</v>
      </c>
      <c r="O56" s="46" cm="1">
        <f t="array" ref="O56">AVERAGE(ABS(data!DB95:DQ95),ABS(data!DB107:DQ107),ABS(data!DB119:DQ119))</f>
        <v>335.64577398397182</v>
      </c>
      <c r="P56" s="45" t="s">
        <v>67</v>
      </c>
      <c r="Q56" s="46" cm="1">
        <f t="array" ref="Q56">AVERAGE(ABS(data!DV95:EK95),ABS(data!DV107:EK107),ABS(data!DV119:EK119))</f>
        <v>166.46816154895964</v>
      </c>
      <c r="R56" s="45" t="s">
        <v>67</v>
      </c>
      <c r="S56" s="46" cm="1">
        <f t="array" ref="S56">AVERAGE(ABS(data!EP95:FE95),ABS(data!EP107:FE107),ABS(data!EP119:FE119))</f>
        <v>310.42507748506085</v>
      </c>
    </row>
    <row r="57" spans="3:19" x14ac:dyDescent="0.3">
      <c r="C57" s="66"/>
      <c r="D57" s="45" t="s">
        <v>66</v>
      </c>
      <c r="E57" s="46" cm="1">
        <f t="array" ref="E57">_xlfn.STDEV.P(ABS(data!F95:U95),ABS(data!F107:U107),ABS(data!F119:U119))</f>
        <v>3.1724914889327041</v>
      </c>
      <c r="F57" s="45" t="s">
        <v>66</v>
      </c>
      <c r="G57" s="46" cm="1">
        <f t="array" ref="G57">_xlfn.STDEV.P(ABS(data!Z95:AO95),ABS(data!Z107:AO107),ABS(data!Z119:AO119))</f>
        <v>3.7870443163794412</v>
      </c>
      <c r="H57" s="45" t="s">
        <v>66</v>
      </c>
      <c r="I57" s="46" cm="1">
        <f t="array" ref="I57">_xlfn.STDEV.P(ABS(data!AT95:BI95),ABS(data!AT107:BI107),ABS(data!AT119:BI119))</f>
        <v>4.1204548208599139</v>
      </c>
      <c r="J57" s="45" t="s">
        <v>66</v>
      </c>
      <c r="K57" s="46" cm="1">
        <f t="array" ref="K57">_xlfn.STDEV.P(ABS(data!BN95:CC95),ABS(data!BN107:CC107),ABS(data!BN119:CC119))</f>
        <v>2.6243345202601911</v>
      </c>
      <c r="L57" s="45" t="s">
        <v>66</v>
      </c>
      <c r="M57" s="46" cm="1">
        <f t="array" ref="M57">_xlfn.STDEV.P(ABS(data!CH95:CW95),ABS(data!CH107:CW107),ABS(data!CH119:CW119))</f>
        <v>101.92899925678316</v>
      </c>
      <c r="N57" s="45" t="s">
        <v>66</v>
      </c>
      <c r="O57" s="46" cm="1">
        <f t="array" ref="O57">_xlfn.STDEV.P(ABS(data!DB95:DQ95),ABS(data!DB107:DQ107),ABS(data!DB119:DQ119))</f>
        <v>320.68565492701259</v>
      </c>
      <c r="P57" s="45" t="s">
        <v>66</v>
      </c>
      <c r="Q57" s="46" cm="1">
        <f t="array" ref="Q57">_xlfn.STDEV.P(ABS(data!DV95:EK95),ABS(data!DV107:EK107),ABS(data!DV119:EK119))</f>
        <v>91.881383620382536</v>
      </c>
      <c r="R57" s="45" t="s">
        <v>66</v>
      </c>
      <c r="S57" s="46" cm="1">
        <f t="array" ref="S57">_xlfn.STDEV.P(ABS(data!EP95:FE95),ABS(data!EP107:FE107),ABS(data!EP119:FE119))</f>
        <v>345.15407343536918</v>
      </c>
    </row>
    <row r="58" spans="3:19" x14ac:dyDescent="0.3">
      <c r="C58" s="85"/>
      <c r="D58" s="47"/>
      <c r="E58" s="54"/>
      <c r="F58" s="47"/>
      <c r="G58" s="54"/>
      <c r="H58" s="47"/>
      <c r="I58" s="54"/>
      <c r="J58" s="47"/>
      <c r="K58" s="54"/>
      <c r="L58" s="47"/>
      <c r="M58" s="54"/>
      <c r="N58" s="47"/>
      <c r="O58" s="54"/>
      <c r="P58" s="47"/>
      <c r="Q58" s="54"/>
      <c r="R58" s="47"/>
      <c r="S58" s="54"/>
    </row>
    <row r="59" spans="3:19" x14ac:dyDescent="0.3">
      <c r="C59" s="66" t="s">
        <v>68</v>
      </c>
      <c r="D59" s="45" t="s">
        <v>65</v>
      </c>
      <c r="E59" s="46" cm="1">
        <f t="array" ref="E59">AVERAGE(ABS(data!F97:U97),ABS(data!F109:U109),ABS(data!F121:U121))</f>
        <v>0.24724336513341894</v>
      </c>
      <c r="F59" s="45" t="s">
        <v>65</v>
      </c>
      <c r="G59" s="46" cm="1">
        <f t="array" ref="G59">AVERAGE(ABS(data!Z97:AO97),ABS(data!Z109:AO109),ABS(data!Z121:AO121))</f>
        <v>0.15919414773465124</v>
      </c>
      <c r="H59" s="45" t="s">
        <v>65</v>
      </c>
      <c r="I59" s="46" cm="1">
        <f t="array" ref="I59">AVERAGE(ABS(data!AT97:BI97),ABS(data!AT109:BI109),ABS(data!AT121:BI121))</f>
        <v>4.9692296614625132E-2</v>
      </c>
      <c r="J59" s="45" t="s">
        <v>65</v>
      </c>
      <c r="K59" s="46" cm="1">
        <f t="array" ref="K59">AVERAGE(ABS(data!BN97:CC97),ABS(data!BN109:CC109),ABS(data!BN121:CC121))</f>
        <v>9.2691626827092463E-2</v>
      </c>
      <c r="L59" s="45" t="s">
        <v>65</v>
      </c>
      <c r="M59" s="46" cm="1">
        <f t="array" ref="M59">AVERAGE(ABS(data!CH97:CW97),ABS(data!CH109:CW109),ABS(data!CH121:CW121))</f>
        <v>3.1075367328329242</v>
      </c>
      <c r="N59" s="45" t="s">
        <v>65</v>
      </c>
      <c r="O59" s="46" cm="1">
        <f t="array" ref="O59">AVERAGE(ABS(data!DB97:DQ97),ABS(data!DB109:DQ109),ABS(data!DB121:DQ121))</f>
        <v>18.532612637742705</v>
      </c>
      <c r="P59" s="45" t="s">
        <v>65</v>
      </c>
      <c r="Q59" s="46" cm="1">
        <f t="array" ref="Q59">AVERAGE(ABS(data!DV97:EK97),ABS(data!DV109:EK109),ABS(data!DV121:EK121))</f>
        <v>2.2293201275007992</v>
      </c>
      <c r="R59" s="45" t="s">
        <v>65</v>
      </c>
      <c r="S59" s="46" cm="1">
        <f t="array" ref="S59">AVERAGE(ABS(data!EP97:FE97),ABS(data!EP109:FE109),ABS(data!EP121:FE121))</f>
        <v>2.7096942473897361</v>
      </c>
    </row>
    <row r="60" spans="3:19" x14ac:dyDescent="0.3">
      <c r="C60" s="66"/>
      <c r="D60" s="45" t="s">
        <v>66</v>
      </c>
      <c r="E60" s="46" cm="1">
        <f t="array" ref="E60">_xlfn.STDEV.P(ABS(data!F97:U97),ABS(data!F109:U109),ABS(data!F121:U121))</f>
        <v>0.17533824396003231</v>
      </c>
      <c r="F60" s="45" t="s">
        <v>66</v>
      </c>
      <c r="G60" s="46" cm="1">
        <f t="array" ref="G60">_xlfn.STDEV.P(ABS(data!Z97:AO97),ABS(data!Z109:AO109),ABS(data!Z121:AO121))</f>
        <v>0.10245288280717543</v>
      </c>
      <c r="H60" s="45" t="s">
        <v>66</v>
      </c>
      <c r="I60" s="46" cm="1">
        <f t="array" ref="I60">_xlfn.STDEV.P(ABS(data!AT97:BI97),ABS(data!AT109:BI109),ABS(data!AT121:BI121))</f>
        <v>5.3672059763020412E-2</v>
      </c>
      <c r="J60" s="45" t="s">
        <v>66</v>
      </c>
      <c r="K60" s="46" cm="1">
        <f t="array" ref="K60">_xlfn.STDEV.P(ABS(data!BN97:CC97),ABS(data!BN109:CC109),ABS(data!BN121:CC121))</f>
        <v>7.83320977693127E-2</v>
      </c>
      <c r="L60" s="45" t="s">
        <v>66</v>
      </c>
      <c r="M60" s="46" cm="1">
        <f t="array" ref="M60">_xlfn.STDEV.P(ABS(data!CH97:CW97),ABS(data!CH109:CW109),ABS(data!CH121:CW121))</f>
        <v>4.0879999311061335</v>
      </c>
      <c r="N60" s="45" t="s">
        <v>66</v>
      </c>
      <c r="O60" s="46" cm="1">
        <f t="array" ref="O60">_xlfn.STDEV.P(ABS(data!DB97:DQ97),ABS(data!DB109:DQ109),ABS(data!DB121:DQ121))</f>
        <v>54.428397957484137</v>
      </c>
      <c r="P60" s="45" t="s">
        <v>66</v>
      </c>
      <c r="Q60" s="46" cm="1">
        <f t="array" ref="Q60">_xlfn.STDEV.P(ABS(data!DV97:EK97),ABS(data!DV109:EK109),ABS(data!DV121:EK121))</f>
        <v>0.88780511249321459</v>
      </c>
      <c r="R60" s="45" t="s">
        <v>66</v>
      </c>
      <c r="S60" s="46" cm="1">
        <f t="array" ref="S60">_xlfn.STDEV.P(ABS(data!EP97:FE97),ABS(data!EP109:FE109),ABS(data!EP121:FE121))</f>
        <v>1.3488860208056703</v>
      </c>
    </row>
    <row r="61" spans="3:19" x14ac:dyDescent="0.3">
      <c r="C61" s="66"/>
      <c r="D61" s="45" t="s">
        <v>67</v>
      </c>
      <c r="E61" s="46" cm="1">
        <f t="array" ref="E61">AVERAGE(ABS(data!F98:U98),ABS(data!F110:U110),ABS(data!F122:U122))</f>
        <v>6.9125194041447076</v>
      </c>
      <c r="F61" s="45" t="s">
        <v>67</v>
      </c>
      <c r="G61" s="46" cm="1">
        <f t="array" ref="G61">AVERAGE(ABS(data!Z98:AO98),ABS(data!Z110:AO110),ABS(data!Z122:AO122))</f>
        <v>7.4659047287631326</v>
      </c>
      <c r="H61" s="45" t="s">
        <v>67</v>
      </c>
      <c r="I61" s="46" cm="1">
        <f t="array" ref="I61">AVERAGE(ABS(data!AT98:BI98),ABS(data!AT110:BI110),ABS(data!AT122:BI122))</f>
        <v>1.8859586360185903</v>
      </c>
      <c r="J61" s="45" t="s">
        <v>67</v>
      </c>
      <c r="K61" s="46" cm="1">
        <f t="array" ref="K61">AVERAGE(ABS(data!BN98:CC98),ABS(data!BN110:CC110),ABS(data!BN122:CC122))</f>
        <v>2.1657464280350007</v>
      </c>
      <c r="L61" s="45" t="s">
        <v>67</v>
      </c>
      <c r="M61" s="46" cm="1">
        <f t="array" ref="M61">AVERAGE(ABS(data!CH98:CW98),ABS(data!CH110:CW110),ABS(data!CH122:CW122))</f>
        <v>103.83728818562766</v>
      </c>
      <c r="N61" s="45" t="s">
        <v>67</v>
      </c>
      <c r="O61" s="46" cm="1">
        <f t="array" ref="O61">AVERAGE(ABS(data!DB98:DQ98),ABS(data!DB110:DQ110),ABS(data!DB122:DQ122))</f>
        <v>343.84283437810092</v>
      </c>
      <c r="P61" s="45" t="s">
        <v>67</v>
      </c>
      <c r="Q61" s="46" cm="1">
        <f t="array" ref="Q61">AVERAGE(ABS(data!DV98:EK98),ABS(data!DV110:EK110),ABS(data!DV122:EK122))</f>
        <v>171.08056132555211</v>
      </c>
      <c r="R61" s="45" t="s">
        <v>67</v>
      </c>
      <c r="S61" s="46" cm="1">
        <f t="array" ref="S61">AVERAGE(ABS(data!EP98:FE98),ABS(data!EP110:FE110),ABS(data!EP122:FE122))</f>
        <v>313.68778377871593</v>
      </c>
    </row>
    <row r="62" spans="3:19" x14ac:dyDescent="0.3">
      <c r="C62" s="66"/>
      <c r="D62" s="45" t="s">
        <v>66</v>
      </c>
      <c r="E62" s="46" cm="1">
        <f t="array" ref="E62">_xlfn.STDEV.P(ABS(data!F98:U98),ABS(data!F110:U110),ABS(data!F122:U122))</f>
        <v>2.4295466865227371</v>
      </c>
      <c r="F62" s="45" t="s">
        <v>66</v>
      </c>
      <c r="G62" s="46" cm="1">
        <f t="array" ref="G62">_xlfn.STDEV.P(ABS(data!Z98:AO98),ABS(data!Z110:AO110),ABS(data!Z122:AO122))</f>
        <v>6.4210326605028927</v>
      </c>
      <c r="H62" s="45" t="s">
        <v>66</v>
      </c>
      <c r="I62" s="46" cm="1">
        <f t="array" ref="I62">_xlfn.STDEV.P(ABS(data!AT98:BI98),ABS(data!AT110:BI110),ABS(data!AT122:BI122))</f>
        <v>3.0201035808911185</v>
      </c>
      <c r="J62" s="45" t="s">
        <v>66</v>
      </c>
      <c r="K62" s="46" cm="1">
        <f t="array" ref="K62">_xlfn.STDEV.P(ABS(data!BN98:CC98),ABS(data!BN110:CC110),ABS(data!BN122:CC122))</f>
        <v>2.0118367045190197</v>
      </c>
      <c r="L62" s="45" t="s">
        <v>66</v>
      </c>
      <c r="M62" s="46" cm="1">
        <f t="array" ref="M62">_xlfn.STDEV.P(ABS(data!CH98:CW98),ABS(data!CH110:CW110),ABS(data!CH122:CW122))</f>
        <v>99.483671823467873</v>
      </c>
      <c r="N62" s="45" t="s">
        <v>66</v>
      </c>
      <c r="O62" s="46" cm="1">
        <f t="array" ref="O62">_xlfn.STDEV.P(ABS(data!DB98:DQ98),ABS(data!DB110:DQ110),ABS(data!DB122:DQ122))</f>
        <v>328.95902569521718</v>
      </c>
      <c r="P62" s="45" t="s">
        <v>66</v>
      </c>
      <c r="Q62" s="46" cm="1">
        <f t="array" ref="Q62">_xlfn.STDEV.P(ABS(data!DV98:EK98),ABS(data!DV110:EK110),ABS(data!DV122:EK122))</f>
        <v>99.129619503043301</v>
      </c>
      <c r="R62" s="45" t="s">
        <v>66</v>
      </c>
      <c r="S62" s="46" cm="1">
        <f t="array" ref="S62">_xlfn.STDEV.P(ABS(data!EP98:FE98),ABS(data!EP110:FE110),ABS(data!EP122:FE122))</f>
        <v>349.7521853854297</v>
      </c>
    </row>
    <row r="63" spans="3:19" x14ac:dyDescent="0.3">
      <c r="C63" s="85"/>
      <c r="D63" s="47"/>
      <c r="E63" s="54"/>
      <c r="F63" s="47"/>
      <c r="G63" s="54"/>
      <c r="H63" s="47"/>
      <c r="I63" s="54"/>
      <c r="J63" s="47"/>
      <c r="K63" s="54"/>
      <c r="L63" s="47"/>
      <c r="M63" s="54"/>
      <c r="N63" s="47"/>
      <c r="O63" s="54"/>
      <c r="P63" s="47"/>
      <c r="Q63" s="54"/>
      <c r="R63" s="47"/>
      <c r="S63" s="54"/>
    </row>
    <row r="64" spans="3:19" x14ac:dyDescent="0.3">
      <c r="C64" s="66" t="s">
        <v>69</v>
      </c>
      <c r="D64" s="45" t="s">
        <v>65</v>
      </c>
      <c r="E64" s="46" cm="1">
        <f t="array" ref="E64">AVERAGE(ABS(data!F100:U100),ABS(data!F112:U112),ABS(data!F124:U124))</f>
        <v>0.257243365133419</v>
      </c>
      <c r="F64" s="45" t="s">
        <v>65</v>
      </c>
      <c r="G64" s="46" cm="1">
        <f t="array" ref="G64">AVERAGE(ABS(data!Z100:AO100),ABS(data!Z112:AO112),ABS(data!Z124:AO124))</f>
        <v>0.15732908632059836</v>
      </c>
      <c r="H64" s="45" t="s">
        <v>65</v>
      </c>
      <c r="I64" s="46" cm="1">
        <f t="array" ref="I64">AVERAGE(ABS(data!AT100:BI100),ABS(data!AT112:BI112),ABS(data!AT124:BI124))</f>
        <v>6.0357642066842722E-2</v>
      </c>
      <c r="J64" s="45" t="s">
        <v>65</v>
      </c>
      <c r="K64" s="46" cm="1">
        <f t="array" ref="K64">AVERAGE(ABS(data!BN100:CC100),ABS(data!BN112:CC112),ABS(data!BN124:CC124))</f>
        <v>0.11155019285336494</v>
      </c>
      <c r="L64" s="45" t="s">
        <v>65</v>
      </c>
      <c r="M64" s="46" cm="1">
        <f t="array" ref="M64">AVERAGE(ABS(data!CH100:CW100),ABS(data!CH112:CW112),ABS(data!CH124:CW124))</f>
        <v>3.1150367328329249</v>
      </c>
      <c r="N64" s="45" t="s">
        <v>65</v>
      </c>
      <c r="O64" s="46" cm="1">
        <f t="array" ref="O64">AVERAGE(ABS(data!DB100:DQ100),ABS(data!DB112:DQ112),ABS(data!DB124:DQ124))</f>
        <v>2.1408759371172281</v>
      </c>
      <c r="P64" s="45" t="s">
        <v>65</v>
      </c>
      <c r="Q64" s="46" cm="1">
        <f t="array" ref="Q64">AVERAGE(ABS(data!DV100:EK100),ABS(data!DV112:EK112),ABS(data!DV124:EK124))</f>
        <v>2.2443201275007985</v>
      </c>
      <c r="R64" s="45" t="s">
        <v>65</v>
      </c>
      <c r="S64" s="46" cm="1">
        <f t="array" ref="S64">AVERAGE(ABS(data!EP100:FE100),ABS(data!EP112:FE112),ABS(data!EP124:FE124))</f>
        <v>2.7134442473897362</v>
      </c>
    </row>
    <row r="65" spans="3:19" x14ac:dyDescent="0.3">
      <c r="C65" s="66"/>
      <c r="D65" s="45" t="s">
        <v>66</v>
      </c>
      <c r="E65" s="46" cm="1">
        <f t="array" ref="E65">_xlfn.STDEV.P(ABS(data!F100:U100),ABS(data!F112:U112),ABS(data!F124:U124))</f>
        <v>0.17968368048301711</v>
      </c>
      <c r="F65" s="45" t="s">
        <v>66</v>
      </c>
      <c r="G65" s="46" cm="1">
        <f t="array" ref="G65">_xlfn.STDEV.P(ABS(data!Z100:AO100),ABS(data!Z112:AO112),ABS(data!Z124:AO124))</f>
        <v>0.10764439885835342</v>
      </c>
      <c r="H65" s="45" t="s">
        <v>66</v>
      </c>
      <c r="I65" s="46" cm="1">
        <f t="array" ref="I65">_xlfn.STDEV.P(ABS(data!AT100:BI100),ABS(data!AT112:BI112),ABS(data!AT124:BI124))</f>
        <v>6.2768827311923667E-2</v>
      </c>
      <c r="J65" s="45" t="s">
        <v>66</v>
      </c>
      <c r="K65" s="46" cm="1">
        <f t="array" ref="K65">_xlfn.STDEV.P(ABS(data!BN100:CC100),ABS(data!BN112:CC112),ABS(data!BN124:CC124))</f>
        <v>9.9501040624167925E-2</v>
      </c>
      <c r="L65" s="45" t="s">
        <v>66</v>
      </c>
      <c r="M65" s="46" cm="1">
        <f t="array" ref="M65">_xlfn.STDEV.P(ABS(data!CH100:CW100),ABS(data!CH112:CW112),ABS(data!CH124:CW124))</f>
        <v>4.0854859058715842</v>
      </c>
      <c r="N65" s="45" t="s">
        <v>66</v>
      </c>
      <c r="O65" s="46" cm="1">
        <f t="array" ref="O65">_xlfn.STDEV.P(ABS(data!DB100:DQ100),ABS(data!DB112:DQ112),ABS(data!DB124:DQ124))</f>
        <v>1.1190384526176018</v>
      </c>
      <c r="P65" s="45" t="s">
        <v>66</v>
      </c>
      <c r="Q65" s="46" cm="1">
        <f t="array" ref="Q65">_xlfn.STDEV.P(ABS(data!DV100:EK100),ABS(data!DV112:EK112),ABS(data!DV124:EK124))</f>
        <v>0.90343981038027743</v>
      </c>
      <c r="R65" s="45" t="s">
        <v>66</v>
      </c>
      <c r="S65" s="46" cm="1">
        <f t="array" ref="S65">_xlfn.STDEV.P(ABS(data!EP100:FE100),ABS(data!EP112:FE112),ABS(data!EP124:FE124))</f>
        <v>1.3550366116864876</v>
      </c>
    </row>
    <row r="66" spans="3:19" x14ac:dyDescent="0.3">
      <c r="C66" s="66"/>
      <c r="D66" s="45" t="s">
        <v>67</v>
      </c>
      <c r="E66" s="46" cm="1">
        <f t="array" ref="E66">AVERAGE(ABS(data!F101:U101),ABS(data!F113:U113),ABS(data!F125:U125))</f>
        <v>7.3654359967926064</v>
      </c>
      <c r="F66" s="45" t="s">
        <v>67</v>
      </c>
      <c r="G66" s="46" cm="1">
        <f t="array" ref="G66">AVERAGE(ABS(data!Z101:AO101),ABS(data!Z113:AO113),ABS(data!Z125:AO125))</f>
        <v>6.7231255277230693</v>
      </c>
      <c r="H66" s="45" t="s">
        <v>67</v>
      </c>
      <c r="I66" s="46" cm="1">
        <f t="array" ref="I66">AVERAGE(ABS(data!AT101:BI101),ABS(data!AT113:BI113),ABS(data!AT125:BI125))</f>
        <v>2.2033322632623626</v>
      </c>
      <c r="J66" s="45" t="s">
        <v>67</v>
      </c>
      <c r="K66" s="46" cm="1">
        <f t="array" ref="K66">AVERAGE(ABS(data!BN101:CC101),ABS(data!BN113:CC113),ABS(data!BN125:CC125))</f>
        <v>2.6515981277701308</v>
      </c>
      <c r="L66" s="45" t="s">
        <v>67</v>
      </c>
      <c r="M66" s="46" cm="1">
        <f t="array" ref="M66">AVERAGE(ABS(data!CH101:CW101),ABS(data!CH113:CW113),ABS(data!CH125:CW125))</f>
        <v>104.2571813830079</v>
      </c>
      <c r="N66" s="45" t="s">
        <v>67</v>
      </c>
      <c r="O66" s="46" cm="1">
        <f t="array" ref="O66">AVERAGE(ABS(data!DB101:DQ101),ABS(data!DB113:DQ113),ABS(data!DB125:DQ125))</f>
        <v>390.6622699119942</v>
      </c>
      <c r="P66" s="45" t="s">
        <v>67</v>
      </c>
      <c r="Q66" s="46" cm="1">
        <f t="array" ref="Q66">AVERAGE(ABS(data!DV101:EK101),ABS(data!DV113:EK113),ABS(data!DV125:EK125))</f>
        <v>171.5366849220195</v>
      </c>
      <c r="R66" s="45" t="s">
        <v>67</v>
      </c>
      <c r="S66" s="46" cm="1">
        <f t="array" ref="S66">AVERAGE(ABS(data!EP101:FE101),ABS(data!EP113:FE113),ABS(data!EP125:FE125))</f>
        <v>312.93590555800711</v>
      </c>
    </row>
    <row r="67" spans="3:19" x14ac:dyDescent="0.3">
      <c r="C67" s="66"/>
      <c r="D67" s="45" t="s">
        <v>66</v>
      </c>
      <c r="E67" s="46" cm="1">
        <f t="array" ref="E67">_xlfn.STDEV.P(ABS(data!F101:U101),ABS(data!F113:U113),ABS(data!F125:U125))</f>
        <v>2.8736693325798206</v>
      </c>
      <c r="F67" s="45" t="s">
        <v>66</v>
      </c>
      <c r="G67" s="46" cm="1">
        <f t="array" ref="G67">_xlfn.STDEV.P(ABS(data!Z101:AO101),ABS(data!Z113:AO113),ABS(data!Z125:AO125))</f>
        <v>4.9592859196734329</v>
      </c>
      <c r="H67" s="45" t="s">
        <v>66</v>
      </c>
      <c r="I67" s="46" cm="1">
        <f t="array" ref="I67">_xlfn.STDEV.P(ABS(data!AT101:BI101),ABS(data!AT113:BI113),ABS(data!AT125:BI125))</f>
        <v>3.2015508456010724</v>
      </c>
      <c r="J67" s="45" t="s">
        <v>66</v>
      </c>
      <c r="K67" s="46" cm="1">
        <f t="array" ref="K67">_xlfn.STDEV.P(ABS(data!BN101:CC101),ABS(data!BN113:CC113),ABS(data!BN125:CC125))</f>
        <v>2.6655909397856012</v>
      </c>
      <c r="L67" s="45" t="s">
        <v>66</v>
      </c>
      <c r="M67" s="46" cm="1">
        <f t="array" ref="M67">_xlfn.STDEV.P(ABS(data!CH101:CW101),ABS(data!CH113:CW113),ABS(data!CH125:CW125))</f>
        <v>100.81994679130695</v>
      </c>
      <c r="N67" s="45" t="s">
        <v>66</v>
      </c>
      <c r="O67" s="46" cm="1">
        <f t="array" ref="O67">_xlfn.STDEV.P(ABS(data!DB101:DQ101),ABS(data!DB113:DQ113),ABS(data!DB125:DQ125))</f>
        <v>340.7897526078882</v>
      </c>
      <c r="P67" s="45" t="s">
        <v>66</v>
      </c>
      <c r="Q67" s="46" cm="1">
        <f t="array" ref="Q67">_xlfn.STDEV.P(ABS(data!DV101:EK101),ABS(data!DV113:EK113),ABS(data!DV125:EK125))</f>
        <v>98.563545569402322</v>
      </c>
      <c r="R67" s="45" t="s">
        <v>66</v>
      </c>
      <c r="S67" s="46" cm="1">
        <f t="array" ref="S67">_xlfn.STDEV.P(ABS(data!EP101:FE101),ABS(data!EP113:FE113),ABS(data!EP125:FE125))</f>
        <v>349.41792686072068</v>
      </c>
    </row>
    <row r="68" spans="3:19" x14ac:dyDescent="0.3">
      <c r="C68" s="85"/>
      <c r="D68" s="45"/>
      <c r="E68" s="46"/>
      <c r="F68" s="45"/>
      <c r="G68" s="46"/>
      <c r="H68" s="45"/>
      <c r="I68" s="46"/>
      <c r="J68" s="45"/>
      <c r="K68" s="46"/>
      <c r="L68" s="45"/>
      <c r="M68" s="46"/>
      <c r="N68" s="45"/>
      <c r="O68" s="46"/>
      <c r="P68" s="45"/>
      <c r="Q68" s="46"/>
      <c r="R68" s="45"/>
      <c r="S68" s="46"/>
    </row>
    <row r="69" spans="3:19" x14ac:dyDescent="0.3">
      <c r="C69" s="66" t="s">
        <v>70</v>
      </c>
      <c r="D69" s="52" t="s">
        <v>65</v>
      </c>
      <c r="E69" s="53">
        <f>AVERAGE(E54,E59,E64)</f>
        <v>0.24891003180008564</v>
      </c>
      <c r="F69" s="52" t="s">
        <v>65</v>
      </c>
      <c r="G69" s="53">
        <f>AVERAGE(G54,G59,G64)</f>
        <v>0.14565579392996694</v>
      </c>
      <c r="H69" s="52" t="s">
        <v>65</v>
      </c>
      <c r="I69" s="53">
        <f>AVERAGE(I54,I59,I64)</f>
        <v>6.3654889346341378E-2</v>
      </c>
      <c r="J69" s="52" t="s">
        <v>65</v>
      </c>
      <c r="K69" s="53">
        <f>AVERAGE(K54,K59,K64)</f>
        <v>0.10757413213136706</v>
      </c>
      <c r="L69" s="52" t="s">
        <v>65</v>
      </c>
      <c r="M69" s="53">
        <f>AVERAGE(M54,M59,M64)</f>
        <v>3.1092033994995911</v>
      </c>
      <c r="N69" s="52" t="s">
        <v>65</v>
      </c>
      <c r="O69" s="53">
        <f>AVERAGE(O54,O59,O64)</f>
        <v>13.06953373753421</v>
      </c>
      <c r="P69" s="52" t="s">
        <v>65</v>
      </c>
      <c r="Q69" s="53">
        <f>AVERAGE(Q54,Q59,Q64)</f>
        <v>2.2251534608341328</v>
      </c>
      <c r="R69" s="52" t="s">
        <v>65</v>
      </c>
      <c r="S69" s="53">
        <f>AVERAGE(S54,S59,S64)</f>
        <v>2.7080275807230691</v>
      </c>
    </row>
    <row r="70" spans="3:19" x14ac:dyDescent="0.3">
      <c r="C70" s="66"/>
      <c r="D70" s="45" t="s">
        <v>71</v>
      </c>
      <c r="E70" s="46">
        <f>AVERAGE(E55,E60,E65)</f>
        <v>0.17481814961945044</v>
      </c>
      <c r="F70" s="45" t="s">
        <v>71</v>
      </c>
      <c r="G70" s="46">
        <f>AVERAGE(G55,G60,G65)</f>
        <v>9.966928010965459E-2</v>
      </c>
      <c r="H70" s="45" t="s">
        <v>71</v>
      </c>
      <c r="I70" s="46">
        <f>AVERAGE(I55,I60,I65)</f>
        <v>6.2595830090707141E-2</v>
      </c>
      <c r="J70" s="45" t="s">
        <v>71</v>
      </c>
      <c r="K70" s="46">
        <f>AVERAGE(K55,K60,K65)</f>
        <v>9.394338443024515E-2</v>
      </c>
      <c r="L70" s="45" t="s">
        <v>71</v>
      </c>
      <c r="M70" s="46">
        <f>AVERAGE(M55,M60,M65)</f>
        <v>4.0917541824616475</v>
      </c>
      <c r="N70" s="45" t="s">
        <v>71</v>
      </c>
      <c r="O70" s="46">
        <f>AVERAGE(O55,O60,O65)</f>
        <v>36.657491967375741</v>
      </c>
      <c r="P70" s="45" t="s">
        <v>71</v>
      </c>
      <c r="Q70" s="46">
        <f>AVERAGE(Q55,Q60,Q65)</f>
        <v>0.88736263467761012</v>
      </c>
      <c r="R70" s="45" t="s">
        <v>71</v>
      </c>
      <c r="S70" s="46">
        <f>AVERAGE(S55,S60,S65)</f>
        <v>1.3559283744677142</v>
      </c>
    </row>
    <row r="71" spans="3:19" x14ac:dyDescent="0.3">
      <c r="C71" s="66"/>
      <c r="D71" s="45" t="s">
        <v>67</v>
      </c>
      <c r="E71" s="46">
        <f>AVERAGE(E56,E61,E66)</f>
        <v>6.9737604362379564</v>
      </c>
      <c r="F71" s="45" t="s">
        <v>67</v>
      </c>
      <c r="G71" s="46">
        <f>AVERAGE(G56,G61,G66)</f>
        <v>6.4360398665991916</v>
      </c>
      <c r="H71" s="45" t="s">
        <v>67</v>
      </c>
      <c r="I71" s="46">
        <f>AVERAGE(I56,I61,I66)</f>
        <v>2.3318862733717176</v>
      </c>
      <c r="J71" s="45" t="s">
        <v>67</v>
      </c>
      <c r="K71" s="46">
        <f>AVERAGE(K56,K61,K66)</f>
        <v>2.5471171519911686</v>
      </c>
      <c r="L71" s="45" t="s">
        <v>67</v>
      </c>
      <c r="M71" s="46">
        <f>AVERAGE(M56,M61,M66)</f>
        <v>103.85870834560068</v>
      </c>
      <c r="N71" s="45" t="s">
        <v>67</v>
      </c>
      <c r="O71" s="46">
        <f>AVERAGE(O56,O61,O66)</f>
        <v>356.71695942468892</v>
      </c>
      <c r="P71" s="45" t="s">
        <v>67</v>
      </c>
      <c r="Q71" s="46">
        <f>AVERAGE(Q56,Q61,Q66)</f>
        <v>169.6951359321771</v>
      </c>
      <c r="R71" s="45" t="s">
        <v>67</v>
      </c>
      <c r="S71" s="46">
        <f>AVERAGE(S56,S61,S66)</f>
        <v>312.34958894059463</v>
      </c>
    </row>
    <row r="72" spans="3:19" x14ac:dyDescent="0.3">
      <c r="C72" s="66"/>
      <c r="D72" s="45" t="s">
        <v>66</v>
      </c>
      <c r="E72" s="46">
        <f>AVERAGE(E57,E62,E67)</f>
        <v>2.8252358360117538</v>
      </c>
      <c r="F72" s="45" t="s">
        <v>66</v>
      </c>
      <c r="G72" s="46">
        <f>AVERAGE(G57,G62,G67)</f>
        <v>5.0557876321852548</v>
      </c>
      <c r="H72" s="45" t="s">
        <v>66</v>
      </c>
      <c r="I72" s="46">
        <f>AVERAGE(I57,I62,I67)</f>
        <v>3.4473697491173687</v>
      </c>
      <c r="J72" s="45" t="s">
        <v>66</v>
      </c>
      <c r="K72" s="46">
        <f>AVERAGE(K57,K62,K67)</f>
        <v>2.4339207215216043</v>
      </c>
      <c r="L72" s="45" t="s">
        <v>66</v>
      </c>
      <c r="M72" s="46">
        <f>AVERAGE(M57,M62,M67)</f>
        <v>100.744205957186</v>
      </c>
      <c r="N72" s="45" t="s">
        <v>66</v>
      </c>
      <c r="O72" s="46">
        <f>AVERAGE(O57,O62,O67)</f>
        <v>330.14481107670599</v>
      </c>
      <c r="P72" s="45" t="s">
        <v>66</v>
      </c>
      <c r="Q72" s="46">
        <f>AVERAGE(Q57,Q62,Q67)</f>
        <v>96.524849564276053</v>
      </c>
      <c r="R72" s="45" t="s">
        <v>66</v>
      </c>
      <c r="S72" s="46">
        <f>AVERAGE(S57,S62,S67)</f>
        <v>348.10806189383987</v>
      </c>
    </row>
    <row r="73" spans="3:19" ht="15" thickBot="1" x14ac:dyDescent="0.35">
      <c r="C73" s="67"/>
      <c r="D73" s="48"/>
      <c r="E73" s="49"/>
      <c r="F73" s="48"/>
      <c r="G73" s="49"/>
      <c r="H73" s="48"/>
      <c r="I73" s="49"/>
      <c r="J73" s="48"/>
      <c r="K73" s="49"/>
      <c r="L73" s="48"/>
      <c r="M73" s="49"/>
      <c r="N73" s="48"/>
      <c r="O73" s="49"/>
      <c r="P73" s="48"/>
      <c r="Q73" s="49"/>
      <c r="R73" s="48"/>
      <c r="S73" s="49"/>
    </row>
    <row r="77" spans="3:19" ht="15" thickBot="1" x14ac:dyDescent="0.35">
      <c r="C77" s="86" t="s">
        <v>76</v>
      </c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</row>
    <row r="78" spans="3:19" ht="15" thickBot="1" x14ac:dyDescent="0.35">
      <c r="C78" s="44"/>
      <c r="D78" s="83" t="s">
        <v>57</v>
      </c>
      <c r="E78" s="84"/>
      <c r="F78" s="83" t="s">
        <v>58</v>
      </c>
      <c r="G78" s="84"/>
      <c r="H78" s="83" t="s">
        <v>59</v>
      </c>
      <c r="I78" s="84"/>
      <c r="J78" s="83" t="s">
        <v>60</v>
      </c>
      <c r="K78" s="84"/>
      <c r="L78" s="83" t="s">
        <v>61</v>
      </c>
      <c r="M78" s="84"/>
      <c r="N78" s="83" t="s">
        <v>62</v>
      </c>
      <c r="O78" s="84"/>
      <c r="P78" s="83" t="s">
        <v>63</v>
      </c>
      <c r="Q78" s="84"/>
      <c r="R78" s="83" t="s">
        <v>64</v>
      </c>
      <c r="S78" s="84"/>
    </row>
    <row r="79" spans="3:19" x14ac:dyDescent="0.3">
      <c r="C79" s="65" t="s">
        <v>23</v>
      </c>
      <c r="D79" s="50" t="s">
        <v>65</v>
      </c>
      <c r="E79" s="51">
        <f>AVERAGE(E29,E54,E4)</f>
        <v>0.17481128834831419</v>
      </c>
      <c r="F79" s="50" t="s">
        <v>65</v>
      </c>
      <c r="G79" s="51">
        <f>AVERAGE(G29,G54,G4)</f>
        <v>0.16144959700136316</v>
      </c>
      <c r="H79" s="50" t="s">
        <v>65</v>
      </c>
      <c r="I79" s="51">
        <f>AVERAGE(I29,I54,I4)</f>
        <v>0.11287025771794984</v>
      </c>
      <c r="J79" s="50" t="s">
        <v>65</v>
      </c>
      <c r="K79" s="51">
        <f>AVERAGE(K29,K54,K4)</f>
        <v>0.12561360147859199</v>
      </c>
      <c r="L79" s="50" t="s">
        <v>65</v>
      </c>
      <c r="M79" s="51">
        <f>AVERAGE(M29,M54,M4)</f>
        <v>2.2692991970188703</v>
      </c>
      <c r="N79" s="50" t="s">
        <v>65</v>
      </c>
      <c r="O79" s="51">
        <f>AVERAGE(O29,O54,O4)</f>
        <v>8.0974986835393459</v>
      </c>
      <c r="P79" s="50" t="s">
        <v>65</v>
      </c>
      <c r="Q79" s="51">
        <f>AVERAGE(Q29,Q54,Q4)</f>
        <v>2.1582157079277304</v>
      </c>
      <c r="R79" s="50" t="s">
        <v>65</v>
      </c>
      <c r="S79" s="51">
        <f>AVERAGE(S29,S54,S4)</f>
        <v>2.5831874981191203</v>
      </c>
    </row>
    <row r="80" spans="3:19" x14ac:dyDescent="0.3">
      <c r="C80" s="66"/>
      <c r="D80" s="45" t="s">
        <v>66</v>
      </c>
      <c r="E80" s="46">
        <f t="shared" ref="E80:G92" si="0">AVERAGE(E30,E55,E5)</f>
        <v>0.11806619722725609</v>
      </c>
      <c r="F80" s="45" t="s">
        <v>66</v>
      </c>
      <c r="G80" s="46">
        <f t="shared" si="0"/>
        <v>0.12690724272828433</v>
      </c>
      <c r="H80" s="45" t="s">
        <v>66</v>
      </c>
      <c r="I80" s="46">
        <f t="shared" ref="I80" si="1">AVERAGE(I30,I55,I5)</f>
        <v>9.3920398319646367E-2</v>
      </c>
      <c r="J80" s="45" t="s">
        <v>66</v>
      </c>
      <c r="K80" s="46">
        <f t="shared" ref="K80" si="2">AVERAGE(K30,K55,K5)</f>
        <v>0.10655184318037662</v>
      </c>
      <c r="L80" s="45" t="s">
        <v>66</v>
      </c>
      <c r="M80" s="46">
        <f t="shared" ref="M80" si="3">AVERAGE(M30,M55,M5)</f>
        <v>2.3228506405305747</v>
      </c>
      <c r="N80" s="45" t="s">
        <v>66</v>
      </c>
      <c r="O80" s="46">
        <f t="shared" ref="O80" si="4">AVERAGE(O30,O55,O5)</f>
        <v>19.002810208965251</v>
      </c>
      <c r="P80" s="45" t="s">
        <v>66</v>
      </c>
      <c r="Q80" s="46">
        <f t="shared" ref="Q80" si="5">AVERAGE(Q30,Q55,Q5)</f>
        <v>1.3878245802770597</v>
      </c>
      <c r="R80" s="45" t="s">
        <v>66</v>
      </c>
      <c r="S80" s="46">
        <f t="shared" ref="S80" si="6">AVERAGE(S30,S55,S5)</f>
        <v>1.2986870323970205</v>
      </c>
    </row>
    <row r="81" spans="3:19" x14ac:dyDescent="0.3">
      <c r="C81" s="66"/>
      <c r="D81" s="45" t="s">
        <v>67</v>
      </c>
      <c r="E81" s="46">
        <f t="shared" si="0"/>
        <v>4.9850288058511358</v>
      </c>
      <c r="F81" s="45" t="s">
        <v>67</v>
      </c>
      <c r="G81" s="46">
        <f t="shared" si="0"/>
        <v>5.2206329304748964</v>
      </c>
      <c r="H81" s="45" t="s">
        <v>67</v>
      </c>
      <c r="I81" s="46">
        <f t="shared" ref="I81" si="7">AVERAGE(I31,I56,I6)</f>
        <v>3.7826510966723963</v>
      </c>
      <c r="J81" s="45" t="s">
        <v>67</v>
      </c>
      <c r="K81" s="46">
        <f t="shared" ref="K81" si="8">AVERAGE(K31,K56,K6)</f>
        <v>3.2233913308800108</v>
      </c>
      <c r="L81" s="45" t="s">
        <v>67</v>
      </c>
      <c r="M81" s="46">
        <f t="shared" ref="M81" si="9">AVERAGE(M31,M56,M6)</f>
        <v>161.27375425892714</v>
      </c>
      <c r="N81" s="45" t="s">
        <v>67</v>
      </c>
      <c r="O81" s="46">
        <f t="shared" ref="O81" si="10">AVERAGE(O31,O56,O6)</f>
        <v>533.38948010234594</v>
      </c>
      <c r="P81" s="45" t="s">
        <v>67</v>
      </c>
      <c r="Q81" s="46">
        <f t="shared" ref="Q81" si="11">AVERAGE(Q31,Q56,Q6)</f>
        <v>206.92407215388755</v>
      </c>
      <c r="R81" s="45" t="s">
        <v>67</v>
      </c>
      <c r="S81" s="46">
        <f t="shared" ref="S81" si="12">AVERAGE(S31,S56,S6)</f>
        <v>447.52657405733686</v>
      </c>
    </row>
    <row r="82" spans="3:19" x14ac:dyDescent="0.3">
      <c r="C82" s="66"/>
      <c r="D82" s="45" t="s">
        <v>66</v>
      </c>
      <c r="E82" s="46">
        <f t="shared" si="0"/>
        <v>3.1101924245707782</v>
      </c>
      <c r="F82" s="45" t="s">
        <v>66</v>
      </c>
      <c r="G82" s="46">
        <f t="shared" si="0"/>
        <v>4.2706019256726782</v>
      </c>
      <c r="H82" s="45" t="s">
        <v>66</v>
      </c>
      <c r="I82" s="46">
        <f t="shared" ref="I82" si="13">AVERAGE(I32,I57,I7)</f>
        <v>3.2722343939782141</v>
      </c>
      <c r="J82" s="45" t="s">
        <v>66</v>
      </c>
      <c r="K82" s="46">
        <f t="shared" ref="K82" si="14">AVERAGE(K32,K57,K7)</f>
        <v>2.612756867926</v>
      </c>
      <c r="L82" s="45" t="s">
        <v>66</v>
      </c>
      <c r="M82" s="46">
        <f t="shared" ref="M82" si="15">AVERAGE(M32,M57,M7)</f>
        <v>162.58323030945431</v>
      </c>
      <c r="N82" s="45" t="s">
        <v>66</v>
      </c>
      <c r="O82" s="46">
        <f t="shared" ref="O82" si="16">AVERAGE(O32,O57,O7)</f>
        <v>617.30668745859009</v>
      </c>
      <c r="P82" s="45" t="s">
        <v>66</v>
      </c>
      <c r="Q82" s="46">
        <f t="shared" ref="Q82" si="17">AVERAGE(Q32,Q57,Q7)</f>
        <v>171.65102405356484</v>
      </c>
      <c r="R82" s="45" t="s">
        <v>66</v>
      </c>
      <c r="S82" s="46">
        <f t="shared" ref="S82" si="18">AVERAGE(S32,S57,S7)</f>
        <v>456.46914041388192</v>
      </c>
    </row>
    <row r="83" spans="3:19" x14ac:dyDescent="0.3">
      <c r="C83" s="85"/>
      <c r="D83" s="45"/>
      <c r="E83" s="46"/>
      <c r="F83" s="47"/>
      <c r="G83" s="46"/>
      <c r="H83" s="47"/>
      <c r="I83" s="46"/>
      <c r="J83" s="47"/>
      <c r="K83" s="46"/>
      <c r="L83" s="47"/>
      <c r="M83" s="46"/>
      <c r="N83" s="47"/>
      <c r="O83" s="46"/>
      <c r="P83" s="47"/>
      <c r="Q83" s="46"/>
      <c r="R83" s="47"/>
      <c r="S83" s="46"/>
    </row>
    <row r="84" spans="3:19" x14ac:dyDescent="0.3">
      <c r="C84" s="66" t="s">
        <v>68</v>
      </c>
      <c r="D84" s="52" t="s">
        <v>65</v>
      </c>
      <c r="E84" s="53">
        <f t="shared" si="0"/>
        <v>0.15988280412185688</v>
      </c>
      <c r="F84" s="45" t="s">
        <v>65</v>
      </c>
      <c r="G84" s="53">
        <f t="shared" si="0"/>
        <v>0.15466991302873478</v>
      </c>
      <c r="H84" s="45" t="s">
        <v>65</v>
      </c>
      <c r="I84" s="53">
        <f t="shared" ref="I84" si="19">AVERAGE(I34,I59,I9)</f>
        <v>0.1224627801369728</v>
      </c>
      <c r="J84" s="45" t="s">
        <v>65</v>
      </c>
      <c r="K84" s="53">
        <f t="shared" ref="K84" si="20">AVERAGE(K34,K59,K9)</f>
        <v>0.10270977992265391</v>
      </c>
      <c r="L84" s="45" t="s">
        <v>65</v>
      </c>
      <c r="M84" s="53">
        <f t="shared" ref="M84" si="21">AVERAGE(M34,M59,M9)</f>
        <v>2.2781880859077592</v>
      </c>
      <c r="N84" s="45" t="s">
        <v>65</v>
      </c>
      <c r="O84" s="53">
        <f t="shared" ref="O84" si="22">AVERAGE(O34,O59,O9)</f>
        <v>8.1095820168726807</v>
      </c>
      <c r="P84" s="45" t="s">
        <v>65</v>
      </c>
      <c r="Q84" s="53">
        <f t="shared" ref="Q84" si="23">AVERAGE(Q34,Q59,Q9)</f>
        <v>2.1457157079277303</v>
      </c>
      <c r="R84" s="45" t="s">
        <v>65</v>
      </c>
      <c r="S84" s="53">
        <f t="shared" ref="S84" si="24">AVERAGE(S34,S59,S9)</f>
        <v>2.5938819425635651</v>
      </c>
    </row>
    <row r="85" spans="3:19" x14ac:dyDescent="0.3">
      <c r="C85" s="66"/>
      <c r="D85" s="45" t="s">
        <v>66</v>
      </c>
      <c r="E85" s="46">
        <f t="shared" si="0"/>
        <v>0.1130410836570913</v>
      </c>
      <c r="F85" s="45" t="s">
        <v>66</v>
      </c>
      <c r="G85" s="46">
        <f t="shared" si="0"/>
        <v>0.1205615557912243</v>
      </c>
      <c r="H85" s="45" t="s">
        <v>66</v>
      </c>
      <c r="I85" s="46">
        <f t="shared" ref="I85" si="25">AVERAGE(I35,I60,I10)</f>
        <v>0.14794379597300647</v>
      </c>
      <c r="J85" s="45" t="s">
        <v>66</v>
      </c>
      <c r="K85" s="46">
        <f t="shared" ref="K85" si="26">AVERAGE(K35,K60,K10)</f>
        <v>0.10090060955793291</v>
      </c>
      <c r="L85" s="45" t="s">
        <v>66</v>
      </c>
      <c r="M85" s="46">
        <f t="shared" ref="M85" si="27">AVERAGE(M35,M60,M10)</f>
        <v>2.3246663996195687</v>
      </c>
      <c r="N85" s="45" t="s">
        <v>66</v>
      </c>
      <c r="O85" s="46">
        <f t="shared" ref="O85" si="28">AVERAGE(O35,O60,O10)</f>
        <v>18.994466808667912</v>
      </c>
      <c r="P85" s="45" t="s">
        <v>66</v>
      </c>
      <c r="Q85" s="46">
        <f t="shared" ref="Q85" si="29">AVERAGE(Q35,Q60,Q10)</f>
        <v>1.3977893863394855</v>
      </c>
      <c r="R85" s="45" t="s">
        <v>66</v>
      </c>
      <c r="S85" s="46">
        <f t="shared" ref="S85" si="30">AVERAGE(S35,S60,S10)</f>
        <v>1.28809589975648</v>
      </c>
    </row>
    <row r="86" spans="3:19" x14ac:dyDescent="0.3">
      <c r="C86" s="66"/>
      <c r="D86" s="45" t="s">
        <v>67</v>
      </c>
      <c r="E86" s="46">
        <f t="shared" si="0"/>
        <v>4.6269590997785386</v>
      </c>
      <c r="F86" s="45" t="s">
        <v>67</v>
      </c>
      <c r="G86" s="46">
        <f t="shared" si="0"/>
        <v>5.3863008833333295</v>
      </c>
      <c r="H86" s="45" t="s">
        <v>67</v>
      </c>
      <c r="I86" s="46">
        <f t="shared" ref="I86" si="31">AVERAGE(I36,I61,I11)</f>
        <v>3.9056396829271129</v>
      </c>
      <c r="J86" s="45" t="s">
        <v>67</v>
      </c>
      <c r="K86" s="46">
        <f t="shared" ref="K86" si="32">AVERAGE(K36,K61,K11)</f>
        <v>2.4937533570012103</v>
      </c>
      <c r="L86" s="45" t="s">
        <v>67</v>
      </c>
      <c r="M86" s="46">
        <f t="shared" ref="M86" si="33">AVERAGE(M36,M61,M11)</f>
        <v>162.55022689373078</v>
      </c>
      <c r="N86" s="45" t="s">
        <v>67</v>
      </c>
      <c r="O86" s="46">
        <f t="shared" ref="O86" si="34">AVERAGE(O36,O61,O11)</f>
        <v>538.79708556971559</v>
      </c>
      <c r="P86" s="45" t="s">
        <v>67</v>
      </c>
      <c r="Q86" s="46">
        <f t="shared" ref="Q86" si="35">AVERAGE(Q36,Q61,Q11)</f>
        <v>207.42554963787643</v>
      </c>
      <c r="R86" s="45" t="s">
        <v>67</v>
      </c>
      <c r="S86" s="46">
        <f t="shared" ref="S86" si="36">AVERAGE(S36,S61,S11)</f>
        <v>451.47022741519913</v>
      </c>
    </row>
    <row r="87" spans="3:19" x14ac:dyDescent="0.3">
      <c r="C87" s="66"/>
      <c r="D87" s="45" t="s">
        <v>66</v>
      </c>
      <c r="E87" s="46">
        <f t="shared" si="0"/>
        <v>2.764654467963096</v>
      </c>
      <c r="F87" s="45" t="s">
        <v>66</v>
      </c>
      <c r="G87" s="46">
        <f t="shared" si="0"/>
        <v>4.7915806922604949</v>
      </c>
      <c r="H87" s="45" t="s">
        <v>66</v>
      </c>
      <c r="I87" s="46">
        <f t="shared" ref="I87" si="37">AVERAGE(I37,I62,I12)</f>
        <v>3.9055350818785235</v>
      </c>
      <c r="J87" s="45" t="s">
        <v>66</v>
      </c>
      <c r="K87" s="46">
        <f t="shared" ref="K87" si="38">AVERAGE(K37,K62,K12)</f>
        <v>2.288908724085883</v>
      </c>
      <c r="L87" s="45" t="s">
        <v>66</v>
      </c>
      <c r="M87" s="46">
        <f t="shared" ref="M87" si="39">AVERAGE(M37,M62,M12)</f>
        <v>163.2374662313641</v>
      </c>
      <c r="N87" s="45" t="s">
        <v>66</v>
      </c>
      <c r="O87" s="46">
        <f t="shared" ref="O87" si="40">AVERAGE(O37,O62,O12)</f>
        <v>622.30213498986166</v>
      </c>
      <c r="P87" s="45" t="s">
        <v>66</v>
      </c>
      <c r="Q87" s="46">
        <f t="shared" ref="Q87" si="41">AVERAGE(Q37,Q62,Q12)</f>
        <v>176.08835677670766</v>
      </c>
      <c r="R87" s="45" t="s">
        <v>66</v>
      </c>
      <c r="S87" s="46">
        <f t="shared" ref="S87" si="42">AVERAGE(S37,S62,S12)</f>
        <v>462.33532699024539</v>
      </c>
    </row>
    <row r="88" spans="3:19" x14ac:dyDescent="0.3">
      <c r="C88" s="85"/>
      <c r="D88" s="47"/>
      <c r="E88" s="54"/>
      <c r="F88" s="47"/>
      <c r="G88" s="54"/>
      <c r="H88" s="47"/>
      <c r="I88" s="54"/>
      <c r="J88" s="47"/>
      <c r="K88" s="54"/>
      <c r="L88" s="47"/>
      <c r="M88" s="54"/>
      <c r="N88" s="47"/>
      <c r="O88" s="54"/>
      <c r="P88" s="47"/>
      <c r="Q88" s="54"/>
      <c r="R88" s="47"/>
      <c r="S88" s="54"/>
    </row>
    <row r="89" spans="3:19" x14ac:dyDescent="0.3">
      <c r="C89" s="66" t="s">
        <v>69</v>
      </c>
      <c r="D89" s="45" t="s">
        <v>65</v>
      </c>
      <c r="E89" s="46">
        <f t="shared" si="0"/>
        <v>0.16689519755978244</v>
      </c>
      <c r="F89" s="52" t="s">
        <v>65</v>
      </c>
      <c r="G89" s="46">
        <f t="shared" si="0"/>
        <v>0.17087474531661714</v>
      </c>
      <c r="H89" s="52" t="s">
        <v>65</v>
      </c>
      <c r="I89" s="46">
        <f t="shared" ref="I89" si="43">AVERAGE(I39,I64,I14)</f>
        <v>0.11211663356366718</v>
      </c>
      <c r="J89" s="52" t="s">
        <v>65</v>
      </c>
      <c r="K89" s="46">
        <f t="shared" ref="K89" si="44">AVERAGE(K39,K64,K14)</f>
        <v>0.11162466654449064</v>
      </c>
      <c r="L89" s="52" t="s">
        <v>65</v>
      </c>
      <c r="M89" s="46">
        <f t="shared" ref="M89" si="45">AVERAGE(M39,M64,M14)</f>
        <v>2.2931880859077594</v>
      </c>
      <c r="N89" s="52" t="s">
        <v>65</v>
      </c>
      <c r="O89" s="46">
        <f t="shared" ref="O89" si="46">AVERAGE(O39,O64,O14)</f>
        <v>2.6481697833308542</v>
      </c>
      <c r="P89" s="52" t="s">
        <v>65</v>
      </c>
      <c r="Q89" s="46">
        <f t="shared" ref="Q89" si="47">AVERAGE(Q39,Q64,Q14)</f>
        <v>2.190299041261063</v>
      </c>
      <c r="R89" s="52" t="s">
        <v>65</v>
      </c>
      <c r="S89" s="46">
        <f t="shared" ref="S89" si="48">AVERAGE(S39,S64,S14)</f>
        <v>2.6081874981191207</v>
      </c>
    </row>
    <row r="90" spans="3:19" x14ac:dyDescent="0.3">
      <c r="C90" s="66"/>
      <c r="D90" s="45" t="s">
        <v>66</v>
      </c>
      <c r="E90" s="46">
        <f t="shared" si="0"/>
        <v>0.12073908579282312</v>
      </c>
      <c r="F90" s="45" t="s">
        <v>66</v>
      </c>
      <c r="G90" s="46">
        <f t="shared" si="0"/>
        <v>0.1227659262437915</v>
      </c>
      <c r="H90" s="45" t="s">
        <v>66</v>
      </c>
      <c r="I90" s="46">
        <f t="shared" ref="I90" si="49">AVERAGE(I40,I65,I15)</f>
        <v>8.9678973021504141E-2</v>
      </c>
      <c r="J90" s="45" t="s">
        <v>66</v>
      </c>
      <c r="K90" s="46">
        <f t="shared" ref="K90" si="50">AVERAGE(K40,K65,K15)</f>
        <v>0.11145703553747166</v>
      </c>
      <c r="L90" s="45" t="s">
        <v>66</v>
      </c>
      <c r="M90" s="46">
        <f t="shared" ref="M90" si="51">AVERAGE(M40,M65,M15)</f>
        <v>2.3329999662649716</v>
      </c>
      <c r="N90" s="45" t="s">
        <v>66</v>
      </c>
      <c r="O90" s="46">
        <f t="shared" ref="O90" si="52">AVERAGE(O40,O65,O15)</f>
        <v>1.2306178461076547</v>
      </c>
      <c r="P90" s="45" t="s">
        <v>66</v>
      </c>
      <c r="Q90" s="46">
        <f t="shared" ref="Q90" si="53">AVERAGE(Q40,Q65,Q15)</f>
        <v>1.3974838774706171</v>
      </c>
      <c r="R90" s="45" t="s">
        <v>66</v>
      </c>
      <c r="S90" s="46">
        <f t="shared" ref="S90" si="54">AVERAGE(S40,S65,S15)</f>
        <v>1.2965422750087603</v>
      </c>
    </row>
    <row r="91" spans="3:19" x14ac:dyDescent="0.3">
      <c r="C91" s="66"/>
      <c r="D91" s="45" t="s">
        <v>67</v>
      </c>
      <c r="E91" s="46">
        <f t="shared" si="0"/>
        <v>4.8844605329536774</v>
      </c>
      <c r="F91" s="45" t="s">
        <v>67</v>
      </c>
      <c r="G91" s="46">
        <f t="shared" si="0"/>
        <v>5.6253238394760787</v>
      </c>
      <c r="H91" s="45" t="s">
        <v>67</v>
      </c>
      <c r="I91" s="46">
        <f t="shared" ref="I91" si="55">AVERAGE(I41,I66,I16)</f>
        <v>3.6613319767052346</v>
      </c>
      <c r="J91" s="45" t="s">
        <v>67</v>
      </c>
      <c r="K91" s="46">
        <f t="shared" ref="K91" si="56">AVERAGE(K41,K66,K16)</f>
        <v>2.6865856479922754</v>
      </c>
      <c r="L91" s="45" t="s">
        <v>67</v>
      </c>
      <c r="M91" s="46">
        <f t="shared" ref="M91" si="57">AVERAGE(M41,M66,M16)</f>
        <v>164.25993159988622</v>
      </c>
      <c r="N91" s="45" t="s">
        <v>67</v>
      </c>
      <c r="O91" s="46">
        <f t="shared" ref="O91" si="58">AVERAGE(O41,O66,O16)</f>
        <v>556.20168504917035</v>
      </c>
      <c r="P91" s="45" t="s">
        <v>67</v>
      </c>
      <c r="Q91" s="46">
        <f t="shared" ref="Q91" si="59">AVERAGE(Q41,Q66,Q16)</f>
        <v>209.31617982960813</v>
      </c>
      <c r="R91" s="45" t="s">
        <v>67</v>
      </c>
      <c r="S91" s="46">
        <f t="shared" ref="S91" si="60">AVERAGE(S41,S66,S16)</f>
        <v>452.93962308421442</v>
      </c>
    </row>
    <row r="92" spans="3:19" x14ac:dyDescent="0.3">
      <c r="C92" s="66"/>
      <c r="D92" s="45" t="s">
        <v>66</v>
      </c>
      <c r="E92" s="46">
        <f t="shared" si="0"/>
        <v>3.064751294346479</v>
      </c>
      <c r="F92" s="45" t="s">
        <v>66</v>
      </c>
      <c r="G92" s="46">
        <f t="shared" si="0"/>
        <v>4.3940603419859929</v>
      </c>
      <c r="H92" s="45" t="s">
        <v>66</v>
      </c>
      <c r="I92" s="46">
        <f t="shared" ref="I92" si="61">AVERAGE(I42,I67,I17)</f>
        <v>2.9271283246698796</v>
      </c>
      <c r="J92" s="45" t="s">
        <v>66</v>
      </c>
      <c r="K92" s="46">
        <f t="shared" ref="K92" si="62">AVERAGE(K42,K67,K17)</f>
        <v>2.5452756461792259</v>
      </c>
      <c r="L92" s="45" t="s">
        <v>66</v>
      </c>
      <c r="M92" s="46">
        <f t="shared" ref="M92" si="63">AVERAGE(M42,M67,M17)</f>
        <v>165.48603508280493</v>
      </c>
      <c r="N92" s="45" t="s">
        <v>66</v>
      </c>
      <c r="O92" s="46">
        <f t="shared" ref="O92" si="64">AVERAGE(O42,O67,O17)</f>
        <v>629.50630822696667</v>
      </c>
      <c r="P92" s="45" t="s">
        <v>66</v>
      </c>
      <c r="Q92" s="46">
        <f t="shared" ref="Q92" si="65">AVERAGE(Q42,Q67,Q17)</f>
        <v>172.41042340322738</v>
      </c>
      <c r="R92" s="45" t="s">
        <v>66</v>
      </c>
      <c r="S92" s="46">
        <f t="shared" ref="S92" si="66">AVERAGE(S42,S67,S17)</f>
        <v>464.00439803641058</v>
      </c>
    </row>
    <row r="93" spans="3:19" ht="15" thickBot="1" x14ac:dyDescent="0.35">
      <c r="C93" s="67"/>
      <c r="D93" s="48"/>
      <c r="E93" s="49"/>
      <c r="F93" s="48"/>
      <c r="G93" s="49"/>
      <c r="H93" s="48"/>
      <c r="I93" s="49"/>
      <c r="J93" s="48"/>
      <c r="K93" s="49"/>
      <c r="L93" s="48"/>
      <c r="M93" s="49"/>
      <c r="N93" s="48"/>
      <c r="O93" s="49"/>
      <c r="P93" s="48"/>
      <c r="Q93" s="49"/>
      <c r="R93" s="48"/>
      <c r="S93" s="49"/>
    </row>
    <row r="97" spans="3:19" ht="15" thickBot="1" x14ac:dyDescent="0.35">
      <c r="C97" s="86" t="s">
        <v>77</v>
      </c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</row>
    <row r="98" spans="3:19" ht="15" thickBot="1" x14ac:dyDescent="0.35">
      <c r="H98" s="44"/>
      <c r="I98" s="83" t="s">
        <v>78</v>
      </c>
      <c r="J98" s="84"/>
      <c r="K98" s="83" t="s">
        <v>79</v>
      </c>
      <c r="L98" s="84"/>
    </row>
    <row r="99" spans="3:19" x14ac:dyDescent="0.3">
      <c r="H99" s="65" t="s">
        <v>23</v>
      </c>
      <c r="I99" s="50" t="s">
        <v>65</v>
      </c>
      <c r="J99" s="51">
        <f>AVERAGE(E79,G79,I79,K79)</f>
        <v>0.14368618613655479</v>
      </c>
      <c r="K99" s="50" t="s">
        <v>65</v>
      </c>
      <c r="L99" s="51">
        <f>AVERAGE(M79,O79,Q79,S79)</f>
        <v>3.7770502716512668</v>
      </c>
    </row>
    <row r="100" spans="3:19" x14ac:dyDescent="0.3">
      <c r="H100" s="66"/>
      <c r="I100" s="45" t="s">
        <v>66</v>
      </c>
      <c r="J100" s="46">
        <f t="shared" ref="J100:J112" si="67">AVERAGE(E80,G80,I80,K80)</f>
        <v>0.11136142036389085</v>
      </c>
      <c r="K100" s="45" t="s">
        <v>66</v>
      </c>
      <c r="L100" s="46">
        <f t="shared" ref="L100:L112" si="68">AVERAGE(M80,O80,Q80,S80)</f>
        <v>6.0030431155424759</v>
      </c>
    </row>
    <row r="101" spans="3:19" x14ac:dyDescent="0.3">
      <c r="H101" s="66"/>
      <c r="I101" s="45" t="s">
        <v>67</v>
      </c>
      <c r="J101" s="46">
        <f t="shared" si="67"/>
        <v>4.3029260409696093</v>
      </c>
      <c r="K101" s="45" t="s">
        <v>67</v>
      </c>
      <c r="L101" s="46">
        <f t="shared" si="68"/>
        <v>337.27847014312437</v>
      </c>
    </row>
    <row r="102" spans="3:19" x14ac:dyDescent="0.3">
      <c r="H102" s="66"/>
      <c r="I102" s="45" t="s">
        <v>66</v>
      </c>
      <c r="J102" s="46">
        <f t="shared" si="67"/>
        <v>3.3164464030369176</v>
      </c>
      <c r="K102" s="45" t="s">
        <v>66</v>
      </c>
      <c r="L102" s="46">
        <f t="shared" si="68"/>
        <v>352.00252055887279</v>
      </c>
    </row>
    <row r="103" spans="3:19" x14ac:dyDescent="0.3">
      <c r="H103" s="85"/>
      <c r="I103" s="45"/>
      <c r="J103" s="46"/>
      <c r="K103" s="45"/>
      <c r="L103" s="46"/>
    </row>
    <row r="104" spans="3:19" x14ac:dyDescent="0.3">
      <c r="H104" s="66" t="s">
        <v>68</v>
      </c>
      <c r="I104" s="52" t="s">
        <v>65</v>
      </c>
      <c r="J104" s="53">
        <f t="shared" si="67"/>
        <v>0.13493131930255459</v>
      </c>
      <c r="K104" s="52" t="s">
        <v>65</v>
      </c>
      <c r="L104" s="53">
        <f t="shared" si="68"/>
        <v>3.7818419383179336</v>
      </c>
    </row>
    <row r="105" spans="3:19" x14ac:dyDescent="0.3">
      <c r="H105" s="66"/>
      <c r="I105" s="45" t="s">
        <v>66</v>
      </c>
      <c r="J105" s="46">
        <f t="shared" si="67"/>
        <v>0.12061176124481374</v>
      </c>
      <c r="K105" s="45" t="s">
        <v>66</v>
      </c>
      <c r="L105" s="46">
        <f t="shared" si="68"/>
        <v>6.0012546235958624</v>
      </c>
    </row>
    <row r="106" spans="3:19" x14ac:dyDescent="0.3">
      <c r="H106" s="66"/>
      <c r="I106" s="45" t="s">
        <v>67</v>
      </c>
      <c r="J106" s="46">
        <f t="shared" si="67"/>
        <v>4.1031632557600481</v>
      </c>
      <c r="K106" s="45" t="s">
        <v>67</v>
      </c>
      <c r="L106" s="46">
        <f t="shared" si="68"/>
        <v>340.06077237913047</v>
      </c>
    </row>
    <row r="107" spans="3:19" x14ac:dyDescent="0.3">
      <c r="H107" s="66"/>
      <c r="I107" s="45" t="s">
        <v>66</v>
      </c>
      <c r="J107" s="46">
        <f t="shared" si="67"/>
        <v>3.4376697415469994</v>
      </c>
      <c r="K107" s="45" t="s">
        <v>66</v>
      </c>
      <c r="L107" s="46">
        <f t="shared" si="68"/>
        <v>355.99082124704472</v>
      </c>
    </row>
    <row r="108" spans="3:19" x14ac:dyDescent="0.3">
      <c r="H108" s="85"/>
      <c r="I108" s="47"/>
      <c r="J108" s="54"/>
      <c r="K108" s="47"/>
      <c r="L108" s="54"/>
    </row>
    <row r="109" spans="3:19" x14ac:dyDescent="0.3">
      <c r="H109" s="66" t="s">
        <v>69</v>
      </c>
      <c r="I109" s="52" t="s">
        <v>65</v>
      </c>
      <c r="J109" s="53">
        <f t="shared" si="67"/>
        <v>0.14037781074613936</v>
      </c>
      <c r="K109" s="52" t="s">
        <v>65</v>
      </c>
      <c r="L109" s="53">
        <f t="shared" si="68"/>
        <v>2.4349611021546993</v>
      </c>
    </row>
    <row r="110" spans="3:19" x14ac:dyDescent="0.3">
      <c r="H110" s="66"/>
      <c r="I110" s="45" t="s">
        <v>66</v>
      </c>
      <c r="J110" s="46">
        <f t="shared" si="67"/>
        <v>0.1111602551488976</v>
      </c>
      <c r="K110" s="45" t="s">
        <v>66</v>
      </c>
      <c r="L110" s="46">
        <f t="shared" si="68"/>
        <v>1.5644109912130009</v>
      </c>
    </row>
    <row r="111" spans="3:19" x14ac:dyDescent="0.3">
      <c r="H111" s="66"/>
      <c r="I111" s="45" t="s">
        <v>67</v>
      </c>
      <c r="J111" s="46">
        <f t="shared" si="67"/>
        <v>4.2144254992818162</v>
      </c>
      <c r="K111" s="45" t="s">
        <v>67</v>
      </c>
      <c r="L111" s="46">
        <f t="shared" si="68"/>
        <v>345.67935489071976</v>
      </c>
    </row>
    <row r="112" spans="3:19" x14ac:dyDescent="0.3">
      <c r="H112" s="66"/>
      <c r="I112" s="45" t="s">
        <v>66</v>
      </c>
      <c r="J112" s="46">
        <f t="shared" si="67"/>
        <v>3.2328039017953945</v>
      </c>
      <c r="K112" s="45" t="s">
        <v>66</v>
      </c>
      <c r="L112" s="46">
        <f t="shared" si="68"/>
        <v>357.85179118735238</v>
      </c>
    </row>
    <row r="113" spans="8:12" ht="15" thickBot="1" x14ac:dyDescent="0.35">
      <c r="H113" s="67"/>
      <c r="I113" s="48"/>
      <c r="J113" s="49"/>
      <c r="K113" s="56"/>
      <c r="L113" s="49"/>
    </row>
    <row r="117" spans="8:12" ht="15" thickBot="1" x14ac:dyDescent="0.35">
      <c r="H117" s="86" t="s">
        <v>80</v>
      </c>
      <c r="I117" s="86"/>
      <c r="J117" s="86"/>
      <c r="K117" s="86"/>
      <c r="L117" s="86"/>
    </row>
    <row r="118" spans="8:12" ht="15" thickBot="1" x14ac:dyDescent="0.35">
      <c r="H118" s="44"/>
      <c r="I118" s="83" t="s">
        <v>78</v>
      </c>
      <c r="J118" s="84"/>
      <c r="K118" s="83" t="s">
        <v>79</v>
      </c>
      <c r="L118" s="84"/>
    </row>
    <row r="119" spans="8:12" x14ac:dyDescent="0.3">
      <c r="H119" s="65"/>
      <c r="I119" s="50" t="s">
        <v>65</v>
      </c>
      <c r="J119" s="51">
        <f>AVERAGE(J99,J104,J109)</f>
        <v>0.13966510539508289</v>
      </c>
      <c r="K119" s="50" t="s">
        <v>65</v>
      </c>
      <c r="L119" s="51">
        <f>AVERAGE(L99,L104,L109)</f>
        <v>3.3312844373746331</v>
      </c>
    </row>
    <row r="120" spans="8:12" x14ac:dyDescent="0.3">
      <c r="H120" s="66"/>
      <c r="I120" s="45" t="s">
        <v>66</v>
      </c>
      <c r="J120" s="46">
        <f t="shared" ref="J120:J122" si="69">AVERAGE(J100,J105,J110)</f>
        <v>0.11437781225253407</v>
      </c>
      <c r="K120" s="45" t="s">
        <v>66</v>
      </c>
      <c r="L120" s="46">
        <f t="shared" ref="L120:L122" si="70">AVERAGE(L100,L105,L110)</f>
        <v>4.5229029101171125</v>
      </c>
    </row>
    <row r="121" spans="8:12" x14ac:dyDescent="0.3">
      <c r="H121" s="66"/>
      <c r="I121" s="45" t="s">
        <v>67</v>
      </c>
      <c r="J121" s="46">
        <f t="shared" si="69"/>
        <v>4.2068382653371579</v>
      </c>
      <c r="K121" s="45" t="s">
        <v>67</v>
      </c>
      <c r="L121" s="46">
        <f t="shared" si="70"/>
        <v>341.0061991376582</v>
      </c>
    </row>
    <row r="122" spans="8:12" x14ac:dyDescent="0.3">
      <c r="H122" s="66"/>
      <c r="I122" s="45" t="s">
        <v>66</v>
      </c>
      <c r="J122" s="46">
        <f t="shared" si="69"/>
        <v>3.3289733487931037</v>
      </c>
      <c r="K122" s="45" t="s">
        <v>66</v>
      </c>
      <c r="L122" s="46">
        <f t="shared" si="70"/>
        <v>355.28171099775659</v>
      </c>
    </row>
    <row r="123" spans="8:12" ht="15" thickBot="1" x14ac:dyDescent="0.35">
      <c r="H123" s="85"/>
      <c r="I123" s="48"/>
      <c r="J123" s="55"/>
      <c r="K123" s="48"/>
      <c r="L123" s="55"/>
    </row>
  </sheetData>
  <mergeCells count="61">
    <mergeCell ref="C69:C73"/>
    <mergeCell ref="N53:O53"/>
    <mergeCell ref="P53:Q53"/>
    <mergeCell ref="R53:S53"/>
    <mergeCell ref="C54:C58"/>
    <mergeCell ref="C59:C63"/>
    <mergeCell ref="D53:E53"/>
    <mergeCell ref="F53:G53"/>
    <mergeCell ref="H53:I53"/>
    <mergeCell ref="J53:K53"/>
    <mergeCell ref="L53:M53"/>
    <mergeCell ref="C34:C38"/>
    <mergeCell ref="C39:C43"/>
    <mergeCell ref="C44:C48"/>
    <mergeCell ref="C52:S52"/>
    <mergeCell ref="C64:C68"/>
    <mergeCell ref="C2:S2"/>
    <mergeCell ref="C27:S27"/>
    <mergeCell ref="D28:E28"/>
    <mergeCell ref="F28:G28"/>
    <mergeCell ref="H28:I28"/>
    <mergeCell ref="J28:K28"/>
    <mergeCell ref="L28:M28"/>
    <mergeCell ref="N28:O28"/>
    <mergeCell ref="P28:Q28"/>
    <mergeCell ref="R28:S28"/>
    <mergeCell ref="C4:C8"/>
    <mergeCell ref="C9:C13"/>
    <mergeCell ref="C14:C18"/>
    <mergeCell ref="C19:C23"/>
    <mergeCell ref="D3:E3"/>
    <mergeCell ref="R3:S3"/>
    <mergeCell ref="P3:Q3"/>
    <mergeCell ref="C77:S77"/>
    <mergeCell ref="D78:E78"/>
    <mergeCell ref="F78:G78"/>
    <mergeCell ref="H78:I78"/>
    <mergeCell ref="J78:K78"/>
    <mergeCell ref="L78:M78"/>
    <mergeCell ref="N78:O78"/>
    <mergeCell ref="P78:Q78"/>
    <mergeCell ref="R78:S78"/>
    <mergeCell ref="F3:G3"/>
    <mergeCell ref="H3:I3"/>
    <mergeCell ref="J3:K3"/>
    <mergeCell ref="L3:M3"/>
    <mergeCell ref="N3:O3"/>
    <mergeCell ref="C29:C33"/>
    <mergeCell ref="I98:J98"/>
    <mergeCell ref="K98:L98"/>
    <mergeCell ref="C79:C83"/>
    <mergeCell ref="C84:C88"/>
    <mergeCell ref="C89:C93"/>
    <mergeCell ref="C97:S97"/>
    <mergeCell ref="I118:J118"/>
    <mergeCell ref="K118:L118"/>
    <mergeCell ref="H119:H123"/>
    <mergeCell ref="H117:L117"/>
    <mergeCell ref="H99:H103"/>
    <mergeCell ref="H104:H108"/>
    <mergeCell ref="H109:H11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007A-2F2D-4A6B-AF61-7AD0AEC246E7}">
  <dimension ref="C3:U91"/>
  <sheetViews>
    <sheetView topLeftCell="A53" workbookViewId="0">
      <selection activeCell="F99" sqref="F99"/>
    </sheetView>
  </sheetViews>
  <sheetFormatPr defaultRowHeight="14.4" x14ac:dyDescent="0.3"/>
  <cols>
    <col min="3" max="3" width="12.33203125" bestFit="1" customWidth="1"/>
    <col min="4" max="4" width="17.33203125" bestFit="1" customWidth="1"/>
    <col min="5" max="5" width="6.5546875" bestFit="1" customWidth="1"/>
    <col min="6" max="6" width="9.6640625" customWidth="1"/>
    <col min="7" max="7" width="12.33203125" bestFit="1" customWidth="1"/>
    <col min="8" max="8" width="17.44140625" customWidth="1"/>
    <col min="9" max="9" width="6.5546875" bestFit="1" customWidth="1"/>
    <col min="10" max="10" width="9.5546875" customWidth="1"/>
    <col min="11" max="11" width="12.33203125" bestFit="1" customWidth="1"/>
    <col min="12" max="12" width="17.33203125" bestFit="1" customWidth="1"/>
    <col min="13" max="13" width="6.5546875" bestFit="1" customWidth="1"/>
    <col min="15" max="15" width="12.33203125" bestFit="1" customWidth="1"/>
    <col min="16" max="16" width="17.33203125" bestFit="1" customWidth="1"/>
    <col min="17" max="17" width="8" bestFit="1" customWidth="1"/>
    <col min="19" max="19" width="12.33203125" bestFit="1" customWidth="1"/>
    <col min="20" max="20" width="17.33203125" bestFit="1" customWidth="1"/>
    <col min="21" max="21" width="6.5546875" bestFit="1" customWidth="1"/>
  </cols>
  <sheetData>
    <row r="3" spans="3:21" ht="94.2" customHeight="1" thickBot="1" x14ac:dyDescent="0.35">
      <c r="C3" s="82" t="s">
        <v>81</v>
      </c>
      <c r="D3" s="82"/>
      <c r="E3" s="82"/>
      <c r="G3" s="82" t="s">
        <v>82</v>
      </c>
      <c r="H3" s="82"/>
      <c r="I3" s="82"/>
      <c r="K3" s="82" t="s">
        <v>83</v>
      </c>
      <c r="L3" s="82"/>
      <c r="M3" s="82"/>
      <c r="O3" s="82" t="s">
        <v>84</v>
      </c>
      <c r="P3" s="82"/>
      <c r="Q3" s="82"/>
      <c r="S3" s="82" t="s">
        <v>85</v>
      </c>
      <c r="T3" s="82"/>
      <c r="U3" s="82"/>
    </row>
    <row r="4" spans="3:21" ht="15" thickBot="1" x14ac:dyDescent="0.35">
      <c r="C4" s="44" t="s">
        <v>86</v>
      </c>
      <c r="D4" s="88" t="s">
        <v>57</v>
      </c>
      <c r="E4" s="89"/>
      <c r="G4" s="44" t="s">
        <v>87</v>
      </c>
      <c r="H4" s="88" t="s">
        <v>57</v>
      </c>
      <c r="I4" s="89"/>
      <c r="K4" s="44" t="s">
        <v>88</v>
      </c>
      <c r="L4" s="88" t="s">
        <v>57</v>
      </c>
      <c r="M4" s="89"/>
      <c r="O4" s="44" t="s">
        <v>89</v>
      </c>
      <c r="P4" s="88" t="s">
        <v>57</v>
      </c>
      <c r="Q4" s="89"/>
      <c r="S4" s="44" t="s">
        <v>90</v>
      </c>
      <c r="T4" s="88" t="s">
        <v>57</v>
      </c>
      <c r="U4" s="89"/>
    </row>
    <row r="5" spans="3:21" x14ac:dyDescent="0.3">
      <c r="C5" s="65" t="s">
        <v>23</v>
      </c>
      <c r="D5" s="50" t="s">
        <v>65</v>
      </c>
      <c r="E5" s="51" cm="1">
        <f t="array" ref="E5">AVERAGE(ABS(data!F135:U135),ABS(data!F147:U147),ABS(data!F159:U159))</f>
        <v>7.7587928027213107E-2</v>
      </c>
      <c r="F5" s="57"/>
      <c r="G5" s="65" t="s">
        <v>23</v>
      </c>
      <c r="H5" s="50" t="s">
        <v>65</v>
      </c>
      <c r="I5" s="51" cm="1">
        <f t="array" ref="I5">AVERAGE(ABS(data!F174:U174),ABS(data!F186:U186),ABS(data!F198:U198))</f>
        <v>0.158879177943161</v>
      </c>
      <c r="J5" s="57"/>
      <c r="K5" s="65" t="s">
        <v>23</v>
      </c>
      <c r="L5" s="50" t="s">
        <v>65</v>
      </c>
      <c r="M5" s="51" cm="1">
        <f t="array" ref="M5">AVERAGE(ABS(data!F215:U215),ABS(data!F227:U227),ABS(data!F239:U239))</f>
        <v>0.1143931822037489</v>
      </c>
      <c r="N5" s="57"/>
      <c r="O5" s="65" t="s">
        <v>23</v>
      </c>
      <c r="P5" s="50" t="s">
        <v>65</v>
      </c>
      <c r="Q5" s="51" cm="1">
        <f t="array" ref="Q5">AVERAGE(ABS(data!F256:U256),ABS(data!F268:U268),ABS(data!F280:U280))</f>
        <v>0.21459227731291663</v>
      </c>
      <c r="R5" s="57"/>
      <c r="S5" s="65" t="s">
        <v>23</v>
      </c>
      <c r="T5" s="50" t="s">
        <v>65</v>
      </c>
      <c r="U5" s="51" cm="1">
        <f t="array" ref="U5">AVERAGE(ABS(data!F297:U297),ABS(data!F309:U309),ABS(data!F321:U321))</f>
        <v>0.14658420536971181</v>
      </c>
    </row>
    <row r="6" spans="3:21" x14ac:dyDescent="0.3">
      <c r="C6" s="66"/>
      <c r="D6" s="45" t="s">
        <v>66</v>
      </c>
      <c r="E6" s="46" cm="1">
        <f t="array" ref="E6">_xlfn.STDEV.P(ABS(data!F135:U135),ABS(data!F147:U147),ABS(data!F159:U159))</f>
        <v>5.2716607336849214E-2</v>
      </c>
      <c r="F6" s="57"/>
      <c r="G6" s="66"/>
      <c r="H6" s="45" t="s">
        <v>66</v>
      </c>
      <c r="I6" s="46" cm="1">
        <f t="array" ref="I6">_xlfn.STDEV.P(ABS(data!F174:U174),ABS(data!F186:U186),ABS(data!F198:U198))</f>
        <v>7.6241065519030163E-2</v>
      </c>
      <c r="J6" s="57"/>
      <c r="K6" s="66"/>
      <c r="L6" s="45" t="s">
        <v>66</v>
      </c>
      <c r="M6" s="46" cm="1">
        <f t="array" ref="M6">_xlfn.STDEV.P(ABS(data!F215:U215),ABS(data!F227:U227),ABS(data!F239:U239))</f>
        <v>8.0289102597118508E-2</v>
      </c>
      <c r="N6" s="57"/>
      <c r="O6" s="66"/>
      <c r="P6" s="45" t="s">
        <v>66</v>
      </c>
      <c r="Q6" s="46" cm="1">
        <f t="array" ref="Q6">_xlfn.STDEV.P(ABS(data!F256:U256),ABS(data!F268:U268),ABS(data!F280:U280))</f>
        <v>0.18918916905667091</v>
      </c>
      <c r="R6" s="57"/>
      <c r="S6" s="66"/>
      <c r="T6" s="45" t="s">
        <v>66</v>
      </c>
      <c r="U6" s="46" cm="1">
        <f t="array" ref="U6">_xlfn.STDEV.P(ABS(data!F297:U297),ABS(data!F309:U309),ABS(data!F321:U321))</f>
        <v>0.10535405083625299</v>
      </c>
    </row>
    <row r="7" spans="3:21" x14ac:dyDescent="0.3">
      <c r="C7" s="66"/>
      <c r="D7" s="45" t="s">
        <v>67</v>
      </c>
      <c r="E7" s="46" cm="1">
        <f t="array" ref="E7">AVERAGE(ABS(data!F136:U136),ABS(data!F148:U148),ABS(data!F160:U160))</f>
        <v>2.2704423800246092</v>
      </c>
      <c r="F7" s="57"/>
      <c r="G7" s="66"/>
      <c r="H7" s="45" t="s">
        <v>67</v>
      </c>
      <c r="I7" s="46" cm="1">
        <f t="array" ref="I7">AVERAGE(ABS(data!F175:U175),ABS(data!F187:U187),ABS(data!F199:U199))</f>
        <v>5.4266885892263561</v>
      </c>
      <c r="J7" s="57"/>
      <c r="K7" s="66"/>
      <c r="L7" s="45" t="s">
        <v>67</v>
      </c>
      <c r="M7" s="46" cm="1">
        <f t="array" ref="M7">AVERAGE(ABS(data!F216:U216),ABS(data!F228:U228),ABS(data!F240:U240))</f>
        <v>4.9423382912184861</v>
      </c>
      <c r="N7" s="57"/>
      <c r="O7" s="66"/>
      <c r="P7" s="45" t="s">
        <v>67</v>
      </c>
      <c r="Q7" s="46" cm="1">
        <f t="array" ref="Q7">AVERAGE(ABS(data!F257:U257),ABS(data!F269:U269),ABS(data!F281:U281))</f>
        <v>7.8580732249679031</v>
      </c>
      <c r="R7" s="57"/>
      <c r="S7" s="66"/>
      <c r="T7" s="45" t="s">
        <v>67</v>
      </c>
      <c r="U7" s="46" cm="1">
        <f t="array" ref="U7">AVERAGE(ABS(data!F298:U298),ABS(data!F310:U310),ABS(data!F322:U322))</f>
        <v>9.5128539138653796</v>
      </c>
    </row>
    <row r="8" spans="3:21" x14ac:dyDescent="0.3">
      <c r="C8" s="66"/>
      <c r="D8" s="45" t="s">
        <v>66</v>
      </c>
      <c r="E8" s="46" cm="1">
        <f t="array" ref="E8">_xlfn.STDEV.P(ABS(data!F136:U136),ABS(data!F148:U148),ABS(data!F160:U160))</f>
        <v>1.3161144178012878</v>
      </c>
      <c r="F8" s="57"/>
      <c r="G8" s="66"/>
      <c r="H8" s="45" t="s">
        <v>66</v>
      </c>
      <c r="I8" s="46" cm="1">
        <f t="array" ref="I8">_xlfn.STDEV.P(ABS(data!F175:U175),ABS(data!F187:U187),ABS(data!F199:U199))</f>
        <v>2.2022283972166719</v>
      </c>
      <c r="J8" s="57"/>
      <c r="K8" s="66"/>
      <c r="L8" s="45" t="s">
        <v>66</v>
      </c>
      <c r="M8" s="46" cm="1">
        <f t="array" ref="M8">_xlfn.STDEV.P(ABS(data!F216:U216),ABS(data!F228:U228),ABS(data!F240:U240))</f>
        <v>6.7192240064514444</v>
      </c>
      <c r="N8" s="57"/>
      <c r="O8" s="66"/>
      <c r="P8" s="45" t="s">
        <v>66</v>
      </c>
      <c r="Q8" s="46" cm="1">
        <f t="array" ref="Q8">_xlfn.STDEV.P(ABS(data!F257:U257),ABS(data!F269:U269),ABS(data!F281:U281))</f>
        <v>6.6858321559673133</v>
      </c>
      <c r="R8" s="57"/>
      <c r="S8" s="66"/>
      <c r="T8" s="45" t="s">
        <v>66</v>
      </c>
      <c r="U8" s="46" cm="1">
        <f t="array" ref="U8">_xlfn.STDEV.P(ABS(data!F298:U298),ABS(data!F310:U310),ABS(data!F322:U322))</f>
        <v>11.278172468599706</v>
      </c>
    </row>
    <row r="9" spans="3:21" x14ac:dyDescent="0.3">
      <c r="C9" s="85"/>
      <c r="D9" s="47"/>
      <c r="E9" s="54"/>
      <c r="F9" s="57"/>
      <c r="G9" s="85"/>
      <c r="H9" s="47"/>
      <c r="I9" s="54"/>
      <c r="J9" s="57"/>
      <c r="K9" s="85"/>
      <c r="L9" s="47"/>
      <c r="M9" s="54"/>
      <c r="N9" s="57"/>
      <c r="O9" s="85"/>
      <c r="P9" s="47"/>
      <c r="Q9" s="54"/>
      <c r="R9" s="57"/>
      <c r="S9" s="85"/>
      <c r="T9" s="47"/>
      <c r="U9" s="54"/>
    </row>
    <row r="10" spans="3:21" x14ac:dyDescent="0.3">
      <c r="C10" s="66" t="s">
        <v>68</v>
      </c>
      <c r="D10" s="45" t="s">
        <v>65</v>
      </c>
      <c r="E10" s="46" cm="1">
        <f t="array" ref="E10">AVERAGE(ABS(data!F138:U138),ABS(data!F150:U150),ABS(data!F162:U162))</f>
        <v>6.3822591353967562E-2</v>
      </c>
      <c r="F10" s="57"/>
      <c r="G10" s="66" t="s">
        <v>68</v>
      </c>
      <c r="H10" s="45" t="s">
        <v>65</v>
      </c>
      <c r="I10" s="46" cm="1">
        <f t="array" ref="I10">AVERAGE(ABS(data!F177:U177),ABS(data!F189:U189),ABS(data!F201:U201))</f>
        <v>6.2397438713341462E-2</v>
      </c>
      <c r="J10" s="57"/>
      <c r="K10" s="66" t="s">
        <v>68</v>
      </c>
      <c r="L10" s="45" t="s">
        <v>65</v>
      </c>
      <c r="M10" s="46" cm="1">
        <f t="array" ref="M10">AVERAGE(ABS(data!F218:U218),ABS(data!F230:U230),ABS(data!F242:U242))</f>
        <v>7.3469762400727431E-2</v>
      </c>
      <c r="N10" s="57"/>
      <c r="O10" s="66" t="s">
        <v>68</v>
      </c>
      <c r="P10" s="45" t="s">
        <v>65</v>
      </c>
      <c r="Q10" s="46" cm="1">
        <f t="array" ref="Q10">AVERAGE(ABS(data!F259:U259),ABS(data!F271:U271),ABS(data!F283:U283))</f>
        <v>0.17797473450464882</v>
      </c>
      <c r="R10" s="57"/>
      <c r="S10" s="66" t="s">
        <v>68</v>
      </c>
      <c r="T10" s="45" t="s">
        <v>65</v>
      </c>
      <c r="U10" s="46" cm="1">
        <f t="array" ref="U10">AVERAGE(ABS(data!F300:U300),ABS(data!F312:U312),ABS(data!F324:U324))</f>
        <v>7.6034549279119332E-2</v>
      </c>
    </row>
    <row r="11" spans="3:21" x14ac:dyDescent="0.3">
      <c r="C11" s="66"/>
      <c r="D11" s="45" t="s">
        <v>66</v>
      </c>
      <c r="E11" s="46" cm="1">
        <f t="array" ref="E11">_xlfn.STDEV.P(ABS(data!F138:U138),ABS(data!F150:U150),ABS(data!F162:U162))</f>
        <v>5.0783197278165784E-2</v>
      </c>
      <c r="F11" s="57"/>
      <c r="G11" s="66"/>
      <c r="H11" s="45" t="s">
        <v>66</v>
      </c>
      <c r="I11" s="46" cm="1">
        <f t="array" ref="I11">_xlfn.STDEV.P(ABS(data!F177:U177),ABS(data!F189:U189),ABS(data!F201:U201))</f>
        <v>4.6682610965332154E-2</v>
      </c>
      <c r="J11" s="57"/>
      <c r="K11" s="66"/>
      <c r="L11" s="45" t="s">
        <v>66</v>
      </c>
      <c r="M11" s="46" cm="1">
        <f t="array" ref="M11">_xlfn.STDEV.P(ABS(data!F218:U218),ABS(data!F230:U230),ABS(data!F242:U242))</f>
        <v>6.0989042308167978E-2</v>
      </c>
      <c r="N11" s="57"/>
      <c r="O11" s="66"/>
      <c r="P11" s="45" t="s">
        <v>66</v>
      </c>
      <c r="Q11" s="46" cm="1">
        <f t="array" ref="Q11">_xlfn.STDEV.P(ABS(data!F259:U259),ABS(data!F271:U271),ABS(data!F283:U283))</f>
        <v>0.22275830215780493</v>
      </c>
      <c r="R11" s="57"/>
      <c r="S11" s="66"/>
      <c r="T11" s="45" t="s">
        <v>66</v>
      </c>
      <c r="U11" s="46" cm="1">
        <f t="array" ref="U11">_xlfn.STDEV.P(ABS(data!F300:U300),ABS(data!F312:U312),ABS(data!F324:U324))</f>
        <v>6.2704550532639999E-2</v>
      </c>
    </row>
    <row r="12" spans="3:21" x14ac:dyDescent="0.3">
      <c r="C12" s="66"/>
      <c r="D12" s="45" t="s">
        <v>67</v>
      </c>
      <c r="E12" s="46" cm="1">
        <f t="array" ref="E12">AVERAGE(ABS(data!F139:U139),ABS(data!F151:U151),ABS(data!F163:U163))</f>
        <v>1.9985288828045136</v>
      </c>
      <c r="F12" s="57"/>
      <c r="G12" s="66"/>
      <c r="H12" s="45" t="s">
        <v>67</v>
      </c>
      <c r="I12" s="46" cm="1">
        <f t="array" ref="I12">AVERAGE(ABS(data!F178:U178),ABS(data!F190:U190),ABS(data!F202:U202))</f>
        <v>2.3370814973369058</v>
      </c>
      <c r="J12" s="57"/>
      <c r="K12" s="66"/>
      <c r="L12" s="45" t="s">
        <v>67</v>
      </c>
      <c r="M12" s="46" cm="1">
        <f t="array" ref="M12">AVERAGE(ABS(data!F219:U219),ABS(data!F231:U231),ABS(data!F243:U243))</f>
        <v>3.7808602161557907</v>
      </c>
      <c r="N12" s="57"/>
      <c r="O12" s="66"/>
      <c r="P12" s="45" t="s">
        <v>67</v>
      </c>
      <c r="Q12" s="46" cm="1">
        <f t="array" ref="Q12">AVERAGE(ABS(data!F260:U260),ABS(data!F272:U272),ABS(data!F284:U284))</f>
        <v>5.2522994487310104</v>
      </c>
      <c r="R12" s="57"/>
      <c r="S12" s="66"/>
      <c r="T12" s="45" t="s">
        <v>67</v>
      </c>
      <c r="U12" s="46" cm="1">
        <f t="array" ref="U12">AVERAGE(ABS(data!F301:U301),ABS(data!F313:U313),ABS(data!F325:U325))</f>
        <v>4.9812531632672048</v>
      </c>
    </row>
    <row r="13" spans="3:21" x14ac:dyDescent="0.3">
      <c r="C13" s="66"/>
      <c r="D13" s="45" t="s">
        <v>66</v>
      </c>
      <c r="E13" s="46" cm="1">
        <f t="array" ref="E13">_xlfn.STDEV.P(ABS(data!F139:U139),ABS(data!F151:U151),ABS(data!F163:U163))</f>
        <v>1.473483033939843</v>
      </c>
      <c r="F13" s="57"/>
      <c r="G13" s="66"/>
      <c r="H13" s="45" t="s">
        <v>66</v>
      </c>
      <c r="I13" s="46" cm="1">
        <f t="array" ref="I13">_xlfn.STDEV.P(ABS(data!F178:U178),ABS(data!F190:U190),ABS(data!F202:U202))</f>
        <v>1.7402740449593614</v>
      </c>
      <c r="J13" s="57"/>
      <c r="K13" s="66"/>
      <c r="L13" s="45" t="s">
        <v>66</v>
      </c>
      <c r="M13" s="46" cm="1">
        <f t="array" ref="M13">_xlfn.STDEV.P(ABS(data!F219:U219),ABS(data!F231:U231),ABS(data!F243:U243))</f>
        <v>4.4699031471102506</v>
      </c>
      <c r="N13" s="57"/>
      <c r="O13" s="66"/>
      <c r="P13" s="45" t="s">
        <v>66</v>
      </c>
      <c r="Q13" s="46" cm="1">
        <f t="array" ref="Q13">_xlfn.STDEV.P(ABS(data!F260:U260),ABS(data!F272:U272),ABS(data!F284:U284))</f>
        <v>3.8952560164347996</v>
      </c>
      <c r="R13" s="57"/>
      <c r="S13" s="66"/>
      <c r="T13" s="45" t="s">
        <v>66</v>
      </c>
      <c r="U13" s="46" cm="1">
        <f t="array" ref="U13">_xlfn.STDEV.P(ABS(data!F301:U301),ABS(data!F313:U313),ABS(data!F325:U325))</f>
        <v>6.687209985436767</v>
      </c>
    </row>
    <row r="14" spans="3:21" x14ac:dyDescent="0.3">
      <c r="C14" s="85"/>
      <c r="D14" s="47"/>
      <c r="E14" s="54"/>
      <c r="F14" s="57"/>
      <c r="G14" s="85"/>
      <c r="H14" s="47"/>
      <c r="I14" s="54"/>
      <c r="J14" s="57"/>
      <c r="K14" s="85"/>
      <c r="L14" s="47"/>
      <c r="M14" s="54"/>
      <c r="N14" s="57"/>
      <c r="O14" s="85"/>
      <c r="P14" s="47"/>
      <c r="Q14" s="54"/>
      <c r="R14" s="57"/>
      <c r="S14" s="85"/>
      <c r="T14" s="47"/>
      <c r="U14" s="54"/>
    </row>
    <row r="15" spans="3:21" x14ac:dyDescent="0.3">
      <c r="C15" s="66" t="s">
        <v>69</v>
      </c>
      <c r="D15" s="45" t="s">
        <v>65</v>
      </c>
      <c r="E15" s="46" cm="1">
        <f t="array" ref="E15">AVERAGE(ABS(data!F141:U141),ABS(data!F153:U153),ABS(data!F165:U165))</f>
        <v>8.4464785905231946E-2</v>
      </c>
      <c r="F15" s="57"/>
      <c r="G15" s="66" t="s">
        <v>69</v>
      </c>
      <c r="H15" s="45" t="s">
        <v>65</v>
      </c>
      <c r="I15" s="46" cm="1">
        <f t="array" ref="I15">AVERAGE(ABS(data!F180:U180),ABS(data!F192:U192),ABS(data!F204:U204))</f>
        <v>9.8751746661340969E-2</v>
      </c>
      <c r="J15" s="57"/>
      <c r="K15" s="66" t="s">
        <v>69</v>
      </c>
      <c r="L15" s="45" t="s">
        <v>65</v>
      </c>
      <c r="M15" s="46" cm="1">
        <f t="array" ref="M15">AVERAGE(ABS(data!F221:U221),ABS(data!F233:U233),ABS(data!F245:U245))</f>
        <v>9.8426374848553697E-2</v>
      </c>
      <c r="N15" s="57"/>
      <c r="O15" s="66" t="s">
        <v>69</v>
      </c>
      <c r="P15" s="45" t="s">
        <v>65</v>
      </c>
      <c r="Q15" s="46" cm="1">
        <f t="array" ref="Q15">AVERAGE(ABS(data!F262:U262),ABS(data!F274:U274),ABS(data!F286:U286))</f>
        <v>0.20297473450464884</v>
      </c>
      <c r="R15" s="57"/>
      <c r="S15" s="66" t="s">
        <v>69</v>
      </c>
      <c r="T15" s="45" t="s">
        <v>65</v>
      </c>
      <c r="U15" s="46" cm="1">
        <f t="array" ref="U15">AVERAGE(ABS(data!F303:U303),ABS(data!F315:U315),ABS(data!F327:U327))</f>
        <v>8.2834205369711936E-2</v>
      </c>
    </row>
    <row r="16" spans="3:21" x14ac:dyDescent="0.3">
      <c r="C16" s="66"/>
      <c r="D16" s="45" t="s">
        <v>66</v>
      </c>
      <c r="E16" s="46" cm="1">
        <f t="array" ref="E16">_xlfn.STDEV.P(ABS(data!F141:U141),ABS(data!F153:U153),ABS(data!F165:U165))</f>
        <v>6.3504699701054976E-2</v>
      </c>
      <c r="F16" s="57"/>
      <c r="G16" s="66"/>
      <c r="H16" s="45" t="s">
        <v>66</v>
      </c>
      <c r="I16" s="46" cm="1">
        <f t="array" ref="I16">_xlfn.STDEV.P(ABS(data!F180:U180),ABS(data!F192:U192),ABS(data!F204:U204))</f>
        <v>7.3275922918011924E-2</v>
      </c>
      <c r="J16" s="57"/>
      <c r="K16" s="66"/>
      <c r="L16" s="45" t="s">
        <v>66</v>
      </c>
      <c r="M16" s="46" cm="1">
        <f t="array" ref="M16">_xlfn.STDEV.P(ABS(data!F221:U221),ABS(data!F233:U233),ABS(data!F245:U245))</f>
        <v>5.8855991938612809E-2</v>
      </c>
      <c r="N16" s="57"/>
      <c r="O16" s="66"/>
      <c r="P16" s="45" t="s">
        <v>66</v>
      </c>
      <c r="Q16" s="46" cm="1">
        <f t="array" ref="Q16">_xlfn.STDEV.P(ABS(data!F262:U262),ABS(data!F274:U274),ABS(data!F286:U286))</f>
        <v>0.2424470383407682</v>
      </c>
      <c r="R16" s="57"/>
      <c r="S16" s="66"/>
      <c r="T16" s="45" t="s">
        <v>66</v>
      </c>
      <c r="U16" s="46" cm="1">
        <f t="array" ref="U16">_xlfn.STDEV.P(ABS(data!F303:U303),ABS(data!F315:U315),ABS(data!F327:U327))</f>
        <v>7.2644473623533407E-2</v>
      </c>
    </row>
    <row r="17" spans="3:21" x14ac:dyDescent="0.3">
      <c r="C17" s="66"/>
      <c r="D17" s="45" t="s">
        <v>67</v>
      </c>
      <c r="E17" s="46" cm="1">
        <f t="array" ref="E17">AVERAGE(ABS(data!F142:U142),ABS(data!F154:U154),ABS(data!F166:U166))</f>
        <v>2.6637541612987241</v>
      </c>
      <c r="F17" s="57"/>
      <c r="G17" s="66"/>
      <c r="H17" s="45" t="s">
        <v>67</v>
      </c>
      <c r="I17" s="46" cm="1">
        <f t="array" ref="I17">AVERAGE(ABS(data!F181:U181),ABS(data!F193:U193),ABS(data!F205:U205))</f>
        <v>3.2930370101615662</v>
      </c>
      <c r="J17" s="57"/>
      <c r="K17" s="66"/>
      <c r="L17" s="45" t="s">
        <v>67</v>
      </c>
      <c r="M17" s="46" cm="1">
        <f t="array" ref="M17">AVERAGE(ABS(data!F222:U222),ABS(data!F234:U234),ABS(data!F246:U246))</f>
        <v>4.4266053015393068</v>
      </c>
      <c r="N17" s="57"/>
      <c r="O17" s="66"/>
      <c r="P17" s="45" t="s">
        <v>67</v>
      </c>
      <c r="Q17" s="46" cm="1">
        <f t="array" ref="Q17">AVERAGE(ABS(data!F263:U263),ABS(data!F275:U275),ABS(data!F287:U287))</f>
        <v>6.4234935467694525</v>
      </c>
      <c r="R17" s="57"/>
      <c r="S17" s="66"/>
      <c r="T17" s="45" t="s">
        <v>67</v>
      </c>
      <c r="U17" s="46" cm="1">
        <f t="array" ref="U17">AVERAGE(ABS(data!F304:U304),ABS(data!F316:U316),ABS(data!F328:U328))</f>
        <v>5.7217148251207535</v>
      </c>
    </row>
    <row r="18" spans="3:21" x14ac:dyDescent="0.3">
      <c r="C18" s="66"/>
      <c r="D18" s="45" t="s">
        <v>66</v>
      </c>
      <c r="E18" s="46" cm="1">
        <f t="array" ref="E18">_xlfn.STDEV.P(ABS(data!F142:U142),ABS(data!F154:U154),ABS(data!F166:U166))</f>
        <v>2.0833608818571192</v>
      </c>
      <c r="F18" s="57"/>
      <c r="G18" s="66"/>
      <c r="H18" s="45" t="s">
        <v>66</v>
      </c>
      <c r="I18" s="46" cm="1">
        <f t="array" ref="I18">_xlfn.STDEV.P(ABS(data!F181:U181),ABS(data!F193:U193),ABS(data!F205:U205))</f>
        <v>2.1551828891307561</v>
      </c>
      <c r="J18" s="57"/>
      <c r="K18" s="66"/>
      <c r="L18" s="45" t="s">
        <v>66</v>
      </c>
      <c r="M18" s="46" cm="1">
        <f t="array" ref="M18">_xlfn.STDEV.P(ABS(data!F222:U222),ABS(data!F234:U234),ABS(data!F246:U246))</f>
        <v>5.1765457552339385</v>
      </c>
      <c r="N18" s="57"/>
      <c r="O18" s="66"/>
      <c r="P18" s="45" t="s">
        <v>66</v>
      </c>
      <c r="Q18" s="46" cm="1">
        <f t="array" ref="Q18">_xlfn.STDEV.P(ABS(data!F263:U263),ABS(data!F275:U275),ABS(data!F287:U287))</f>
        <v>4.9385759182287199</v>
      </c>
      <c r="R18" s="57"/>
      <c r="S18" s="66"/>
      <c r="T18" s="45" t="s">
        <v>66</v>
      </c>
      <c r="U18" s="46" cm="1">
        <f t="array" ref="U18">_xlfn.STDEV.P(ABS(data!F304:U304),ABS(data!F316:U316),ABS(data!F328:U328))</f>
        <v>7.3849544345953628</v>
      </c>
    </row>
    <row r="19" spans="3:21" x14ac:dyDescent="0.3">
      <c r="C19" s="85"/>
      <c r="D19" s="45"/>
      <c r="E19" s="46"/>
      <c r="F19" s="57"/>
      <c r="G19" s="85"/>
      <c r="H19" s="45"/>
      <c r="I19" s="46"/>
      <c r="J19" s="57"/>
      <c r="K19" s="85"/>
      <c r="L19" s="45"/>
      <c r="M19" s="46"/>
      <c r="N19" s="57"/>
      <c r="O19" s="85"/>
      <c r="P19" s="45"/>
      <c r="Q19" s="46"/>
      <c r="R19" s="57"/>
      <c r="S19" s="85"/>
      <c r="T19" s="45"/>
      <c r="U19" s="46"/>
    </row>
    <row r="20" spans="3:21" x14ac:dyDescent="0.3">
      <c r="C20" s="66" t="s">
        <v>70</v>
      </c>
      <c r="D20" s="52" t="s">
        <v>65</v>
      </c>
      <c r="E20" s="53">
        <f>AVERAGE(E5,E10,E15)</f>
        <v>7.5291768428804196E-2</v>
      </c>
      <c r="F20" s="57"/>
      <c r="G20" s="66" t="s">
        <v>70</v>
      </c>
      <c r="H20" s="52" t="s">
        <v>65</v>
      </c>
      <c r="I20" s="53">
        <f>AVERAGE(I5,I10,I15)</f>
        <v>0.10667612110594782</v>
      </c>
      <c r="J20" s="57"/>
      <c r="K20" s="66" t="s">
        <v>70</v>
      </c>
      <c r="L20" s="52" t="s">
        <v>65</v>
      </c>
      <c r="M20" s="53">
        <f>AVERAGE(M5,M10,M15)</f>
        <v>9.5429773151010019E-2</v>
      </c>
      <c r="N20" s="57"/>
      <c r="O20" s="66" t="s">
        <v>70</v>
      </c>
      <c r="P20" s="52" t="s">
        <v>65</v>
      </c>
      <c r="Q20" s="53">
        <f>AVERAGE(Q5,Q10,Q15)</f>
        <v>0.19851391544073813</v>
      </c>
      <c r="R20" s="57"/>
      <c r="S20" s="66" t="s">
        <v>70</v>
      </c>
      <c r="T20" s="52" t="s">
        <v>65</v>
      </c>
      <c r="U20" s="53">
        <f>AVERAGE(U5,U10,U15)</f>
        <v>0.10181765333951436</v>
      </c>
    </row>
    <row r="21" spans="3:21" x14ac:dyDescent="0.3">
      <c r="C21" s="66"/>
      <c r="D21" s="45" t="s">
        <v>71</v>
      </c>
      <c r="E21" s="46">
        <f>AVERAGE(E6,E11,E16)</f>
        <v>5.5668168105356658E-2</v>
      </c>
      <c r="F21" s="57"/>
      <c r="G21" s="66"/>
      <c r="H21" s="45" t="s">
        <v>71</v>
      </c>
      <c r="I21" s="46">
        <f>AVERAGE(I6,I11,I16)</f>
        <v>6.5399866467458087E-2</v>
      </c>
      <c r="J21" s="57"/>
      <c r="K21" s="66"/>
      <c r="L21" s="45" t="s">
        <v>71</v>
      </c>
      <c r="M21" s="46">
        <f>AVERAGE(M6,M11,M16)</f>
        <v>6.6711378947966429E-2</v>
      </c>
      <c r="N21" s="57"/>
      <c r="O21" s="66"/>
      <c r="P21" s="45" t="s">
        <v>71</v>
      </c>
      <c r="Q21" s="46">
        <f>AVERAGE(Q6,Q11,Q16)</f>
        <v>0.21813150318508134</v>
      </c>
      <c r="R21" s="57"/>
      <c r="S21" s="66"/>
      <c r="T21" s="45" t="s">
        <v>71</v>
      </c>
      <c r="U21" s="46">
        <f>AVERAGE(U6,U11,U16)</f>
        <v>8.0234358330808803E-2</v>
      </c>
    </row>
    <row r="22" spans="3:21" x14ac:dyDescent="0.3">
      <c r="C22" s="66"/>
      <c r="D22" s="45" t="s">
        <v>67</v>
      </c>
      <c r="E22" s="46">
        <f>AVERAGE(E7,E12,E17)</f>
        <v>2.3109084747092825</v>
      </c>
      <c r="F22" s="57"/>
      <c r="G22" s="66"/>
      <c r="H22" s="45" t="s">
        <v>67</v>
      </c>
      <c r="I22" s="46">
        <f>AVERAGE(I7,I12,I17)</f>
        <v>3.6856023655749426</v>
      </c>
      <c r="J22" s="57"/>
      <c r="K22" s="66"/>
      <c r="L22" s="45" t="s">
        <v>67</v>
      </c>
      <c r="M22" s="46">
        <f>AVERAGE(M7,M12,M17)</f>
        <v>4.3832679363045282</v>
      </c>
      <c r="N22" s="57"/>
      <c r="O22" s="66"/>
      <c r="P22" s="45" t="s">
        <v>67</v>
      </c>
      <c r="Q22" s="46">
        <f>AVERAGE(Q7,Q12,Q17)</f>
        <v>6.5112887401561217</v>
      </c>
      <c r="R22" s="57"/>
      <c r="S22" s="66"/>
      <c r="T22" s="45" t="s">
        <v>67</v>
      </c>
      <c r="U22" s="46">
        <f>AVERAGE(U7,U12,U17)</f>
        <v>6.7386073007511129</v>
      </c>
    </row>
    <row r="23" spans="3:21" x14ac:dyDescent="0.3">
      <c r="C23" s="66"/>
      <c r="D23" s="45" t="s">
        <v>66</v>
      </c>
      <c r="E23" s="46">
        <f>AVERAGE(E8,E13,E18)</f>
        <v>1.62431944453275</v>
      </c>
      <c r="F23" s="57"/>
      <c r="G23" s="66"/>
      <c r="H23" s="45" t="s">
        <v>66</v>
      </c>
      <c r="I23" s="46">
        <f>AVERAGE(I8,I13,I18)</f>
        <v>2.0325617771022633</v>
      </c>
      <c r="J23" s="57"/>
      <c r="K23" s="66"/>
      <c r="L23" s="45" t="s">
        <v>66</v>
      </c>
      <c r="M23" s="46">
        <f>AVERAGE(M8,M13,M18)</f>
        <v>5.4552243029318781</v>
      </c>
      <c r="N23" s="57"/>
      <c r="O23" s="66"/>
      <c r="P23" s="45" t="s">
        <v>66</v>
      </c>
      <c r="Q23" s="46">
        <f>AVERAGE(Q8,Q13,Q18)</f>
        <v>5.1732213635436111</v>
      </c>
      <c r="R23" s="57"/>
      <c r="S23" s="66"/>
      <c r="T23" s="45" t="s">
        <v>66</v>
      </c>
      <c r="U23" s="46">
        <f>AVERAGE(U8,U13,U18)</f>
        <v>8.4501122962106123</v>
      </c>
    </row>
    <row r="24" spans="3:21" ht="15" thickBot="1" x14ac:dyDescent="0.35">
      <c r="C24" s="67"/>
      <c r="D24" s="48"/>
      <c r="E24" s="49"/>
      <c r="F24" s="57"/>
      <c r="G24" s="67"/>
      <c r="H24" s="48"/>
      <c r="I24" s="49"/>
      <c r="J24" s="57"/>
      <c r="K24" s="67"/>
      <c r="L24" s="48"/>
      <c r="M24" s="49"/>
      <c r="N24" s="57"/>
      <c r="O24" s="67"/>
      <c r="P24" s="48"/>
      <c r="Q24" s="49"/>
      <c r="R24" s="57"/>
      <c r="S24" s="67"/>
      <c r="T24" s="48"/>
      <c r="U24" s="49"/>
    </row>
    <row r="28" spans="3:21" ht="75.75" customHeight="1" x14ac:dyDescent="0.3">
      <c r="C28" s="82" t="s">
        <v>91</v>
      </c>
      <c r="D28" s="82"/>
      <c r="E28" s="82"/>
      <c r="G28" s="87" t="s">
        <v>92</v>
      </c>
      <c r="H28" s="87"/>
      <c r="I28" s="87"/>
    </row>
    <row r="29" spans="3:21" ht="15" thickBot="1" x14ac:dyDescent="0.35">
      <c r="C29" s="44"/>
      <c r="D29" s="88" t="s">
        <v>57</v>
      </c>
      <c r="E29" s="89"/>
      <c r="G29" s="44"/>
      <c r="H29" s="88" t="s">
        <v>57</v>
      </c>
      <c r="I29" s="89"/>
    </row>
    <row r="30" spans="3:21" x14ac:dyDescent="0.3">
      <c r="C30" s="65" t="s">
        <v>23</v>
      </c>
      <c r="D30" s="50" t="s">
        <v>65</v>
      </c>
      <c r="E30" s="51">
        <f>AVERAGE(E5,I5,M5,Q5,U5)</f>
        <v>0.14240735417135031</v>
      </c>
      <c r="G30" s="65"/>
      <c r="H30" s="50" t="s">
        <v>65</v>
      </c>
      <c r="I30" s="51">
        <f>AVERAGE(E30,E35,E40)</f>
        <v>0.1155458462932029</v>
      </c>
    </row>
    <row r="31" spans="3:21" x14ac:dyDescent="0.3">
      <c r="C31" s="66"/>
      <c r="D31" s="45" t="s">
        <v>66</v>
      </c>
      <c r="E31" s="46">
        <f t="shared" ref="E31:E43" si="0">AVERAGE(E6,I6,M6,Q6,U6)</f>
        <v>0.10075799906918434</v>
      </c>
      <c r="G31" s="66"/>
      <c r="H31" s="45" t="s">
        <v>66</v>
      </c>
      <c r="I31" s="46">
        <f t="shared" ref="I31:I33" si="1">AVERAGE(E31,E36,E41)</f>
        <v>9.7229055007334253E-2</v>
      </c>
    </row>
    <row r="32" spans="3:21" x14ac:dyDescent="0.3">
      <c r="C32" s="66"/>
      <c r="D32" s="45" t="s">
        <v>67</v>
      </c>
      <c r="E32" s="46">
        <f t="shared" si="0"/>
        <v>6.0020792798605473</v>
      </c>
      <c r="G32" s="66"/>
      <c r="H32" s="45" t="s">
        <v>67</v>
      </c>
      <c r="I32" s="46">
        <f t="shared" si="1"/>
        <v>4.7259349634991983</v>
      </c>
    </row>
    <row r="33" spans="3:9" x14ac:dyDescent="0.3">
      <c r="C33" s="66"/>
      <c r="D33" s="45" t="s">
        <v>66</v>
      </c>
      <c r="E33" s="46">
        <f t="shared" si="0"/>
        <v>5.6403142892072848</v>
      </c>
      <c r="G33" s="66"/>
      <c r="H33" s="45" t="s">
        <v>66</v>
      </c>
      <c r="I33" s="46">
        <f t="shared" si="1"/>
        <v>4.5470878368642227</v>
      </c>
    </row>
    <row r="34" spans="3:9" ht="15" thickBot="1" x14ac:dyDescent="0.35">
      <c r="C34" s="67"/>
      <c r="D34" s="48"/>
      <c r="E34" s="49"/>
      <c r="G34" s="67"/>
      <c r="H34" s="48"/>
      <c r="I34" s="49"/>
    </row>
    <row r="35" spans="3:9" x14ac:dyDescent="0.3">
      <c r="C35" s="65" t="s">
        <v>68</v>
      </c>
      <c r="D35" s="50" t="s">
        <v>65</v>
      </c>
      <c r="E35" s="51">
        <f t="shared" si="0"/>
        <v>9.0739815250360928E-2</v>
      </c>
    </row>
    <row r="36" spans="3:9" x14ac:dyDescent="0.3">
      <c r="C36" s="66"/>
      <c r="D36" s="45" t="s">
        <v>66</v>
      </c>
      <c r="E36" s="46">
        <f t="shared" si="0"/>
        <v>8.8783540648422171E-2</v>
      </c>
    </row>
    <row r="37" spans="3:9" x14ac:dyDescent="0.3">
      <c r="C37" s="66"/>
      <c r="D37" s="45" t="s">
        <v>67</v>
      </c>
      <c r="E37" s="46">
        <f t="shared" si="0"/>
        <v>3.670004641659085</v>
      </c>
    </row>
    <row r="38" spans="3:9" x14ac:dyDescent="0.3">
      <c r="C38" s="66"/>
      <c r="D38" s="45" t="s">
        <v>66</v>
      </c>
      <c r="E38" s="46">
        <f t="shared" si="0"/>
        <v>3.6532252455762042</v>
      </c>
    </row>
    <row r="39" spans="3:9" ht="15" thickBot="1" x14ac:dyDescent="0.35">
      <c r="C39" s="67"/>
      <c r="D39" s="48"/>
      <c r="E39" s="49"/>
    </row>
    <row r="40" spans="3:9" x14ac:dyDescent="0.3">
      <c r="C40" s="66" t="s">
        <v>69</v>
      </c>
      <c r="D40" s="45" t="s">
        <v>65</v>
      </c>
      <c r="E40" s="46">
        <f t="shared" si="0"/>
        <v>0.11349036945789748</v>
      </c>
    </row>
    <row r="41" spans="3:9" x14ac:dyDescent="0.3">
      <c r="C41" s="66"/>
      <c r="D41" s="45" t="s">
        <v>66</v>
      </c>
      <c r="E41" s="46">
        <f t="shared" si="0"/>
        <v>0.10214562530439626</v>
      </c>
    </row>
    <row r="42" spans="3:9" x14ac:dyDescent="0.3">
      <c r="C42" s="66"/>
      <c r="D42" s="45" t="s">
        <v>67</v>
      </c>
      <c r="E42" s="46">
        <f t="shared" si="0"/>
        <v>4.5057209689779603</v>
      </c>
    </row>
    <row r="43" spans="3:9" x14ac:dyDescent="0.3">
      <c r="C43" s="66"/>
      <c r="D43" s="45" t="s">
        <v>66</v>
      </c>
      <c r="E43" s="46">
        <f t="shared" si="0"/>
        <v>4.3477239758091795</v>
      </c>
    </row>
    <row r="44" spans="3:9" ht="15" thickBot="1" x14ac:dyDescent="0.35">
      <c r="C44" s="67"/>
      <c r="D44" s="48"/>
      <c r="E44" s="49"/>
    </row>
    <row r="45" spans="3:9" x14ac:dyDescent="0.3">
      <c r="C45" s="90"/>
      <c r="D45" s="57"/>
      <c r="E45" s="43"/>
    </row>
    <row r="46" spans="3:9" x14ac:dyDescent="0.3">
      <c r="C46" s="90"/>
      <c r="D46" s="57"/>
      <c r="E46" s="43"/>
    </row>
    <row r="47" spans="3:9" x14ac:dyDescent="0.3">
      <c r="C47" s="90"/>
      <c r="D47" s="57"/>
      <c r="E47" s="43"/>
    </row>
    <row r="48" spans="3:9" x14ac:dyDescent="0.3">
      <c r="C48" s="90"/>
      <c r="D48" s="57"/>
      <c r="E48" s="43"/>
    </row>
    <row r="49" spans="3:21" x14ac:dyDescent="0.3">
      <c r="C49" s="90"/>
      <c r="D49" s="57"/>
    </row>
    <row r="50" spans="3:21" ht="15" thickBot="1" x14ac:dyDescent="0.35">
      <c r="C50" s="82" t="s">
        <v>93</v>
      </c>
      <c r="D50" s="82"/>
      <c r="E50" s="82"/>
      <c r="G50" s="82" t="s">
        <v>94</v>
      </c>
      <c r="H50" s="82"/>
      <c r="I50" s="82"/>
      <c r="K50" s="82" t="s">
        <v>95</v>
      </c>
      <c r="L50" s="82"/>
      <c r="M50" s="82"/>
      <c r="O50" s="82" t="s">
        <v>96</v>
      </c>
      <c r="P50" s="82"/>
      <c r="Q50" s="82"/>
      <c r="S50" s="82" t="s">
        <v>97</v>
      </c>
      <c r="T50" s="82"/>
      <c r="U50" s="82"/>
    </row>
    <row r="51" spans="3:21" ht="15" thickBot="1" x14ac:dyDescent="0.35">
      <c r="C51" s="44" t="s">
        <v>98</v>
      </c>
      <c r="D51" s="88" t="s">
        <v>61</v>
      </c>
      <c r="E51" s="89"/>
      <c r="G51" s="44" t="s">
        <v>99</v>
      </c>
      <c r="H51" s="88" t="s">
        <v>61</v>
      </c>
      <c r="I51" s="89"/>
      <c r="K51" s="44" t="s">
        <v>100</v>
      </c>
      <c r="L51" s="88" t="s">
        <v>61</v>
      </c>
      <c r="M51" s="89"/>
      <c r="O51" s="44" t="s">
        <v>101</v>
      </c>
      <c r="P51" s="88" t="s">
        <v>61</v>
      </c>
      <c r="Q51" s="89"/>
      <c r="S51" s="44" t="s">
        <v>102</v>
      </c>
      <c r="T51" s="88" t="s">
        <v>61</v>
      </c>
      <c r="U51" s="89"/>
    </row>
    <row r="52" spans="3:21" x14ac:dyDescent="0.3">
      <c r="C52" s="65" t="s">
        <v>23</v>
      </c>
      <c r="D52" s="50" t="s">
        <v>65</v>
      </c>
      <c r="E52" s="51" cm="1">
        <f t="array" ref="E52">AVERAGE(ABS(data!F338:U338),ABS(data!F350:U350),ABS(data!F362:U362))</f>
        <v>2.578172555477718</v>
      </c>
      <c r="F52" s="57"/>
      <c r="G52" s="65" t="s">
        <v>23</v>
      </c>
      <c r="H52" s="50" t="s">
        <v>65</v>
      </c>
      <c r="I52" s="51" cm="1">
        <f t="array" ref="I52">AVERAGE(ABS(data!F379:U379),ABS(data!F391:U391),ABS(data!F403:U403))</f>
        <v>2.0677278208985781</v>
      </c>
      <c r="J52" s="57"/>
      <c r="K52" s="65" t="s">
        <v>23</v>
      </c>
      <c r="L52" s="50" t="s">
        <v>65</v>
      </c>
      <c r="M52" s="51" cm="1">
        <f t="array" ref="M52">AVERAGE(ABS(data!F420:U420),ABS(data!F432:U432),ABS(data!F444:U444))</f>
        <v>2.7901788247482116</v>
      </c>
      <c r="N52" s="57"/>
      <c r="O52" s="65" t="s">
        <v>23</v>
      </c>
      <c r="P52" s="50" t="s">
        <v>65</v>
      </c>
      <c r="Q52" s="51" cm="1">
        <f t="array" ref="Q52">AVERAGE(ABS(data!F461:U461),ABS(data!F473:U473),ABS(data!F485:U485))</f>
        <v>2.5806989322315546</v>
      </c>
      <c r="R52" s="57"/>
      <c r="S52" s="65" t="s">
        <v>23</v>
      </c>
      <c r="T52" s="50" t="s">
        <v>65</v>
      </c>
      <c r="U52" s="51" cm="1">
        <f t="array" ref="U52">AVERAGE(ABS(data!F502:U502),ABS(data!F514:U514),ABS(data!F526:U526))</f>
        <v>2.1765938499743176</v>
      </c>
    </row>
    <row r="53" spans="3:21" x14ac:dyDescent="0.3">
      <c r="C53" s="66"/>
      <c r="D53" s="45" t="s">
        <v>66</v>
      </c>
      <c r="E53" s="46" cm="1">
        <f t="array" ref="E53">_xlfn.STDEV.P(ABS(data!F338:U338),ABS(data!F350:U350),ABS(data!F362:U362))</f>
        <v>1.5544880766412092</v>
      </c>
      <c r="F53" s="57"/>
      <c r="G53" s="66"/>
      <c r="H53" s="45" t="s">
        <v>66</v>
      </c>
      <c r="I53" s="46" cm="1">
        <f t="array" ref="I53">_xlfn.STDEV.P(ABS(data!F379:U379),ABS(data!F391:U391),ABS(data!F403:U403))</f>
        <v>1.0773175655431144</v>
      </c>
      <c r="J53" s="57"/>
      <c r="K53" s="66"/>
      <c r="L53" s="45" t="s">
        <v>66</v>
      </c>
      <c r="M53" s="46" cm="1">
        <f t="array" ref="M53">_xlfn.STDEV.P(ABS(data!F420:U420),ABS(data!F432:U432),ABS(data!F444:U444))</f>
        <v>1.4757924624509415</v>
      </c>
      <c r="N53" s="57"/>
      <c r="O53" s="66"/>
      <c r="P53" s="45" t="s">
        <v>66</v>
      </c>
      <c r="Q53" s="46" cm="1">
        <f t="array" ref="Q53">_xlfn.STDEV.P(ABS(data!F461:U461),ABS(data!F473:U473),ABS(data!F485:U485))</f>
        <v>0.96783126892734894</v>
      </c>
      <c r="R53" s="57"/>
      <c r="S53" s="66"/>
      <c r="T53" s="45" t="s">
        <v>66</v>
      </c>
      <c r="U53" s="46" cm="1">
        <f t="array" ref="U53">_xlfn.STDEV.P(ABS(data!F502:U502),ABS(data!F514:U514),ABS(data!F526:U526))</f>
        <v>1.6865429398688756</v>
      </c>
    </row>
    <row r="54" spans="3:21" x14ac:dyDescent="0.3">
      <c r="C54" s="66"/>
      <c r="D54" s="45" t="s">
        <v>67</v>
      </c>
      <c r="E54" s="46" cm="1">
        <f t="array" ref="E54">AVERAGE(ABS(data!F339:U339),ABS(data!F351:U351),ABS(data!F363:U363))</f>
        <v>540.43068701091522</v>
      </c>
      <c r="F54" s="57"/>
      <c r="G54" s="66"/>
      <c r="H54" s="45" t="s">
        <v>67</v>
      </c>
      <c r="I54" s="46" cm="1">
        <f t="array" ref="I54">AVERAGE(ABS(data!F380:U380),ABS(data!F392:U392),ABS(data!F404:U404))</f>
        <v>560.96065238107508</v>
      </c>
      <c r="J54" s="57"/>
      <c r="K54" s="66"/>
      <c r="L54" s="45" t="s">
        <v>67</v>
      </c>
      <c r="M54" s="46" cm="1">
        <f t="array" ref="M54">AVERAGE(ABS(data!F421:U421),ABS(data!F433:U433),ABS(data!F445:U445))</f>
        <v>821.52987069546032</v>
      </c>
      <c r="N54" s="57"/>
      <c r="O54" s="66"/>
      <c r="P54" s="45" t="s">
        <v>67</v>
      </c>
      <c r="Q54" s="46" cm="1">
        <f t="array" ref="Q54">AVERAGE(ABS(data!F462:U462),ABS(data!F474:U474),ABS(data!F486:U486))</f>
        <v>458.04539699664059</v>
      </c>
      <c r="R54" s="57"/>
      <c r="S54" s="66"/>
      <c r="T54" s="45" t="s">
        <v>67</v>
      </c>
      <c r="U54" s="46" cm="1">
        <f t="array" ref="U54">AVERAGE(ABS(data!F503:U503),ABS(data!F515:U515),ABS(data!F527:U527))</f>
        <v>392.8460609332671</v>
      </c>
    </row>
    <row r="55" spans="3:21" x14ac:dyDescent="0.3">
      <c r="C55" s="66"/>
      <c r="D55" s="45" t="s">
        <v>66</v>
      </c>
      <c r="E55" s="46" cm="1">
        <f t="array" ref="E55">_xlfn.STDEV.P(ABS(data!F339:U339),ABS(data!F351:U351),ABS(data!F363:U363))</f>
        <v>604.83393647368814</v>
      </c>
      <c r="F55" s="57"/>
      <c r="G55" s="66"/>
      <c r="H55" s="45" t="s">
        <v>66</v>
      </c>
      <c r="I55" s="46" cm="1">
        <f t="array" ref="I55">_xlfn.STDEV.P(ABS(data!F380:U380),ABS(data!F392:U392),ABS(data!F404:U404))</f>
        <v>637.32509961364815</v>
      </c>
      <c r="J55" s="57"/>
      <c r="K55" s="66"/>
      <c r="L55" s="45" t="s">
        <v>66</v>
      </c>
      <c r="M55" s="46" cm="1">
        <f t="array" ref="M55">_xlfn.STDEV.P(ABS(data!F421:U421),ABS(data!F433:U433),ABS(data!F445:U445))</f>
        <v>734.20726143128945</v>
      </c>
      <c r="N55" s="57"/>
      <c r="O55" s="66"/>
      <c r="P55" s="45" t="s">
        <v>66</v>
      </c>
      <c r="Q55" s="46" cm="1">
        <f t="array" ref="Q55">_xlfn.STDEV.P(ABS(data!F462:U462),ABS(data!F474:U474),ABS(data!F486:U486))</f>
        <v>235.55920324696487</v>
      </c>
      <c r="R55" s="57"/>
      <c r="S55" s="66"/>
      <c r="T55" s="45" t="s">
        <v>66</v>
      </c>
      <c r="U55" s="46" cm="1">
        <f t="array" ref="U55">_xlfn.STDEV.P(ABS(data!F503:U503),ABS(data!F515:U515),ABS(data!F527:U527))</f>
        <v>757.27666228315934</v>
      </c>
    </row>
    <row r="56" spans="3:21" x14ac:dyDescent="0.3">
      <c r="C56" s="85"/>
      <c r="D56" s="47"/>
      <c r="E56" s="54"/>
      <c r="F56" s="57"/>
      <c r="G56" s="85"/>
      <c r="H56" s="47"/>
      <c r="I56" s="54"/>
      <c r="J56" s="57"/>
      <c r="K56" s="85"/>
      <c r="L56" s="47"/>
      <c r="M56" s="54"/>
      <c r="N56" s="57"/>
      <c r="O56" s="85"/>
      <c r="P56" s="47"/>
      <c r="Q56" s="54"/>
      <c r="R56" s="57"/>
      <c r="S56" s="85"/>
      <c r="T56" s="47"/>
      <c r="U56" s="54"/>
    </row>
    <row r="57" spans="3:21" x14ac:dyDescent="0.3">
      <c r="C57" s="66" t="s">
        <v>68</v>
      </c>
      <c r="D57" s="45" t="s">
        <v>65</v>
      </c>
      <c r="E57" s="46" cm="1">
        <f t="array" ref="E57">AVERAGE(ABS(data!F341:U341),ABS(data!F353:U353),ABS(data!F365:U365))</f>
        <v>2.5594225554777181</v>
      </c>
      <c r="F57" s="57"/>
      <c r="G57" s="66" t="s">
        <v>68</v>
      </c>
      <c r="H57" s="45" t="s">
        <v>65</v>
      </c>
      <c r="I57" s="46" cm="1">
        <f t="array" ref="I57">AVERAGE(ABS(data!F382:U382),ABS(data!F394:U394),ABS(data!F406:U406))</f>
        <v>1.9727278208985777</v>
      </c>
      <c r="J57" s="57"/>
      <c r="K57" s="66" t="s">
        <v>68</v>
      </c>
      <c r="L57" s="45" t="s">
        <v>65</v>
      </c>
      <c r="M57" s="46" cm="1">
        <f t="array" ref="M57">AVERAGE(ABS(data!F423:U423),ABS(data!F435:U435),ABS(data!F447:U447))</f>
        <v>2.6739288247482107</v>
      </c>
      <c r="N57" s="57"/>
      <c r="O57" s="66" t="s">
        <v>68</v>
      </c>
      <c r="P57" s="45" t="s">
        <v>65</v>
      </c>
      <c r="Q57" s="46" cm="1">
        <f t="array" ref="Q57">AVERAGE(ABS(data!F464:U464),ABS(data!F476:U476),ABS(data!F488:U488))</f>
        <v>2.5044489322315537</v>
      </c>
      <c r="R57" s="57"/>
      <c r="S57" s="66" t="s">
        <v>68</v>
      </c>
      <c r="T57" s="45" t="s">
        <v>65</v>
      </c>
      <c r="U57" s="46" cm="1">
        <f t="array" ref="U57">AVERAGE(ABS(data!F505:U505),ABS(data!F517:U517),ABS(data!F529:U529))</f>
        <v>2.1040938499743169</v>
      </c>
    </row>
    <row r="58" spans="3:21" x14ac:dyDescent="0.3">
      <c r="C58" s="66"/>
      <c r="D58" s="45" t="s">
        <v>66</v>
      </c>
      <c r="E58" s="46" cm="1">
        <f t="array" ref="E58">_xlfn.STDEV.P(ABS(data!F341:U341),ABS(data!F353:U353),ABS(data!F365:U365))</f>
        <v>1.5643336299655493</v>
      </c>
      <c r="F58" s="57"/>
      <c r="G58" s="66"/>
      <c r="H58" s="45" t="s">
        <v>66</v>
      </c>
      <c r="I58" s="46" cm="1">
        <f t="array" ref="I58">_xlfn.STDEV.P(ABS(data!F382:U382),ABS(data!F394:U394),ABS(data!F406:U406))</f>
        <v>1.0257411361750217</v>
      </c>
      <c r="J58" s="57"/>
      <c r="K58" s="66"/>
      <c r="L58" s="45" t="s">
        <v>66</v>
      </c>
      <c r="M58" s="46" cm="1">
        <f t="array" ref="M58">_xlfn.STDEV.P(ABS(data!F423:U423),ABS(data!F435:U435),ABS(data!F447:U447))</f>
        <v>1.4702805293393939</v>
      </c>
      <c r="N58" s="57"/>
      <c r="O58" s="66"/>
      <c r="P58" s="45" t="s">
        <v>66</v>
      </c>
      <c r="Q58" s="46" cm="1">
        <f t="array" ref="Q58">_xlfn.STDEV.P(ABS(data!F464:U464),ABS(data!F476:U476),ABS(data!F488:U488))</f>
        <v>0.97095959161052736</v>
      </c>
      <c r="R58" s="57"/>
      <c r="S58" s="66"/>
      <c r="T58" s="45" t="s">
        <v>66</v>
      </c>
      <c r="U58" s="46" cm="1">
        <f t="array" ref="U58">_xlfn.STDEV.P(ABS(data!F505:U505),ABS(data!F517:U517),ABS(data!F529:U529))</f>
        <v>1.7608641529731106</v>
      </c>
    </row>
    <row r="59" spans="3:21" x14ac:dyDescent="0.3">
      <c r="C59" s="66"/>
      <c r="D59" s="45" t="s">
        <v>67</v>
      </c>
      <c r="E59" s="46" cm="1">
        <f t="array" ref="E59">AVERAGE(ABS(data!F342:U342),ABS(data!F354:U354),ABS(data!F366:U366))</f>
        <v>538.778168737074</v>
      </c>
      <c r="F59" s="57"/>
      <c r="G59" s="66"/>
      <c r="H59" s="45" t="s">
        <v>67</v>
      </c>
      <c r="I59" s="46" cm="1">
        <f t="array" ref="I59">AVERAGE(ABS(data!F383:U383),ABS(data!F395:U395),ABS(data!F407:U407))</f>
        <v>534.13117416366163</v>
      </c>
      <c r="J59" s="57"/>
      <c r="K59" s="66"/>
      <c r="L59" s="45" t="s">
        <v>67</v>
      </c>
      <c r="M59" s="46" cm="1">
        <f t="array" ref="M59">AVERAGE(ABS(data!F424:U424),ABS(data!F436:U436),ABS(data!F448:U448))</f>
        <v>790.47538459308726</v>
      </c>
      <c r="N59" s="57"/>
      <c r="O59" s="66"/>
      <c r="P59" s="45" t="s">
        <v>67</v>
      </c>
      <c r="Q59" s="46" cm="1">
        <f t="array" ref="Q59">AVERAGE(ABS(data!F465:U465),ABS(data!F477:U477),ABS(data!F489:U489))</f>
        <v>438.4243511814866</v>
      </c>
      <c r="R59" s="57"/>
      <c r="S59" s="66"/>
      <c r="T59" s="45" t="s">
        <v>67</v>
      </c>
      <c r="U59" s="46" cm="1">
        <f t="array" ref="U59">AVERAGE(ABS(data!F506:U506),ABS(data!F518:U518),ABS(data!F530:U530))</f>
        <v>379.00403342407066</v>
      </c>
    </row>
    <row r="60" spans="3:21" x14ac:dyDescent="0.3">
      <c r="C60" s="66"/>
      <c r="D60" s="45" t="s">
        <v>66</v>
      </c>
      <c r="E60" s="46" cm="1">
        <f t="array" ref="E60">_xlfn.STDEV.P(ABS(data!F342:U342),ABS(data!F354:U354),ABS(data!F366:U366))</f>
        <v>608.97821695388461</v>
      </c>
      <c r="F60" s="57"/>
      <c r="G60" s="66"/>
      <c r="H60" s="45" t="s">
        <v>66</v>
      </c>
      <c r="I60" s="46" cm="1">
        <f t="array" ref="I60">_xlfn.STDEV.P(ABS(data!F383:U383),ABS(data!F395:U395),ABS(data!F407:U407))</f>
        <v>611.31049556226037</v>
      </c>
      <c r="J60" s="57"/>
      <c r="K60" s="66"/>
      <c r="L60" s="45" t="s">
        <v>66</v>
      </c>
      <c r="M60" s="46" cm="1">
        <f t="array" ref="M60">_xlfn.STDEV.P(ABS(data!F424:U424),ABS(data!F436:U436),ABS(data!F448:U448))</f>
        <v>716.30241008358735</v>
      </c>
      <c r="N60" s="57"/>
      <c r="O60" s="66"/>
      <c r="P60" s="45" t="s">
        <v>66</v>
      </c>
      <c r="Q60" s="46" cm="1">
        <f t="array" ref="Q60">_xlfn.STDEV.P(ABS(data!F465:U465),ABS(data!F477:U477),ABS(data!F489:U489))</f>
        <v>232.21829688660657</v>
      </c>
      <c r="R60" s="57"/>
      <c r="S60" s="66"/>
      <c r="T60" s="45" t="s">
        <v>66</v>
      </c>
      <c r="U60" s="46" cm="1">
        <f t="array" ref="U60">_xlfn.STDEV.P(ABS(data!F506:U506),ABS(data!F518:U518),ABS(data!F530:U530))</f>
        <v>740.82237425649612</v>
      </c>
    </row>
    <row r="61" spans="3:21" x14ac:dyDescent="0.3">
      <c r="C61" s="85"/>
      <c r="D61" s="47"/>
      <c r="E61" s="54"/>
      <c r="F61" s="57"/>
      <c r="G61" s="85"/>
      <c r="H61" s="47"/>
      <c r="I61" s="54"/>
      <c r="J61" s="57"/>
      <c r="K61" s="85"/>
      <c r="L61" s="47"/>
      <c r="M61" s="54"/>
      <c r="N61" s="57"/>
      <c r="O61" s="85"/>
      <c r="P61" s="47"/>
      <c r="Q61" s="54"/>
      <c r="R61" s="57"/>
      <c r="S61" s="85"/>
      <c r="T61" s="47"/>
      <c r="U61" s="54"/>
    </row>
    <row r="62" spans="3:21" x14ac:dyDescent="0.3">
      <c r="C62" s="66" t="s">
        <v>69</v>
      </c>
      <c r="D62" s="45" t="s">
        <v>65</v>
      </c>
      <c r="E62" s="46" cm="1">
        <f t="array" ref="E62">AVERAGE(ABS(data!F344:U344),ABS(data!F356:U356),ABS(data!F368:U368))</f>
        <v>2.595672555477718</v>
      </c>
      <c r="F62" s="57"/>
      <c r="G62" s="66" t="s">
        <v>69</v>
      </c>
      <c r="H62" s="45" t="s">
        <v>65</v>
      </c>
      <c r="I62" s="46" cm="1">
        <f t="array" ref="I62">AVERAGE(ABS(data!F385:U385),ABS(data!F397:U397),ABS(data!F409:U409))</f>
        <v>1.9964778208985781</v>
      </c>
      <c r="J62" s="57"/>
      <c r="K62" s="66" t="s">
        <v>69</v>
      </c>
      <c r="L62" s="45" t="s">
        <v>65</v>
      </c>
      <c r="M62" s="46" cm="1">
        <f t="array" ref="M62">AVERAGE(ABS(data!F426:U426),ABS(data!F438:U438),ABS(data!F450:U450))</f>
        <v>2.6976788247482109</v>
      </c>
      <c r="N62" s="57"/>
      <c r="O62" s="66" t="s">
        <v>69</v>
      </c>
      <c r="P62" s="45" t="s">
        <v>65</v>
      </c>
      <c r="Q62" s="46" cm="1">
        <f t="array" ref="Q62">AVERAGE(ABS(data!F467:U467),ABS(data!F479:U479),ABS(data!F491:U491))</f>
        <v>2.5069489322315541</v>
      </c>
      <c r="R62" s="57"/>
      <c r="S62" s="66" t="s">
        <v>69</v>
      </c>
      <c r="T62" s="45" t="s">
        <v>65</v>
      </c>
      <c r="U62" s="46" cm="1">
        <f t="array" ref="U62">AVERAGE(ABS(data!F508:U508),ABS(data!F520:U520),ABS(data!F532:U532))</f>
        <v>2.1265938499743169</v>
      </c>
    </row>
    <row r="63" spans="3:21" x14ac:dyDescent="0.3">
      <c r="C63" s="66"/>
      <c r="D63" s="45" t="s">
        <v>66</v>
      </c>
      <c r="E63" s="46" cm="1">
        <f t="array" ref="E63">_xlfn.STDEV.P(ABS(data!F344:U344),ABS(data!F356:U356),ABS(data!F368:U368))</f>
        <v>1.5638537836304005</v>
      </c>
      <c r="F63" s="57"/>
      <c r="G63" s="66"/>
      <c r="H63" s="45" t="s">
        <v>66</v>
      </c>
      <c r="I63" s="46" cm="1">
        <f t="array" ref="I63">_xlfn.STDEV.P(ABS(data!F385:U385),ABS(data!F397:U397),ABS(data!F409:U409))</f>
        <v>1.0778937978025802</v>
      </c>
      <c r="J63" s="57"/>
      <c r="K63" s="66"/>
      <c r="L63" s="45" t="s">
        <v>66</v>
      </c>
      <c r="M63" s="46" cm="1">
        <f t="array" ref="M63">_xlfn.STDEV.P(ABS(data!F426:U426),ABS(data!F438:U438),ABS(data!F450:U450))</f>
        <v>1.4557281353638185</v>
      </c>
      <c r="N63" s="57"/>
      <c r="O63" s="66"/>
      <c r="P63" s="45" t="s">
        <v>66</v>
      </c>
      <c r="Q63" s="46" cm="1">
        <f t="array" ref="Q63">_xlfn.STDEV.P(ABS(data!F467:U467),ABS(data!F479:U479),ABS(data!F491:U491))</f>
        <v>0.95462513881992483</v>
      </c>
      <c r="R63" s="57"/>
      <c r="S63" s="66"/>
      <c r="T63" s="45" t="s">
        <v>66</v>
      </c>
      <c r="U63" s="46" cm="1">
        <f t="array" ref="U63">_xlfn.STDEV.P(ABS(data!F508:U508),ABS(data!F520:U520),ABS(data!F532:U532))</f>
        <v>1.7245809073921621</v>
      </c>
    </row>
    <row r="64" spans="3:21" x14ac:dyDescent="0.3">
      <c r="C64" s="66"/>
      <c r="D64" s="45" t="s">
        <v>67</v>
      </c>
      <c r="E64" s="46" cm="1">
        <f t="array" ref="E64">AVERAGE(ABS(data!F345:U345),ABS(data!F357:U357),ABS(data!F369:U369))</f>
        <v>544.02621454654468</v>
      </c>
      <c r="F64" s="57"/>
      <c r="G64" s="66"/>
      <c r="H64" s="45" t="s">
        <v>67</v>
      </c>
      <c r="I64" s="46" cm="1">
        <f t="array" ref="I64">AVERAGE(ABS(data!F386:U386),ABS(data!F398:U398),ABS(data!F410:U410))</f>
        <v>544.95242684248763</v>
      </c>
      <c r="J64" s="57"/>
      <c r="K64" s="66"/>
      <c r="L64" s="45" t="s">
        <v>67</v>
      </c>
      <c r="M64" s="46" cm="1">
        <f t="array" ref="M64">AVERAGE(ABS(data!F427:U427),ABS(data!F439:U439),ABS(data!F451:U451))</f>
        <v>794.09934429625082</v>
      </c>
      <c r="N64" s="57"/>
      <c r="O64" s="66"/>
      <c r="P64" s="45" t="s">
        <v>67</v>
      </c>
      <c r="Q64" s="46" cm="1">
        <f t="array" ref="Q64">AVERAGE(ABS(data!F468:U468),ABS(data!F480:U480),ABS(data!F492:U492))</f>
        <v>441.08690608067718</v>
      </c>
      <c r="R64" s="57"/>
      <c r="S64" s="66"/>
      <c r="T64" s="45" t="s">
        <v>67</v>
      </c>
      <c r="U64" s="46" cm="1">
        <f t="array" ref="U64">AVERAGE(ABS(data!F509:U509),ABS(data!F521:U521),ABS(data!F533:U533))</f>
        <v>383.39923036843976</v>
      </c>
    </row>
    <row r="65" spans="3:21" x14ac:dyDescent="0.3">
      <c r="C65" s="66"/>
      <c r="D65" s="45" t="s">
        <v>66</v>
      </c>
      <c r="E65" s="46" cm="1">
        <f t="array" ref="E65">_xlfn.STDEV.P(ABS(data!F345:U345),ABS(data!F357:U357),ABS(data!F369:U369))</f>
        <v>612.59135590465814</v>
      </c>
      <c r="F65" s="57"/>
      <c r="G65" s="66"/>
      <c r="H65" s="45" t="s">
        <v>66</v>
      </c>
      <c r="I65" s="46" cm="1">
        <f t="array" ref="I65">_xlfn.STDEV.P(ABS(data!F386:U386),ABS(data!F398:U398),ABS(data!F410:U410))</f>
        <v>623.53163773024266</v>
      </c>
      <c r="J65" s="57"/>
      <c r="K65" s="66"/>
      <c r="L65" s="45" t="s">
        <v>66</v>
      </c>
      <c r="M65" s="46" cm="1">
        <f t="array" ref="M65">_xlfn.STDEV.P(ABS(data!F427:U427),ABS(data!F439:U439),ABS(data!F451:U451))</f>
        <v>710.0401561251465</v>
      </c>
      <c r="N65" s="57"/>
      <c r="O65" s="66"/>
      <c r="P65" s="45" t="s">
        <v>66</v>
      </c>
      <c r="Q65" s="46" cm="1">
        <f t="array" ref="Q65">_xlfn.STDEV.P(ABS(data!F468:U468),ABS(data!F480:U480),ABS(data!F492:U492))</f>
        <v>233.69318998525537</v>
      </c>
      <c r="R65" s="57"/>
      <c r="S65" s="66"/>
      <c r="T65" s="45" t="s">
        <v>66</v>
      </c>
      <c r="U65" s="46" cm="1">
        <f t="array" ref="U65">_xlfn.STDEV.P(ABS(data!F509:U509),ABS(data!F521:U521),ABS(data!F533:U533))</f>
        <v>746.61611626261606</v>
      </c>
    </row>
    <row r="66" spans="3:21" x14ac:dyDescent="0.3">
      <c r="C66" s="85"/>
      <c r="D66" s="45"/>
      <c r="E66" s="46"/>
      <c r="F66" s="57"/>
      <c r="G66" s="85"/>
      <c r="H66" s="45"/>
      <c r="I66" s="46"/>
      <c r="J66" s="57"/>
      <c r="K66" s="85"/>
      <c r="L66" s="45"/>
      <c r="M66" s="46"/>
      <c r="N66" s="57"/>
      <c r="O66" s="85"/>
      <c r="P66" s="45"/>
      <c r="Q66" s="46"/>
      <c r="R66" s="57"/>
      <c r="S66" s="85"/>
      <c r="T66" s="45"/>
      <c r="U66" s="46"/>
    </row>
    <row r="67" spans="3:21" x14ac:dyDescent="0.3">
      <c r="C67" s="66" t="s">
        <v>70</v>
      </c>
      <c r="D67" s="52" t="s">
        <v>65</v>
      </c>
      <c r="E67" s="53">
        <f>AVERAGE(E52,E57,E62)</f>
        <v>2.5777558888110512</v>
      </c>
      <c r="F67" s="57"/>
      <c r="G67" s="66" t="s">
        <v>70</v>
      </c>
      <c r="H67" s="52" t="s">
        <v>65</v>
      </c>
      <c r="I67" s="53">
        <f>AVERAGE(I52,I57,I62)</f>
        <v>2.0123111542319112</v>
      </c>
      <c r="J67" s="57"/>
      <c r="K67" s="66" t="s">
        <v>70</v>
      </c>
      <c r="L67" s="52" t="s">
        <v>65</v>
      </c>
      <c r="M67" s="53">
        <f>AVERAGE(M52,M57,M62)</f>
        <v>2.7205954914148776</v>
      </c>
      <c r="N67" s="57"/>
      <c r="O67" s="66" t="s">
        <v>70</v>
      </c>
      <c r="P67" s="52" t="s">
        <v>65</v>
      </c>
      <c r="Q67" s="53">
        <f>AVERAGE(Q52,Q57,Q62)</f>
        <v>2.5306989322315538</v>
      </c>
      <c r="R67" s="57"/>
      <c r="S67" s="66" t="s">
        <v>70</v>
      </c>
      <c r="T67" s="52" t="s">
        <v>65</v>
      </c>
      <c r="U67" s="53">
        <f>AVERAGE(U52,U57,U62)</f>
        <v>2.1357605166409837</v>
      </c>
    </row>
    <row r="68" spans="3:21" x14ac:dyDescent="0.3">
      <c r="C68" s="66"/>
      <c r="D68" s="45" t="s">
        <v>71</v>
      </c>
      <c r="E68" s="46">
        <f>AVERAGE(E53,E58,E63)</f>
        <v>1.5608918300790531</v>
      </c>
      <c r="F68" s="57"/>
      <c r="G68" s="66"/>
      <c r="H68" s="45" t="s">
        <v>71</v>
      </c>
      <c r="I68" s="46">
        <f>AVERAGE(I53,I58,I63)</f>
        <v>1.0603174998402387</v>
      </c>
      <c r="J68" s="57"/>
      <c r="K68" s="66"/>
      <c r="L68" s="45" t="s">
        <v>71</v>
      </c>
      <c r="M68" s="46">
        <f>AVERAGE(M53,M58,M63)</f>
        <v>1.4672670423847178</v>
      </c>
      <c r="N68" s="57"/>
      <c r="O68" s="66"/>
      <c r="P68" s="45" t="s">
        <v>71</v>
      </c>
      <c r="Q68" s="46">
        <f>AVERAGE(Q53,Q58,Q63)</f>
        <v>0.96447199978593368</v>
      </c>
      <c r="R68" s="57"/>
      <c r="S68" s="66"/>
      <c r="T68" s="45" t="s">
        <v>71</v>
      </c>
      <c r="U68" s="46">
        <f>AVERAGE(U53,U58,U63)</f>
        <v>1.7239960000780494</v>
      </c>
    </row>
    <row r="69" spans="3:21" x14ac:dyDescent="0.3">
      <c r="C69" s="66"/>
      <c r="D69" s="45" t="s">
        <v>67</v>
      </c>
      <c r="E69" s="46">
        <f>AVERAGE(E54,E59,E64)</f>
        <v>541.07835676484467</v>
      </c>
      <c r="F69" s="57"/>
      <c r="G69" s="66"/>
      <c r="H69" s="45" t="s">
        <v>67</v>
      </c>
      <c r="I69" s="46">
        <f>AVERAGE(I54,I59,I64)</f>
        <v>546.68141779574137</v>
      </c>
      <c r="J69" s="57"/>
      <c r="K69" s="66"/>
      <c r="L69" s="45" t="s">
        <v>67</v>
      </c>
      <c r="M69" s="46">
        <f>AVERAGE(M54,M59,M64)</f>
        <v>802.03486652826621</v>
      </c>
      <c r="N69" s="57"/>
      <c r="O69" s="66"/>
      <c r="P69" s="45" t="s">
        <v>67</v>
      </c>
      <c r="Q69" s="46">
        <f>AVERAGE(Q54,Q59,Q64)</f>
        <v>445.85221808626812</v>
      </c>
      <c r="R69" s="57"/>
      <c r="S69" s="66"/>
      <c r="T69" s="45" t="s">
        <v>67</v>
      </c>
      <c r="U69" s="46">
        <f>AVERAGE(U54,U59,U64)</f>
        <v>385.08310824192586</v>
      </c>
    </row>
    <row r="70" spans="3:21" x14ac:dyDescent="0.3">
      <c r="C70" s="66"/>
      <c r="D70" s="45" t="s">
        <v>66</v>
      </c>
      <c r="E70" s="46">
        <f>AVERAGE(E55,E60,E65)</f>
        <v>608.80116977741034</v>
      </c>
      <c r="F70" s="57"/>
      <c r="G70" s="66"/>
      <c r="H70" s="45" t="s">
        <v>66</v>
      </c>
      <c r="I70" s="46">
        <f>AVERAGE(I55,I60,I65)</f>
        <v>624.05574430205036</v>
      </c>
      <c r="J70" s="57"/>
      <c r="K70" s="66"/>
      <c r="L70" s="45" t="s">
        <v>66</v>
      </c>
      <c r="M70" s="46">
        <f>AVERAGE(M55,M60,M65)</f>
        <v>720.18327588000773</v>
      </c>
      <c r="N70" s="57"/>
      <c r="O70" s="66"/>
      <c r="P70" s="45" t="s">
        <v>66</v>
      </c>
      <c r="Q70" s="46">
        <f>AVERAGE(Q55,Q60,Q65)</f>
        <v>233.82356337294229</v>
      </c>
      <c r="R70" s="57"/>
      <c r="S70" s="66"/>
      <c r="T70" s="45" t="s">
        <v>66</v>
      </c>
      <c r="U70" s="46">
        <f>AVERAGE(U55,U60,U65)</f>
        <v>748.23838426742384</v>
      </c>
    </row>
    <row r="71" spans="3:21" ht="15" thickBot="1" x14ac:dyDescent="0.35">
      <c r="C71" s="67"/>
      <c r="D71" s="48"/>
      <c r="E71" s="49"/>
      <c r="F71" s="57"/>
      <c r="G71" s="67"/>
      <c r="H71" s="48"/>
      <c r="I71" s="49"/>
      <c r="J71" s="57"/>
      <c r="K71" s="67"/>
      <c r="L71" s="48"/>
      <c r="M71" s="49"/>
      <c r="N71" s="57"/>
      <c r="O71" s="67"/>
      <c r="P71" s="48"/>
      <c r="Q71" s="49"/>
      <c r="R71" s="57"/>
      <c r="S71" s="67"/>
      <c r="T71" s="48"/>
      <c r="U71" s="49"/>
    </row>
    <row r="75" spans="3:21" ht="77.25" customHeight="1" x14ac:dyDescent="0.3">
      <c r="C75" s="87" t="s">
        <v>103</v>
      </c>
      <c r="D75" s="87"/>
      <c r="E75" s="87"/>
      <c r="F75" s="64"/>
      <c r="G75" s="87" t="s">
        <v>104</v>
      </c>
      <c r="H75" s="87"/>
      <c r="I75" s="87"/>
    </row>
    <row r="76" spans="3:21" ht="15" thickBot="1" x14ac:dyDescent="0.35">
      <c r="C76" s="44"/>
      <c r="D76" s="88" t="s">
        <v>61</v>
      </c>
      <c r="E76" s="89"/>
      <c r="G76" s="44"/>
      <c r="H76" s="88" t="s">
        <v>61</v>
      </c>
      <c r="I76" s="89"/>
    </row>
    <row r="77" spans="3:21" x14ac:dyDescent="0.3">
      <c r="C77" s="65" t="s">
        <v>23</v>
      </c>
      <c r="D77" s="50" t="s">
        <v>65</v>
      </c>
      <c r="E77" s="51">
        <f>AVERAGE(E52,I52,M52,Q52,U52)</f>
        <v>2.4386743966660758</v>
      </c>
      <c r="G77" s="65"/>
      <c r="H77" s="50" t="s">
        <v>65</v>
      </c>
      <c r="I77" s="51">
        <f>AVERAGE(E77,E82,E87)</f>
        <v>2.3954243966660758</v>
      </c>
    </row>
    <row r="78" spans="3:21" x14ac:dyDescent="0.3">
      <c r="C78" s="66"/>
      <c r="D78" s="45" t="s">
        <v>66</v>
      </c>
      <c r="E78" s="46">
        <f t="shared" ref="E78:E80" si="2">AVERAGE(E53,I53,M53,Q53,U53)</f>
        <v>1.352394462686298</v>
      </c>
      <c r="G78" s="66"/>
      <c r="H78" s="45" t="s">
        <v>66</v>
      </c>
      <c r="I78" s="46">
        <f t="shared" ref="I78:I80" si="3">AVERAGE(E78,E83,E88)</f>
        <v>1.3553888744335982</v>
      </c>
    </row>
    <row r="79" spans="3:21" x14ac:dyDescent="0.3">
      <c r="C79" s="66"/>
      <c r="D79" s="45" t="s">
        <v>67</v>
      </c>
      <c r="E79" s="46">
        <f t="shared" si="2"/>
        <v>554.76253360347164</v>
      </c>
      <c r="G79" s="66"/>
      <c r="H79" s="45" t="s">
        <v>67</v>
      </c>
      <c r="I79" s="46">
        <f t="shared" si="3"/>
        <v>544.14599348340926</v>
      </c>
    </row>
    <row r="80" spans="3:21" x14ac:dyDescent="0.3">
      <c r="C80" s="66"/>
      <c r="D80" s="45" t="s">
        <v>66</v>
      </c>
      <c r="E80" s="46">
        <f t="shared" si="2"/>
        <v>593.84043260975</v>
      </c>
      <c r="G80" s="66"/>
      <c r="H80" s="45" t="s">
        <v>66</v>
      </c>
      <c r="I80" s="46">
        <f t="shared" si="3"/>
        <v>587.0204275199668</v>
      </c>
    </row>
    <row r="81" spans="3:9" ht="15" thickBot="1" x14ac:dyDescent="0.35">
      <c r="C81" s="67"/>
      <c r="D81" s="48"/>
      <c r="E81" s="49"/>
      <c r="G81" s="67"/>
      <c r="H81" s="48"/>
      <c r="I81" s="49"/>
    </row>
    <row r="82" spans="3:9" x14ac:dyDescent="0.3">
      <c r="C82" s="65" t="s">
        <v>68</v>
      </c>
      <c r="D82" s="50" t="s">
        <v>65</v>
      </c>
      <c r="E82" s="51">
        <f t="shared" ref="E82:E85" si="4">AVERAGE(E57,I57,M57,Q57,U57)</f>
        <v>2.3629243966660756</v>
      </c>
    </row>
    <row r="83" spans="3:9" x14ac:dyDescent="0.3">
      <c r="C83" s="66"/>
      <c r="D83" s="45" t="s">
        <v>66</v>
      </c>
      <c r="E83" s="46">
        <f t="shared" si="4"/>
        <v>1.3584358080127206</v>
      </c>
    </row>
    <row r="84" spans="3:9" x14ac:dyDescent="0.3">
      <c r="C84" s="66"/>
      <c r="D84" s="45" t="s">
        <v>67</v>
      </c>
      <c r="E84" s="46">
        <f t="shared" si="4"/>
        <v>536.16262241987602</v>
      </c>
    </row>
    <row r="85" spans="3:9" x14ac:dyDescent="0.3">
      <c r="C85" s="66"/>
      <c r="D85" s="45" t="s">
        <v>66</v>
      </c>
      <c r="E85" s="46">
        <f t="shared" si="4"/>
        <v>581.92635874856694</v>
      </c>
    </row>
    <row r="86" spans="3:9" ht="15" thickBot="1" x14ac:dyDescent="0.35">
      <c r="C86" s="67"/>
      <c r="D86" s="48"/>
      <c r="E86" s="49"/>
    </row>
    <row r="87" spans="3:9" x14ac:dyDescent="0.3">
      <c r="C87" s="66" t="s">
        <v>69</v>
      </c>
      <c r="D87" s="45" t="s">
        <v>65</v>
      </c>
      <c r="E87" s="46">
        <f t="shared" ref="E87:E90" si="5">AVERAGE(E62,I62,M62,Q62,U62)</f>
        <v>2.3846743966660755</v>
      </c>
    </row>
    <row r="88" spans="3:9" x14ac:dyDescent="0.3">
      <c r="C88" s="66"/>
      <c r="D88" s="45" t="s">
        <v>66</v>
      </c>
      <c r="E88" s="46">
        <f t="shared" si="5"/>
        <v>1.355336352601777</v>
      </c>
    </row>
    <row r="89" spans="3:9" x14ac:dyDescent="0.3">
      <c r="C89" s="66"/>
      <c r="D89" s="45" t="s">
        <v>67</v>
      </c>
      <c r="E89" s="46">
        <f t="shared" si="5"/>
        <v>541.51282442688012</v>
      </c>
    </row>
    <row r="90" spans="3:9" x14ac:dyDescent="0.3">
      <c r="C90" s="66"/>
      <c r="D90" s="45" t="s">
        <v>66</v>
      </c>
      <c r="E90" s="46">
        <f t="shared" si="5"/>
        <v>585.2944912015837</v>
      </c>
    </row>
    <row r="91" spans="3:9" ht="15" thickBot="1" x14ac:dyDescent="0.35">
      <c r="C91" s="67"/>
      <c r="D91" s="48"/>
      <c r="E91" s="49"/>
    </row>
  </sheetData>
  <mergeCells count="77">
    <mergeCell ref="G15:G19"/>
    <mergeCell ref="G20:G24"/>
    <mergeCell ref="H4:I4"/>
    <mergeCell ref="C5:C9"/>
    <mergeCell ref="C10:C14"/>
    <mergeCell ref="C15:C19"/>
    <mergeCell ref="C20:C24"/>
    <mergeCell ref="G5:G9"/>
    <mergeCell ref="C3:E3"/>
    <mergeCell ref="D4:E4"/>
    <mergeCell ref="O3:Q3"/>
    <mergeCell ref="O5:O9"/>
    <mergeCell ref="O10:O14"/>
    <mergeCell ref="G10:G14"/>
    <mergeCell ref="L4:M4"/>
    <mergeCell ref="P4:Q4"/>
    <mergeCell ref="K3:M3"/>
    <mergeCell ref="G3:I3"/>
    <mergeCell ref="O15:O19"/>
    <mergeCell ref="O20:O24"/>
    <mergeCell ref="S20:S24"/>
    <mergeCell ref="K5:K9"/>
    <mergeCell ref="K10:K14"/>
    <mergeCell ref="K15:K19"/>
    <mergeCell ref="K20:K24"/>
    <mergeCell ref="S3:U3"/>
    <mergeCell ref="T4:U4"/>
    <mergeCell ref="S5:S9"/>
    <mergeCell ref="S10:S14"/>
    <mergeCell ref="S15:S19"/>
    <mergeCell ref="G28:I28"/>
    <mergeCell ref="H29:I29"/>
    <mergeCell ref="G30:G34"/>
    <mergeCell ref="C50:E50"/>
    <mergeCell ref="G50:I50"/>
    <mergeCell ref="C28:E28"/>
    <mergeCell ref="D29:E29"/>
    <mergeCell ref="C30:C34"/>
    <mergeCell ref="C35:C39"/>
    <mergeCell ref="C40:C44"/>
    <mergeCell ref="C45:C49"/>
    <mergeCell ref="O50:Q50"/>
    <mergeCell ref="S50:U50"/>
    <mergeCell ref="D51:E51"/>
    <mergeCell ref="H51:I51"/>
    <mergeCell ref="L51:M51"/>
    <mergeCell ref="P51:Q51"/>
    <mergeCell ref="T51:U51"/>
    <mergeCell ref="K50:M50"/>
    <mergeCell ref="C57:C61"/>
    <mergeCell ref="G57:G61"/>
    <mergeCell ref="K57:K61"/>
    <mergeCell ref="O57:O61"/>
    <mergeCell ref="S57:S61"/>
    <mergeCell ref="C52:C56"/>
    <mergeCell ref="G52:G56"/>
    <mergeCell ref="K52:K56"/>
    <mergeCell ref="O52:O56"/>
    <mergeCell ref="S52:S56"/>
    <mergeCell ref="C67:C71"/>
    <mergeCell ref="G67:G71"/>
    <mergeCell ref="K67:K71"/>
    <mergeCell ref="O67:O71"/>
    <mergeCell ref="S67:S71"/>
    <mergeCell ref="C62:C66"/>
    <mergeCell ref="G62:G66"/>
    <mergeCell ref="K62:K66"/>
    <mergeCell ref="O62:O66"/>
    <mergeCell ref="S62:S66"/>
    <mergeCell ref="C82:C86"/>
    <mergeCell ref="C87:C91"/>
    <mergeCell ref="C75:E75"/>
    <mergeCell ref="G75:I75"/>
    <mergeCell ref="D76:E76"/>
    <mergeCell ref="H76:I76"/>
    <mergeCell ref="C77:C81"/>
    <mergeCell ref="G77:G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FECE-63FD-44AC-ADE1-D615B883F125}">
  <dimension ref="C2:S123"/>
  <sheetViews>
    <sheetView topLeftCell="H66" workbookViewId="0">
      <selection activeCell="W93" sqref="W93"/>
    </sheetView>
  </sheetViews>
  <sheetFormatPr defaultRowHeight="14.4" x14ac:dyDescent="0.3"/>
  <cols>
    <col min="3" max="3" width="14.5546875" customWidth="1"/>
    <col min="4" max="4" width="17.33203125" bestFit="1" customWidth="1"/>
    <col min="5" max="5" width="12" bestFit="1" customWidth="1"/>
    <col min="6" max="6" width="17.33203125" bestFit="1" customWidth="1"/>
    <col min="7" max="7" width="15.5546875" customWidth="1"/>
    <col min="8" max="8" width="17.33203125" bestFit="1" customWidth="1"/>
    <col min="9" max="9" width="17.6640625" bestFit="1" customWidth="1"/>
    <col min="10" max="10" width="17.33203125" bestFit="1" customWidth="1"/>
    <col min="11" max="11" width="17.6640625" bestFit="1" customWidth="1"/>
    <col min="12" max="12" width="17.33203125" bestFit="1" customWidth="1"/>
    <col min="14" max="14" width="17.33203125" bestFit="1" customWidth="1"/>
    <col min="16" max="16" width="17.33203125" bestFit="1" customWidth="1"/>
    <col min="18" max="18" width="17.33203125" bestFit="1" customWidth="1"/>
  </cols>
  <sheetData>
    <row r="2" spans="3:19" ht="15" thickBot="1" x14ac:dyDescent="0.35">
      <c r="C2" s="86" t="s">
        <v>105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3:19" ht="15" thickBot="1" x14ac:dyDescent="0.35">
      <c r="C3" s="44" t="s">
        <v>56</v>
      </c>
      <c r="D3" s="83" t="s">
        <v>57</v>
      </c>
      <c r="E3" s="84"/>
      <c r="F3" s="83" t="s">
        <v>58</v>
      </c>
      <c r="G3" s="84"/>
      <c r="H3" s="83" t="s">
        <v>59</v>
      </c>
      <c r="I3" s="84"/>
      <c r="J3" s="83" t="s">
        <v>60</v>
      </c>
      <c r="K3" s="84"/>
      <c r="L3" s="83" t="s">
        <v>61</v>
      </c>
      <c r="M3" s="84"/>
      <c r="N3" s="83" t="s">
        <v>62</v>
      </c>
      <c r="O3" s="84"/>
      <c r="P3" s="83" t="s">
        <v>63</v>
      </c>
      <c r="Q3" s="84"/>
      <c r="R3" s="83" t="s">
        <v>64</v>
      </c>
      <c r="S3" s="84"/>
    </row>
    <row r="4" spans="3:19" x14ac:dyDescent="0.3">
      <c r="C4" s="65" t="s">
        <v>23</v>
      </c>
      <c r="D4" s="50" t="s">
        <v>65</v>
      </c>
      <c r="E4" s="51" cm="1">
        <f t="array" ref="E4">AVERAGE(ABS(data!F12:M12),ABS(data!F24:M24),ABS(data!F36:M36))</f>
        <v>0.20599575818723373</v>
      </c>
      <c r="F4" s="50" t="s">
        <v>65</v>
      </c>
      <c r="G4" s="51" cm="1">
        <f t="array" ref="G4">AVERAGE(ABS(data!Z12:AG12),ABS(data!Z24:AG24),ABS(data!Z36:AG36))</f>
        <v>0.17951555266268207</v>
      </c>
      <c r="H4" s="50" t="s">
        <v>65</v>
      </c>
      <c r="I4" s="51" cm="1">
        <f t="array" ref="I4">AVERAGE(ABS(data!AT12:BA12),ABS(data!AT24:BA24),ABS(data!AT36:BA36))</f>
        <v>8.9837076026092422E-2</v>
      </c>
      <c r="J4" s="50" t="s">
        <v>65</v>
      </c>
      <c r="K4" s="51" cm="1">
        <f t="array" ref="K4">AVERAGE(ABS(data!BN12:BU12),ABS(data!BN24:BU24),ABS(data!BN36:BU36))</f>
        <v>0.10728817605402152</v>
      </c>
      <c r="L4" s="50" t="s">
        <v>65</v>
      </c>
      <c r="M4" s="51" cm="1">
        <f t="array" ref="M4">AVERAGE(ABS(data!CH12:CO12),ABS(data!CH24:CO24),ABS(data!CH36:CO36))</f>
        <v>1.9032159839314076</v>
      </c>
      <c r="N4" s="50" t="s">
        <v>65</v>
      </c>
      <c r="O4" s="51" cm="1">
        <f t="array" ref="O4">AVERAGE(ABS(data!DB12:DI12),ABS(data!DB24:DI24),ABS(data!DB36:DI36))</f>
        <v>2.7092157661927447</v>
      </c>
      <c r="P4" s="50" t="s">
        <v>65</v>
      </c>
      <c r="Q4" s="51" cm="1">
        <f t="array" ref="Q4">AVERAGE(ABS(data!DV12:EC12),ABS(data!DV24:EC24),ABS(data!DV36:EC36))</f>
        <v>2.5422912093455774</v>
      </c>
      <c r="R4" s="50" t="s">
        <v>65</v>
      </c>
      <c r="S4" s="51" cm="1">
        <f t="array" ref="S4">AVERAGE(ABS(data!EP12:EW12),ABS(data!EP24:EW24),ABS(data!EP36:EW36))</f>
        <v>3.0948453084990066</v>
      </c>
    </row>
    <row r="5" spans="3:19" x14ac:dyDescent="0.3">
      <c r="C5" s="66"/>
      <c r="D5" s="45" t="s">
        <v>66</v>
      </c>
      <c r="E5" s="46" cm="1">
        <f t="array" ref="E5">_xlfn.STDEV.P(ABS(data!F12:M12),ABS(data!F24:M24),ABS(data!F36:M36))</f>
        <v>0.13296053594728624</v>
      </c>
      <c r="F5" s="45" t="s">
        <v>66</v>
      </c>
      <c r="G5" s="46" cm="1">
        <f t="array" ref="G5">_xlfn.STDEV.P(ABS(data!Z12:AG12),ABS(data!Z24:AG24),ABS(data!Z36:AG36))</f>
        <v>0.13304587699571177</v>
      </c>
      <c r="H5" s="45" t="s">
        <v>66</v>
      </c>
      <c r="I5" s="46" cm="1">
        <f t="array" ref="I5">_xlfn.STDEV.P(ABS(data!AT12:BA12),ABS(data!AT24:BA24),ABS(data!AT36:BA36))</f>
        <v>8.0026447633908329E-2</v>
      </c>
      <c r="J5" s="45" t="s">
        <v>66</v>
      </c>
      <c r="K5" s="46" cm="1">
        <f t="array" ref="K5">_xlfn.STDEV.P(ABS(data!BN12:BU12),ABS(data!BN24:BU24),ABS(data!BN36:BU36))</f>
        <v>0.101376186538253</v>
      </c>
      <c r="L5" s="45" t="s">
        <v>66</v>
      </c>
      <c r="M5" s="46" cm="1">
        <f t="array" ref="M5">_xlfn.STDEV.P(ABS(data!CH12:CO12),ABS(data!CH24:CO24),ABS(data!CH36:CO36))</f>
        <v>1.0815138122244665</v>
      </c>
      <c r="N5" s="45" t="s">
        <v>66</v>
      </c>
      <c r="O5" s="46" cm="1">
        <f t="array" ref="O5">_xlfn.STDEV.P(ABS(data!DB12:DI12),ABS(data!DB24:DI24),ABS(data!DB36:DI36))</f>
        <v>1.2110934795240549</v>
      </c>
      <c r="P5" s="45" t="s">
        <v>66</v>
      </c>
      <c r="Q5" s="46" cm="1">
        <f t="array" ref="Q5">_xlfn.STDEV.P(ABS(data!DV12:EC12),ABS(data!DV24:EC24),ABS(data!DV36:EC36))</f>
        <v>2.5959260071703483</v>
      </c>
      <c r="R5" s="45" t="s">
        <v>66</v>
      </c>
      <c r="S5" s="46" cm="1">
        <f t="array" ref="S5">_xlfn.STDEV.P(ABS(data!EP12:EW12),ABS(data!EP24:EW24),ABS(data!EP36:EW36))</f>
        <v>1.4338327909415682</v>
      </c>
    </row>
    <row r="6" spans="3:19" x14ac:dyDescent="0.3">
      <c r="C6" s="66"/>
      <c r="D6" s="45" t="s">
        <v>67</v>
      </c>
      <c r="E6" s="46" cm="1">
        <f t="array" ref="E6">AVERAGE(ABS(data!F13:M13),ABS(data!F25:M25),ABS(data!F37:M37))</f>
        <v>5.7136902937929923</v>
      </c>
      <c r="F6" s="45" t="s">
        <v>67</v>
      </c>
      <c r="G6" s="46" cm="1">
        <f t="array" ref="G6">AVERAGE(ABS(data!Z13:AG13),ABS(data!Z25:AG25),ABS(data!Z37:AG37))</f>
        <v>4.2620421601797451</v>
      </c>
      <c r="H6" s="45" t="s">
        <v>67</v>
      </c>
      <c r="I6" s="46" cm="1">
        <f t="array" ref="I6">AVERAGE(ABS(data!AT13:BA13),ABS(data!AT25:BA25),ABS(data!AT37:BA37))</f>
        <v>3.371381536891727</v>
      </c>
      <c r="J6" s="45" t="s">
        <v>67</v>
      </c>
      <c r="K6" s="46" cm="1">
        <f t="array" ref="K6">AVERAGE(ABS(data!BN13:BU13),ABS(data!BN25:BU25),ABS(data!BN37:BU37))</f>
        <v>2.8075693218991709</v>
      </c>
      <c r="L6" s="45" t="s">
        <v>67</v>
      </c>
      <c r="M6" s="46" cm="1">
        <f t="array" ref="M6">AVERAGE(ABS(data!CH13:CO13),ABS(data!CH25:CO25),ABS(data!CH37:CO37))</f>
        <v>111.97038890456474</v>
      </c>
      <c r="N6" s="45" t="s">
        <v>67</v>
      </c>
      <c r="O6" s="46" cm="1">
        <f t="array" ref="O6">AVERAGE(ABS(data!DB13:DI13),ABS(data!DB25:DI25),ABS(data!DB37:DI37))</f>
        <v>354.90391966610696</v>
      </c>
      <c r="P6" s="45" t="s">
        <v>67</v>
      </c>
      <c r="Q6" s="46" cm="1">
        <f t="array" ref="Q6">AVERAGE(ABS(data!DV13:EC13),ABS(data!DV25:EC25),ABS(data!DV37:EC37))</f>
        <v>212.65066295392339</v>
      </c>
      <c r="R6" s="45" t="s">
        <v>67</v>
      </c>
      <c r="S6" s="46" cm="1">
        <f t="array" ref="S6">AVERAGE(ABS(data!EP13:EW13),ABS(data!EP25:EW25),ABS(data!EP37:EW37))</f>
        <v>675.72238654319221</v>
      </c>
    </row>
    <row r="7" spans="3:19" x14ac:dyDescent="0.3">
      <c r="C7" s="66"/>
      <c r="D7" s="45" t="s">
        <v>66</v>
      </c>
      <c r="E7" s="46" cm="1">
        <f t="array" ref="E7">_xlfn.STDEV.P(ABS(data!F13:M13),ABS(data!F25:M25),ABS(data!F37:M37))</f>
        <v>3.5327818728804536</v>
      </c>
      <c r="F7" s="45" t="s">
        <v>66</v>
      </c>
      <c r="G7" s="46" cm="1">
        <f t="array" ref="G7">_xlfn.STDEV.P(ABS(data!Z13:AG13),ABS(data!Z25:AG25),ABS(data!Z37:AG37))</f>
        <v>3.1600373726902062</v>
      </c>
      <c r="H7" s="45" t="s">
        <v>66</v>
      </c>
      <c r="I7" s="46" cm="1">
        <f t="array" ref="I7">_xlfn.STDEV.P(ABS(data!AT13:BA13),ABS(data!AT25:BA25),ABS(data!AT37:BA37))</f>
        <v>2.9362792755961395</v>
      </c>
      <c r="J7" s="45" t="s">
        <v>66</v>
      </c>
      <c r="K7" s="46" cm="1">
        <f t="array" ref="K7">_xlfn.STDEV.P(ABS(data!BN13:BU13),ABS(data!BN25:BU25),ABS(data!BN37:BU37))</f>
        <v>2.7907443271511148</v>
      </c>
      <c r="L7" s="45" t="s">
        <v>66</v>
      </c>
      <c r="M7" s="46" cm="1">
        <f t="array" ref="M7">_xlfn.STDEV.P(ABS(data!CH13:CO13),ABS(data!CH25:CO25),ABS(data!CH37:CO37))</f>
        <v>84.210260703762756</v>
      </c>
      <c r="N7" s="45" t="s">
        <v>66</v>
      </c>
      <c r="O7" s="46" cm="1">
        <f t="array" ref="O7">_xlfn.STDEV.P(ABS(data!DB13:DI13),ABS(data!DB25:DI25),ABS(data!DB37:DI37))</f>
        <v>413.04012243130035</v>
      </c>
      <c r="P7" s="45" t="s">
        <v>66</v>
      </c>
      <c r="Q7" s="46" cm="1">
        <f t="array" ref="Q7">_xlfn.STDEV.P(ABS(data!DV13:EC13),ABS(data!DV25:EC25),ABS(data!DV37:EC37))</f>
        <v>209.80095669827929</v>
      </c>
      <c r="R7" s="45" t="s">
        <v>66</v>
      </c>
      <c r="S7" s="46" cm="1">
        <f t="array" ref="S7">_xlfn.STDEV.P(ABS(data!EP13:EW13),ABS(data!EP25:EW25),ABS(data!EP37:EW37))</f>
        <v>731.32560907620132</v>
      </c>
    </row>
    <row r="8" spans="3:19" x14ac:dyDescent="0.3">
      <c r="C8" s="85"/>
      <c r="D8" s="47"/>
      <c r="E8" s="54"/>
      <c r="F8" s="47"/>
      <c r="G8" s="54"/>
      <c r="H8" s="47"/>
      <c r="I8" s="54"/>
      <c r="J8" s="47"/>
      <c r="K8" s="54"/>
      <c r="L8" s="47"/>
      <c r="M8" s="54"/>
      <c r="N8" s="47"/>
      <c r="O8" s="54"/>
      <c r="P8" s="47"/>
      <c r="Q8" s="54"/>
      <c r="R8" s="47"/>
      <c r="S8" s="54"/>
    </row>
    <row r="9" spans="3:19" x14ac:dyDescent="0.3">
      <c r="C9" s="66" t="s">
        <v>68</v>
      </c>
      <c r="D9" s="45" t="s">
        <v>65</v>
      </c>
      <c r="E9" s="46" cm="1">
        <f t="array" ref="E9">AVERAGE(ABS(data!F15:M15),ABS(data!F27:M27),ABS(data!F39:M39))</f>
        <v>0.15593010162157708</v>
      </c>
      <c r="F9" s="45" t="s">
        <v>65</v>
      </c>
      <c r="G9" s="46" cm="1">
        <f t="array" ref="G9">AVERAGE(ABS(data!Z15:AG15),ABS(data!Z27:AG27),ABS(data!Z39:AG39))</f>
        <v>0.13603070417783289</v>
      </c>
      <c r="H9" s="45" t="s">
        <v>65</v>
      </c>
      <c r="I9" s="46" cm="1">
        <f t="array" ref="I9">AVERAGE(ABS(data!AT15:BA15),ABS(data!AT27:BA27),ABS(data!AT39:BA39))</f>
        <v>0.15733707602609245</v>
      </c>
      <c r="J9" s="45" t="s">
        <v>65</v>
      </c>
      <c r="K9" s="46" cm="1">
        <f t="array" ref="K9">AVERAGE(ABS(data!BN15:BU15),ABS(data!BN27:BU27),ABS(data!BN39:BU39))</f>
        <v>8.4707125429887342E-2</v>
      </c>
      <c r="L9" s="45" t="s">
        <v>65</v>
      </c>
      <c r="M9" s="46" cm="1">
        <f t="array" ref="M9">AVERAGE(ABS(data!CH15:CO15),ABS(data!CH27:CO27),ABS(data!CH39:CO39))</f>
        <v>1.9257159839314075</v>
      </c>
      <c r="N9" s="45" t="s">
        <v>65</v>
      </c>
      <c r="O9" s="46" cm="1">
        <f t="array" ref="O9">AVERAGE(ABS(data!DB15:DI15),ABS(data!DB27:DI27),ABS(data!DB39:DI39))</f>
        <v>2.7429657661927442</v>
      </c>
      <c r="P9" s="45" t="s">
        <v>65</v>
      </c>
      <c r="Q9" s="46" cm="1">
        <f t="array" ref="Q9">AVERAGE(ABS(data!DV15:EC15),ABS(data!DV27:EC27),ABS(data!DV39:EC39))</f>
        <v>2.477291209345577</v>
      </c>
      <c r="R9" s="45" t="s">
        <v>65</v>
      </c>
      <c r="S9" s="46" cm="1">
        <f t="array" ref="S9">AVERAGE(ABS(data!EP15:EW15),ABS(data!EP27:EW27),ABS(data!EP39:EW39))</f>
        <v>3.0935953084990069</v>
      </c>
    </row>
    <row r="10" spans="3:19" x14ac:dyDescent="0.3">
      <c r="C10" s="66"/>
      <c r="D10" s="45" t="s">
        <v>66</v>
      </c>
      <c r="E10" s="46" cm="1">
        <f t="array" ref="E10">_xlfn.STDEV.P(ABS(data!F15:M15),ABS(data!F27:M27),ABS(data!F39:M39))</f>
        <v>0.11870394301784158</v>
      </c>
      <c r="F10" s="45" t="s">
        <v>66</v>
      </c>
      <c r="G10" s="46" cm="1">
        <f t="array" ref="G10">_xlfn.STDEV.P(ABS(data!Z15:AG15),ABS(data!Z27:AG27),ABS(data!Z39:AG39))</f>
        <v>0.12976241235993838</v>
      </c>
      <c r="H10" s="45" t="s">
        <v>66</v>
      </c>
      <c r="I10" s="46" cm="1">
        <f t="array" ref="I10">_xlfn.STDEV.P(ABS(data!AT15:BA15),ABS(data!AT27:BA27),ABS(data!AT39:BA39))</f>
        <v>0.23950967014683122</v>
      </c>
      <c r="J10" s="45" t="s">
        <v>66</v>
      </c>
      <c r="K10" s="46" cm="1">
        <f t="array" ref="K10">_xlfn.STDEV.P(ABS(data!BN15:BU15),ABS(data!BN27:BU27),ABS(data!BN39:BU39))</f>
        <v>8.9022569993379902E-2</v>
      </c>
      <c r="L10" s="45" t="s">
        <v>66</v>
      </c>
      <c r="M10" s="46" cm="1">
        <f t="array" ref="M10">_xlfn.STDEV.P(ABS(data!CH15:CO15),ABS(data!CH27:CO27),ABS(data!CH39:CO39))</f>
        <v>1.1005871676120402</v>
      </c>
      <c r="N10" s="45" t="s">
        <v>66</v>
      </c>
      <c r="O10" s="46" cm="1">
        <f t="array" ref="O10">_xlfn.STDEV.P(ABS(data!DB15:DI15),ABS(data!DB27:DI27),ABS(data!DB39:DI39))</f>
        <v>1.1936851761765273</v>
      </c>
      <c r="P10" s="45" t="s">
        <v>66</v>
      </c>
      <c r="Q10" s="46" cm="1">
        <f t="array" ref="Q10">_xlfn.STDEV.P(ABS(data!DV15:EC15),ABS(data!DV27:EC27),ABS(data!DV39:EC39))</f>
        <v>2.611693314618611</v>
      </c>
      <c r="R10" s="45" t="s">
        <v>66</v>
      </c>
      <c r="S10" s="46" cm="1">
        <f t="array" ref="S10">_xlfn.STDEV.P(ABS(data!EP15:EW15),ABS(data!EP27:EW27),ABS(data!EP39:EW39))</f>
        <v>1.4214807437983177</v>
      </c>
    </row>
    <row r="11" spans="3:19" x14ac:dyDescent="0.3">
      <c r="C11" s="66"/>
      <c r="D11" s="45" t="s">
        <v>67</v>
      </c>
      <c r="E11" s="46" cm="1">
        <f t="array" ref="E11">AVERAGE(ABS(data!F16:M16),ABS(data!F28:M28),ABS(data!F40:M40))</f>
        <v>4.3829838934471672</v>
      </c>
      <c r="F11" s="45" t="s">
        <v>67</v>
      </c>
      <c r="G11" s="46" cm="1">
        <f t="array" ref="G11">AVERAGE(ABS(data!Z16:AG16),ABS(data!Z28:AG28),ABS(data!Z40:AG40))</f>
        <v>3.1408294689851117</v>
      </c>
      <c r="H11" s="45" t="s">
        <v>67</v>
      </c>
      <c r="I11" s="46" cm="1">
        <f t="array" ref="I11">AVERAGE(ABS(data!AT16:BA16),ABS(data!AT28:BA28),ABS(data!AT40:BA40))</f>
        <v>5.2640368684308489</v>
      </c>
      <c r="J11" s="45" t="s">
        <v>67</v>
      </c>
      <c r="K11" s="46" cm="1">
        <f t="array" ref="K11">AVERAGE(ABS(data!BN16:BU16),ABS(data!BN28:BU28),ABS(data!BN40:BU40))</f>
        <v>2.1974208410133165</v>
      </c>
      <c r="L11" s="45" t="s">
        <v>67</v>
      </c>
      <c r="M11" s="46" cm="1">
        <f t="array" ref="M11">AVERAGE(ABS(data!CH16:CO16),ABS(data!CH28:CO28),ABS(data!CH40:CO40))</f>
        <v>114.46199806254084</v>
      </c>
      <c r="N11" s="45" t="s">
        <v>67</v>
      </c>
      <c r="O11" s="46" cm="1">
        <f t="array" ref="O11">AVERAGE(ABS(data!DB16:DI16),ABS(data!DB28:DI28),ABS(data!DB40:DI40))</f>
        <v>358.68306383700207</v>
      </c>
      <c r="P11" s="45" t="s">
        <v>67</v>
      </c>
      <c r="Q11" s="46" cm="1">
        <f t="array" ref="Q11">AVERAGE(ABS(data!DV16:EC16),ABS(data!DV28:EC28),ABS(data!DV40:EC40))</f>
        <v>207.93348144003554</v>
      </c>
      <c r="R11" s="45" t="s">
        <v>67</v>
      </c>
      <c r="S11" s="46" cm="1">
        <f t="array" ref="S11">AVERAGE(ABS(data!EP16:EW16),ABS(data!EP28:EW28),ABS(data!EP40:EW40))</f>
        <v>678.30860255232517</v>
      </c>
    </row>
    <row r="12" spans="3:19" x14ac:dyDescent="0.3">
      <c r="C12" s="66"/>
      <c r="D12" s="45" t="s">
        <v>66</v>
      </c>
      <c r="E12" s="46" cm="1">
        <f t="array" ref="E12">_xlfn.STDEV.P(ABS(data!F16:M16),ABS(data!F28:M28),ABS(data!F40:M40))</f>
        <v>3.0542424863339797</v>
      </c>
      <c r="F12" s="45" t="s">
        <v>66</v>
      </c>
      <c r="G12" s="46" cm="1">
        <f t="array" ref="G12">_xlfn.STDEV.P(ABS(data!Z16:AG16),ABS(data!Z28:AG28),ABS(data!Z40:AG40))</f>
        <v>2.8834248301512369</v>
      </c>
      <c r="H12" s="45" t="s">
        <v>66</v>
      </c>
      <c r="I12" s="46" cm="1">
        <f t="array" ref="I12">_xlfn.STDEV.P(ABS(data!AT16:BA16),ABS(data!AT28:BA28),ABS(data!AT40:BA40))</f>
        <v>6.0572718848913318</v>
      </c>
      <c r="J12" s="45" t="s">
        <v>66</v>
      </c>
      <c r="K12" s="46" cm="1">
        <f t="array" ref="K12">_xlfn.STDEV.P(ABS(data!BN16:BU16),ABS(data!BN28:BU28),ABS(data!BN40:BU40))</f>
        <v>2.4532609298254657</v>
      </c>
      <c r="L12" s="45" t="s">
        <v>66</v>
      </c>
      <c r="M12" s="46" cm="1">
        <f t="array" ref="M12">_xlfn.STDEV.P(ABS(data!CH16:CO16),ABS(data!CH28:CO28),ABS(data!CH40:CO40))</f>
        <v>87.284887850257235</v>
      </c>
      <c r="N12" s="45" t="s">
        <v>66</v>
      </c>
      <c r="O12" s="46" cm="1">
        <f t="array" ref="O12">_xlfn.STDEV.P(ABS(data!DB16:DI16),ABS(data!DB28:DI28),ABS(data!DB40:DI40))</f>
        <v>417.77819698137461</v>
      </c>
      <c r="P12" s="45" t="s">
        <v>66</v>
      </c>
      <c r="Q12" s="46" cm="1">
        <f t="array" ref="Q12">_xlfn.STDEV.P(ABS(data!DV16:EC16),ABS(data!DV28:EC28),ABS(data!DV40:EC40))</f>
        <v>212.23609245897913</v>
      </c>
      <c r="R12" s="45" t="s">
        <v>66</v>
      </c>
      <c r="S12" s="46" cm="1">
        <f t="array" ref="S12">_xlfn.STDEV.P(ABS(data!EP16:EW16),ABS(data!EP28:EW28),ABS(data!EP40:EW40))</f>
        <v>739.28824320865817</v>
      </c>
    </row>
    <row r="13" spans="3:19" x14ac:dyDescent="0.3">
      <c r="C13" s="85"/>
      <c r="D13" s="47"/>
      <c r="E13" s="54"/>
      <c r="F13" s="47"/>
      <c r="G13" s="54"/>
      <c r="H13" s="47"/>
      <c r="I13" s="54"/>
      <c r="J13" s="47"/>
      <c r="K13" s="54"/>
      <c r="L13" s="47"/>
      <c r="M13" s="54"/>
      <c r="N13" s="47"/>
      <c r="O13" s="54"/>
      <c r="P13" s="47"/>
      <c r="Q13" s="54"/>
      <c r="R13" s="47"/>
      <c r="S13" s="54"/>
    </row>
    <row r="14" spans="3:19" x14ac:dyDescent="0.3">
      <c r="C14" s="66" t="s">
        <v>69</v>
      </c>
      <c r="D14" s="45" t="s">
        <v>65</v>
      </c>
      <c r="E14" s="46" cm="1">
        <f t="array" ref="E14">AVERAGE(ABS(data!F18:M18),ABS(data!F30:M30),ABS(data!F42:M42))</f>
        <v>0.14826343495491121</v>
      </c>
      <c r="F14" s="45" t="s">
        <v>65</v>
      </c>
      <c r="G14" s="46" cm="1">
        <f t="array" ref="G14">AVERAGE(ABS(data!Z18:AG18),ABS(data!Z30:AG30),ABS(data!Z42:AG42))</f>
        <v>0.15958385867361127</v>
      </c>
      <c r="H14" s="45" t="s">
        <v>65</v>
      </c>
      <c r="I14" s="46" cm="1">
        <f t="array" ref="I14">AVERAGE(ABS(data!AT18:BA18),ABS(data!AT30:BA30),ABS(data!AT42:BA42))</f>
        <v>9.8666620392045254E-2</v>
      </c>
      <c r="J14" s="45" t="s">
        <v>65</v>
      </c>
      <c r="K14" s="46" cm="1">
        <f t="array" ref="K14">AVERAGE(ABS(data!BN18:BU18),ABS(data!BN30:BU30),ABS(data!BN42:BU42))</f>
        <v>9.8634846414837898E-2</v>
      </c>
      <c r="L14" s="45" t="s">
        <v>65</v>
      </c>
      <c r="M14" s="46" cm="1">
        <f t="array" ref="M14">AVERAGE(ABS(data!CH18:CO18),ABS(data!CH30:CO30),ABS(data!CH42:CO42))</f>
        <v>1.9440493172647406</v>
      </c>
      <c r="N14" s="45" t="s">
        <v>65</v>
      </c>
      <c r="O14" s="46" cm="1">
        <f t="array" ref="O14">AVERAGE(ABS(data!DB18:DI18),ABS(data!DB30:DI30),ABS(data!DB42:DI42))</f>
        <v>2.7392157661927445</v>
      </c>
      <c r="P14" s="45" t="s">
        <v>65</v>
      </c>
      <c r="Q14" s="46" cm="1">
        <f t="array" ref="Q14">AVERAGE(ABS(data!DV18:EC18),ABS(data!DV30:EC30),ABS(data!DV42:EC42))</f>
        <v>2.5760412093455778</v>
      </c>
      <c r="R14" s="45" t="s">
        <v>65</v>
      </c>
      <c r="S14" s="46" cm="1">
        <f t="array" ref="S14">AVERAGE(ABS(data!EP18:EW18),ABS(data!EP30:EW30),ABS(data!EP42:EW42))</f>
        <v>3.1160953084990068</v>
      </c>
    </row>
    <row r="15" spans="3:19" x14ac:dyDescent="0.3">
      <c r="C15" s="66"/>
      <c r="D15" s="45" t="s">
        <v>66</v>
      </c>
      <c r="E15" s="46" cm="1">
        <f t="array" ref="E15">_xlfn.STDEV.P(ABS(data!F18:M18),ABS(data!F30:M30),ABS(data!F42:M42))</f>
        <v>0.10858132608869012</v>
      </c>
      <c r="F15" s="45" t="s">
        <v>66</v>
      </c>
      <c r="G15" s="46" cm="1">
        <f t="array" ref="G15">_xlfn.STDEV.P(ABS(data!Z18:AG18),ABS(data!Z30:AG30),ABS(data!Z42:AG42))</f>
        <v>0.14826327269774234</v>
      </c>
      <c r="H15" s="45" t="s">
        <v>66</v>
      </c>
      <c r="I15" s="46" cm="1">
        <f t="array" ref="I15">_xlfn.STDEV.P(ABS(data!AT18:BA18),ABS(data!AT30:BA30),ABS(data!AT42:BA42))</f>
        <v>5.0691656041741556E-2</v>
      </c>
      <c r="J15" s="45" t="s">
        <v>66</v>
      </c>
      <c r="K15" s="46" cm="1">
        <f t="array" ref="K15">_xlfn.STDEV.P(ABS(data!BN18:BU18),ABS(data!BN30:BU30),ABS(data!BN42:BU42))</f>
        <v>9.2425148139465049E-2</v>
      </c>
      <c r="L15" s="45" t="s">
        <v>66</v>
      </c>
      <c r="M15" s="46" cm="1">
        <f t="array" ref="M15">_xlfn.STDEV.P(ABS(data!CH18:CO18),ABS(data!CH30:CO30),ABS(data!CH42:CO42))</f>
        <v>1.114942199107672</v>
      </c>
      <c r="N15" s="45" t="s">
        <v>66</v>
      </c>
      <c r="O15" s="46" cm="1">
        <f t="array" ref="O15">_xlfn.STDEV.P(ABS(data!DB18:DI18),ABS(data!DB30:DI30),ABS(data!DB42:DI42))</f>
        <v>1.2084321418044683</v>
      </c>
      <c r="P15" s="45" t="s">
        <v>66</v>
      </c>
      <c r="Q15" s="46" cm="1">
        <f t="array" ref="Q15">_xlfn.STDEV.P(ABS(data!DV18:EC18),ABS(data!DV30:EC30),ABS(data!DV42:EC42))</f>
        <v>2.6070898450843103</v>
      </c>
      <c r="R15" s="45" t="s">
        <v>66</v>
      </c>
      <c r="S15" s="46" cm="1">
        <f t="array" ref="S15">_xlfn.STDEV.P(ABS(data!EP18:EW18),ABS(data!EP30:EW30),ABS(data!EP42:EW42))</f>
        <v>1.4347451641385853</v>
      </c>
    </row>
    <row r="16" spans="3:19" x14ac:dyDescent="0.3">
      <c r="C16" s="66"/>
      <c r="D16" s="45" t="s">
        <v>67</v>
      </c>
      <c r="E16" s="46" cm="1">
        <f t="array" ref="E16">AVERAGE(ABS(data!F19:M19),ABS(data!F31:M31),ABS(data!F43:M43))</f>
        <v>4.1936160468409991</v>
      </c>
      <c r="F16" s="45" t="s">
        <v>67</v>
      </c>
      <c r="G16" s="46" cm="1">
        <f t="array" ref="G16">AVERAGE(ABS(data!Z19:AG19),ABS(data!Z31:AG31),ABS(data!Z43:AG43))</f>
        <v>3.8070698673315717</v>
      </c>
      <c r="H16" s="45" t="s">
        <v>67</v>
      </c>
      <c r="I16" s="46" cm="1">
        <f t="array" ref="I16">AVERAGE(ABS(data!AT19:BA19),ABS(data!AT31:BA31),ABS(data!AT43:BA43))</f>
        <v>3.6466486020494902</v>
      </c>
      <c r="J16" s="45" t="s">
        <v>67</v>
      </c>
      <c r="K16" s="46" cm="1">
        <f t="array" ref="K16">AVERAGE(ABS(data!BN19:BU19),ABS(data!BN31:BU31),ABS(data!BN43:BU43))</f>
        <v>2.4144619970875447</v>
      </c>
      <c r="L16" s="45" t="s">
        <v>67</v>
      </c>
      <c r="M16" s="46" cm="1">
        <f t="array" ref="M16">AVERAGE(ABS(data!CH19:CO19),ABS(data!CH31:CO31),ABS(data!CH43:CO43))</f>
        <v>115.41034054056853</v>
      </c>
      <c r="N16" s="45" t="s">
        <v>67</v>
      </c>
      <c r="O16" s="46" cm="1">
        <f t="array" ref="O16">AVERAGE(ABS(data!DB19:DI19),ABS(data!DB31:DI31),ABS(data!DB43:DI43))</f>
        <v>358.22909104542555</v>
      </c>
      <c r="P16" s="45" t="s">
        <v>67</v>
      </c>
      <c r="Q16" s="46" cm="1">
        <f t="array" ref="Q16">AVERAGE(ABS(data!DV19:EC19),ABS(data!DV31:EC31),ABS(data!DV43:EC43))</f>
        <v>212.92205699031399</v>
      </c>
      <c r="R16" s="45" t="s">
        <v>67</v>
      </c>
      <c r="S16" s="46" cm="1">
        <f t="array" ref="S16">AVERAGE(ABS(data!EP19:EW19),ABS(data!EP31:EW31),ABS(data!EP43:EW43))</f>
        <v>681.8567102348137</v>
      </c>
    </row>
    <row r="17" spans="3:19" x14ac:dyDescent="0.3">
      <c r="C17" s="66"/>
      <c r="D17" s="45" t="s">
        <v>66</v>
      </c>
      <c r="E17" s="46" cm="1">
        <f t="array" ref="E17">_xlfn.STDEV.P(ABS(data!F19:M19),ABS(data!F31:M31),ABS(data!F43:M43))</f>
        <v>2.8855591485425816</v>
      </c>
      <c r="F17" s="45" t="s">
        <v>66</v>
      </c>
      <c r="G17" s="46" cm="1">
        <f t="array" ref="G17">_xlfn.STDEV.P(ABS(data!Z19:AG19),ABS(data!Z31:AG31),ABS(data!Z43:AG43))</f>
        <v>3.5178894028053254</v>
      </c>
      <c r="H17" s="45" t="s">
        <v>66</v>
      </c>
      <c r="I17" s="46" cm="1">
        <f t="array" ref="I17">_xlfn.STDEV.P(ABS(data!AT19:BA19),ABS(data!AT31:BA31),ABS(data!AT43:BA43))</f>
        <v>2.5240761251376926</v>
      </c>
      <c r="J17" s="45" t="s">
        <v>66</v>
      </c>
      <c r="K17" s="46" cm="1">
        <f t="array" ref="K17">_xlfn.STDEV.P(ABS(data!BN19:BU19),ABS(data!BN31:BU31),ABS(data!BN43:BU43))</f>
        <v>2.5179790598444804</v>
      </c>
      <c r="L17" s="45" t="s">
        <v>66</v>
      </c>
      <c r="M17" s="46" cm="1">
        <f t="array" ref="M17">_xlfn.STDEV.P(ABS(data!CH19:CO19),ABS(data!CH31:CO31),ABS(data!CH43:CO43))</f>
        <v>88.112406337965965</v>
      </c>
      <c r="N17" s="45" t="s">
        <v>66</v>
      </c>
      <c r="O17" s="46" cm="1">
        <f t="array" ref="O17">_xlfn.STDEV.P(ABS(data!DB19:DI19),ABS(data!DB31:DI31),ABS(data!DB43:DI43))</f>
        <v>418.15475579673472</v>
      </c>
      <c r="P17" s="45" t="s">
        <v>66</v>
      </c>
      <c r="Q17" s="46" cm="1">
        <f t="array" ref="Q17">_xlfn.STDEV.P(ABS(data!DV19:EC19),ABS(data!DV31:EC31),ABS(data!DV43:EC43))</f>
        <v>206.20697601131079</v>
      </c>
      <c r="R17" s="45" t="s">
        <v>66</v>
      </c>
      <c r="S17" s="46" cm="1">
        <f t="array" ref="S17">_xlfn.STDEV.P(ABS(data!EP19:EW19),ABS(data!EP31:EW31),ABS(data!EP43:EW43))</f>
        <v>743.67328375708496</v>
      </c>
    </row>
    <row r="18" spans="3:19" x14ac:dyDescent="0.3">
      <c r="C18" s="85"/>
      <c r="D18" s="45"/>
      <c r="E18" s="46"/>
      <c r="F18" s="45"/>
      <c r="G18" s="46"/>
      <c r="H18" s="45"/>
      <c r="I18" s="46"/>
      <c r="J18" s="45"/>
      <c r="K18" s="46"/>
      <c r="L18" s="45"/>
      <c r="M18" s="46"/>
      <c r="N18" s="45"/>
      <c r="O18" s="46"/>
      <c r="P18" s="45"/>
      <c r="Q18" s="46"/>
      <c r="R18" s="45"/>
      <c r="S18" s="46"/>
    </row>
    <row r="19" spans="3:19" x14ac:dyDescent="0.3">
      <c r="C19" s="66" t="s">
        <v>70</v>
      </c>
      <c r="D19" s="52" t="s">
        <v>65</v>
      </c>
      <c r="E19" s="53">
        <f>AVERAGE(E4,E9,E14)</f>
        <v>0.170063098254574</v>
      </c>
      <c r="F19" s="52" t="s">
        <v>65</v>
      </c>
      <c r="G19" s="53">
        <f>AVERAGE(G4,G9,G14)</f>
        <v>0.15837670517137539</v>
      </c>
      <c r="H19" s="52" t="s">
        <v>65</v>
      </c>
      <c r="I19" s="53">
        <f>AVERAGE(I4,I9,I14)</f>
        <v>0.11528025748141003</v>
      </c>
      <c r="J19" s="52" t="s">
        <v>65</v>
      </c>
      <c r="K19" s="53">
        <f>AVERAGE(K4,K9,K14)</f>
        <v>9.6876715966248916E-2</v>
      </c>
      <c r="L19" s="52" t="s">
        <v>65</v>
      </c>
      <c r="M19" s="53">
        <f>AVERAGE(M4,M9,M14)</f>
        <v>1.9243270950425186</v>
      </c>
      <c r="N19" s="52" t="s">
        <v>65</v>
      </c>
      <c r="O19" s="53">
        <f>AVERAGE(O4,O9,O14)</f>
        <v>2.7304657661927449</v>
      </c>
      <c r="P19" s="52" t="s">
        <v>65</v>
      </c>
      <c r="Q19" s="53">
        <f>AVERAGE(Q4,Q9,Q14)</f>
        <v>2.5318745426789104</v>
      </c>
      <c r="R19" s="52" t="s">
        <v>65</v>
      </c>
      <c r="S19" s="53">
        <f>AVERAGE(S4,S9,S14)</f>
        <v>3.1015119751656735</v>
      </c>
    </row>
    <row r="20" spans="3:19" x14ac:dyDescent="0.3">
      <c r="C20" s="66"/>
      <c r="D20" s="45" t="s">
        <v>71</v>
      </c>
      <c r="E20" s="46">
        <f>AVERAGE(E5,E10,E15)</f>
        <v>0.12008193501793933</v>
      </c>
      <c r="F20" s="45" t="s">
        <v>71</v>
      </c>
      <c r="G20" s="46">
        <f>AVERAGE(G5,G10,G15)</f>
        <v>0.13702385401779749</v>
      </c>
      <c r="H20" s="45" t="s">
        <v>71</v>
      </c>
      <c r="I20" s="46">
        <f>AVERAGE(I5,I10,I15)</f>
        <v>0.12340925794082702</v>
      </c>
      <c r="J20" s="45" t="s">
        <v>71</v>
      </c>
      <c r="K20" s="46">
        <f>AVERAGE(K5,K10,K15)</f>
        <v>9.4274634890365985E-2</v>
      </c>
      <c r="L20" s="45" t="s">
        <v>71</v>
      </c>
      <c r="M20" s="46">
        <f>AVERAGE(M5,M10,M15)</f>
        <v>1.0990143929813929</v>
      </c>
      <c r="N20" s="45" t="s">
        <v>71</v>
      </c>
      <c r="O20" s="46">
        <f>AVERAGE(O5,O10,O15)</f>
        <v>1.2044035991683502</v>
      </c>
      <c r="P20" s="45" t="s">
        <v>71</v>
      </c>
      <c r="Q20" s="46">
        <f>AVERAGE(Q5,Q10,Q15)</f>
        <v>2.604903055624423</v>
      </c>
      <c r="R20" s="45" t="s">
        <v>71</v>
      </c>
      <c r="S20" s="46">
        <f>AVERAGE(S5,S10,S15)</f>
        <v>1.4300195662928239</v>
      </c>
    </row>
    <row r="21" spans="3:19" x14ac:dyDescent="0.3">
      <c r="C21" s="66"/>
      <c r="D21" s="45" t="s">
        <v>67</v>
      </c>
      <c r="E21" s="46">
        <f>AVERAGE(E6,E11,E16)</f>
        <v>4.7634300780270529</v>
      </c>
      <c r="F21" s="45" t="s">
        <v>67</v>
      </c>
      <c r="G21" s="46">
        <f>AVERAGE(G6,G11,G16)</f>
        <v>3.7366471654988094</v>
      </c>
      <c r="H21" s="45" t="s">
        <v>67</v>
      </c>
      <c r="I21" s="46">
        <f>AVERAGE(I6,I11,I16)</f>
        <v>4.0940223357906884</v>
      </c>
      <c r="J21" s="45" t="s">
        <v>67</v>
      </c>
      <c r="K21" s="46">
        <f>AVERAGE(K6,K11,K16)</f>
        <v>2.4731507200000107</v>
      </c>
      <c r="L21" s="45" t="s">
        <v>67</v>
      </c>
      <c r="M21" s="46">
        <f>AVERAGE(M6,M11,M16)</f>
        <v>113.94757583589137</v>
      </c>
      <c r="N21" s="45" t="s">
        <v>67</v>
      </c>
      <c r="O21" s="46">
        <f>AVERAGE(O6,O11,O16)</f>
        <v>357.27202484951152</v>
      </c>
      <c r="P21" s="45" t="s">
        <v>67</v>
      </c>
      <c r="Q21" s="46">
        <f>AVERAGE(Q6,Q11,Q16)</f>
        <v>211.16873379475763</v>
      </c>
      <c r="R21" s="45" t="s">
        <v>67</v>
      </c>
      <c r="S21" s="46">
        <f>AVERAGE(S6,S11,S16)</f>
        <v>678.62923311011036</v>
      </c>
    </row>
    <row r="22" spans="3:19" x14ac:dyDescent="0.3">
      <c r="C22" s="66"/>
      <c r="D22" s="45" t="s">
        <v>66</v>
      </c>
      <c r="E22" s="46">
        <f>AVERAGE(E7,E12,E17)</f>
        <v>3.1575278359190051</v>
      </c>
      <c r="F22" s="45" t="s">
        <v>66</v>
      </c>
      <c r="G22" s="46">
        <f>AVERAGE(G7,G12,G17)</f>
        <v>3.187117201882256</v>
      </c>
      <c r="H22" s="45" t="s">
        <v>66</v>
      </c>
      <c r="I22" s="46">
        <f>AVERAGE(I7,I12,I17)</f>
        <v>3.8392090952083877</v>
      </c>
      <c r="J22" s="45" t="s">
        <v>66</v>
      </c>
      <c r="K22" s="46">
        <f>AVERAGE(K7,K12,K17)</f>
        <v>2.5873281056070199</v>
      </c>
      <c r="L22" s="45" t="s">
        <v>66</v>
      </c>
      <c r="M22" s="46">
        <f>AVERAGE(M7,M12,M17)</f>
        <v>86.53585163066198</v>
      </c>
      <c r="N22" s="45" t="s">
        <v>66</v>
      </c>
      <c r="O22" s="46">
        <f>AVERAGE(O7,O12,O17)</f>
        <v>416.32435840313656</v>
      </c>
      <c r="P22" s="45" t="s">
        <v>66</v>
      </c>
      <c r="Q22" s="46">
        <f>AVERAGE(Q7,Q12,Q17)</f>
        <v>209.41467505618974</v>
      </c>
      <c r="R22" s="45" t="s">
        <v>66</v>
      </c>
      <c r="S22" s="46">
        <f>AVERAGE(S7,S12,S17)</f>
        <v>738.09571201398148</v>
      </c>
    </row>
    <row r="23" spans="3:19" ht="15" thickBot="1" x14ac:dyDescent="0.35">
      <c r="C23" s="67"/>
      <c r="D23" s="48"/>
      <c r="E23" s="49"/>
      <c r="F23" s="48"/>
      <c r="G23" s="49"/>
      <c r="H23" s="48"/>
      <c r="I23" s="49"/>
      <c r="J23" s="48"/>
      <c r="K23" s="49"/>
      <c r="L23" s="48"/>
      <c r="M23" s="49"/>
      <c r="N23" s="48"/>
      <c r="O23" s="49"/>
      <c r="P23" s="48"/>
      <c r="Q23" s="49"/>
      <c r="R23" s="48"/>
      <c r="S23" s="49"/>
    </row>
    <row r="27" spans="3:19" ht="15" thickBot="1" x14ac:dyDescent="0.35">
      <c r="C27" s="86" t="s">
        <v>106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</row>
    <row r="28" spans="3:19" ht="15" thickBot="1" x14ac:dyDescent="0.35">
      <c r="C28" s="44" t="s">
        <v>73</v>
      </c>
      <c r="D28" s="83" t="s">
        <v>57</v>
      </c>
      <c r="E28" s="84"/>
      <c r="F28" s="83" t="s">
        <v>58</v>
      </c>
      <c r="G28" s="84"/>
      <c r="H28" s="83" t="s">
        <v>59</v>
      </c>
      <c r="I28" s="84"/>
      <c r="J28" s="83" t="s">
        <v>60</v>
      </c>
      <c r="K28" s="84"/>
      <c r="L28" s="83" t="s">
        <v>61</v>
      </c>
      <c r="M28" s="84"/>
      <c r="N28" s="83" t="s">
        <v>62</v>
      </c>
      <c r="O28" s="84"/>
      <c r="P28" s="83" t="s">
        <v>63</v>
      </c>
      <c r="Q28" s="84"/>
      <c r="R28" s="83" t="s">
        <v>64</v>
      </c>
      <c r="S28" s="84"/>
    </row>
    <row r="29" spans="3:19" x14ac:dyDescent="0.3">
      <c r="C29" s="65" t="s">
        <v>23</v>
      </c>
      <c r="D29" s="50" t="s">
        <v>65</v>
      </c>
      <c r="E29" s="51" cm="1">
        <f t="array" ref="E29">AVERAGE(ABS(data!F53:M53),ABS(data!F65:M65),ABS(data!F77:M77))</f>
        <v>7.5207032735507426E-2</v>
      </c>
      <c r="F29" s="50" t="s">
        <v>65</v>
      </c>
      <c r="G29" s="51" cm="1">
        <f t="array" ref="G29">AVERAGE(ABS(data!Z53:AG53),ABS(data!Z65:AG65),ABS(data!Z77:AG77))</f>
        <v>0.18615699459844545</v>
      </c>
      <c r="H29" s="50" t="s">
        <v>65</v>
      </c>
      <c r="I29" s="51" cm="1">
        <f t="array" ref="I29">AVERAGE(ABS(data!AT53:BA53),ABS(data!AT65:BA65),ABS(data!AT77:BA77))</f>
        <v>0.16558789761442994</v>
      </c>
      <c r="J29" s="50" t="s">
        <v>65</v>
      </c>
      <c r="K29" s="51" cm="1">
        <f t="array" ref="K29">AVERAGE(ABS(data!BN53:BU53),ABS(data!BN65:BU65),ABS(data!BN77:BU77))</f>
        <v>0.15515328132636955</v>
      </c>
      <c r="L29" s="50" t="s">
        <v>65</v>
      </c>
      <c r="M29" s="51" cm="1">
        <f t="array" ref="M29">AVERAGE(ABS(data!CH53:CO53),ABS(data!CH65:CO65),ABS(data!CH77:CO77))</f>
        <v>2.1403270233920861</v>
      </c>
      <c r="N29" s="50" t="s">
        <v>65</v>
      </c>
      <c r="O29" s="51" cm="1">
        <f t="array" ref="O29">AVERAGE(ABS(data!DB53:DI53),ABS(data!DB65:DI65),ABS(data!DB77:DI77))</f>
        <v>3.056474184299717</v>
      </c>
      <c r="P29" s="50" t="s">
        <v>65</v>
      </c>
      <c r="Q29" s="51" cm="1">
        <f t="array" ref="Q29">AVERAGE(ABS(data!DV53:EC53),ABS(data!DV65:EC65),ABS(data!DV77:EC77))</f>
        <v>1.7543050757703076</v>
      </c>
      <c r="R29" s="50" t="s">
        <v>65</v>
      </c>
      <c r="S29" s="51" cm="1">
        <f t="array" ref="S29">AVERAGE(ABS(data!EP53:EW53),ABS(data!EP65:EW65),ABS(data!EP77:EW77))</f>
        <v>1.9630485294403501</v>
      </c>
    </row>
    <row r="30" spans="3:19" x14ac:dyDescent="0.3">
      <c r="C30" s="66"/>
      <c r="D30" s="45" t="s">
        <v>66</v>
      </c>
      <c r="E30" s="46" cm="1">
        <f t="array" ref="E30">_xlfn.STDEV.P(ABS(data!F53:M53),ABS(data!F65:M65),ABS(data!F77:M77))</f>
        <v>4.9787944989147841E-2</v>
      </c>
      <c r="F30" s="45" t="s">
        <v>66</v>
      </c>
      <c r="G30" s="46" cm="1">
        <f t="array" ref="G30">_xlfn.STDEV.P(ABS(data!Z53:AG53),ABS(data!Z65:AG65),ABS(data!Z77:AG77))</f>
        <v>0.15673153367907236</v>
      </c>
      <c r="H30" s="45" t="s">
        <v>66</v>
      </c>
      <c r="I30" s="46" cm="1">
        <f t="array" ref="I30">_xlfn.STDEV.P(ABS(data!AT53:BA53),ABS(data!AT65:BA65),ABS(data!AT77:BA77))</f>
        <v>0.13257931109059545</v>
      </c>
      <c r="J30" s="45" t="s">
        <v>66</v>
      </c>
      <c r="K30" s="46" cm="1">
        <f t="array" ref="K30">_xlfn.STDEV.P(ABS(data!BN53:BU53),ABS(data!BN65:BU65),ABS(data!BN77:BU77))</f>
        <v>0.12560076073468077</v>
      </c>
      <c r="L30" s="45" t="s">
        <v>66</v>
      </c>
      <c r="M30" s="46" cm="1">
        <f t="array" ref="M30">_xlfn.STDEV.P(ABS(data!CH53:CO53),ABS(data!CH65:CO65),ABS(data!CH77:CO77))</f>
        <v>1.6475576965829737</v>
      </c>
      <c r="N30" s="45" t="s">
        <v>66</v>
      </c>
      <c r="O30" s="46" cm="1">
        <f t="array" ref="O30">_xlfn.STDEV.P(ABS(data!DB53:DI53),ABS(data!DB65:DI65),ABS(data!DB77:DI77))</f>
        <v>1.3620536724582779</v>
      </c>
      <c r="P30" s="45" t="s">
        <v>66</v>
      </c>
      <c r="Q30" s="46" cm="1">
        <f t="array" ref="Q30">_xlfn.STDEV.P(ABS(data!DV53:EC53),ABS(data!DV65:EC65),ABS(data!DV77:EC77))</f>
        <v>0.72817910040674705</v>
      </c>
      <c r="R30" s="45" t="s">
        <v>66</v>
      </c>
      <c r="S30" s="46" cm="1">
        <f t="array" ref="S30">_xlfn.STDEV.P(ABS(data!EP53:EW53),ABS(data!EP65:EW65),ABS(data!EP77:EW77))</f>
        <v>1.0859083322250256</v>
      </c>
    </row>
    <row r="31" spans="3:19" x14ac:dyDescent="0.3">
      <c r="C31" s="66"/>
      <c r="D31" s="45" t="s">
        <v>67</v>
      </c>
      <c r="E31" s="46" cm="1">
        <f t="array" ref="E31">AVERAGE(ABS(data!F54:M54),ABS(data!F66:M66),ABS(data!F78:M78))</f>
        <v>2.5744102743792578</v>
      </c>
      <c r="F31" s="45" t="s">
        <v>67</v>
      </c>
      <c r="G31" s="46" cm="1">
        <f t="array" ref="G31">AVERAGE(ABS(data!Z54:AG54),ABS(data!Z66:AG66),ABS(data!Z78:AG78))</f>
        <v>6.3284776413945378</v>
      </c>
      <c r="H31" s="45" t="s">
        <v>67</v>
      </c>
      <c r="I31" s="46" cm="1">
        <f t="array" ref="I31">AVERAGE(ABS(data!AT54:BA54),ABS(data!AT66:BA66),ABS(data!AT78:BA78))</f>
        <v>5.0159274215436662</v>
      </c>
      <c r="J31" s="45" t="s">
        <v>67</v>
      </c>
      <c r="K31" s="46" cm="1">
        <f t="array" ref="K31">AVERAGE(ABS(data!BN54:BU54),ABS(data!BN66:BU66),ABS(data!BN78:BU78))</f>
        <v>4.0795231562628889</v>
      </c>
      <c r="L31" s="45" t="s">
        <v>67</v>
      </c>
      <c r="M31" s="46" cm="1">
        <f t="array" ref="M31">AVERAGE(ABS(data!CH54:CO54),ABS(data!CH66:CO66),ABS(data!CH78:CO78))</f>
        <v>288.0241391579795</v>
      </c>
      <c r="N31" s="45" t="s">
        <v>67</v>
      </c>
      <c r="O31" s="46" cm="1">
        <f t="array" ref="O31">AVERAGE(ABS(data!DB54:DI54),ABS(data!DB66:DI66),ABS(data!DB78:DI78))</f>
        <v>918.30477871164987</v>
      </c>
      <c r="P31" s="45" t="s">
        <v>67</v>
      </c>
      <c r="Q31" s="46" cm="1">
        <f t="array" ref="Q31">AVERAGE(ABS(data!DV54:EC54),ABS(data!DV66:EC66),ABS(data!DV78:EC78))</f>
        <v>246.35805220532254</v>
      </c>
      <c r="R31" s="45" t="s">
        <v>67</v>
      </c>
      <c r="S31" s="46" cm="1">
        <f t="array" ref="S31">AVERAGE(ABS(data!EP54:EW54),ABS(data!EP66:EW66),ABS(data!EP78:EW78))</f>
        <v>359.6736131251775</v>
      </c>
    </row>
    <row r="32" spans="3:19" x14ac:dyDescent="0.3">
      <c r="C32" s="66"/>
      <c r="D32" s="45" t="s">
        <v>66</v>
      </c>
      <c r="E32" s="46" cm="1">
        <f t="array" ref="E32">_xlfn.STDEV.P(ABS(data!F54:M54),ABS(data!F66:M66),ABS(data!F78:M78))</f>
        <v>2.6022699827622771</v>
      </c>
      <c r="F32" s="45" t="s">
        <v>66</v>
      </c>
      <c r="G32" s="46" cm="1">
        <f t="array" ref="G32">_xlfn.STDEV.P(ABS(data!Z54:AG54),ABS(data!Z66:AG66),ABS(data!Z78:AG78))</f>
        <v>5.8167374292610274</v>
      </c>
      <c r="H32" s="45" t="s">
        <v>66</v>
      </c>
      <c r="I32" s="46" cm="1">
        <f t="array" ref="I32">_xlfn.STDEV.P(ABS(data!AT54:BA54),ABS(data!AT66:BA66),ABS(data!AT78:BA78))</f>
        <v>2.8445476468430466</v>
      </c>
      <c r="J32" s="45" t="s">
        <v>66</v>
      </c>
      <c r="K32" s="46" cm="1">
        <f t="array" ref="K32">_xlfn.STDEV.P(ABS(data!BN54:BU54),ABS(data!BN66:BU66),ABS(data!BN78:BU78))</f>
        <v>2.5357402959629756</v>
      </c>
      <c r="L32" s="45" t="s">
        <v>66</v>
      </c>
      <c r="M32" s="46" cm="1">
        <f t="array" ref="M32">_xlfn.STDEV.P(ABS(data!CH54:CO54),ABS(data!CH66:CO66),ABS(data!CH78:CO78))</f>
        <v>298.43891417554801</v>
      </c>
      <c r="N32" s="45" t="s">
        <v>66</v>
      </c>
      <c r="O32" s="46" cm="1">
        <f t="array" ref="O32">_xlfn.STDEV.P(ABS(data!DB54:DI54),ABS(data!DB66:DI66),ABS(data!DB78:DI78))</f>
        <v>1137.4359805472709</v>
      </c>
      <c r="P32" s="45" t="s">
        <v>66</v>
      </c>
      <c r="Q32" s="46" cm="1">
        <f t="array" ref="Q32">_xlfn.STDEV.P(ABS(data!DV54:EC54),ABS(data!DV66:EC66),ABS(data!DV78:EC78))</f>
        <v>218.0975612808133</v>
      </c>
      <c r="R32" s="45" t="s">
        <v>66</v>
      </c>
      <c r="S32" s="46" cm="1">
        <f t="array" ref="S32">_xlfn.STDEV.P(ABS(data!EP54:EW54),ABS(data!EP66:EW66),ABS(data!EP78:EW78))</f>
        <v>298.26789736155285</v>
      </c>
    </row>
    <row r="33" spans="3:19" x14ac:dyDescent="0.3">
      <c r="C33" s="85"/>
      <c r="D33" s="47"/>
      <c r="E33" s="54"/>
      <c r="F33" s="47"/>
      <c r="G33" s="54"/>
      <c r="H33" s="47"/>
      <c r="I33" s="54"/>
      <c r="J33" s="47"/>
      <c r="K33" s="54"/>
      <c r="L33" s="47"/>
      <c r="M33" s="54"/>
      <c r="N33" s="47"/>
      <c r="O33" s="54"/>
      <c r="P33" s="47"/>
      <c r="Q33" s="54"/>
      <c r="R33" s="47"/>
      <c r="S33" s="54"/>
    </row>
    <row r="34" spans="3:19" x14ac:dyDescent="0.3">
      <c r="C34" s="66" t="s">
        <v>68</v>
      </c>
      <c r="D34" s="45" t="s">
        <v>65</v>
      </c>
      <c r="E34" s="46" cm="1">
        <f t="array" ref="E34">AVERAGE(ABS(data!F56:M56),ABS(data!F68:M68),ABS(data!F80:M80))</f>
        <v>7.485192488039917E-2</v>
      </c>
      <c r="F34" s="45" t="s">
        <v>65</v>
      </c>
      <c r="G34" s="46" cm="1">
        <f t="array" ref="G34">AVERAGE(ABS(data!Z56:AG56),ABS(data!Z68:AG68),ABS(data!Z80:AG80))</f>
        <v>0.16865699459844544</v>
      </c>
      <c r="H34" s="45" t="s">
        <v>65</v>
      </c>
      <c r="I34" s="46" cm="1">
        <f t="array" ref="I34">AVERAGE(ABS(data!AT56:BA56),ABS(data!AT68:BA68),ABS(data!AT80:BA80))</f>
        <v>0.15808789761442996</v>
      </c>
      <c r="J34" s="45" t="s">
        <v>65</v>
      </c>
      <c r="K34" s="46" cm="1">
        <f t="array" ref="K34">AVERAGE(ABS(data!BN56:BU56),ABS(data!BN68:BU68),ABS(data!BN80:BU80))</f>
        <v>0.13716218023477042</v>
      </c>
      <c r="L34" s="45" t="s">
        <v>65</v>
      </c>
      <c r="M34" s="46" cm="1">
        <f t="array" ref="M34">AVERAGE(ABS(data!CH56:CO56),ABS(data!CH68:CO68),ABS(data!CH80:CO80))</f>
        <v>2.1428270233920865</v>
      </c>
      <c r="N34" s="45" t="s">
        <v>65</v>
      </c>
      <c r="O34" s="46" cm="1">
        <f t="array" ref="O34">AVERAGE(ABS(data!DB56:DI56),ABS(data!DB68:DI68),ABS(data!DB80:DI80))</f>
        <v>3.0614741842997177</v>
      </c>
      <c r="P34" s="45" t="s">
        <v>65</v>
      </c>
      <c r="Q34" s="46" cm="1">
        <f t="array" ref="Q34">AVERAGE(ABS(data!DV56:EC56),ABS(data!DV68:EC68),ABS(data!DV80:EC80))</f>
        <v>1.7543050757703078</v>
      </c>
      <c r="R34" s="45" t="s">
        <v>65</v>
      </c>
      <c r="S34" s="46" cm="1">
        <f t="array" ref="S34">AVERAGE(ABS(data!EP56:EW56),ABS(data!EP68:EW68),ABS(data!EP80:EW80))</f>
        <v>1.98929852944035</v>
      </c>
    </row>
    <row r="35" spans="3:19" x14ac:dyDescent="0.3">
      <c r="C35" s="66"/>
      <c r="D35" s="45" t="s">
        <v>66</v>
      </c>
      <c r="E35" s="46" cm="1">
        <f t="array" ref="E35">_xlfn.STDEV.P(ABS(data!F56:M56),ABS(data!F68:M68),ABS(data!F80:M80))</f>
        <v>4.5456740198937022E-2</v>
      </c>
      <c r="F35" s="45" t="s">
        <v>66</v>
      </c>
      <c r="G35" s="46" cm="1">
        <f t="array" ref="G35">_xlfn.STDEV.P(ABS(data!Z56:AG56),ABS(data!Z68:AG68),ABS(data!Z80:AG80))</f>
        <v>0.12851540818049217</v>
      </c>
      <c r="H35" s="45" t="s">
        <v>66</v>
      </c>
      <c r="I35" s="46" cm="1">
        <f t="array" ref="I35">_xlfn.STDEV.P(ABS(data!AT56:BA56),ABS(data!AT68:BA68),ABS(data!AT80:BA80))</f>
        <v>0.15217136413503624</v>
      </c>
      <c r="J35" s="45" t="s">
        <v>66</v>
      </c>
      <c r="K35" s="46" cm="1">
        <f t="array" ref="K35">_xlfn.STDEV.P(ABS(data!BN56:BU56),ABS(data!BN68:BU68),ABS(data!BN80:BU80))</f>
        <v>0.14436236226482987</v>
      </c>
      <c r="L35" s="45" t="s">
        <v>66</v>
      </c>
      <c r="M35" s="46" cm="1">
        <f t="array" ref="M35">_xlfn.STDEV.P(ABS(data!CH56:CO56),ABS(data!CH68:CO68),ABS(data!CH80:CO80))</f>
        <v>1.651458022766737</v>
      </c>
      <c r="N35" s="45" t="s">
        <v>66</v>
      </c>
      <c r="O35" s="46" cm="1">
        <f t="array" ref="O35">_xlfn.STDEV.P(ABS(data!DB56:DI56),ABS(data!DB68:DI68),ABS(data!DB80:DI80))</f>
        <v>1.3502567674740917</v>
      </c>
      <c r="P35" s="45" t="s">
        <v>66</v>
      </c>
      <c r="Q35" s="46" cm="1">
        <f t="array" ref="Q35">_xlfn.STDEV.P(ABS(data!DV56:EC56),ABS(data!DV68:EC68),ABS(data!DV80:EC80))</f>
        <v>0.72390628849696992</v>
      </c>
      <c r="R35" s="45" t="s">
        <v>66</v>
      </c>
      <c r="S35" s="46" cm="1">
        <f t="array" ref="S35">_xlfn.STDEV.P(ABS(data!EP56:EW56),ABS(data!EP68:EW68),ABS(data!EP80:EW80))</f>
        <v>1.0785292772461028</v>
      </c>
    </row>
    <row r="36" spans="3:19" x14ac:dyDescent="0.3">
      <c r="C36" s="66"/>
      <c r="D36" s="45" t="s">
        <v>67</v>
      </c>
      <c r="E36" s="46" cm="1">
        <f t="array" ref="E36">AVERAGE(ABS(data!F57:M57),ABS(data!F69:M69),ABS(data!F81:M81))</f>
        <v>2.555410973885953</v>
      </c>
      <c r="F36" s="45" t="s">
        <v>67</v>
      </c>
      <c r="G36" s="46" cm="1">
        <f t="array" ref="G36">AVERAGE(ABS(data!Z57:AG57),ABS(data!Z69:AG69),ABS(data!Z81:AG81))</f>
        <v>5.5646639026877835</v>
      </c>
      <c r="H36" s="45" t="s">
        <v>67</v>
      </c>
      <c r="I36" s="46" cm="1">
        <f t="array" ref="I36">AVERAGE(ABS(data!AT57:BA57),ABS(data!AT69:BA69),ABS(data!AT81:BA81))</f>
        <v>4.5124602336935924</v>
      </c>
      <c r="J36" s="45" t="s">
        <v>67</v>
      </c>
      <c r="K36" s="46" cm="1">
        <f t="array" ref="K36">AVERAGE(ABS(data!BN57:BU57),ABS(data!BN69:BU69),ABS(data!BN81:BU81))</f>
        <v>3.2695612864875474</v>
      </c>
      <c r="L36" s="45" t="s">
        <v>67</v>
      </c>
      <c r="M36" s="46" cm="1">
        <f t="array" ref="M36">AVERAGE(ABS(data!CH57:CO57),ABS(data!CH69:CO69),ABS(data!CH81:CO81))</f>
        <v>289.36905582276341</v>
      </c>
      <c r="N36" s="45" t="s">
        <v>67</v>
      </c>
      <c r="O36" s="46" cm="1">
        <f t="array" ref="O36">AVERAGE(ABS(data!DB57:DI57),ABS(data!DB69:DI69),ABS(data!DB81:DI81))</f>
        <v>922.39221722262403</v>
      </c>
      <c r="P36" s="45" t="s">
        <v>67</v>
      </c>
      <c r="Q36" s="46" cm="1">
        <f t="array" ref="Q36">AVERAGE(ABS(data!DV57:EC57),ABS(data!DV69:EC69),ABS(data!DV81:EC81))</f>
        <v>247.81869430094153</v>
      </c>
      <c r="R36" s="45" t="s">
        <v>67</v>
      </c>
      <c r="S36" s="46" cm="1">
        <f t="array" ref="S36">AVERAGE(ABS(data!EP57:EW57),ABS(data!EP69:EW69),ABS(data!EP81:EW81))</f>
        <v>365.64199153496503</v>
      </c>
    </row>
    <row r="37" spans="3:19" x14ac:dyDescent="0.3">
      <c r="C37" s="66"/>
      <c r="D37" s="45" t="s">
        <v>66</v>
      </c>
      <c r="E37" s="46" cm="1">
        <f t="array" ref="E37">_xlfn.STDEV.P(ABS(data!F57:M57),ABS(data!F69:M69),ABS(data!F81:M81))</f>
        <v>2.8252944369299553</v>
      </c>
      <c r="F37" s="45" t="s">
        <v>66</v>
      </c>
      <c r="G37" s="46" cm="1">
        <f t="array" ref="G37">_xlfn.STDEV.P(ABS(data!Z57:AG57),ABS(data!Z69:AG69),ABS(data!Z81:AG81))</f>
        <v>5.0367585668516739</v>
      </c>
      <c r="H37" s="45" t="s">
        <v>66</v>
      </c>
      <c r="I37" s="46" cm="1">
        <f t="array" ref="I37">_xlfn.STDEV.P(ABS(data!AT57:BA57),ABS(data!AT69:BA69),ABS(data!AT81:BA81))</f>
        <v>2.7007920255664706</v>
      </c>
      <c r="J37" s="45" t="s">
        <v>66</v>
      </c>
      <c r="K37" s="46" cm="1">
        <f t="array" ref="K37">_xlfn.STDEV.P(ABS(data!BN57:BU57),ABS(data!BN69:BU69),ABS(data!BN81:BU81))</f>
        <v>2.4179406395411522</v>
      </c>
      <c r="L37" s="45" t="s">
        <v>66</v>
      </c>
      <c r="M37" s="46" cm="1">
        <f t="array" ref="M37">_xlfn.STDEV.P(ABS(data!CH57:CO57),ABS(data!CH69:CO69),ABS(data!CH81:CO81))</f>
        <v>300.00236885132961</v>
      </c>
      <c r="N37" s="45" t="s">
        <v>66</v>
      </c>
      <c r="O37" s="46" cm="1">
        <f t="array" ref="O37">_xlfn.STDEV.P(ABS(data!DB57:DI57),ABS(data!DB69:DI69),ABS(data!DB81:DI81))</f>
        <v>1139.4750465472112</v>
      </c>
      <c r="P37" s="45" t="s">
        <v>66</v>
      </c>
      <c r="Q37" s="46" cm="1">
        <f t="array" ref="Q37">_xlfn.STDEV.P(ABS(data!DV57:EC57),ABS(data!DV69:EC69),ABS(data!DV81:EC81))</f>
        <v>221.6840246462273</v>
      </c>
      <c r="R37" s="45" t="s">
        <v>66</v>
      </c>
      <c r="S37" s="46" cm="1">
        <f t="array" ref="S37">_xlfn.STDEV.P(ABS(data!EP57:EW57),ABS(data!EP69:EW69),ABS(data!EP81:EW81))</f>
        <v>303.12082252492877</v>
      </c>
    </row>
    <row r="38" spans="3:19" x14ac:dyDescent="0.3">
      <c r="C38" s="85"/>
      <c r="D38" s="47"/>
      <c r="E38" s="54"/>
      <c r="F38" s="47"/>
      <c r="G38" s="54"/>
      <c r="H38" s="47"/>
      <c r="I38" s="54"/>
      <c r="J38" s="47"/>
      <c r="K38" s="54"/>
      <c r="L38" s="47"/>
      <c r="M38" s="54"/>
      <c r="N38" s="47"/>
      <c r="O38" s="54"/>
      <c r="P38" s="47"/>
      <c r="Q38" s="54"/>
      <c r="R38" s="47"/>
      <c r="S38" s="54"/>
    </row>
    <row r="39" spans="3:19" x14ac:dyDescent="0.3">
      <c r="C39" s="66" t="s">
        <v>69</v>
      </c>
      <c r="D39" s="45" t="s">
        <v>65</v>
      </c>
      <c r="E39" s="46" cm="1">
        <f t="array" ref="E39">AVERAGE(ABS(data!F59:M59),ABS(data!F71:M71),ABS(data!F83:M83))</f>
        <v>9.3601924880399104E-2</v>
      </c>
      <c r="F39" s="45" t="s">
        <v>65</v>
      </c>
      <c r="G39" s="46" cm="1">
        <f t="array" ref="G39">AVERAGE(ABS(data!Z59:AG59),ABS(data!Z71:AG71),ABS(data!Z83:AG83))</f>
        <v>0.1949069945984454</v>
      </c>
      <c r="H39" s="45" t="s">
        <v>65</v>
      </c>
      <c r="I39" s="46" cm="1">
        <f t="array" ref="I39">AVERAGE(ABS(data!AT59:BA59),ABS(data!AT71:BA71),ABS(data!AT83:BA83))</f>
        <v>0.17808789761442989</v>
      </c>
      <c r="J39" s="45" t="s">
        <v>65</v>
      </c>
      <c r="K39" s="46" cm="1">
        <f t="array" ref="K39">AVERAGE(ABS(data!BN59:BU59),ABS(data!BN71:BU71),ABS(data!BN83:BU83))</f>
        <v>0.13264741542068698</v>
      </c>
      <c r="L39" s="45" t="s">
        <v>65</v>
      </c>
      <c r="M39" s="46" cm="1">
        <f t="array" ref="M39">AVERAGE(ABS(data!CH59:CO59),ABS(data!CH71:CO71),ABS(data!CH83:CO83))</f>
        <v>2.1669936900587525</v>
      </c>
      <c r="N39" s="45" t="s">
        <v>65</v>
      </c>
      <c r="O39" s="46" cm="1">
        <f t="array" ref="O39">AVERAGE(ABS(data!DB59:DI59),ABS(data!DB71:DI71),ABS(data!DB83:DI83))</f>
        <v>3.0727241842997177</v>
      </c>
      <c r="P39" s="45" t="s">
        <v>65</v>
      </c>
      <c r="Q39" s="46" cm="1">
        <f t="array" ref="Q39">AVERAGE(ABS(data!DV59:EC59),ABS(data!DV71:EC71),ABS(data!DV83:EC83))</f>
        <v>1.774305075770308</v>
      </c>
      <c r="R39" s="45" t="s">
        <v>65</v>
      </c>
      <c r="S39" s="46" cm="1">
        <f t="array" ref="S39">AVERAGE(ABS(data!EP59:EW59),ABS(data!EP71:EW71),ABS(data!EP83:EW83))</f>
        <v>2.0067985294403505</v>
      </c>
    </row>
    <row r="40" spans="3:19" x14ac:dyDescent="0.3">
      <c r="C40" s="66"/>
      <c r="D40" s="45" t="s">
        <v>66</v>
      </c>
      <c r="E40" s="46" cm="1">
        <f t="array" ref="E40">_xlfn.STDEV.P(ABS(data!F59:M59),ABS(data!F71:M71),ABS(data!F83:M83))</f>
        <v>7.1679461045713516E-2</v>
      </c>
      <c r="F40" s="45" t="s">
        <v>66</v>
      </c>
      <c r="G40" s="46" cm="1">
        <f t="array" ref="G40">_xlfn.STDEV.P(ABS(data!Z59:AG59),ABS(data!Z71:AG71),ABS(data!Z83:AG83))</f>
        <v>0.11123385965588715</v>
      </c>
      <c r="H40" s="45" t="s">
        <v>66</v>
      </c>
      <c r="I40" s="46" cm="1">
        <f t="array" ref="I40">_xlfn.STDEV.P(ABS(data!AT59:BA59),ABS(data!AT71:BA71),ABS(data!AT83:BA83))</f>
        <v>0.15451717435433465</v>
      </c>
      <c r="J40" s="45" t="s">
        <v>66</v>
      </c>
      <c r="K40" s="46" cm="1">
        <f t="array" ref="K40">_xlfn.STDEV.P(ABS(data!BN59:BU59),ABS(data!BN71:BU71),ABS(data!BN83:BU83))</f>
        <v>0.15150206685474829</v>
      </c>
      <c r="L40" s="45" t="s">
        <v>66</v>
      </c>
      <c r="M40" s="46" cm="1">
        <f t="array" ref="M40">_xlfn.STDEV.P(ABS(data!CH59:CO59),ABS(data!CH71:CO71),ABS(data!CH83:CO83))</f>
        <v>1.6615808767358742</v>
      </c>
      <c r="N40" s="45" t="s">
        <v>66</v>
      </c>
      <c r="O40" s="46" cm="1">
        <f t="array" ref="O40">_xlfn.STDEV.P(ABS(data!DB59:DI59),ABS(data!DB71:DI71),ABS(data!DB83:DI83))</f>
        <v>1.3536965171678923</v>
      </c>
      <c r="P40" s="45" t="s">
        <v>66</v>
      </c>
      <c r="Q40" s="46" cm="1">
        <f t="array" ref="Q40">_xlfn.STDEV.P(ABS(data!DV59:EC59),ABS(data!DV71:EC71),ABS(data!DV83:EC83))</f>
        <v>0.71283987208393895</v>
      </c>
      <c r="R40" s="45" t="s">
        <v>66</v>
      </c>
      <c r="S40" s="46" cm="1">
        <f t="array" ref="S40">_xlfn.STDEV.P(ABS(data!EP59:EW59),ABS(data!EP71:EW71),ABS(data!EP83:EW83))</f>
        <v>1.0828425759216493</v>
      </c>
    </row>
    <row r="41" spans="3:19" x14ac:dyDescent="0.3">
      <c r="C41" s="66"/>
      <c r="D41" s="45" t="s">
        <v>67</v>
      </c>
      <c r="E41" s="46" cm="1">
        <f t="array" ref="E41">AVERAGE(ABS(data!F60:M60),ABS(data!F72:M72),ABS(data!F84:M84))</f>
        <v>3.0674614899408792</v>
      </c>
      <c r="F41" s="45" t="s">
        <v>67</v>
      </c>
      <c r="G41" s="46" cm="1">
        <f t="array" ref="G41">AVERAGE(ABS(data!Z60:AG60),ABS(data!Z72:AG72),ABS(data!Z84:AG84))</f>
        <v>6.3303825435009315</v>
      </c>
      <c r="H41" s="45" t="s">
        <v>67</v>
      </c>
      <c r="I41" s="46" cm="1">
        <f t="array" ref="I41">AVERAGE(ABS(data!AT60:BA60),ABS(data!AT72:BA72),ABS(data!AT84:BA84))</f>
        <v>5.1564017191545259</v>
      </c>
      <c r="J41" s="45" t="s">
        <v>67</v>
      </c>
      <c r="K41" s="46" cm="1">
        <f t="array" ref="K41">AVERAGE(ABS(data!BN60:BU60),ABS(data!BN72:BU72),ABS(data!BN84:BU84))</f>
        <v>3.18829569424175</v>
      </c>
      <c r="L41" s="45" t="s">
        <v>67</v>
      </c>
      <c r="M41" s="46" cm="1">
        <f t="array" ref="M41">AVERAGE(ABS(data!CH60:CO60),ABS(data!CH72:CO72),ABS(data!CH84:CO84))</f>
        <v>293.32958856696644</v>
      </c>
      <c r="N41" s="45" t="s">
        <v>67</v>
      </c>
      <c r="O41" s="46" cm="1">
        <f t="array" ref="O41">AVERAGE(ABS(data!DB60:DI60),ABS(data!DB72:DI72),ABS(data!DB84:DI84))</f>
        <v>928.33781148468813</v>
      </c>
      <c r="P41" s="45" t="s">
        <v>67</v>
      </c>
      <c r="Q41" s="46" cm="1">
        <f t="array" ref="Q41">AVERAGE(ABS(data!DV60:EC60),ABS(data!DV72:EC72),ABS(data!DV84:EC84))</f>
        <v>248.17220442084351</v>
      </c>
      <c r="R41" s="45" t="s">
        <v>67</v>
      </c>
      <c r="S41" s="46" cm="1">
        <f t="array" ref="S41">AVERAGE(ABS(data!EP60:EW60),ABS(data!EP72:EW72),ABS(data!EP84:EW84))</f>
        <v>367.13771204004928</v>
      </c>
    </row>
    <row r="42" spans="3:19" x14ac:dyDescent="0.3">
      <c r="C42" s="66"/>
      <c r="D42" s="45" t="s">
        <v>66</v>
      </c>
      <c r="E42" s="46" cm="1">
        <f t="array" ref="E42">_xlfn.STDEV.P(ABS(data!F60:M60),ABS(data!F72:M72),ABS(data!F84:M84))</f>
        <v>3.4077445973376332</v>
      </c>
      <c r="F42" s="45" t="s">
        <v>66</v>
      </c>
      <c r="G42" s="46" cm="1">
        <f t="array" ref="G42">_xlfn.STDEV.P(ABS(data!Z60:AG60),ABS(data!Z72:AG72),ABS(data!Z84:AG84))</f>
        <v>4.6844462508590059</v>
      </c>
      <c r="H42" s="45" t="s">
        <v>66</v>
      </c>
      <c r="I42" s="46" cm="1">
        <f t="array" ref="I42">_xlfn.STDEV.P(ABS(data!AT60:BA60),ABS(data!AT72:BA72),ABS(data!AT84:BA84))</f>
        <v>3.0460957357747804</v>
      </c>
      <c r="J42" s="45" t="s">
        <v>66</v>
      </c>
      <c r="K42" s="46" cm="1">
        <f t="array" ref="K42">_xlfn.STDEV.P(ABS(data!BN60:BU60),ABS(data!BN72:BU72),ABS(data!BN84:BU84))</f>
        <v>2.4536844760123899</v>
      </c>
      <c r="L42" s="45" t="s">
        <v>66</v>
      </c>
      <c r="M42" s="46" cm="1">
        <f t="array" ref="M42">_xlfn.STDEV.P(ABS(data!CH60:CO60),ABS(data!CH72:CO72),ABS(data!CH84:CO84))</f>
        <v>304.54516953074165</v>
      </c>
      <c r="N42" s="45" t="s">
        <v>66</v>
      </c>
      <c r="O42" s="46" cm="1">
        <f t="array" ref="O42">_xlfn.STDEV.P(ABS(data!DB60:DI60),ABS(data!DB72:DI72),ABS(data!DB84:DI84))</f>
        <v>1148.9764736805266</v>
      </c>
      <c r="P42" s="45" t="s">
        <v>66</v>
      </c>
      <c r="Q42" s="46" cm="1">
        <f t="array" ref="Q42">_xlfn.STDEV.P(ABS(data!DV60:EC60),ABS(data!DV72:EC72),ABS(data!DV84:EC84))</f>
        <v>217.19583540850201</v>
      </c>
      <c r="R42" s="45" t="s">
        <v>66</v>
      </c>
      <c r="S42" s="46" cm="1">
        <f t="array" ref="S42">_xlfn.STDEV.P(ABS(data!EP60:EW60),ABS(data!EP72:EW72),ABS(data!EP84:EW84))</f>
        <v>303.61995997331024</v>
      </c>
    </row>
    <row r="43" spans="3:19" x14ac:dyDescent="0.3">
      <c r="C43" s="85"/>
      <c r="D43" s="45"/>
      <c r="E43" s="46"/>
      <c r="F43" s="45"/>
      <c r="G43" s="46"/>
      <c r="H43" s="45"/>
      <c r="I43" s="46"/>
      <c r="J43" s="45"/>
      <c r="K43" s="46"/>
      <c r="L43" s="45"/>
      <c r="M43" s="46"/>
      <c r="N43" s="45"/>
      <c r="O43" s="46"/>
      <c r="P43" s="45"/>
      <c r="Q43" s="46"/>
      <c r="R43" s="45"/>
      <c r="S43" s="46"/>
    </row>
    <row r="44" spans="3:19" x14ac:dyDescent="0.3">
      <c r="C44" s="66" t="s">
        <v>70</v>
      </c>
      <c r="D44" s="52" t="s">
        <v>65</v>
      </c>
      <c r="E44" s="53">
        <f>AVERAGE(E29,E34,E39)</f>
        <v>8.1220294165435233E-2</v>
      </c>
      <c r="F44" s="52" t="s">
        <v>65</v>
      </c>
      <c r="G44" s="53">
        <f>AVERAGE(G29,G34,G39)</f>
        <v>0.18324032793177877</v>
      </c>
      <c r="H44" s="52" t="s">
        <v>65</v>
      </c>
      <c r="I44" s="53">
        <f>AVERAGE(I29,I34,I39)</f>
        <v>0.16725456428109661</v>
      </c>
      <c r="J44" s="52" t="s">
        <v>65</v>
      </c>
      <c r="K44" s="53">
        <f>AVERAGE(K29,K34,K39)</f>
        <v>0.14165429232727564</v>
      </c>
      <c r="L44" s="52" t="s">
        <v>65</v>
      </c>
      <c r="M44" s="53">
        <f>AVERAGE(M29,M34,M39)</f>
        <v>2.1500492456143085</v>
      </c>
      <c r="N44" s="52" t="s">
        <v>65</v>
      </c>
      <c r="O44" s="53">
        <f>AVERAGE(O29,O34,O39)</f>
        <v>3.0635575176330505</v>
      </c>
      <c r="P44" s="52" t="s">
        <v>65</v>
      </c>
      <c r="Q44" s="53">
        <f>AVERAGE(Q29,Q34,Q39)</f>
        <v>1.7609717424369746</v>
      </c>
      <c r="R44" s="52" t="s">
        <v>65</v>
      </c>
      <c r="S44" s="53">
        <f>AVERAGE(S29,S34,S39)</f>
        <v>1.9863818627736833</v>
      </c>
    </row>
    <row r="45" spans="3:19" x14ac:dyDescent="0.3">
      <c r="C45" s="66"/>
      <c r="D45" s="45" t="s">
        <v>71</v>
      </c>
      <c r="E45" s="46">
        <f>AVERAGE(E30,E35,E40)</f>
        <v>5.5641382077932788E-2</v>
      </c>
      <c r="F45" s="45" t="s">
        <v>71</v>
      </c>
      <c r="G45" s="46">
        <f>AVERAGE(G30,G35,G40)</f>
        <v>0.13216026717181725</v>
      </c>
      <c r="H45" s="45" t="s">
        <v>71</v>
      </c>
      <c r="I45" s="46">
        <f>AVERAGE(I30,I35,I40)</f>
        <v>0.14642261652665545</v>
      </c>
      <c r="J45" s="45" t="s">
        <v>71</v>
      </c>
      <c r="K45" s="46">
        <f>AVERAGE(K30,K35,K40)</f>
        <v>0.14048839661808632</v>
      </c>
      <c r="L45" s="45" t="s">
        <v>71</v>
      </c>
      <c r="M45" s="46">
        <f>AVERAGE(M30,M35,M40)</f>
        <v>1.653532198695195</v>
      </c>
      <c r="N45" s="45" t="s">
        <v>71</v>
      </c>
      <c r="O45" s="46">
        <f>AVERAGE(O30,O35,O40)</f>
        <v>1.3553356523667539</v>
      </c>
      <c r="P45" s="45" t="s">
        <v>71</v>
      </c>
      <c r="Q45" s="46">
        <f>AVERAGE(Q30,Q35,Q40)</f>
        <v>0.72164175366255201</v>
      </c>
      <c r="R45" s="45" t="s">
        <v>71</v>
      </c>
      <c r="S45" s="46">
        <f>AVERAGE(S30,S35,S40)</f>
        <v>1.0824267284642592</v>
      </c>
    </row>
    <row r="46" spans="3:19" x14ac:dyDescent="0.3">
      <c r="C46" s="66"/>
      <c r="D46" s="45" t="s">
        <v>67</v>
      </c>
      <c r="E46" s="46">
        <f>AVERAGE(E31,E36,E41)</f>
        <v>2.7324275794020298</v>
      </c>
      <c r="F46" s="45" t="s">
        <v>67</v>
      </c>
      <c r="G46" s="46">
        <f>AVERAGE(G31,G36,G41)</f>
        <v>6.0745080291944182</v>
      </c>
      <c r="H46" s="45" t="s">
        <v>67</v>
      </c>
      <c r="I46" s="46">
        <f>AVERAGE(I31,I36,I41)</f>
        <v>4.8949297914639276</v>
      </c>
      <c r="J46" s="45" t="s">
        <v>67</v>
      </c>
      <c r="K46" s="46">
        <f>AVERAGE(K31,K36,K41)</f>
        <v>3.5124600456640622</v>
      </c>
      <c r="L46" s="45" t="s">
        <v>67</v>
      </c>
      <c r="M46" s="46">
        <f>AVERAGE(M31,M36,M41)</f>
        <v>290.24092784923647</v>
      </c>
      <c r="N46" s="45" t="s">
        <v>67</v>
      </c>
      <c r="O46" s="46">
        <f>AVERAGE(O31,O36,O41)</f>
        <v>923.01160247298731</v>
      </c>
      <c r="P46" s="45" t="s">
        <v>67</v>
      </c>
      <c r="Q46" s="46">
        <f>AVERAGE(Q31,Q36,Q41)</f>
        <v>247.44965030903586</v>
      </c>
      <c r="R46" s="45" t="s">
        <v>67</v>
      </c>
      <c r="S46" s="46">
        <f>AVERAGE(S31,S36,S41)</f>
        <v>364.15110556673062</v>
      </c>
    </row>
    <row r="47" spans="3:19" x14ac:dyDescent="0.3">
      <c r="C47" s="66"/>
      <c r="D47" s="45" t="s">
        <v>66</v>
      </c>
      <c r="E47" s="46">
        <f>AVERAGE(E32,E37,E42)</f>
        <v>2.9451030056766219</v>
      </c>
      <c r="F47" s="45" t="s">
        <v>66</v>
      </c>
      <c r="G47" s="46">
        <f>AVERAGE(G32,G37,G42)</f>
        <v>5.179314082323903</v>
      </c>
      <c r="H47" s="45" t="s">
        <v>66</v>
      </c>
      <c r="I47" s="46">
        <f>AVERAGE(I32,I37,I42)</f>
        <v>2.8638118027280992</v>
      </c>
      <c r="J47" s="45" t="s">
        <v>66</v>
      </c>
      <c r="K47" s="46">
        <f>AVERAGE(K32,K37,K42)</f>
        <v>2.4691218038388389</v>
      </c>
      <c r="L47" s="45" t="s">
        <v>66</v>
      </c>
      <c r="M47" s="46">
        <f>AVERAGE(M32,M37,M42)</f>
        <v>300.99548418587307</v>
      </c>
      <c r="N47" s="45" t="s">
        <v>66</v>
      </c>
      <c r="O47" s="46">
        <f>AVERAGE(O32,O37,O42)</f>
        <v>1141.9625002583361</v>
      </c>
      <c r="P47" s="45" t="s">
        <v>66</v>
      </c>
      <c r="Q47" s="46">
        <f>AVERAGE(Q32,Q37,Q42)</f>
        <v>218.99247377851421</v>
      </c>
      <c r="R47" s="45" t="s">
        <v>66</v>
      </c>
      <c r="S47" s="46">
        <f>AVERAGE(S32,S37,S42)</f>
        <v>301.6695599532639</v>
      </c>
    </row>
    <row r="48" spans="3:19" ht="15" thickBot="1" x14ac:dyDescent="0.35">
      <c r="C48" s="67"/>
      <c r="D48" s="48"/>
      <c r="E48" s="49"/>
      <c r="F48" s="48"/>
      <c r="G48" s="49"/>
      <c r="H48" s="48"/>
      <c r="I48" s="49"/>
      <c r="J48" s="48"/>
      <c r="K48" s="49"/>
      <c r="L48" s="48"/>
      <c r="M48" s="49"/>
      <c r="N48" s="48"/>
      <c r="O48" s="49"/>
      <c r="P48" s="48"/>
      <c r="Q48" s="49"/>
      <c r="R48" s="48"/>
      <c r="S48" s="49"/>
    </row>
    <row r="52" spans="3:19" ht="15" thickBot="1" x14ac:dyDescent="0.35">
      <c r="C52" s="86" t="s">
        <v>107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3:19" ht="15" thickBot="1" x14ac:dyDescent="0.35">
      <c r="C53" s="44" t="s">
        <v>75</v>
      </c>
      <c r="D53" s="83" t="s">
        <v>57</v>
      </c>
      <c r="E53" s="84"/>
      <c r="F53" s="83" t="s">
        <v>58</v>
      </c>
      <c r="G53" s="84"/>
      <c r="H53" s="83" t="s">
        <v>59</v>
      </c>
      <c r="I53" s="84"/>
      <c r="J53" s="83" t="s">
        <v>60</v>
      </c>
      <c r="K53" s="84"/>
      <c r="L53" s="83" t="s">
        <v>61</v>
      </c>
      <c r="M53" s="84"/>
      <c r="N53" s="83" t="s">
        <v>62</v>
      </c>
      <c r="O53" s="84"/>
      <c r="P53" s="83" t="s">
        <v>63</v>
      </c>
      <c r="Q53" s="84"/>
      <c r="R53" s="83" t="s">
        <v>64</v>
      </c>
      <c r="S53" s="84"/>
    </row>
    <row r="54" spans="3:19" x14ac:dyDescent="0.3">
      <c r="C54" s="65" t="s">
        <v>23</v>
      </c>
      <c r="D54" s="50" t="s">
        <v>65</v>
      </c>
      <c r="E54" s="51" cm="1">
        <f t="array" ref="E54">AVERAGE(ABS(data!F94:M94),ABS(data!F106:M106),ABS(data!F118:M118))</f>
        <v>0.24109342320666829</v>
      </c>
      <c r="F54" s="50" t="s">
        <v>65</v>
      </c>
      <c r="G54" s="51" cm="1">
        <f t="array" ref="G54">AVERAGE(ABS(data!Z94:AG94),ABS(data!Z106:AG106),ABS(data!Z118:AG118))</f>
        <v>0.11967019732180482</v>
      </c>
      <c r="H54" s="50" t="s">
        <v>65</v>
      </c>
      <c r="I54" s="51" cm="1">
        <f t="array" ref="I54">AVERAGE(ABS(data!AT94:BA94),ABS(data!AT106:BA106),ABS(data!AT118:BA118))</f>
        <v>8.3142822093648164E-2</v>
      </c>
      <c r="J54" s="50" t="s">
        <v>65</v>
      </c>
      <c r="K54" s="51" cm="1">
        <f t="array" ref="K54">AVERAGE(ABS(data!BN94:BU94),ABS(data!BN106:BU106),ABS(data!BN118:BU118))</f>
        <v>0.11726661350326667</v>
      </c>
      <c r="L54" s="50" t="s">
        <v>65</v>
      </c>
      <c r="M54" s="51" cm="1">
        <f t="array" ref="M54">AVERAGE(ABS(data!CH94:CO94),ABS(data!CH106:CO106),ABS(data!CH118:CO118))</f>
        <v>3.1147925864704633</v>
      </c>
      <c r="N54" s="50" t="s">
        <v>65</v>
      </c>
      <c r="O54" s="51" cm="1">
        <f t="array" ref="O54">AVERAGE(ABS(data!DB94:DI94),ABS(data!DB106:DI106),ABS(data!DB118:DI118))</f>
        <v>34.943885853420241</v>
      </c>
      <c r="P54" s="50" t="s">
        <v>65</v>
      </c>
      <c r="Q54" s="51" cm="1">
        <f t="array" ref="Q54">AVERAGE(ABS(data!DV94:EC94),ABS(data!DV106:EC106),ABS(data!DV118:EC118))</f>
        <v>2.2113699873497477</v>
      </c>
      <c r="R54" s="50" t="s">
        <v>65</v>
      </c>
      <c r="S54" s="51" cm="1">
        <f t="array" ref="S54">AVERAGE(ABS(data!EP94:EW94),ABS(data!EP106:EW106),ABS(data!EP118:EW118))</f>
        <v>2.7084523680277584</v>
      </c>
    </row>
    <row r="55" spans="3:19" x14ac:dyDescent="0.3">
      <c r="C55" s="66"/>
      <c r="D55" s="45" t="s">
        <v>66</v>
      </c>
      <c r="E55" s="46" cm="1">
        <f t="array" ref="E55">_xlfn.STDEV.P(ABS(data!F94:M94),ABS(data!F106:M106),ABS(data!F118:M118))</f>
        <v>0.16786669814950247</v>
      </c>
      <c r="F55" s="45" t="s">
        <v>66</v>
      </c>
      <c r="G55" s="46" cm="1">
        <f t="array" ref="G55">_xlfn.STDEV.P(ABS(data!Z94:AG94),ABS(data!Z106:AG106),ABS(data!Z118:AG118))</f>
        <v>8.8392255769689884E-2</v>
      </c>
      <c r="H55" s="45" t="s">
        <v>66</v>
      </c>
      <c r="I55" s="46" cm="1">
        <f t="array" ref="I55">_xlfn.STDEV.P(ABS(data!AT94:BA94),ABS(data!AT106:BA106),ABS(data!AT118:BA118))</f>
        <v>7.3023841134408352E-2</v>
      </c>
      <c r="J55" s="45" t="s">
        <v>66</v>
      </c>
      <c r="K55" s="46" cm="1">
        <f t="array" ref="K55">_xlfn.STDEV.P(ABS(data!BN94:BU94),ABS(data!BN106:BU106),ABS(data!BN118:BU118))</f>
        <v>0.10578118142091669</v>
      </c>
      <c r="L55" s="45" t="s">
        <v>66</v>
      </c>
      <c r="M55" s="46" cm="1">
        <f t="array" ref="M55">_xlfn.STDEV.P(ABS(data!CH94:CO94),ABS(data!CH106:CO106),ABS(data!CH118:CO118))</f>
        <v>4.1129254260602393</v>
      </c>
      <c r="N55" s="45" t="s">
        <v>66</v>
      </c>
      <c r="O55" s="46" cm="1">
        <f t="array" ref="O55">_xlfn.STDEV.P(ABS(data!DB94:DI94),ABS(data!DB106:DI106),ABS(data!DB118:DI118))</f>
        <v>73.378730182550868</v>
      </c>
      <c r="P55" s="45" t="s">
        <v>66</v>
      </c>
      <c r="Q55" s="46" cm="1">
        <f t="array" ref="Q55">_xlfn.STDEV.P(ABS(data!DV94:EC94),ABS(data!DV106:EC106),ABS(data!DV118:EC118))</f>
        <v>0.87501078137452359</v>
      </c>
      <c r="R55" s="45" t="s">
        <v>66</v>
      </c>
      <c r="S55" s="46" cm="1">
        <f t="array" ref="S55">_xlfn.STDEV.P(ABS(data!EP94:EW94),ABS(data!EP106:EW106),ABS(data!EP118:EW118))</f>
        <v>1.356283893895766</v>
      </c>
    </row>
    <row r="56" spans="3:19" x14ac:dyDescent="0.3">
      <c r="C56" s="66"/>
      <c r="D56" s="45" t="s">
        <v>67</v>
      </c>
      <c r="E56" s="46" cm="1">
        <f t="array" ref="E56">AVERAGE(ABS(data!F95:M95),ABS(data!F107:M107),ABS(data!F119:M119))</f>
        <v>6.6111589659432743</v>
      </c>
      <c r="F56" s="45" t="s">
        <v>67</v>
      </c>
      <c r="G56" s="46" cm="1">
        <f t="array" ref="G56">AVERAGE(ABS(data!Z95:AG95),ABS(data!Z107:AG107),ABS(data!Z119:AG119))</f>
        <v>5.1313352226635853</v>
      </c>
      <c r="H56" s="45" t="s">
        <v>67</v>
      </c>
      <c r="I56" s="46" cm="1">
        <f t="array" ref="I56">AVERAGE(ABS(data!AT95:BA95),ABS(data!AT107:BA107),ABS(data!AT119:BA119))</f>
        <v>2.9466964284332513</v>
      </c>
      <c r="J56" s="45" t="s">
        <v>67</v>
      </c>
      <c r="K56" s="46" cm="1">
        <f t="array" ref="K56">AVERAGE(ABS(data!BN95:BU95),ABS(data!BN107:BU107),ABS(data!BN119:BU119))</f>
        <v>2.7933175108723458</v>
      </c>
      <c r="L56" s="45" t="s">
        <v>67</v>
      </c>
      <c r="M56" s="46" cm="1">
        <f t="array" ref="M56">AVERAGE(ABS(data!CH95:CO95),ABS(data!CH107:CO107),ABS(data!CH119:CO119))</f>
        <v>103.92696988584233</v>
      </c>
      <c r="N56" s="45" t="s">
        <v>67</v>
      </c>
      <c r="O56" s="46" cm="1">
        <f t="array" ref="O56">AVERAGE(ABS(data!DB95:DI95),ABS(data!DB107:DI107),ABS(data!DB119:DI119))</f>
        <v>289.30035784471329</v>
      </c>
      <c r="P56" s="45" t="s">
        <v>67</v>
      </c>
      <c r="Q56" s="46" cm="1">
        <f t="array" ref="Q56">AVERAGE(ABS(data!DV95:EC95),ABS(data!DV107:EC107),ABS(data!DV119:EC119))</f>
        <v>167.49435691524823</v>
      </c>
      <c r="R56" s="45" t="s">
        <v>67</v>
      </c>
      <c r="S56" s="46" cm="1">
        <f t="array" ref="S56">AVERAGE(ABS(data!EP95:EW95),ABS(data!EP107:EW107),ABS(data!EP119:EW119))</f>
        <v>310.36775830893379</v>
      </c>
    </row>
    <row r="57" spans="3:19" x14ac:dyDescent="0.3">
      <c r="C57" s="66"/>
      <c r="D57" s="45" t="s">
        <v>66</v>
      </c>
      <c r="E57" s="46" cm="1">
        <f t="array" ref="E57">_xlfn.STDEV.P(ABS(data!F95:M95),ABS(data!F107:M107),ABS(data!F119:M119))</f>
        <v>3.1451464020764197</v>
      </c>
      <c r="F57" s="45" t="s">
        <v>66</v>
      </c>
      <c r="G57" s="46" cm="1">
        <f t="array" ref="G57">_xlfn.STDEV.P(ABS(data!Z95:AG95),ABS(data!Z107:AG107),ABS(data!Z119:AG119))</f>
        <v>3.8238966043224965</v>
      </c>
      <c r="H57" s="45" t="s">
        <v>66</v>
      </c>
      <c r="I57" s="46" cm="1">
        <f t="array" ref="I57">_xlfn.STDEV.P(ABS(data!AT95:BA95),ABS(data!AT107:BA107),ABS(data!AT119:BA119))</f>
        <v>4.1083951225773605</v>
      </c>
      <c r="J57" s="45" t="s">
        <v>66</v>
      </c>
      <c r="K57" s="46" cm="1">
        <f t="array" ref="K57">_xlfn.STDEV.P(ABS(data!BN95:BU95),ABS(data!BN107:BU107),ABS(data!BN119:BU119))</f>
        <v>2.6605227209216489</v>
      </c>
      <c r="L57" s="45" t="s">
        <v>66</v>
      </c>
      <c r="M57" s="46" cm="1">
        <f t="array" ref="M57">_xlfn.STDEV.P(ABS(data!CH95:CO95),ABS(data!CH107:CO107),ABS(data!CH119:CO119))</f>
        <v>102.57419360936433</v>
      </c>
      <c r="N57" s="45" t="s">
        <v>66</v>
      </c>
      <c r="O57" s="46" cm="1">
        <f t="array" ref="O57">_xlfn.STDEV.P(ABS(data!DB95:DI95),ABS(data!DB107:DI107),ABS(data!DB119:DI119))</f>
        <v>303.21453458324964</v>
      </c>
      <c r="P57" s="45" t="s">
        <v>66</v>
      </c>
      <c r="Q57" s="46" cm="1">
        <f t="array" ref="Q57">_xlfn.STDEV.P(ABS(data!DV95:EC95),ABS(data!DV107:EC107),ABS(data!DV119:EC119))</f>
        <v>90.976602206737894</v>
      </c>
      <c r="R57" s="45" t="s">
        <v>66</v>
      </c>
      <c r="S57" s="46" cm="1">
        <f t="array" ref="S57">_xlfn.STDEV.P(ABS(data!EP95:EW95),ABS(data!EP107:EW107),ABS(data!EP119:EW119))</f>
        <v>342.74892336573981</v>
      </c>
    </row>
    <row r="58" spans="3:19" x14ac:dyDescent="0.3">
      <c r="C58" s="85"/>
      <c r="D58" s="47"/>
      <c r="E58" s="54"/>
      <c r="F58" s="47"/>
      <c r="G58" s="54"/>
      <c r="H58" s="47"/>
      <c r="I58" s="54"/>
      <c r="J58" s="47"/>
      <c r="K58" s="54"/>
      <c r="L58" s="47"/>
      <c r="M58" s="54"/>
      <c r="N58" s="47"/>
      <c r="O58" s="54"/>
      <c r="P58" s="47"/>
      <c r="Q58" s="54"/>
      <c r="R58" s="47"/>
      <c r="S58" s="54"/>
    </row>
    <row r="59" spans="3:19" x14ac:dyDescent="0.3">
      <c r="C59" s="66" t="s">
        <v>68</v>
      </c>
      <c r="D59" s="45" t="s">
        <v>65</v>
      </c>
      <c r="E59" s="46" cm="1">
        <f t="array" ref="E59">AVERAGE(ABS(data!F97:M97),ABS(data!F109:M109),ABS(data!F121:M121))</f>
        <v>0.2460934232066683</v>
      </c>
      <c r="F59" s="45" t="s">
        <v>65</v>
      </c>
      <c r="G59" s="46" cm="1">
        <f t="array" ref="G59">AVERAGE(ABS(data!Z97:AG97),ABS(data!Z109:AG109),ABS(data!Z121:AG121))</f>
        <v>0.15842019732180487</v>
      </c>
      <c r="H59" s="45" t="s">
        <v>65</v>
      </c>
      <c r="I59" s="46" cm="1">
        <f t="array" ref="I59">AVERAGE(ABS(data!AT97:BA97),ABS(data!AT109:BA109),ABS(data!AT121:BA121))</f>
        <v>5.1261502099423227E-2</v>
      </c>
      <c r="J59" s="45" t="s">
        <v>65</v>
      </c>
      <c r="K59" s="46" cm="1">
        <f t="array" ref="K59">AVERAGE(ABS(data!BN97:BU97),ABS(data!BN109:BU109),ABS(data!BN121:BU121))</f>
        <v>9.1271025851230772E-2</v>
      </c>
      <c r="L59" s="45" t="s">
        <v>65</v>
      </c>
      <c r="M59" s="46" cm="1">
        <f t="array" ref="M59">AVERAGE(ABS(data!CH97:CO97),ABS(data!CH109:CO109),ABS(data!CH121:CO121))</f>
        <v>3.1172925864704637</v>
      </c>
      <c r="N59" s="45" t="s">
        <v>65</v>
      </c>
      <c r="O59" s="46" cm="1">
        <f t="array" ref="O59">AVERAGE(ABS(data!DB97:DI97),ABS(data!DB109:DI109),ABS(data!DB121:DI121))</f>
        <v>34.942635853420249</v>
      </c>
      <c r="P59" s="45" t="s">
        <v>65</v>
      </c>
      <c r="Q59" s="46" cm="1">
        <f t="array" ref="Q59">AVERAGE(ABS(data!DV97:EC97),ABS(data!DV109:EC109),ABS(data!DV121:EC121))</f>
        <v>2.2388699873497475</v>
      </c>
      <c r="R59" s="45" t="s">
        <v>65</v>
      </c>
      <c r="S59" s="46" cm="1">
        <f t="array" ref="S59">AVERAGE(ABS(data!EP97:EW97),ABS(data!EP109:EW109),ABS(data!EP121:EW121))</f>
        <v>2.7172023680277593</v>
      </c>
    </row>
    <row r="60" spans="3:19" x14ac:dyDescent="0.3">
      <c r="C60" s="66"/>
      <c r="D60" s="45" t="s">
        <v>66</v>
      </c>
      <c r="E60" s="46" cm="1">
        <f t="array" ref="E60">_xlfn.STDEV.P(ABS(data!F97:M97),ABS(data!F109:M109),ABS(data!F121:M121))</f>
        <v>0.17364036266011112</v>
      </c>
      <c r="F60" s="45" t="s">
        <v>66</v>
      </c>
      <c r="G60" s="46" cm="1">
        <f t="array" ref="G60">_xlfn.STDEV.P(ABS(data!Z97:AG97),ABS(data!Z109:AG109),ABS(data!Z121:AG121))</f>
        <v>0.10140126235918508</v>
      </c>
      <c r="H60" s="45" t="s">
        <v>66</v>
      </c>
      <c r="I60" s="46" cm="1">
        <f t="array" ref="I60">_xlfn.STDEV.P(ABS(data!AT97:BA97),ABS(data!AT109:BA109),ABS(data!AT121:BA121))</f>
        <v>5.4709245127945741E-2</v>
      </c>
      <c r="J60" s="45" t="s">
        <v>66</v>
      </c>
      <c r="K60" s="46" cm="1">
        <f t="array" ref="K60">_xlfn.STDEV.P(ABS(data!BN97:BU97),ABS(data!BN109:BU109),ABS(data!BN121:BU121))</f>
        <v>7.8537664412093297E-2</v>
      </c>
      <c r="L60" s="45" t="s">
        <v>66</v>
      </c>
      <c r="M60" s="46" cm="1">
        <f t="array" ref="M60">_xlfn.STDEV.P(ABS(data!CH97:CO97),ABS(data!CH109:CO109),ABS(data!CH121:CO121))</f>
        <v>4.0991094059958328</v>
      </c>
      <c r="N60" s="45" t="s">
        <v>66</v>
      </c>
      <c r="O60" s="46" cm="1">
        <f t="array" ref="O60">_xlfn.STDEV.P(ABS(data!DB97:DI97),ABS(data!DB109:DI109),ABS(data!DB121:DI121))</f>
        <v>73.383365351349951</v>
      </c>
      <c r="P60" s="45" t="s">
        <v>66</v>
      </c>
      <c r="Q60" s="46" cm="1">
        <f t="array" ref="Q60">_xlfn.STDEV.P(ABS(data!DV97:EC97),ABS(data!DV109:EC109),ABS(data!DV121:EC121))</f>
        <v>0.89161558533033436</v>
      </c>
      <c r="R60" s="45" t="s">
        <v>66</v>
      </c>
      <c r="S60" s="46" cm="1">
        <f t="array" ref="S60">_xlfn.STDEV.P(ABS(data!EP97:EW97),ABS(data!EP109:EW109),ABS(data!EP121:EW121))</f>
        <v>1.3415267676145028</v>
      </c>
    </row>
    <row r="61" spans="3:19" x14ac:dyDescent="0.3">
      <c r="C61" s="66"/>
      <c r="D61" s="45" t="s">
        <v>67</v>
      </c>
      <c r="E61" s="46" cm="1">
        <f t="array" ref="E61">AVERAGE(ABS(data!F98:M98),ABS(data!F110:M110),ABS(data!F122:M122))</f>
        <v>6.880201184817909</v>
      </c>
      <c r="F61" s="45" t="s">
        <v>67</v>
      </c>
      <c r="G61" s="46" cm="1">
        <f t="array" ref="G61">AVERAGE(ABS(data!Z98:AG98),ABS(data!Z110:AG110),ABS(data!Z122:AG122))</f>
        <v>7.4810953453564144</v>
      </c>
      <c r="H61" s="45" t="s">
        <v>67</v>
      </c>
      <c r="I61" s="46" cm="1">
        <f t="array" ref="I61">AVERAGE(ABS(data!AT98:BA98),ABS(data!AT110:BA110),ABS(data!AT122:BA122))</f>
        <v>1.9114741076329869</v>
      </c>
      <c r="J61" s="45" t="s">
        <v>67</v>
      </c>
      <c r="K61" s="46" cm="1">
        <f t="array" ref="K61">AVERAGE(ABS(data!BN98:BU98),ABS(data!BN110:BU110),ABS(data!BN122:BU122))</f>
        <v>2.1280095040949525</v>
      </c>
      <c r="L61" s="45" t="s">
        <v>67</v>
      </c>
      <c r="M61" s="46" cm="1">
        <f t="array" ref="M61">AVERAGE(ABS(data!CH98:CO98),ABS(data!CH110:CO110),ABS(data!CH122:CO122))</f>
        <v>104.27666127325502</v>
      </c>
      <c r="N61" s="45" t="s">
        <v>67</v>
      </c>
      <c r="O61" s="46" cm="1">
        <f t="array" ref="O61">AVERAGE(ABS(data!DB98:DI98),ABS(data!DB110:DI110),ABS(data!DB122:DI122))</f>
        <v>295.84451160948396</v>
      </c>
      <c r="P61" s="45" t="s">
        <v>67</v>
      </c>
      <c r="Q61" s="46" cm="1">
        <f t="array" ref="Q61">AVERAGE(ABS(data!DV98:EC98),ABS(data!DV110:EC110),ABS(data!DV122:EC122))</f>
        <v>172.09541172450204</v>
      </c>
      <c r="R61" s="45" t="s">
        <v>67</v>
      </c>
      <c r="S61" s="46" cm="1">
        <f t="array" ref="S61">AVERAGE(ABS(data!EP98:EW98),ABS(data!EP110:EW110),ABS(data!EP122:EW122))</f>
        <v>313.61825845259574</v>
      </c>
    </row>
    <row r="62" spans="3:19" x14ac:dyDescent="0.3">
      <c r="C62" s="66"/>
      <c r="D62" s="45" t="s">
        <v>66</v>
      </c>
      <c r="E62" s="46" cm="1">
        <f t="array" ref="E62">_xlfn.STDEV.P(ABS(data!F98:M98),ABS(data!F110:M110),ABS(data!F122:M122))</f>
        <v>2.3866607113814688</v>
      </c>
      <c r="F62" s="45" t="s">
        <v>66</v>
      </c>
      <c r="G62" s="46" cm="1">
        <f t="array" ref="G62">_xlfn.STDEV.P(ABS(data!Z98:AG98),ABS(data!Z110:AG110),ABS(data!Z122:AG122))</f>
        <v>6.4786081733605441</v>
      </c>
      <c r="H62" s="45" t="s">
        <v>66</v>
      </c>
      <c r="I62" s="46" cm="1">
        <f t="array" ref="I62">_xlfn.STDEV.P(ABS(data!AT98:BA98),ABS(data!AT110:BA110),ABS(data!AT122:BA122))</f>
        <v>3.010692556935699</v>
      </c>
      <c r="J62" s="45" t="s">
        <v>66</v>
      </c>
      <c r="K62" s="46" cm="1">
        <f t="array" ref="K62">_xlfn.STDEV.P(ABS(data!BN98:BU98),ABS(data!BN110:BU110),ABS(data!BN122:BU122))</f>
        <v>2.0199342363694632</v>
      </c>
      <c r="L62" s="45" t="s">
        <v>66</v>
      </c>
      <c r="M62" s="46" cm="1">
        <f t="array" ref="M62">_xlfn.STDEV.P(ABS(data!CH98:CO98),ABS(data!CH110:CO110),ABS(data!CH122:CO122))</f>
        <v>100.11479709850499</v>
      </c>
      <c r="N62" s="45" t="s">
        <v>66</v>
      </c>
      <c r="O62" s="46" cm="1">
        <f t="array" ref="O62">_xlfn.STDEV.P(ABS(data!DB98:DI98),ABS(data!DB110:DI110),ABS(data!DB122:DI122))</f>
        <v>311.21228027269649</v>
      </c>
      <c r="P62" s="45" t="s">
        <v>66</v>
      </c>
      <c r="Q62" s="46" cm="1">
        <f t="array" ref="Q62">_xlfn.STDEV.P(ABS(data!DV98:EC98),ABS(data!DV110:EC110),ABS(data!DV122:EC122))</f>
        <v>98.155625490100817</v>
      </c>
      <c r="R62" s="45" t="s">
        <v>66</v>
      </c>
      <c r="S62" s="46" cm="1">
        <f t="array" ref="S62">_xlfn.STDEV.P(ABS(data!EP98:EW98),ABS(data!EP110:EW110),ABS(data!EP122:EW122))</f>
        <v>347.3133566136666</v>
      </c>
    </row>
    <row r="63" spans="3:19" x14ac:dyDescent="0.3">
      <c r="C63" s="85"/>
      <c r="D63" s="47"/>
      <c r="E63" s="54"/>
      <c r="F63" s="47"/>
      <c r="G63" s="54"/>
      <c r="H63" s="47"/>
      <c r="I63" s="54"/>
      <c r="J63" s="47"/>
      <c r="K63" s="54"/>
      <c r="L63" s="47"/>
      <c r="M63" s="54"/>
      <c r="N63" s="47"/>
      <c r="O63" s="54"/>
      <c r="P63" s="47"/>
      <c r="Q63" s="54"/>
      <c r="R63" s="47"/>
      <c r="S63" s="54"/>
    </row>
    <row r="64" spans="3:19" x14ac:dyDescent="0.3">
      <c r="C64" s="66" t="s">
        <v>69</v>
      </c>
      <c r="D64" s="45" t="s">
        <v>65</v>
      </c>
      <c r="E64" s="46" cm="1">
        <f t="array" ref="E64">AVERAGE(ABS(data!F100:M100),ABS(data!F112:M112),ABS(data!F124:M124))</f>
        <v>0.25609342320666834</v>
      </c>
      <c r="F64" s="45" t="s">
        <v>65</v>
      </c>
      <c r="G64" s="46" cm="1">
        <f t="array" ref="G64">AVERAGE(ABS(data!Z100:AG100),ABS(data!Z112:AG112),ABS(data!Z124:AG124))</f>
        <v>0.15646755395262904</v>
      </c>
      <c r="H64" s="45" t="s">
        <v>65</v>
      </c>
      <c r="I64" s="46" cm="1">
        <f t="array" ref="I64">AVERAGE(ABS(data!AT100:BA100),ABS(data!AT112:BA112),ABS(data!AT124:BA124))</f>
        <v>6.2363652637058349E-2</v>
      </c>
      <c r="J64" s="45" t="s">
        <v>65</v>
      </c>
      <c r="K64" s="46" cm="1">
        <f t="array" ref="K64">AVERAGE(ABS(data!BN100:BU100),ABS(data!BN112:BU112),ABS(data!BN124:BU124))</f>
        <v>0.1116081113591308</v>
      </c>
      <c r="L64" s="45" t="s">
        <v>65</v>
      </c>
      <c r="M64" s="46" cm="1">
        <f t="array" ref="M64">AVERAGE(ABS(data!CH100:CO100),ABS(data!CH112:CO112),ABS(data!CH124:CO124))</f>
        <v>3.1247925864704627</v>
      </c>
      <c r="N64" s="45" t="s">
        <v>65</v>
      </c>
      <c r="O64" s="46" cm="1">
        <f t="array" ref="O64">AVERAGE(ABS(data!DB100:DI100),ABS(data!DB112:DI112),ABS(data!DB124:DI124))</f>
        <v>2.1441624521692932</v>
      </c>
      <c r="P64" s="45" t="s">
        <v>65</v>
      </c>
      <c r="Q64" s="46" cm="1">
        <f t="array" ref="Q64">AVERAGE(ABS(data!DV100:EC100),ABS(data!DV112:EC112),ABS(data!DV124:EC124))</f>
        <v>2.2538699873497476</v>
      </c>
      <c r="R64" s="45" t="s">
        <v>65</v>
      </c>
      <c r="S64" s="46" cm="1">
        <f t="array" ref="S64">AVERAGE(ABS(data!EP100:EW100),ABS(data!EP112:EW112),ABS(data!EP124:EW124))</f>
        <v>2.7209523680277585</v>
      </c>
    </row>
    <row r="65" spans="3:19" x14ac:dyDescent="0.3">
      <c r="C65" s="66"/>
      <c r="D65" s="45" t="s">
        <v>66</v>
      </c>
      <c r="E65" s="46" cm="1">
        <f t="array" ref="E65">_xlfn.STDEV.P(ABS(data!F100:M100),ABS(data!F112:M112),ABS(data!F124:M124))</f>
        <v>0.17775765020386103</v>
      </c>
      <c r="F65" s="45" t="s">
        <v>66</v>
      </c>
      <c r="G65" s="46" cm="1">
        <f t="array" ref="G65">_xlfn.STDEV.P(ABS(data!Z100:AG100),ABS(data!Z112:AG112),ABS(data!Z124:AG124))</f>
        <v>0.10685982700063602</v>
      </c>
      <c r="H65" s="45" t="s">
        <v>66</v>
      </c>
      <c r="I65" s="46" cm="1">
        <f t="array" ref="I65">_xlfn.STDEV.P(ABS(data!AT100:BA100),ABS(data!AT112:BA112),ABS(data!AT124:BA124))</f>
        <v>6.46985214380566E-2</v>
      </c>
      <c r="J65" s="45" t="s">
        <v>66</v>
      </c>
      <c r="K65" s="46" cm="1">
        <f t="array" ref="K65">_xlfn.STDEV.P(ABS(data!BN100:BU100),ABS(data!BN112:BU112),ABS(data!BN124:BU124))</f>
        <v>9.9115621379604862E-2</v>
      </c>
      <c r="L65" s="45" t="s">
        <v>66</v>
      </c>
      <c r="M65" s="46" cm="1">
        <f t="array" ref="M65">_xlfn.STDEV.P(ABS(data!CH100:CO100),ABS(data!CH112:CO112),ABS(data!CH124:CO124))</f>
        <v>4.0965553373919708</v>
      </c>
      <c r="N65" s="45" t="s">
        <v>66</v>
      </c>
      <c r="O65" s="46" cm="1">
        <f t="array" ref="O65">_xlfn.STDEV.P(ABS(data!DB100:DI100),ABS(data!DB112:DI112),ABS(data!DB124:DI124))</f>
        <v>1.1196026204192684</v>
      </c>
      <c r="P65" s="45" t="s">
        <v>66</v>
      </c>
      <c r="Q65" s="46" cm="1">
        <f t="array" ref="Q65">_xlfn.STDEV.P(ABS(data!DV100:EC100),ABS(data!DV112:EC112),ABS(data!DV124:EC124))</f>
        <v>0.9075806144070907</v>
      </c>
      <c r="R65" s="45" t="s">
        <v>66</v>
      </c>
      <c r="S65" s="46" cm="1">
        <f t="array" ref="S65">_xlfn.STDEV.P(ABS(data!EP100:EW100),ABS(data!EP112:EW112),ABS(data!EP124:EW124))</f>
        <v>1.3477915842185848</v>
      </c>
    </row>
    <row r="66" spans="3:19" x14ac:dyDescent="0.3">
      <c r="C66" s="66"/>
      <c r="D66" s="45" t="s">
        <v>67</v>
      </c>
      <c r="E66" s="46" cm="1">
        <f t="array" ref="E66">AVERAGE(ABS(data!F101:M101),ABS(data!F113:M113),ABS(data!F125:M125))</f>
        <v>7.3330644618607295</v>
      </c>
      <c r="F66" s="45" t="s">
        <v>67</v>
      </c>
      <c r="G66" s="46" cm="1">
        <f t="array" ref="G66">AVERAGE(ABS(data!Z101:AG101),ABS(data!Z113:AG113),ABS(data!Z125:AG125))</f>
        <v>6.7340404532331704</v>
      </c>
      <c r="H66" s="45" t="s">
        <v>67</v>
      </c>
      <c r="I66" s="46" cm="1">
        <f t="array" ref="I66">AVERAGE(ABS(data!AT101:BA101),ABS(data!AT113:BA113),ABS(data!AT125:BA125))</f>
        <v>2.2367566236287568</v>
      </c>
      <c r="J66" s="45" t="s">
        <v>67</v>
      </c>
      <c r="K66" s="46" cm="1">
        <f t="array" ref="K66">AVERAGE(ABS(data!BN101:BU101),ABS(data!BN113:BU113),ABS(data!BN125:BU125))</f>
        <v>2.6550142595693043</v>
      </c>
      <c r="L66" s="45" t="s">
        <v>67</v>
      </c>
      <c r="M66" s="46" cm="1">
        <f t="array" ref="M66">AVERAGE(ABS(data!CH101:CO101),ABS(data!CH113:CO113),ABS(data!CH125:CO125))</f>
        <v>104.69817273032639</v>
      </c>
      <c r="N66" s="45" t="s">
        <v>67</v>
      </c>
      <c r="O66" s="46" cm="1">
        <f t="array" ref="O66">AVERAGE(ABS(data!DB101:DI101),ABS(data!DB113:DI113),ABS(data!DB125:DI125))</f>
        <v>391.37815278832915</v>
      </c>
      <c r="P66" s="45" t="s">
        <v>67</v>
      </c>
      <c r="Q66" s="46" cm="1">
        <f t="array" ref="Q66">AVERAGE(ABS(data!DV101:EC101),ABS(data!DV113:EC113),ABS(data!DV125:EC125))</f>
        <v>172.56953477189381</v>
      </c>
      <c r="R66" s="45" t="s">
        <v>67</v>
      </c>
      <c r="S66" s="46" cm="1">
        <f t="array" ref="S66">AVERAGE(ABS(data!EP101:EW101),ABS(data!EP113:EW113),ABS(data!EP125:EW125))</f>
        <v>312.87229364271263</v>
      </c>
    </row>
    <row r="67" spans="3:19" x14ac:dyDescent="0.3">
      <c r="C67" s="66"/>
      <c r="D67" s="45" t="s">
        <v>66</v>
      </c>
      <c r="E67" s="46" cm="1">
        <f t="array" ref="E67">_xlfn.STDEV.P(ABS(data!F101:M101),ABS(data!F113:M113),ABS(data!F125:M125))</f>
        <v>2.8318586386918931</v>
      </c>
      <c r="F67" s="45" t="s">
        <v>66</v>
      </c>
      <c r="G67" s="46" cm="1">
        <f t="array" ref="G67">_xlfn.STDEV.P(ABS(data!Z101:AG101),ABS(data!Z113:AG113),ABS(data!Z125:AG125))</f>
        <v>5.0045262395302252</v>
      </c>
      <c r="H67" s="45" t="s">
        <v>66</v>
      </c>
      <c r="I67" s="46" cm="1">
        <f t="array" ref="I67">_xlfn.STDEV.P(ABS(data!AT101:BA101),ABS(data!AT113:BA113),ABS(data!AT125:BA125))</f>
        <v>3.1973388973494163</v>
      </c>
      <c r="J67" s="45" t="s">
        <v>66</v>
      </c>
      <c r="K67" s="46" cm="1">
        <f t="array" ref="K67">_xlfn.STDEV.P(ABS(data!BN101:BU101),ABS(data!BN113:BU113),ABS(data!BN125:BU125))</f>
        <v>2.658687571108489</v>
      </c>
      <c r="L67" s="45" t="s">
        <v>66</v>
      </c>
      <c r="M67" s="46" cm="1">
        <f t="array" ref="M67">_xlfn.STDEV.P(ABS(data!CH101:CO101),ABS(data!CH113:CO113),ABS(data!CH125:CO125))</f>
        <v>101.45637137947648</v>
      </c>
      <c r="N67" s="45" t="s">
        <v>66</v>
      </c>
      <c r="O67" s="46" cm="1">
        <f t="array" ref="O67">_xlfn.STDEV.P(ABS(data!DB101:DI101),ABS(data!DB113:DI113),ABS(data!DB125:DI125))</f>
        <v>341.38663605421777</v>
      </c>
      <c r="P67" s="45" t="s">
        <v>66</v>
      </c>
      <c r="Q67" s="46" cm="1">
        <f t="array" ref="Q67">_xlfn.STDEV.P(ABS(data!DV101:EC101),ABS(data!DV113:EC113),ABS(data!DV125:EC125))</f>
        <v>97.635151069992403</v>
      </c>
      <c r="R67" s="45" t="s">
        <v>66</v>
      </c>
      <c r="S67" s="46" cm="1">
        <f t="array" ref="S67">_xlfn.STDEV.P(ABS(data!EP101:EW101),ABS(data!EP113:EW113),ABS(data!EP125:EW125))</f>
        <v>346.97973798521355</v>
      </c>
    </row>
    <row r="68" spans="3:19" x14ac:dyDescent="0.3">
      <c r="C68" s="85"/>
      <c r="D68" s="45"/>
      <c r="E68" s="46"/>
      <c r="F68" s="45"/>
      <c r="G68" s="46"/>
      <c r="H68" s="45"/>
      <c r="I68" s="46"/>
      <c r="J68" s="45"/>
      <c r="K68" s="46"/>
      <c r="L68" s="45"/>
      <c r="M68" s="46"/>
      <c r="N68" s="45"/>
      <c r="O68" s="46"/>
      <c r="P68" s="45"/>
      <c r="Q68" s="46"/>
      <c r="R68" s="45"/>
      <c r="S68" s="46"/>
    </row>
    <row r="69" spans="3:19" x14ac:dyDescent="0.3">
      <c r="C69" s="66" t="s">
        <v>70</v>
      </c>
      <c r="D69" s="52" t="s">
        <v>65</v>
      </c>
      <c r="E69" s="53">
        <f>AVERAGE(E54,E59,E64)</f>
        <v>0.24776008987333498</v>
      </c>
      <c r="F69" s="52" t="s">
        <v>65</v>
      </c>
      <c r="G69" s="53">
        <f>AVERAGE(G54,G59,G64)</f>
        <v>0.14485264953207957</v>
      </c>
      <c r="H69" s="52" t="s">
        <v>65</v>
      </c>
      <c r="I69" s="53">
        <f>AVERAGE(I54,I59,I64)</f>
        <v>6.5589325610043242E-2</v>
      </c>
      <c r="J69" s="52" t="s">
        <v>65</v>
      </c>
      <c r="K69" s="53">
        <f>AVERAGE(K54,K59,K64)</f>
        <v>0.10671525023787608</v>
      </c>
      <c r="L69" s="52" t="s">
        <v>65</v>
      </c>
      <c r="M69" s="53">
        <f>AVERAGE(M54,M59,M64)</f>
        <v>3.1189592531371297</v>
      </c>
      <c r="N69" s="52" t="s">
        <v>65</v>
      </c>
      <c r="O69" s="53">
        <f>AVERAGE(O54,O59,O64)</f>
        <v>24.01022805300326</v>
      </c>
      <c r="P69" s="52" t="s">
        <v>65</v>
      </c>
      <c r="Q69" s="53">
        <f>AVERAGE(Q54,Q59,Q64)</f>
        <v>2.2347033206830811</v>
      </c>
      <c r="R69" s="52" t="s">
        <v>65</v>
      </c>
      <c r="S69" s="53">
        <f>AVERAGE(S54,S59,S64)</f>
        <v>2.7155357013610923</v>
      </c>
    </row>
    <row r="70" spans="3:19" x14ac:dyDescent="0.3">
      <c r="C70" s="66"/>
      <c r="D70" s="45" t="s">
        <v>71</v>
      </c>
      <c r="E70" s="46">
        <f>AVERAGE(E55,E60,E65)</f>
        <v>0.17308823700449152</v>
      </c>
      <c r="F70" s="45" t="s">
        <v>71</v>
      </c>
      <c r="G70" s="46">
        <f>AVERAGE(G55,G60,G65)</f>
        <v>9.8884448376503661E-2</v>
      </c>
      <c r="H70" s="45" t="s">
        <v>71</v>
      </c>
      <c r="I70" s="46">
        <f>AVERAGE(I55,I60,I65)</f>
        <v>6.4143869233470222E-2</v>
      </c>
      <c r="J70" s="45" t="s">
        <v>71</v>
      </c>
      <c r="K70" s="46">
        <f>AVERAGE(K55,K60,K65)</f>
        <v>9.4478155737538302E-2</v>
      </c>
      <c r="L70" s="45" t="s">
        <v>71</v>
      </c>
      <c r="M70" s="46">
        <f>AVERAGE(M55,M60,M65)</f>
        <v>4.1028633898160143</v>
      </c>
      <c r="N70" s="45" t="s">
        <v>71</v>
      </c>
      <c r="O70" s="46">
        <f>AVERAGE(O55,O60,O65)</f>
        <v>49.293899384773368</v>
      </c>
      <c r="P70" s="45" t="s">
        <v>71</v>
      </c>
      <c r="Q70" s="46">
        <f>AVERAGE(Q55,Q60,Q65)</f>
        <v>0.89140232703731626</v>
      </c>
      <c r="R70" s="45" t="s">
        <v>71</v>
      </c>
      <c r="S70" s="46">
        <f>AVERAGE(S55,S60,S65)</f>
        <v>1.3485340819096179</v>
      </c>
    </row>
    <row r="71" spans="3:19" x14ac:dyDescent="0.3">
      <c r="C71" s="66"/>
      <c r="D71" s="45" t="s">
        <v>67</v>
      </c>
      <c r="E71" s="46">
        <f>AVERAGE(E56,E61,E66)</f>
        <v>6.9414748708739706</v>
      </c>
      <c r="F71" s="45" t="s">
        <v>67</v>
      </c>
      <c r="G71" s="46">
        <f>AVERAGE(G56,G61,G66)</f>
        <v>6.4488236737510567</v>
      </c>
      <c r="H71" s="45" t="s">
        <v>67</v>
      </c>
      <c r="I71" s="46">
        <f>AVERAGE(I56,I61,I66)</f>
        <v>2.3649757198983319</v>
      </c>
      <c r="J71" s="45" t="s">
        <v>67</v>
      </c>
      <c r="K71" s="46">
        <f>AVERAGE(K56,K61,K66)</f>
        <v>2.5254470915122007</v>
      </c>
      <c r="L71" s="45" t="s">
        <v>67</v>
      </c>
      <c r="M71" s="46">
        <f>AVERAGE(M56,M61,M66)</f>
        <v>104.30060129647457</v>
      </c>
      <c r="N71" s="45" t="s">
        <v>67</v>
      </c>
      <c r="O71" s="46">
        <f>AVERAGE(O56,O61,O66)</f>
        <v>325.50767408084215</v>
      </c>
      <c r="P71" s="45" t="s">
        <v>67</v>
      </c>
      <c r="Q71" s="46">
        <f>AVERAGE(Q56,Q61,Q66)</f>
        <v>170.71976780388135</v>
      </c>
      <c r="R71" s="45" t="s">
        <v>67</v>
      </c>
      <c r="S71" s="46">
        <f>AVERAGE(S56,S61,S66)</f>
        <v>312.28610346808074</v>
      </c>
    </row>
    <row r="72" spans="3:19" x14ac:dyDescent="0.3">
      <c r="C72" s="66"/>
      <c r="D72" s="45" t="s">
        <v>66</v>
      </c>
      <c r="E72" s="46">
        <f>AVERAGE(E57,E62,E67)</f>
        <v>2.7878885840499272</v>
      </c>
      <c r="F72" s="45" t="s">
        <v>66</v>
      </c>
      <c r="G72" s="46">
        <f>AVERAGE(G57,G62,G67)</f>
        <v>5.1023436724044222</v>
      </c>
      <c r="H72" s="45" t="s">
        <v>66</v>
      </c>
      <c r="I72" s="46">
        <f>AVERAGE(I57,I62,I67)</f>
        <v>3.4388088589541588</v>
      </c>
      <c r="J72" s="45" t="s">
        <v>66</v>
      </c>
      <c r="K72" s="46">
        <f>AVERAGE(K57,K62,K67)</f>
        <v>2.4463815094665335</v>
      </c>
      <c r="L72" s="45" t="s">
        <v>66</v>
      </c>
      <c r="M72" s="46">
        <f>AVERAGE(M57,M62,M67)</f>
        <v>101.38178736244861</v>
      </c>
      <c r="N72" s="45" t="s">
        <v>66</v>
      </c>
      <c r="O72" s="46">
        <f>AVERAGE(O57,O62,O67)</f>
        <v>318.60448363672128</v>
      </c>
      <c r="P72" s="45" t="s">
        <v>66</v>
      </c>
      <c r="Q72" s="46">
        <f>AVERAGE(Q57,Q62,Q67)</f>
        <v>95.589126255610367</v>
      </c>
      <c r="R72" s="45" t="s">
        <v>66</v>
      </c>
      <c r="S72" s="46">
        <f>AVERAGE(S57,S62,S67)</f>
        <v>345.68067265487326</v>
      </c>
    </row>
    <row r="73" spans="3:19" ht="15" thickBot="1" x14ac:dyDescent="0.35">
      <c r="C73" s="67"/>
      <c r="D73" s="48"/>
      <c r="E73" s="49"/>
      <c r="F73" s="48"/>
      <c r="G73" s="49"/>
      <c r="H73" s="48"/>
      <c r="I73" s="49"/>
      <c r="J73" s="48"/>
      <c r="K73" s="49"/>
      <c r="L73" s="48"/>
      <c r="M73" s="49"/>
      <c r="N73" s="48"/>
      <c r="O73" s="49"/>
      <c r="P73" s="48"/>
      <c r="Q73" s="49"/>
      <c r="R73" s="48"/>
      <c r="S73" s="49"/>
    </row>
    <row r="77" spans="3:19" ht="15" thickBot="1" x14ac:dyDescent="0.35">
      <c r="C77" s="86" t="s">
        <v>108</v>
      </c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</row>
    <row r="78" spans="3:19" ht="15" thickBot="1" x14ac:dyDescent="0.35">
      <c r="C78" s="44"/>
      <c r="D78" s="83" t="s">
        <v>57</v>
      </c>
      <c r="E78" s="84"/>
      <c r="F78" s="83" t="s">
        <v>58</v>
      </c>
      <c r="G78" s="84"/>
      <c r="H78" s="83" t="s">
        <v>59</v>
      </c>
      <c r="I78" s="84"/>
      <c r="J78" s="83" t="s">
        <v>60</v>
      </c>
      <c r="K78" s="84"/>
      <c r="L78" s="83" t="s">
        <v>61</v>
      </c>
      <c r="M78" s="84"/>
      <c r="N78" s="83" t="s">
        <v>62</v>
      </c>
      <c r="O78" s="84"/>
      <c r="P78" s="83" t="s">
        <v>63</v>
      </c>
      <c r="Q78" s="84"/>
      <c r="R78" s="83" t="s">
        <v>64</v>
      </c>
      <c r="S78" s="84"/>
    </row>
    <row r="79" spans="3:19" x14ac:dyDescent="0.3">
      <c r="C79" s="65" t="s">
        <v>23</v>
      </c>
      <c r="D79" s="50" t="s">
        <v>65</v>
      </c>
      <c r="E79" s="51">
        <f>AVERAGE(E29,E54,E4)</f>
        <v>0.17409873804313647</v>
      </c>
      <c r="F79" s="50" t="s">
        <v>65</v>
      </c>
      <c r="G79" s="51">
        <f>AVERAGE(G29,G54,G4)</f>
        <v>0.16178091486097745</v>
      </c>
      <c r="H79" s="50" t="s">
        <v>65</v>
      </c>
      <c r="I79" s="51">
        <f>AVERAGE(I29,I54,I4)</f>
        <v>0.11285593191139016</v>
      </c>
      <c r="J79" s="50" t="s">
        <v>65</v>
      </c>
      <c r="K79" s="51">
        <f>AVERAGE(K29,K54,K4)</f>
        <v>0.12656935696121926</v>
      </c>
      <c r="L79" s="50" t="s">
        <v>65</v>
      </c>
      <c r="M79" s="51">
        <f>AVERAGE(M29,M54,M4)</f>
        <v>2.3861118645979857</v>
      </c>
      <c r="N79" s="50" t="s">
        <v>65</v>
      </c>
      <c r="O79" s="51">
        <f>AVERAGE(O29,O54,O4)</f>
        <v>13.569858601304233</v>
      </c>
      <c r="P79" s="50" t="s">
        <v>65</v>
      </c>
      <c r="Q79" s="51">
        <f>AVERAGE(Q29,Q54,Q4)</f>
        <v>2.1693220908218773</v>
      </c>
      <c r="R79" s="50" t="s">
        <v>65</v>
      </c>
      <c r="S79" s="51">
        <f>AVERAGE(S29,S54,S4)</f>
        <v>2.5887820686557053</v>
      </c>
    </row>
    <row r="80" spans="3:19" x14ac:dyDescent="0.3">
      <c r="C80" s="66"/>
      <c r="D80" s="45" t="s">
        <v>66</v>
      </c>
      <c r="E80" s="46">
        <f t="shared" ref="E80:G92" si="0">AVERAGE(E30,E55,E5)</f>
        <v>0.11687172636197884</v>
      </c>
      <c r="F80" s="45" t="s">
        <v>66</v>
      </c>
      <c r="G80" s="46">
        <f t="shared" si="0"/>
        <v>0.12605655548149133</v>
      </c>
      <c r="H80" s="45" t="s">
        <v>66</v>
      </c>
      <c r="I80" s="46">
        <f t="shared" ref="I80:I82" si="1">AVERAGE(I30,I55,I5)</f>
        <v>9.5209866619637373E-2</v>
      </c>
      <c r="J80" s="45" t="s">
        <v>66</v>
      </c>
      <c r="K80" s="46">
        <f t="shared" ref="K80:K82" si="2">AVERAGE(K30,K55,K5)</f>
        <v>0.11091937623128349</v>
      </c>
      <c r="L80" s="45" t="s">
        <v>66</v>
      </c>
      <c r="M80" s="46">
        <f t="shared" ref="M80:M82" si="3">AVERAGE(M30,M55,M5)</f>
        <v>2.2806656449558931</v>
      </c>
      <c r="N80" s="45" t="s">
        <v>66</v>
      </c>
      <c r="O80" s="46">
        <f t="shared" ref="O80:O82" si="4">AVERAGE(O30,O55,O5)</f>
        <v>25.317292444844398</v>
      </c>
      <c r="P80" s="45" t="s">
        <v>66</v>
      </c>
      <c r="Q80" s="46">
        <f t="shared" ref="Q80:Q82" si="5">AVERAGE(Q30,Q55,Q5)</f>
        <v>1.3997052963172063</v>
      </c>
      <c r="R80" s="45" t="s">
        <v>66</v>
      </c>
      <c r="S80" s="46">
        <f t="shared" ref="S80:S82" si="6">AVERAGE(S30,S55,S5)</f>
        <v>1.2920083390207866</v>
      </c>
    </row>
    <row r="81" spans="3:19" x14ac:dyDescent="0.3">
      <c r="C81" s="66"/>
      <c r="D81" s="45" t="s">
        <v>67</v>
      </c>
      <c r="E81" s="46">
        <f t="shared" si="0"/>
        <v>4.9664198447051753</v>
      </c>
      <c r="F81" s="45" t="s">
        <v>67</v>
      </c>
      <c r="G81" s="46">
        <f t="shared" si="0"/>
        <v>5.2406183414126231</v>
      </c>
      <c r="H81" s="45" t="s">
        <v>67</v>
      </c>
      <c r="I81" s="46">
        <f t="shared" si="1"/>
        <v>3.7780017956228815</v>
      </c>
      <c r="J81" s="45" t="s">
        <v>67</v>
      </c>
      <c r="K81" s="46">
        <f t="shared" si="2"/>
        <v>3.2268033296781353</v>
      </c>
      <c r="L81" s="45" t="s">
        <v>67</v>
      </c>
      <c r="M81" s="46">
        <f t="shared" si="3"/>
        <v>167.9738326494622</v>
      </c>
      <c r="N81" s="45" t="s">
        <v>67</v>
      </c>
      <c r="O81" s="46">
        <f t="shared" si="4"/>
        <v>520.83635207415671</v>
      </c>
      <c r="P81" s="45" t="s">
        <v>67</v>
      </c>
      <c r="Q81" s="46">
        <f t="shared" si="5"/>
        <v>208.83435735816474</v>
      </c>
      <c r="R81" s="45" t="s">
        <v>67</v>
      </c>
      <c r="S81" s="46">
        <f t="shared" si="6"/>
        <v>448.58791932576787</v>
      </c>
    </row>
    <row r="82" spans="3:19" x14ac:dyDescent="0.3">
      <c r="C82" s="66"/>
      <c r="D82" s="45" t="s">
        <v>66</v>
      </c>
      <c r="E82" s="46">
        <f t="shared" si="0"/>
        <v>3.093399419239717</v>
      </c>
      <c r="F82" s="45" t="s">
        <v>66</v>
      </c>
      <c r="G82" s="46">
        <f t="shared" si="0"/>
        <v>4.2668904687579099</v>
      </c>
      <c r="H82" s="45" t="s">
        <v>66</v>
      </c>
      <c r="I82" s="46">
        <f t="shared" si="1"/>
        <v>3.2964073483388483</v>
      </c>
      <c r="J82" s="45" t="s">
        <v>66</v>
      </c>
      <c r="K82" s="46">
        <f t="shared" si="2"/>
        <v>2.6623357813452464</v>
      </c>
      <c r="L82" s="45" t="s">
        <v>66</v>
      </c>
      <c r="M82" s="46">
        <f t="shared" si="3"/>
        <v>161.74112282955835</v>
      </c>
      <c r="N82" s="45" t="s">
        <v>66</v>
      </c>
      <c r="O82" s="46">
        <f t="shared" si="4"/>
        <v>617.89687918727361</v>
      </c>
      <c r="P82" s="45" t="s">
        <v>66</v>
      </c>
      <c r="Q82" s="46">
        <f t="shared" si="5"/>
        <v>172.95837339527682</v>
      </c>
      <c r="R82" s="45" t="s">
        <v>66</v>
      </c>
      <c r="S82" s="46">
        <f t="shared" si="6"/>
        <v>457.44747660116468</v>
      </c>
    </row>
    <row r="83" spans="3:19" x14ac:dyDescent="0.3">
      <c r="C83" s="85"/>
      <c r="D83" s="45"/>
      <c r="E83" s="46"/>
      <c r="F83" s="47"/>
      <c r="G83" s="46"/>
      <c r="H83" s="47"/>
      <c r="I83" s="46"/>
      <c r="J83" s="47"/>
      <c r="K83" s="46"/>
      <c r="L83" s="47"/>
      <c r="M83" s="46"/>
      <c r="N83" s="47"/>
      <c r="O83" s="46"/>
      <c r="P83" s="47"/>
      <c r="Q83" s="46"/>
      <c r="R83" s="47"/>
      <c r="S83" s="46"/>
    </row>
    <row r="84" spans="3:19" x14ac:dyDescent="0.3">
      <c r="C84" s="66" t="s">
        <v>68</v>
      </c>
      <c r="D84" s="52" t="s">
        <v>65</v>
      </c>
      <c r="E84" s="53">
        <f t="shared" si="0"/>
        <v>0.15895848323621486</v>
      </c>
      <c r="F84" s="45" t="s">
        <v>65</v>
      </c>
      <c r="G84" s="53">
        <f t="shared" si="0"/>
        <v>0.15436929869936108</v>
      </c>
      <c r="H84" s="45" t="s">
        <v>65</v>
      </c>
      <c r="I84" s="53">
        <f t="shared" ref="I84:I87" si="7">AVERAGE(I34,I59,I9)</f>
        <v>0.12222882524664853</v>
      </c>
      <c r="J84" s="45" t="s">
        <v>65</v>
      </c>
      <c r="K84" s="53">
        <f t="shared" ref="K84:K87" si="8">AVERAGE(K34,K59,K9)</f>
        <v>0.10438011050529618</v>
      </c>
      <c r="L84" s="45" t="s">
        <v>65</v>
      </c>
      <c r="M84" s="53">
        <f t="shared" ref="M84:M87" si="9">AVERAGE(M34,M59,M9)</f>
        <v>2.3952785312646525</v>
      </c>
      <c r="N84" s="45" t="s">
        <v>65</v>
      </c>
      <c r="O84" s="53">
        <f>AVERAGE(O34,O59,O9)</f>
        <v>13.582358601304238</v>
      </c>
      <c r="P84" s="45" t="s">
        <v>65</v>
      </c>
      <c r="Q84" s="53">
        <f t="shared" ref="Q84:Q87" si="10">AVERAGE(Q34,Q59,Q9)</f>
        <v>2.1568220908218776</v>
      </c>
      <c r="R84" s="45" t="s">
        <v>65</v>
      </c>
      <c r="S84" s="53">
        <f t="shared" ref="S84:S87" si="11">AVERAGE(S34,S59,S9)</f>
        <v>2.6000320686557052</v>
      </c>
    </row>
    <row r="85" spans="3:19" x14ac:dyDescent="0.3">
      <c r="C85" s="66"/>
      <c r="D85" s="45" t="s">
        <v>66</v>
      </c>
      <c r="E85" s="46">
        <f t="shared" si="0"/>
        <v>0.11260034862562991</v>
      </c>
      <c r="F85" s="45" t="s">
        <v>66</v>
      </c>
      <c r="G85" s="46">
        <f t="shared" si="0"/>
        <v>0.1198930276332052</v>
      </c>
      <c r="H85" s="45" t="s">
        <v>66</v>
      </c>
      <c r="I85" s="46">
        <f t="shared" si="7"/>
        <v>0.14879675980327106</v>
      </c>
      <c r="J85" s="45" t="s">
        <v>66</v>
      </c>
      <c r="K85" s="46">
        <f t="shared" si="8"/>
        <v>0.10397419889010102</v>
      </c>
      <c r="L85" s="45" t="s">
        <v>66</v>
      </c>
      <c r="M85" s="46">
        <f t="shared" si="9"/>
        <v>2.2837181987915365</v>
      </c>
      <c r="N85" s="45" t="s">
        <v>66</v>
      </c>
      <c r="O85" s="46">
        <f t="shared" ref="O85:O87" si="12">AVERAGE(O35,O60,O10)</f>
        <v>25.309102431666858</v>
      </c>
      <c r="P85" s="45" t="s">
        <v>66</v>
      </c>
      <c r="Q85" s="46">
        <f t="shared" si="10"/>
        <v>1.4090717294819717</v>
      </c>
      <c r="R85" s="45" t="s">
        <v>66</v>
      </c>
      <c r="S85" s="46">
        <f t="shared" si="11"/>
        <v>1.2805122628863079</v>
      </c>
    </row>
    <row r="86" spans="3:19" x14ac:dyDescent="0.3">
      <c r="C86" s="66"/>
      <c r="D86" s="45" t="s">
        <v>67</v>
      </c>
      <c r="E86" s="46">
        <f t="shared" si="0"/>
        <v>4.6061986840503435</v>
      </c>
      <c r="F86" s="45" t="s">
        <v>67</v>
      </c>
      <c r="G86" s="46">
        <f t="shared" si="0"/>
        <v>5.3955295723431034</v>
      </c>
      <c r="H86" s="45" t="s">
        <v>67</v>
      </c>
      <c r="I86" s="46">
        <f t="shared" si="7"/>
        <v>3.8959904032524761</v>
      </c>
      <c r="J86" s="45" t="s">
        <v>67</v>
      </c>
      <c r="K86" s="46">
        <f t="shared" si="8"/>
        <v>2.5316638771986053</v>
      </c>
      <c r="L86" s="45" t="s">
        <v>67</v>
      </c>
      <c r="M86" s="46">
        <f t="shared" si="9"/>
        <v>169.36923838618642</v>
      </c>
      <c r="N86" s="45" t="s">
        <v>67</v>
      </c>
      <c r="O86" s="46">
        <f t="shared" si="12"/>
        <v>525.63993088970335</v>
      </c>
      <c r="P86" s="45" t="s">
        <v>67</v>
      </c>
      <c r="Q86" s="46">
        <f t="shared" si="10"/>
        <v>209.28252915515972</v>
      </c>
      <c r="R86" s="45" t="s">
        <v>67</v>
      </c>
      <c r="S86" s="46">
        <f t="shared" si="11"/>
        <v>452.52295084662865</v>
      </c>
    </row>
    <row r="87" spans="3:19" x14ac:dyDescent="0.3">
      <c r="C87" s="66"/>
      <c r="D87" s="45" t="s">
        <v>66</v>
      </c>
      <c r="E87" s="46">
        <f t="shared" si="0"/>
        <v>2.7553992115484682</v>
      </c>
      <c r="F87" s="45" t="s">
        <v>66</v>
      </c>
      <c r="G87" s="46">
        <f t="shared" si="0"/>
        <v>4.799597190121152</v>
      </c>
      <c r="H87" s="45" t="s">
        <v>66</v>
      </c>
      <c r="I87" s="46">
        <f t="shared" si="7"/>
        <v>3.9229188224645006</v>
      </c>
      <c r="J87" s="45" t="s">
        <v>66</v>
      </c>
      <c r="K87" s="46">
        <f t="shared" si="8"/>
        <v>2.2970452685786937</v>
      </c>
      <c r="L87" s="45" t="s">
        <v>66</v>
      </c>
      <c r="M87" s="46">
        <f t="shared" si="9"/>
        <v>162.46735126669728</v>
      </c>
      <c r="N87" s="45" t="s">
        <v>66</v>
      </c>
      <c r="O87" s="46">
        <f t="shared" si="12"/>
        <v>622.8218412670941</v>
      </c>
      <c r="P87" s="45" t="s">
        <v>66</v>
      </c>
      <c r="Q87" s="46">
        <f t="shared" si="10"/>
        <v>177.35858086510243</v>
      </c>
      <c r="R87" s="45" t="s">
        <v>66</v>
      </c>
      <c r="S87" s="46">
        <f t="shared" si="11"/>
        <v>463.24080744908451</v>
      </c>
    </row>
    <row r="88" spans="3:19" x14ac:dyDescent="0.3">
      <c r="C88" s="85"/>
      <c r="D88" s="47"/>
      <c r="E88" s="54"/>
      <c r="F88" s="47"/>
      <c r="G88" s="54"/>
      <c r="H88" s="47"/>
      <c r="I88" s="54"/>
      <c r="J88" s="47"/>
      <c r="K88" s="54"/>
      <c r="L88" s="47"/>
      <c r="M88" s="54"/>
      <c r="N88" s="47"/>
      <c r="O88" s="54"/>
      <c r="P88" s="47"/>
      <c r="Q88" s="54"/>
      <c r="R88" s="47"/>
      <c r="S88" s="54"/>
    </row>
    <row r="89" spans="3:19" x14ac:dyDescent="0.3">
      <c r="C89" s="66" t="s">
        <v>69</v>
      </c>
      <c r="D89" s="45" t="s">
        <v>65</v>
      </c>
      <c r="E89" s="46">
        <f t="shared" si="0"/>
        <v>0.16598626101399286</v>
      </c>
      <c r="F89" s="52" t="s">
        <v>65</v>
      </c>
      <c r="G89" s="46">
        <f t="shared" si="0"/>
        <v>0.17031946907489523</v>
      </c>
      <c r="H89" s="52" t="s">
        <v>65</v>
      </c>
      <c r="I89" s="46">
        <f t="shared" ref="I89:I92" si="13">AVERAGE(I39,I64,I14)</f>
        <v>0.11303939021451116</v>
      </c>
      <c r="J89" s="52" t="s">
        <v>65</v>
      </c>
      <c r="K89" s="46">
        <f t="shared" ref="K89:K92" si="14">AVERAGE(K39,K64,K14)</f>
        <v>0.11429679106488522</v>
      </c>
      <c r="L89" s="52" t="s">
        <v>65</v>
      </c>
      <c r="M89" s="46">
        <f t="shared" ref="M89:M92" si="15">AVERAGE(M39,M64,M14)</f>
        <v>2.4119451979313187</v>
      </c>
      <c r="N89" s="52" t="s">
        <v>65</v>
      </c>
      <c r="O89" s="46">
        <f t="shared" ref="O89:O92" si="16">AVERAGE(O39,O64,O14)</f>
        <v>2.6520341342205853</v>
      </c>
      <c r="P89" s="52" t="s">
        <v>65</v>
      </c>
      <c r="Q89" s="46">
        <f t="shared" ref="Q89:Q92" si="17">AVERAGE(Q39,Q64,Q14)</f>
        <v>2.2014054241552112</v>
      </c>
      <c r="R89" s="52" t="s">
        <v>65</v>
      </c>
      <c r="S89" s="46">
        <f t="shared" ref="S89:S92" si="18">AVERAGE(S39,S64,S14)</f>
        <v>2.6146154019890386</v>
      </c>
    </row>
    <row r="90" spans="3:19" x14ac:dyDescent="0.3">
      <c r="C90" s="66"/>
      <c r="D90" s="45" t="s">
        <v>66</v>
      </c>
      <c r="E90" s="46">
        <f t="shared" si="0"/>
        <v>0.11933947911275489</v>
      </c>
      <c r="F90" s="45" t="s">
        <v>66</v>
      </c>
      <c r="G90" s="46">
        <f t="shared" si="0"/>
        <v>0.12211898645142183</v>
      </c>
      <c r="H90" s="45" t="s">
        <v>66</v>
      </c>
      <c r="I90" s="46">
        <f t="shared" si="13"/>
        <v>8.9969117278044283E-2</v>
      </c>
      <c r="J90" s="45" t="s">
        <v>66</v>
      </c>
      <c r="K90" s="46">
        <f t="shared" si="14"/>
        <v>0.11434761212460608</v>
      </c>
      <c r="L90" s="45" t="s">
        <v>66</v>
      </c>
      <c r="M90" s="46">
        <f t="shared" si="15"/>
        <v>2.2910261377451722</v>
      </c>
      <c r="N90" s="45" t="s">
        <v>66</v>
      </c>
      <c r="O90" s="46">
        <f t="shared" si="16"/>
        <v>1.2272437597972097</v>
      </c>
      <c r="P90" s="45" t="s">
        <v>66</v>
      </c>
      <c r="Q90" s="46">
        <f t="shared" si="17"/>
        <v>1.4091701105251133</v>
      </c>
      <c r="R90" s="45" t="s">
        <v>66</v>
      </c>
      <c r="S90" s="46">
        <f t="shared" si="18"/>
        <v>1.2884597747596065</v>
      </c>
    </row>
    <row r="91" spans="3:19" x14ac:dyDescent="0.3">
      <c r="C91" s="66"/>
      <c r="D91" s="45" t="s">
        <v>67</v>
      </c>
      <c r="E91" s="46">
        <f t="shared" si="0"/>
        <v>4.8647139995475355</v>
      </c>
      <c r="F91" s="45" t="s">
        <v>67</v>
      </c>
      <c r="G91" s="46">
        <f t="shared" si="0"/>
        <v>5.6238309546885574</v>
      </c>
      <c r="H91" s="45" t="s">
        <v>67</v>
      </c>
      <c r="I91" s="46">
        <f t="shared" si="13"/>
        <v>3.6799356482775907</v>
      </c>
      <c r="J91" s="45" t="s">
        <v>67</v>
      </c>
      <c r="K91" s="46">
        <f t="shared" si="14"/>
        <v>2.752590650299533</v>
      </c>
      <c r="L91" s="45" t="s">
        <v>67</v>
      </c>
      <c r="M91" s="46">
        <f t="shared" si="15"/>
        <v>171.1460339459538</v>
      </c>
      <c r="N91" s="45" t="s">
        <v>67</v>
      </c>
      <c r="O91" s="46">
        <f t="shared" si="16"/>
        <v>559.31501843948092</v>
      </c>
      <c r="P91" s="45" t="s">
        <v>67</v>
      </c>
      <c r="Q91" s="46">
        <f t="shared" si="17"/>
        <v>211.22126539435044</v>
      </c>
      <c r="R91" s="45" t="s">
        <v>67</v>
      </c>
      <c r="S91" s="46">
        <f t="shared" si="18"/>
        <v>453.95557197252521</v>
      </c>
    </row>
    <row r="92" spans="3:19" x14ac:dyDescent="0.3">
      <c r="C92" s="66"/>
      <c r="D92" s="45" t="s">
        <v>66</v>
      </c>
      <c r="E92" s="46">
        <f t="shared" si="0"/>
        <v>3.041720794857369</v>
      </c>
      <c r="F92" s="45" t="s">
        <v>66</v>
      </c>
      <c r="G92" s="46">
        <f t="shared" si="0"/>
        <v>4.4022872977315188</v>
      </c>
      <c r="H92" s="45" t="s">
        <v>66</v>
      </c>
      <c r="I92" s="46">
        <f t="shared" si="13"/>
        <v>2.9225035860872968</v>
      </c>
      <c r="J92" s="45" t="s">
        <v>66</v>
      </c>
      <c r="K92" s="46">
        <f t="shared" si="14"/>
        <v>2.5434503689884527</v>
      </c>
      <c r="L92" s="45" t="s">
        <v>66</v>
      </c>
      <c r="M92" s="46">
        <f t="shared" si="15"/>
        <v>164.70464908272803</v>
      </c>
      <c r="N92" s="45" t="s">
        <v>66</v>
      </c>
      <c r="O92" s="46">
        <f t="shared" si="16"/>
        <v>636.17262184382628</v>
      </c>
      <c r="P92" s="45" t="s">
        <v>66</v>
      </c>
      <c r="Q92" s="46">
        <f t="shared" si="17"/>
        <v>173.67932082993505</v>
      </c>
      <c r="R92" s="45" t="s">
        <v>66</v>
      </c>
      <c r="S92" s="46">
        <f t="shared" si="18"/>
        <v>464.75766057186956</v>
      </c>
    </row>
    <row r="93" spans="3:19" ht="15" thickBot="1" x14ac:dyDescent="0.35">
      <c r="C93" s="67"/>
      <c r="D93" s="48"/>
      <c r="E93" s="49"/>
      <c r="F93" s="48"/>
      <c r="G93" s="49"/>
      <c r="H93" s="48"/>
      <c r="I93" s="49"/>
      <c r="J93" s="48"/>
      <c r="K93" s="49"/>
      <c r="L93" s="48"/>
      <c r="M93" s="49"/>
      <c r="N93" s="48"/>
      <c r="O93" s="49"/>
      <c r="P93" s="48"/>
      <c r="Q93" s="49"/>
      <c r="R93" s="48"/>
      <c r="S93" s="49"/>
    </row>
    <row r="97" spans="3:19" ht="15" thickBot="1" x14ac:dyDescent="0.35">
      <c r="C97" s="86" t="s">
        <v>109</v>
      </c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</row>
    <row r="98" spans="3:19" ht="15" thickBot="1" x14ac:dyDescent="0.35">
      <c r="H98" s="44"/>
      <c r="I98" s="83" t="s">
        <v>78</v>
      </c>
      <c r="J98" s="84"/>
      <c r="K98" s="83" t="s">
        <v>79</v>
      </c>
      <c r="L98" s="84"/>
    </row>
    <row r="99" spans="3:19" x14ac:dyDescent="0.3">
      <c r="H99" s="65" t="s">
        <v>23</v>
      </c>
      <c r="I99" s="50" t="s">
        <v>65</v>
      </c>
      <c r="J99" s="51">
        <f>AVERAGE(E79,G79,I79,K79)</f>
        <v>0.14382623544418083</v>
      </c>
      <c r="K99" s="50" t="s">
        <v>65</v>
      </c>
      <c r="L99" s="51">
        <f>AVERAGE(M79,O79,Q79,S79)</f>
        <v>5.1785186563449503</v>
      </c>
    </row>
    <row r="100" spans="3:19" x14ac:dyDescent="0.3">
      <c r="H100" s="66"/>
      <c r="I100" s="45" t="s">
        <v>66</v>
      </c>
      <c r="J100" s="46">
        <f t="shared" ref="J100:J112" si="19">AVERAGE(E80,G80,I80,K80)</f>
        <v>0.11226438117359776</v>
      </c>
      <c r="K100" s="45" t="s">
        <v>66</v>
      </c>
      <c r="L100" s="46">
        <f t="shared" ref="L100:L112" si="20">AVERAGE(M80,O80,Q80,S80)</f>
        <v>7.5724179312845701</v>
      </c>
    </row>
    <row r="101" spans="3:19" x14ac:dyDescent="0.3">
      <c r="H101" s="66"/>
      <c r="I101" s="45" t="s">
        <v>67</v>
      </c>
      <c r="J101" s="46">
        <f t="shared" si="19"/>
        <v>4.3029608278547036</v>
      </c>
      <c r="K101" s="45" t="s">
        <v>67</v>
      </c>
      <c r="L101" s="46">
        <f t="shared" si="20"/>
        <v>336.55811535188786</v>
      </c>
    </row>
    <row r="102" spans="3:19" x14ac:dyDescent="0.3">
      <c r="H102" s="66"/>
      <c r="I102" s="45" t="s">
        <v>66</v>
      </c>
      <c r="J102" s="46">
        <f t="shared" si="19"/>
        <v>3.3297582544204305</v>
      </c>
      <c r="K102" s="45" t="s">
        <v>66</v>
      </c>
      <c r="L102" s="46">
        <f t="shared" si="20"/>
        <v>352.51096300331835</v>
      </c>
    </row>
    <row r="103" spans="3:19" x14ac:dyDescent="0.3">
      <c r="H103" s="85"/>
      <c r="I103" s="45"/>
      <c r="J103" s="46"/>
      <c r="K103" s="45"/>
      <c r="L103" s="46"/>
    </row>
    <row r="104" spans="3:19" x14ac:dyDescent="0.3">
      <c r="H104" s="66" t="s">
        <v>68</v>
      </c>
      <c r="I104" s="52" t="s">
        <v>65</v>
      </c>
      <c r="J104" s="53">
        <f t="shared" si="19"/>
        <v>0.13498417942188018</v>
      </c>
      <c r="K104" s="52" t="s">
        <v>65</v>
      </c>
      <c r="L104" s="53">
        <f t="shared" si="20"/>
        <v>5.1836228230116177</v>
      </c>
    </row>
    <row r="105" spans="3:19" x14ac:dyDescent="0.3">
      <c r="H105" s="66"/>
      <c r="I105" s="45" t="s">
        <v>66</v>
      </c>
      <c r="J105" s="46">
        <f t="shared" si="19"/>
        <v>0.12131608373805179</v>
      </c>
      <c r="K105" s="45" t="s">
        <v>66</v>
      </c>
      <c r="L105" s="46">
        <f t="shared" si="20"/>
        <v>7.5706011557066688</v>
      </c>
    </row>
    <row r="106" spans="3:19" x14ac:dyDescent="0.3">
      <c r="H106" s="66"/>
      <c r="I106" s="45" t="s">
        <v>67</v>
      </c>
      <c r="J106" s="46">
        <f t="shared" si="19"/>
        <v>4.1073456342111321</v>
      </c>
      <c r="K106" s="45" t="s">
        <v>67</v>
      </c>
      <c r="L106" s="46">
        <f t="shared" si="20"/>
        <v>339.20366231941955</v>
      </c>
    </row>
    <row r="107" spans="3:19" x14ac:dyDescent="0.3">
      <c r="H107" s="66"/>
      <c r="I107" s="45" t="s">
        <v>66</v>
      </c>
      <c r="J107" s="46">
        <f t="shared" si="19"/>
        <v>3.4437401231782037</v>
      </c>
      <c r="K107" s="45" t="s">
        <v>66</v>
      </c>
      <c r="L107" s="46">
        <f t="shared" si="20"/>
        <v>356.47214521199459</v>
      </c>
    </row>
    <row r="108" spans="3:19" x14ac:dyDescent="0.3">
      <c r="H108" s="85"/>
      <c r="I108" s="47"/>
      <c r="J108" s="54"/>
      <c r="K108" s="47"/>
      <c r="L108" s="54"/>
    </row>
    <row r="109" spans="3:19" x14ac:dyDescent="0.3">
      <c r="H109" s="66" t="s">
        <v>69</v>
      </c>
      <c r="I109" s="52" t="s">
        <v>65</v>
      </c>
      <c r="J109" s="53">
        <f t="shared" si="19"/>
        <v>0.14091047784207111</v>
      </c>
      <c r="K109" s="52" t="s">
        <v>65</v>
      </c>
      <c r="L109" s="53">
        <f t="shared" si="20"/>
        <v>2.4700000395740385</v>
      </c>
    </row>
    <row r="110" spans="3:19" x14ac:dyDescent="0.3">
      <c r="H110" s="66"/>
      <c r="I110" s="45" t="s">
        <v>66</v>
      </c>
      <c r="J110" s="46">
        <f t="shared" si="19"/>
        <v>0.11144379874170678</v>
      </c>
      <c r="K110" s="45" t="s">
        <v>66</v>
      </c>
      <c r="L110" s="46">
        <f t="shared" si="20"/>
        <v>1.5539749457067753</v>
      </c>
    </row>
    <row r="111" spans="3:19" x14ac:dyDescent="0.3">
      <c r="H111" s="66"/>
      <c r="I111" s="45" t="s">
        <v>67</v>
      </c>
      <c r="J111" s="46">
        <f t="shared" si="19"/>
        <v>4.2302678132033043</v>
      </c>
      <c r="K111" s="45" t="s">
        <v>67</v>
      </c>
      <c r="L111" s="46">
        <f t="shared" si="20"/>
        <v>348.90947243807761</v>
      </c>
    </row>
    <row r="112" spans="3:19" x14ac:dyDescent="0.3">
      <c r="H112" s="66"/>
      <c r="I112" s="45" t="s">
        <v>66</v>
      </c>
      <c r="J112" s="46">
        <f t="shared" si="19"/>
        <v>3.2274905119161592</v>
      </c>
      <c r="K112" s="45" t="s">
        <v>66</v>
      </c>
      <c r="L112" s="46">
        <f t="shared" si="20"/>
        <v>359.82856308208972</v>
      </c>
    </row>
    <row r="113" spans="8:12" ht="15" thickBot="1" x14ac:dyDescent="0.35">
      <c r="H113" s="67"/>
      <c r="I113" s="48"/>
      <c r="J113" s="49"/>
      <c r="K113" s="56"/>
      <c r="L113" s="49"/>
    </row>
    <row r="117" spans="8:12" ht="15" thickBot="1" x14ac:dyDescent="0.35">
      <c r="H117" s="86" t="s">
        <v>110</v>
      </c>
      <c r="I117" s="86"/>
      <c r="J117" s="86"/>
      <c r="K117" s="86"/>
      <c r="L117" s="86"/>
    </row>
    <row r="118" spans="8:12" ht="15" thickBot="1" x14ac:dyDescent="0.35">
      <c r="H118" s="44"/>
      <c r="I118" s="83" t="s">
        <v>78</v>
      </c>
      <c r="J118" s="84"/>
      <c r="K118" s="83" t="s">
        <v>79</v>
      </c>
      <c r="L118" s="84"/>
    </row>
    <row r="119" spans="8:12" x14ac:dyDescent="0.3">
      <c r="H119" s="65"/>
      <c r="I119" s="50" t="s">
        <v>65</v>
      </c>
      <c r="J119" s="51">
        <f>AVERAGE(J99,J104,J109)</f>
        <v>0.13990696423604404</v>
      </c>
      <c r="K119" s="50" t="s">
        <v>65</v>
      </c>
      <c r="L119" s="51">
        <f>AVERAGE(L99,L104,L109)</f>
        <v>4.2773805063102026</v>
      </c>
    </row>
    <row r="120" spans="8:12" x14ac:dyDescent="0.3">
      <c r="H120" s="66"/>
      <c r="I120" s="45" t="s">
        <v>66</v>
      </c>
      <c r="J120" s="46">
        <f t="shared" ref="J120:J122" si="21">AVERAGE(J100,J105,J110)</f>
        <v>0.1150080878844521</v>
      </c>
      <c r="K120" s="45" t="s">
        <v>66</v>
      </c>
      <c r="L120" s="46">
        <f t="shared" ref="L120:L122" si="22">AVERAGE(L100,L105,L110)</f>
        <v>5.565664677566005</v>
      </c>
    </row>
    <row r="121" spans="8:12" x14ac:dyDescent="0.3">
      <c r="H121" s="66"/>
      <c r="I121" s="45" t="s">
        <v>67</v>
      </c>
      <c r="J121" s="46">
        <f t="shared" si="21"/>
        <v>4.2135247584230475</v>
      </c>
      <c r="K121" s="45" t="s">
        <v>67</v>
      </c>
      <c r="L121" s="46">
        <f t="shared" si="22"/>
        <v>341.55708336979501</v>
      </c>
    </row>
    <row r="122" spans="8:12" x14ac:dyDescent="0.3">
      <c r="H122" s="66"/>
      <c r="I122" s="45" t="s">
        <v>66</v>
      </c>
      <c r="J122" s="46">
        <f t="shared" si="21"/>
        <v>3.3336629631715979</v>
      </c>
      <c r="K122" s="45" t="s">
        <v>66</v>
      </c>
      <c r="L122" s="46">
        <f t="shared" si="22"/>
        <v>356.27055709913424</v>
      </c>
    </row>
    <row r="123" spans="8:12" ht="15" thickBot="1" x14ac:dyDescent="0.35">
      <c r="H123" s="85"/>
      <c r="I123" s="48"/>
      <c r="J123" s="55"/>
      <c r="K123" s="48"/>
      <c r="L123" s="55"/>
    </row>
  </sheetData>
  <mergeCells count="61">
    <mergeCell ref="C2:S2"/>
    <mergeCell ref="D3:E3"/>
    <mergeCell ref="F3:G3"/>
    <mergeCell ref="H3:I3"/>
    <mergeCell ref="J3:K3"/>
    <mergeCell ref="L3:M3"/>
    <mergeCell ref="N3:O3"/>
    <mergeCell ref="P3:Q3"/>
    <mergeCell ref="R3:S3"/>
    <mergeCell ref="C39:C43"/>
    <mergeCell ref="C4:C8"/>
    <mergeCell ref="C9:C13"/>
    <mergeCell ref="C14:C18"/>
    <mergeCell ref="C19:C23"/>
    <mergeCell ref="C27:S27"/>
    <mergeCell ref="D28:E28"/>
    <mergeCell ref="F28:G28"/>
    <mergeCell ref="H28:I28"/>
    <mergeCell ref="J28:K28"/>
    <mergeCell ref="L28:M28"/>
    <mergeCell ref="N28:O28"/>
    <mergeCell ref="P28:Q28"/>
    <mergeCell ref="R28:S28"/>
    <mergeCell ref="C29:C33"/>
    <mergeCell ref="C34:C38"/>
    <mergeCell ref="C44:C48"/>
    <mergeCell ref="C52:S52"/>
    <mergeCell ref="D53:E53"/>
    <mergeCell ref="F53:G53"/>
    <mergeCell ref="H53:I53"/>
    <mergeCell ref="J53:K53"/>
    <mergeCell ref="L53:M53"/>
    <mergeCell ref="N53:O53"/>
    <mergeCell ref="P53:Q53"/>
    <mergeCell ref="R53:S53"/>
    <mergeCell ref="C89:C93"/>
    <mergeCell ref="C54:C58"/>
    <mergeCell ref="C59:C63"/>
    <mergeCell ref="C64:C68"/>
    <mergeCell ref="C69:C73"/>
    <mergeCell ref="C77:S77"/>
    <mergeCell ref="D78:E78"/>
    <mergeCell ref="F78:G78"/>
    <mergeCell ref="H78:I78"/>
    <mergeCell ref="J78:K78"/>
    <mergeCell ref="L78:M78"/>
    <mergeCell ref="N78:O78"/>
    <mergeCell ref="P78:Q78"/>
    <mergeCell ref="R78:S78"/>
    <mergeCell ref="C79:C83"/>
    <mergeCell ref="C84:C88"/>
    <mergeCell ref="H117:L117"/>
    <mergeCell ref="I118:J118"/>
    <mergeCell ref="K118:L118"/>
    <mergeCell ref="H119:H123"/>
    <mergeCell ref="C97:S97"/>
    <mergeCell ref="I98:J98"/>
    <mergeCell ref="K98:L98"/>
    <mergeCell ref="H99:H103"/>
    <mergeCell ref="H104:H108"/>
    <mergeCell ref="H109:H1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8C2-00C3-45D4-AAC6-18A6C70AE199}">
  <dimension ref="C3:U91"/>
  <sheetViews>
    <sheetView topLeftCell="A11" workbookViewId="0"/>
  </sheetViews>
  <sheetFormatPr defaultRowHeight="14.4" x14ac:dyDescent="0.3"/>
  <cols>
    <col min="3" max="3" width="12.33203125" bestFit="1" customWidth="1"/>
    <col min="4" max="4" width="17.33203125" bestFit="1" customWidth="1"/>
    <col min="5" max="5" width="6.5546875" bestFit="1" customWidth="1"/>
    <col min="6" max="6" width="9.6640625" customWidth="1"/>
    <col min="7" max="7" width="12.33203125" bestFit="1" customWidth="1"/>
    <col min="8" max="8" width="17.44140625" customWidth="1"/>
    <col min="9" max="9" width="6.5546875" bestFit="1" customWidth="1"/>
    <col min="10" max="10" width="9.5546875" customWidth="1"/>
    <col min="11" max="11" width="12.33203125" bestFit="1" customWidth="1"/>
    <col min="12" max="12" width="17.33203125" bestFit="1" customWidth="1"/>
    <col min="13" max="13" width="6.5546875" bestFit="1" customWidth="1"/>
    <col min="15" max="15" width="12.33203125" bestFit="1" customWidth="1"/>
    <col min="16" max="16" width="17.33203125" bestFit="1" customWidth="1"/>
    <col min="17" max="17" width="8" bestFit="1" customWidth="1"/>
    <col min="19" max="19" width="12.33203125" bestFit="1" customWidth="1"/>
    <col min="20" max="20" width="17.33203125" bestFit="1" customWidth="1"/>
    <col min="21" max="21" width="6.5546875" bestFit="1" customWidth="1"/>
  </cols>
  <sheetData>
    <row r="3" spans="3:21" ht="94.2" customHeight="1" thickBot="1" x14ac:dyDescent="0.35">
      <c r="C3" s="82" t="s">
        <v>111</v>
      </c>
      <c r="D3" s="82"/>
      <c r="E3" s="82"/>
      <c r="G3" s="82" t="s">
        <v>112</v>
      </c>
      <c r="H3" s="82"/>
      <c r="I3" s="82"/>
      <c r="K3" s="82" t="s">
        <v>113</v>
      </c>
      <c r="L3" s="82"/>
      <c r="M3" s="82"/>
      <c r="O3" s="82" t="s">
        <v>114</v>
      </c>
      <c r="P3" s="82"/>
      <c r="Q3" s="82"/>
      <c r="S3" s="82" t="s">
        <v>115</v>
      </c>
      <c r="T3" s="82"/>
      <c r="U3" s="82"/>
    </row>
    <row r="4" spans="3:21" ht="15" thickBot="1" x14ac:dyDescent="0.35">
      <c r="C4" s="44" t="s">
        <v>86</v>
      </c>
      <c r="D4" s="88" t="s">
        <v>57</v>
      </c>
      <c r="E4" s="89"/>
      <c r="G4" s="44" t="s">
        <v>87</v>
      </c>
      <c r="H4" s="88" t="s">
        <v>57</v>
      </c>
      <c r="I4" s="89"/>
      <c r="K4" s="44" t="s">
        <v>88</v>
      </c>
      <c r="L4" s="88" t="s">
        <v>57</v>
      </c>
      <c r="M4" s="89"/>
      <c r="O4" s="44" t="s">
        <v>89</v>
      </c>
      <c r="P4" s="88" t="s">
        <v>57</v>
      </c>
      <c r="Q4" s="89"/>
      <c r="S4" s="44" t="s">
        <v>90</v>
      </c>
      <c r="T4" s="88" t="s">
        <v>57</v>
      </c>
      <c r="U4" s="89"/>
    </row>
    <row r="5" spans="3:21" x14ac:dyDescent="0.3">
      <c r="C5" s="65" t="s">
        <v>23</v>
      </c>
      <c r="D5" s="50" t="s">
        <v>65</v>
      </c>
      <c r="E5" s="51" cm="1">
        <f t="array" ref="E5">AVERAGE(ABS(data!F135:M135),ABS(data!F147:M147),ABS(data!F159:M159))</f>
        <v>7.7310047330747908E-2</v>
      </c>
      <c r="F5" s="57"/>
      <c r="G5" s="65" t="s">
        <v>23</v>
      </c>
      <c r="H5" s="50" t="s">
        <v>65</v>
      </c>
      <c r="I5" s="51" cm="1">
        <f t="array" ref="I5">AVERAGE(ABS(data!F174:M174),ABS(data!F186:M186),ABS(data!F198:M198))</f>
        <v>0.15912556081829168</v>
      </c>
      <c r="J5" s="57"/>
      <c r="K5" s="65" t="s">
        <v>23</v>
      </c>
      <c r="L5" s="50" t="s">
        <v>65</v>
      </c>
      <c r="M5" s="51" cm="1">
        <f t="array" ref="M5">AVERAGE(ABS(data!F215:M215),ABS(data!F227:M227),ABS(data!F239:M239))</f>
        <v>0.11364343898156094</v>
      </c>
      <c r="N5" s="57"/>
      <c r="O5" s="65" t="s">
        <v>23</v>
      </c>
      <c r="P5" s="50" t="s">
        <v>65</v>
      </c>
      <c r="Q5" s="51" cm="1">
        <f t="array" ref="Q5">AVERAGE(ABS(data!F256:M256),ABS(data!F268:M268),ABS(data!F280:M280))</f>
        <v>0.21389275721616383</v>
      </c>
      <c r="R5" s="57"/>
      <c r="S5" s="65" t="s">
        <v>23</v>
      </c>
      <c r="T5" s="50" t="s">
        <v>65</v>
      </c>
      <c r="U5" s="51" cm="1">
        <f t="array" ref="U5">AVERAGE(ABS(data!F297:M297),ABS(data!F309:M309),ABS(data!F321:M321))</f>
        <v>0.14597882689653952</v>
      </c>
    </row>
    <row r="6" spans="3:21" x14ac:dyDescent="0.3">
      <c r="C6" s="66"/>
      <c r="D6" s="45" t="s">
        <v>66</v>
      </c>
      <c r="E6" s="46" cm="1">
        <f t="array" ref="E6">_xlfn.STDEV.P(ABS(data!F135:M135),ABS(data!F147:M147),ABS(data!F159:M159))</f>
        <v>5.2825833025972393E-2</v>
      </c>
      <c r="F6" s="57"/>
      <c r="G6" s="66"/>
      <c r="H6" s="45" t="s">
        <v>66</v>
      </c>
      <c r="I6" s="46" cm="1">
        <f t="array" ref="I6">_xlfn.STDEV.P(ABS(data!F174:M174),ABS(data!F186:M186),ABS(data!F198:M198))</f>
        <v>7.7520932671611767E-2</v>
      </c>
      <c r="J6" s="57"/>
      <c r="K6" s="66"/>
      <c r="L6" s="45" t="s">
        <v>66</v>
      </c>
      <c r="M6" s="46" cm="1">
        <f t="array" ref="M6">_xlfn.STDEV.P(ABS(data!F215:M215),ABS(data!F227:M227),ABS(data!F239:M239))</f>
        <v>7.8782552126110864E-2</v>
      </c>
      <c r="N6" s="57"/>
      <c r="O6" s="66"/>
      <c r="P6" s="45" t="s">
        <v>66</v>
      </c>
      <c r="Q6" s="46" cm="1">
        <f t="array" ref="Q6">_xlfn.STDEV.P(ABS(data!F256:M256),ABS(data!F268:M268),ABS(data!F280:M280))</f>
        <v>0.18862831086295101</v>
      </c>
      <c r="R6" s="57"/>
      <c r="S6" s="66"/>
      <c r="T6" s="45" t="s">
        <v>66</v>
      </c>
      <c r="U6" s="46" cm="1">
        <f t="array" ref="U6">_xlfn.STDEV.P(ABS(data!F297:M297),ABS(data!F309:M309),ABS(data!F321:M321))</f>
        <v>0.10571019213511622</v>
      </c>
    </row>
    <row r="7" spans="3:21" x14ac:dyDescent="0.3">
      <c r="C7" s="66"/>
      <c r="D7" s="45" t="s">
        <v>67</v>
      </c>
      <c r="E7" s="46" cm="1">
        <f t="array" ref="E7">AVERAGE(ABS(data!F136:M136),ABS(data!F148:M148),ABS(data!F160:M160))</f>
        <v>2.2621387143572815</v>
      </c>
      <c r="F7" s="57"/>
      <c r="G7" s="66"/>
      <c r="H7" s="45" t="s">
        <v>67</v>
      </c>
      <c r="I7" s="46" cm="1">
        <f t="array" ref="I7">AVERAGE(ABS(data!F175:M175),ABS(data!F187:M187),ABS(data!F199:M199))</f>
        <v>5.4286597999191848</v>
      </c>
      <c r="J7" s="57"/>
      <c r="K7" s="66"/>
      <c r="L7" s="45" t="s">
        <v>67</v>
      </c>
      <c r="M7" s="46" cm="1">
        <f t="array" ref="M7">AVERAGE(ABS(data!F216:M216),ABS(data!F228:M228),ABS(data!F240:M240))</f>
        <v>4.9249758606428085</v>
      </c>
      <c r="N7" s="57"/>
      <c r="O7" s="66"/>
      <c r="P7" s="45" t="s">
        <v>67</v>
      </c>
      <c r="Q7" s="46" cm="1">
        <f t="array" ref="Q7">AVERAGE(ABS(data!F257:M257),ABS(data!F269:M269),ABS(data!F281:M281))</f>
        <v>7.8291776489292397</v>
      </c>
      <c r="R7" s="57"/>
      <c r="S7" s="66"/>
      <c r="T7" s="45" t="s">
        <v>67</v>
      </c>
      <c r="U7" s="46" cm="1">
        <f t="array" ref="U7">AVERAGE(ABS(data!F298:M298),ABS(data!F310:M310),ABS(data!F322:M322))</f>
        <v>9.4853000333297803</v>
      </c>
    </row>
    <row r="8" spans="3:21" x14ac:dyDescent="0.3">
      <c r="C8" s="66"/>
      <c r="D8" s="45" t="s">
        <v>66</v>
      </c>
      <c r="E8" s="46" cm="1">
        <f t="array" ref="E8">_xlfn.STDEV.P(ABS(data!F136:M136),ABS(data!F148:M148),ABS(data!F160:M160))</f>
        <v>1.3071930555923248</v>
      </c>
      <c r="F8" s="57"/>
      <c r="G8" s="66"/>
      <c r="H8" s="45" t="s">
        <v>66</v>
      </c>
      <c r="I8" s="46" cm="1">
        <f t="array" ref="I8">_xlfn.STDEV.P(ABS(data!F175:M175),ABS(data!F187:M187),ABS(data!F199:M199))</f>
        <v>2.2310053558792351</v>
      </c>
      <c r="J8" s="57"/>
      <c r="K8" s="66"/>
      <c r="L8" s="45" t="s">
        <v>66</v>
      </c>
      <c r="M8" s="46" cm="1">
        <f t="array" ref="M8">_xlfn.STDEV.P(ABS(data!F216:M216),ABS(data!F228:M228),ABS(data!F240:M240))</f>
        <v>6.7070960420168921</v>
      </c>
      <c r="N8" s="57"/>
      <c r="O8" s="66"/>
      <c r="P8" s="45" t="s">
        <v>66</v>
      </c>
      <c r="Q8" s="46" cm="1">
        <f t="array" ref="Q8">_xlfn.STDEV.P(ABS(data!F257:M257),ABS(data!F269:M269),ABS(data!F281:M281))</f>
        <v>6.6755064989241912</v>
      </c>
      <c r="R8" s="57"/>
      <c r="S8" s="66"/>
      <c r="T8" s="45" t="s">
        <v>66</v>
      </c>
      <c r="U8" s="46" cm="1">
        <f t="array" ref="U8">_xlfn.STDEV.P(ABS(data!F298:M298),ABS(data!F310:M310),ABS(data!F322:M322))</f>
        <v>11.258436638247236</v>
      </c>
    </row>
    <row r="9" spans="3:21" x14ac:dyDescent="0.3">
      <c r="C9" s="85"/>
      <c r="D9" s="47"/>
      <c r="E9" s="54"/>
      <c r="F9" s="57"/>
      <c r="G9" s="85"/>
      <c r="H9" s="47"/>
      <c r="I9" s="54"/>
      <c r="J9" s="57"/>
      <c r="K9" s="85"/>
      <c r="L9" s="47"/>
      <c r="M9" s="54"/>
      <c r="N9" s="57"/>
      <c r="O9" s="85"/>
      <c r="P9" s="47"/>
      <c r="Q9" s="54"/>
      <c r="R9" s="57"/>
      <c r="S9" s="85"/>
      <c r="T9" s="47"/>
      <c r="U9" s="54"/>
    </row>
    <row r="10" spans="3:21" x14ac:dyDescent="0.3">
      <c r="C10" s="66" t="s">
        <v>68</v>
      </c>
      <c r="D10" s="45" t="s">
        <v>65</v>
      </c>
      <c r="E10" s="46" cm="1">
        <f t="array" ref="E10">AVERAGE(ABS(data!F138:M138),ABS(data!F150:M150),ABS(data!F162:M162))</f>
        <v>6.4072074579590257E-2</v>
      </c>
      <c r="F10" s="57"/>
      <c r="G10" s="66" t="s">
        <v>68</v>
      </c>
      <c r="H10" s="45" t="s">
        <v>65</v>
      </c>
      <c r="I10" s="46" cm="1">
        <f t="array" ref="I10">AVERAGE(ABS(data!F177:M177),ABS(data!F189:M189),ABS(data!F201:M201))</f>
        <v>6.3425988221367482E-2</v>
      </c>
      <c r="J10" s="57"/>
      <c r="K10" s="66" t="s">
        <v>68</v>
      </c>
      <c r="L10" s="45" t="s">
        <v>65</v>
      </c>
      <c r="M10" s="46" cm="1">
        <f t="array" ref="M10">AVERAGE(ABS(data!F218:M218),ABS(data!F230:M230),ABS(data!F242:M242))</f>
        <v>7.1963875633754906E-2</v>
      </c>
      <c r="N10" s="57"/>
      <c r="O10" s="66" t="s">
        <v>68</v>
      </c>
      <c r="P10" s="45" t="s">
        <v>65</v>
      </c>
      <c r="Q10" s="46" cm="1">
        <f t="array" ref="Q10">AVERAGE(ABS(data!F259:M259),ABS(data!F271:M271),ABS(data!F283:M283))</f>
        <v>0.17727602548409796</v>
      </c>
      <c r="R10" s="57"/>
      <c r="S10" s="66" t="s">
        <v>68</v>
      </c>
      <c r="T10" s="45" t="s">
        <v>65</v>
      </c>
      <c r="U10" s="46" cm="1">
        <f t="array" ref="U10">AVERAGE(ABS(data!F300:M300),ABS(data!F312:M312),ABS(data!F324:M324))</f>
        <v>7.62326355658937E-2</v>
      </c>
    </row>
    <row r="11" spans="3:21" x14ac:dyDescent="0.3">
      <c r="C11" s="66"/>
      <c r="D11" s="45" t="s">
        <v>66</v>
      </c>
      <c r="E11" s="46" cm="1">
        <f t="array" ref="E11">_xlfn.STDEV.P(ABS(data!F138:M138),ABS(data!F150:M150),ABS(data!F162:M162))</f>
        <v>5.1757417180834084E-2</v>
      </c>
      <c r="F11" s="57"/>
      <c r="G11" s="66"/>
      <c r="H11" s="45" t="s">
        <v>66</v>
      </c>
      <c r="I11" s="46" cm="1">
        <f t="array" ref="I11">_xlfn.STDEV.P(ABS(data!F177:M177),ABS(data!F189:M189),ABS(data!F201:M201))</f>
        <v>4.7146007962094783E-2</v>
      </c>
      <c r="J11" s="57"/>
      <c r="K11" s="66"/>
      <c r="L11" s="45" t="s">
        <v>66</v>
      </c>
      <c r="M11" s="46" cm="1">
        <f t="array" ref="M11">_xlfn.STDEV.P(ABS(data!F218:M218),ABS(data!F230:M230),ABS(data!F242:M242))</f>
        <v>6.3115883260151856E-2</v>
      </c>
      <c r="N11" s="57"/>
      <c r="O11" s="66"/>
      <c r="P11" s="45" t="s">
        <v>66</v>
      </c>
      <c r="Q11" s="46" cm="1">
        <f t="array" ref="Q11">_xlfn.STDEV.P(ABS(data!F259:M259),ABS(data!F271:M271),ABS(data!F283:M283))</f>
        <v>0.22219460641327138</v>
      </c>
      <c r="R11" s="57"/>
      <c r="S11" s="66"/>
      <c r="T11" s="45" t="s">
        <v>66</v>
      </c>
      <c r="U11" s="46" cm="1">
        <f t="array" ref="U11">_xlfn.STDEV.P(ABS(data!F300:M300),ABS(data!F312:M312),ABS(data!F324:M324))</f>
        <v>6.3220020238342833E-2</v>
      </c>
    </row>
    <row r="12" spans="3:21" x14ac:dyDescent="0.3">
      <c r="C12" s="66"/>
      <c r="D12" s="45" t="s">
        <v>67</v>
      </c>
      <c r="E12" s="46" cm="1">
        <f t="array" ref="E12">AVERAGE(ABS(data!F139:M139),ABS(data!F151:M151),ABS(data!F163:M163))</f>
        <v>2.0104318181466634</v>
      </c>
      <c r="F12" s="57"/>
      <c r="G12" s="66"/>
      <c r="H12" s="45" t="s">
        <v>67</v>
      </c>
      <c r="I12" s="46" cm="1">
        <f t="array" ref="I12">AVERAGE(ABS(data!F178:M178),ABS(data!F190:M190),ABS(data!F202:M202))</f>
        <v>2.3634106768141678</v>
      </c>
      <c r="J12" s="57"/>
      <c r="K12" s="66"/>
      <c r="L12" s="45" t="s">
        <v>67</v>
      </c>
      <c r="M12" s="46" cm="1">
        <f t="array" ref="M12">AVERAGE(ABS(data!F219:M219),ABS(data!F231:M231),ABS(data!F243:M243))</f>
        <v>3.7453181626516234</v>
      </c>
      <c r="N12" s="57"/>
      <c r="O12" s="66"/>
      <c r="P12" s="45" t="s">
        <v>67</v>
      </c>
      <c r="Q12" s="46" cm="1">
        <f t="array" ref="Q12">AVERAGE(ABS(data!F260:M260),ABS(data!F272:M272),ABS(data!F284:M284))</f>
        <v>5.2332159744933859</v>
      </c>
      <c r="R12" s="57"/>
      <c r="S12" s="66"/>
      <c r="T12" s="45" t="s">
        <v>67</v>
      </c>
      <c r="U12" s="46" cm="1">
        <f t="array" ref="U12">AVERAGE(ABS(data!F301:M301),ABS(data!F313:M313),ABS(data!F325:M325))</f>
        <v>4.9718270781695439</v>
      </c>
    </row>
    <row r="13" spans="3:21" x14ac:dyDescent="0.3">
      <c r="C13" s="66"/>
      <c r="D13" s="45" t="s">
        <v>66</v>
      </c>
      <c r="E13" s="46" cm="1">
        <f t="array" ref="E13">_xlfn.STDEV.P(ABS(data!F139:M139),ABS(data!F151:M151),ABS(data!F163:M163))</f>
        <v>1.4812623432611578</v>
      </c>
      <c r="F13" s="57"/>
      <c r="G13" s="66"/>
      <c r="H13" s="45" t="s">
        <v>66</v>
      </c>
      <c r="I13" s="46" cm="1">
        <f t="array" ref="I13">_xlfn.STDEV.P(ABS(data!F178:M178),ABS(data!F190:M190),ABS(data!F202:M202))</f>
        <v>1.7476553375932915</v>
      </c>
      <c r="J13" s="57"/>
      <c r="K13" s="66"/>
      <c r="L13" s="45" t="s">
        <v>66</v>
      </c>
      <c r="M13" s="46" cm="1">
        <f t="array" ref="M13">_xlfn.STDEV.P(ABS(data!F219:M219),ABS(data!F231:M231),ABS(data!F243:M243))</f>
        <v>4.5016320213197281</v>
      </c>
      <c r="N13" s="57"/>
      <c r="O13" s="66"/>
      <c r="P13" s="45" t="s">
        <v>66</v>
      </c>
      <c r="Q13" s="46" cm="1">
        <f t="array" ref="Q13">_xlfn.STDEV.P(ABS(data!F260:M260),ABS(data!F272:M272),ABS(data!F284:M284))</f>
        <v>3.8864601178627702</v>
      </c>
      <c r="R13" s="57"/>
      <c r="S13" s="66"/>
      <c r="T13" s="45" t="s">
        <v>66</v>
      </c>
      <c r="U13" s="46" cm="1">
        <f t="array" ref="U13">_xlfn.STDEV.P(ABS(data!F301:M301),ABS(data!F313:M313),ABS(data!F325:M325))</f>
        <v>6.6624471887229157</v>
      </c>
    </row>
    <row r="14" spans="3:21" x14ac:dyDescent="0.3">
      <c r="C14" s="85"/>
      <c r="D14" s="47"/>
      <c r="E14" s="54"/>
      <c r="F14" s="57"/>
      <c r="G14" s="85"/>
      <c r="H14" s="47"/>
      <c r="I14" s="54"/>
      <c r="J14" s="57"/>
      <c r="K14" s="85"/>
      <c r="L14" s="47"/>
      <c r="M14" s="54"/>
      <c r="N14" s="57"/>
      <c r="O14" s="85"/>
      <c r="P14" s="47"/>
      <c r="Q14" s="54"/>
      <c r="R14" s="57"/>
      <c r="S14" s="85"/>
      <c r="T14" s="47"/>
      <c r="U14" s="54"/>
    </row>
    <row r="15" spans="3:21" x14ac:dyDescent="0.3">
      <c r="C15" s="66" t="s">
        <v>69</v>
      </c>
      <c r="D15" s="45" t="s">
        <v>65</v>
      </c>
      <c r="E15" s="46" cm="1">
        <f t="array" ref="E15">AVERAGE(ABS(data!F141:M141),ABS(data!F153:M153),ABS(data!F165:M165))</f>
        <v>8.4059726727772136E-2</v>
      </c>
      <c r="F15" s="57"/>
      <c r="G15" s="66" t="s">
        <v>69</v>
      </c>
      <c r="H15" s="45" t="s">
        <v>65</v>
      </c>
      <c r="I15" s="46" cm="1">
        <f t="array" ref="I15">AVERAGE(ABS(data!F180:M180),ABS(data!F192:M192),ABS(data!F204:M204))</f>
        <v>9.8718871015311557E-2</v>
      </c>
      <c r="J15" s="57"/>
      <c r="K15" s="66" t="s">
        <v>69</v>
      </c>
      <c r="L15" s="45" t="s">
        <v>65</v>
      </c>
      <c r="M15" s="46" cm="1">
        <f t="array" ref="M15">AVERAGE(ABS(data!F221:M221),ABS(data!F233:M233),ABS(data!F245:M245))</f>
        <v>9.7267725529407434E-2</v>
      </c>
      <c r="N15" s="57"/>
      <c r="O15" s="66" t="s">
        <v>69</v>
      </c>
      <c r="P15" s="45" t="s">
        <v>65</v>
      </c>
      <c r="Q15" s="46" cm="1">
        <f t="array" ref="Q15">AVERAGE(ABS(data!F262:M262),ABS(data!F274:M274),ABS(data!F286:M286))</f>
        <v>0.20227602548409798</v>
      </c>
      <c r="R15" s="57"/>
      <c r="S15" s="66" t="s">
        <v>69</v>
      </c>
      <c r="T15" s="45" t="s">
        <v>65</v>
      </c>
      <c r="U15" s="46" cm="1">
        <f t="array" ref="U15">AVERAGE(ABS(data!F303:M303),ABS(data!F315:M315),ABS(data!F327:M327))</f>
        <v>8.2228826896539639E-2</v>
      </c>
    </row>
    <row r="16" spans="3:21" x14ac:dyDescent="0.3">
      <c r="C16" s="66"/>
      <c r="D16" s="45" t="s">
        <v>66</v>
      </c>
      <c r="E16" s="46" cm="1">
        <f t="array" ref="E16">_xlfn.STDEV.P(ABS(data!F141:M141),ABS(data!F153:M153),ABS(data!F165:M165))</f>
        <v>6.5068868722009801E-2</v>
      </c>
      <c r="F16" s="57"/>
      <c r="G16" s="66"/>
      <c r="H16" s="45" t="s">
        <v>66</v>
      </c>
      <c r="I16" s="46" cm="1">
        <f t="array" ref="I16">_xlfn.STDEV.P(ABS(data!F180:M180),ABS(data!F192:M192),ABS(data!F204:M204))</f>
        <v>7.4606682076804931E-2</v>
      </c>
      <c r="J16" s="57"/>
      <c r="K16" s="66"/>
      <c r="L16" s="45" t="s">
        <v>66</v>
      </c>
      <c r="M16" s="46" cm="1">
        <f t="array" ref="M16">_xlfn.STDEV.P(ABS(data!F221:M221),ABS(data!F233:M233),ABS(data!F245:M245))</f>
        <v>6.006336544918494E-2</v>
      </c>
      <c r="N16" s="57"/>
      <c r="O16" s="66"/>
      <c r="P16" s="45" t="s">
        <v>66</v>
      </c>
      <c r="Q16" s="46" cm="1">
        <f t="array" ref="Q16">_xlfn.STDEV.P(ABS(data!F262:M262),ABS(data!F274:M274),ABS(data!F286:M286))</f>
        <v>0.24195163083857471</v>
      </c>
      <c r="R16" s="57"/>
      <c r="S16" s="66"/>
      <c r="T16" s="45" t="s">
        <v>66</v>
      </c>
      <c r="U16" s="46" cm="1">
        <f t="array" ref="U16">_xlfn.STDEV.P(ABS(data!F303:M303),ABS(data!F315:M315),ABS(data!F327:M327))</f>
        <v>7.2498616791035128E-2</v>
      </c>
    </row>
    <row r="17" spans="3:21" x14ac:dyDescent="0.3">
      <c r="C17" s="66"/>
      <c r="D17" s="45" t="s">
        <v>67</v>
      </c>
      <c r="E17" s="46" cm="1">
        <f t="array" ref="E17">AVERAGE(ABS(data!F142:M142),ABS(data!F154:M154),ABS(data!F166:M166))</f>
        <v>2.6520173072853273</v>
      </c>
      <c r="F17" s="57"/>
      <c r="G17" s="66"/>
      <c r="H17" s="45" t="s">
        <v>67</v>
      </c>
      <c r="I17" s="46" cm="1">
        <f t="array" ref="I17">AVERAGE(ABS(data!F181:M181),ABS(data!F193:M193),ABS(data!F205:M205))</f>
        <v>3.2869839892824522</v>
      </c>
      <c r="J17" s="57"/>
      <c r="K17" s="66"/>
      <c r="L17" s="45" t="s">
        <v>67</v>
      </c>
      <c r="M17" s="46" cm="1">
        <f t="array" ref="M17">AVERAGE(ABS(data!F222:M222),ABS(data!F234:M234),ABS(data!F246:M246))</f>
        <v>4.3979197187798373</v>
      </c>
      <c r="N17" s="57"/>
      <c r="O17" s="66"/>
      <c r="P17" s="45" t="s">
        <v>67</v>
      </c>
      <c r="Q17" s="46" cm="1">
        <f t="array" ref="Q17">AVERAGE(ABS(data!F263:M263),ABS(data!F275:M275),ABS(data!F287:M287))</f>
        <v>6.4040150581018933</v>
      </c>
      <c r="R17" s="57"/>
      <c r="S17" s="66"/>
      <c r="T17" s="45" t="s">
        <v>67</v>
      </c>
      <c r="U17" s="46" cm="1">
        <f t="array" ref="U17">AVERAGE(ABS(data!F304:M304),ABS(data!F316:M316),ABS(data!F328:M328))</f>
        <v>5.6953185144602037</v>
      </c>
    </row>
    <row r="18" spans="3:21" x14ac:dyDescent="0.3">
      <c r="C18" s="66"/>
      <c r="D18" s="45" t="s">
        <v>66</v>
      </c>
      <c r="E18" s="46" cm="1">
        <f t="array" ref="E18">_xlfn.STDEV.P(ABS(data!F142:M142),ABS(data!F154:M154),ABS(data!F166:M166))</f>
        <v>2.1172028614739764</v>
      </c>
      <c r="F18" s="57"/>
      <c r="G18" s="66"/>
      <c r="H18" s="45" t="s">
        <v>66</v>
      </c>
      <c r="I18" s="46" cm="1">
        <f t="array" ref="I18">_xlfn.STDEV.P(ABS(data!F181:M181),ABS(data!F193:M193),ABS(data!F205:M205))</f>
        <v>2.200753537216098</v>
      </c>
      <c r="J18" s="57"/>
      <c r="K18" s="66"/>
      <c r="L18" s="45" t="s">
        <v>66</v>
      </c>
      <c r="M18" s="46" cm="1">
        <f t="array" ref="M18">_xlfn.STDEV.P(ABS(data!F222:M222),ABS(data!F234:M234),ABS(data!F246:M246))</f>
        <v>5.1947503594382862</v>
      </c>
      <c r="N18" s="57"/>
      <c r="O18" s="66"/>
      <c r="P18" s="45" t="s">
        <v>66</v>
      </c>
      <c r="Q18" s="46" cm="1">
        <f t="array" ref="Q18">_xlfn.STDEV.P(ABS(data!F263:M263),ABS(data!F275:M275),ABS(data!F287:M287))</f>
        <v>4.9329195063466615</v>
      </c>
      <c r="R18" s="57"/>
      <c r="S18" s="66"/>
      <c r="T18" s="45" t="s">
        <v>66</v>
      </c>
      <c r="U18" s="46" cm="1">
        <f t="array" ref="U18">_xlfn.STDEV.P(ABS(data!F304:M304),ABS(data!F316:M316),ABS(data!F328:M328))</f>
        <v>7.3642103363828948</v>
      </c>
    </row>
    <row r="19" spans="3:21" x14ac:dyDescent="0.3">
      <c r="C19" s="85"/>
      <c r="D19" s="45"/>
      <c r="E19" s="46"/>
      <c r="F19" s="57"/>
      <c r="G19" s="85"/>
      <c r="H19" s="45"/>
      <c r="I19" s="46"/>
      <c r="J19" s="57"/>
      <c r="K19" s="85"/>
      <c r="L19" s="45"/>
      <c r="M19" s="46"/>
      <c r="N19" s="57"/>
      <c r="O19" s="85"/>
      <c r="P19" s="45"/>
      <c r="Q19" s="46"/>
      <c r="R19" s="57"/>
      <c r="S19" s="85"/>
      <c r="T19" s="45"/>
      <c r="U19" s="46"/>
    </row>
    <row r="20" spans="3:21" x14ac:dyDescent="0.3">
      <c r="C20" s="66" t="s">
        <v>70</v>
      </c>
      <c r="D20" s="52" t="s">
        <v>65</v>
      </c>
      <c r="E20" s="53">
        <f>AVERAGE(E5,E10,E15)</f>
        <v>7.51472828793701E-2</v>
      </c>
      <c r="F20" s="57"/>
      <c r="G20" s="66" t="s">
        <v>70</v>
      </c>
      <c r="H20" s="52" t="s">
        <v>65</v>
      </c>
      <c r="I20" s="53">
        <f>AVERAGE(I5,I10,I15)</f>
        <v>0.10709014001832358</v>
      </c>
      <c r="J20" s="57"/>
      <c r="K20" s="66" t="s">
        <v>70</v>
      </c>
      <c r="L20" s="52" t="s">
        <v>65</v>
      </c>
      <c r="M20" s="53">
        <f>AVERAGE(M5,M10,M15)</f>
        <v>9.4291680048241108E-2</v>
      </c>
      <c r="N20" s="57"/>
      <c r="O20" s="66" t="s">
        <v>70</v>
      </c>
      <c r="P20" s="52" t="s">
        <v>65</v>
      </c>
      <c r="Q20" s="53">
        <f>AVERAGE(Q5,Q10,Q15)</f>
        <v>0.19781493606145326</v>
      </c>
      <c r="R20" s="57"/>
      <c r="S20" s="66" t="s">
        <v>70</v>
      </c>
      <c r="T20" s="52" t="s">
        <v>65</v>
      </c>
      <c r="U20" s="53">
        <f>AVERAGE(M5,M10,M15)</f>
        <v>9.4291680048241108E-2</v>
      </c>
    </row>
    <row r="21" spans="3:21" x14ac:dyDescent="0.3">
      <c r="C21" s="66"/>
      <c r="D21" s="45" t="s">
        <v>71</v>
      </c>
      <c r="E21" s="46">
        <f>AVERAGE(E6,E11,E16)</f>
        <v>5.6550706309605424E-2</v>
      </c>
      <c r="F21" s="57"/>
      <c r="G21" s="66"/>
      <c r="H21" s="45" t="s">
        <v>71</v>
      </c>
      <c r="I21" s="46">
        <f>AVERAGE(I6,I11,I16)</f>
        <v>6.6424540903503818E-2</v>
      </c>
      <c r="J21" s="57"/>
      <c r="K21" s="66"/>
      <c r="L21" s="45" t="s">
        <v>71</v>
      </c>
      <c r="M21" s="46">
        <f>AVERAGE(M6,M11,M16)</f>
        <v>6.7320600278482565E-2</v>
      </c>
      <c r="N21" s="57"/>
      <c r="O21" s="66"/>
      <c r="P21" s="45" t="s">
        <v>71</v>
      </c>
      <c r="Q21" s="46">
        <f>AVERAGE(Q6,Q11,Q16)</f>
        <v>0.21759151603826568</v>
      </c>
      <c r="R21" s="57"/>
      <c r="S21" s="66"/>
      <c r="T21" s="45" t="s">
        <v>71</v>
      </c>
      <c r="U21" s="46">
        <f>AVERAGE(M6,M11,M16)</f>
        <v>6.7320600278482565E-2</v>
      </c>
    </row>
    <row r="22" spans="3:21" x14ac:dyDescent="0.3">
      <c r="C22" s="66"/>
      <c r="D22" s="45" t="s">
        <v>67</v>
      </c>
      <c r="E22" s="46">
        <f>AVERAGE(E7,E12,E17)</f>
        <v>2.3081959465964239</v>
      </c>
      <c r="F22" s="57"/>
      <c r="G22" s="66"/>
      <c r="H22" s="45" t="s">
        <v>67</v>
      </c>
      <c r="I22" s="46">
        <f>AVERAGE(I7,I12,I17)</f>
        <v>3.6930181553386014</v>
      </c>
      <c r="J22" s="57"/>
      <c r="K22" s="66"/>
      <c r="L22" s="45" t="s">
        <v>67</v>
      </c>
      <c r="M22" s="46">
        <f>AVERAGE(M7,M12,M17)</f>
        <v>4.3560712473580896</v>
      </c>
      <c r="N22" s="57"/>
      <c r="O22" s="66"/>
      <c r="P22" s="45" t="s">
        <v>67</v>
      </c>
      <c r="Q22" s="46">
        <f>AVERAGE(Q7,Q12,Q17)</f>
        <v>6.4888028938415063</v>
      </c>
      <c r="R22" s="57"/>
      <c r="S22" s="66"/>
      <c r="T22" s="45" t="s">
        <v>67</v>
      </c>
      <c r="U22" s="46">
        <f>AVERAGE(M7,M12,M17)</f>
        <v>4.3560712473580896</v>
      </c>
    </row>
    <row r="23" spans="3:21" x14ac:dyDescent="0.3">
      <c r="C23" s="66"/>
      <c r="D23" s="45" t="s">
        <v>66</v>
      </c>
      <c r="E23" s="46">
        <f>AVERAGE(E8,E13,E18)</f>
        <v>1.635219420109153</v>
      </c>
      <c r="F23" s="57"/>
      <c r="G23" s="66"/>
      <c r="H23" s="45" t="s">
        <v>66</v>
      </c>
      <c r="I23" s="46">
        <f>AVERAGE(I8,I13,I18)</f>
        <v>2.059804743562875</v>
      </c>
      <c r="J23" s="57"/>
      <c r="K23" s="66"/>
      <c r="L23" s="45" t="s">
        <v>66</v>
      </c>
      <c r="M23" s="46">
        <f>AVERAGE(M8,M13,M18)</f>
        <v>5.4678261409249691</v>
      </c>
      <c r="N23" s="57"/>
      <c r="O23" s="66"/>
      <c r="P23" s="45" t="s">
        <v>66</v>
      </c>
      <c r="Q23" s="46">
        <f>AVERAGE(Q8,Q13,Q18)</f>
        <v>5.1649620410445403</v>
      </c>
      <c r="R23" s="57"/>
      <c r="S23" s="66"/>
      <c r="T23" s="45" t="s">
        <v>66</v>
      </c>
      <c r="U23" s="46">
        <f>AVERAGE(M8,M13,M18)</f>
        <v>5.4678261409249691</v>
      </c>
    </row>
    <row r="24" spans="3:21" ht="15" thickBot="1" x14ac:dyDescent="0.35">
      <c r="C24" s="67"/>
      <c r="D24" s="48"/>
      <c r="E24" s="49"/>
      <c r="F24" s="57"/>
      <c r="G24" s="67"/>
      <c r="H24" s="48"/>
      <c r="I24" s="49"/>
      <c r="J24" s="57"/>
      <c r="K24" s="67"/>
      <c r="L24" s="48"/>
      <c r="M24" s="49"/>
      <c r="N24" s="57"/>
      <c r="O24" s="67"/>
      <c r="P24" s="48"/>
      <c r="Q24" s="49"/>
      <c r="R24" s="57"/>
      <c r="S24" s="67"/>
      <c r="T24" s="48"/>
      <c r="U24" s="49"/>
    </row>
    <row r="28" spans="3:21" ht="15" thickBot="1" x14ac:dyDescent="0.35">
      <c r="C28" s="82" t="s">
        <v>116</v>
      </c>
      <c r="D28" s="82"/>
      <c r="E28" s="82"/>
      <c r="G28" s="82" t="s">
        <v>117</v>
      </c>
      <c r="H28" s="82"/>
      <c r="I28" s="82"/>
    </row>
    <row r="29" spans="3:21" ht="15" thickBot="1" x14ac:dyDescent="0.35">
      <c r="C29" s="44"/>
      <c r="D29" s="88" t="s">
        <v>57</v>
      </c>
      <c r="E29" s="89"/>
      <c r="G29" s="44"/>
      <c r="H29" s="88" t="s">
        <v>57</v>
      </c>
      <c r="I29" s="89"/>
    </row>
    <row r="30" spans="3:21" x14ac:dyDescent="0.3">
      <c r="C30" s="65" t="s">
        <v>23</v>
      </c>
      <c r="D30" s="50" t="s">
        <v>65</v>
      </c>
      <c r="E30" s="51">
        <f>AVERAGE(E5,I5,M5,Q5,U5)</f>
        <v>0.14199012624866075</v>
      </c>
      <c r="G30" s="65"/>
      <c r="H30" s="50" t="s">
        <v>65</v>
      </c>
      <c r="I30" s="51">
        <f>AVERAGE(E30,E35,E40)</f>
        <v>0.1151648270920758</v>
      </c>
    </row>
    <row r="31" spans="3:21" x14ac:dyDescent="0.3">
      <c r="C31" s="66"/>
      <c r="D31" s="45" t="s">
        <v>66</v>
      </c>
      <c r="E31" s="46">
        <f t="shared" ref="E31:E43" si="0">AVERAGE(E6,I6,M6,Q6,U6)</f>
        <v>0.10069356416435245</v>
      </c>
      <c r="G31" s="66"/>
      <c r="H31" s="45" t="s">
        <v>66</v>
      </c>
      <c r="I31" s="46">
        <f t="shared" ref="I31:I33" si="1">AVERAGE(E31,E36,E41)</f>
        <v>9.7672727983604435E-2</v>
      </c>
    </row>
    <row r="32" spans="3:21" x14ac:dyDescent="0.3">
      <c r="C32" s="66"/>
      <c r="D32" s="45" t="s">
        <v>67</v>
      </c>
      <c r="E32" s="46">
        <f t="shared" si="0"/>
        <v>5.9860504114356585</v>
      </c>
      <c r="G32" s="66"/>
      <c r="H32" s="45" t="s">
        <v>67</v>
      </c>
      <c r="I32" s="46">
        <f t="shared" si="1"/>
        <v>4.7127140236908929</v>
      </c>
    </row>
    <row r="33" spans="3:9" x14ac:dyDescent="0.3">
      <c r="C33" s="66"/>
      <c r="D33" s="45" t="s">
        <v>66</v>
      </c>
      <c r="E33" s="46">
        <f t="shared" si="0"/>
        <v>5.6358475181319756</v>
      </c>
      <c r="G33" s="66"/>
      <c r="H33" s="45" t="s">
        <v>66</v>
      </c>
      <c r="I33" s="46">
        <f t="shared" si="1"/>
        <v>4.5512354133518436</v>
      </c>
    </row>
    <row r="34" spans="3:9" ht="15" thickBot="1" x14ac:dyDescent="0.35">
      <c r="C34" s="67"/>
      <c r="D34" s="48"/>
      <c r="E34" s="49"/>
      <c r="G34" s="67"/>
      <c r="H34" s="48"/>
      <c r="I34" s="49"/>
    </row>
    <row r="35" spans="3:9" x14ac:dyDescent="0.3">
      <c r="C35" s="65" t="s">
        <v>68</v>
      </c>
      <c r="D35" s="50" t="s">
        <v>65</v>
      </c>
      <c r="E35" s="51">
        <f t="shared" si="0"/>
        <v>9.059411989694087E-2</v>
      </c>
    </row>
    <row r="36" spans="3:9" x14ac:dyDescent="0.3">
      <c r="C36" s="66"/>
      <c r="D36" s="45" t="s">
        <v>66</v>
      </c>
      <c r="E36" s="46">
        <f t="shared" si="0"/>
        <v>8.9486787010938984E-2</v>
      </c>
    </row>
    <row r="37" spans="3:9" x14ac:dyDescent="0.3">
      <c r="C37" s="66"/>
      <c r="D37" s="45" t="s">
        <v>67</v>
      </c>
      <c r="E37" s="46">
        <f t="shared" si="0"/>
        <v>3.6648407420550768</v>
      </c>
    </row>
    <row r="38" spans="3:9" x14ac:dyDescent="0.3">
      <c r="C38" s="66"/>
      <c r="D38" s="45" t="s">
        <v>66</v>
      </c>
      <c r="E38" s="46">
        <f t="shared" si="0"/>
        <v>3.6558914017519726</v>
      </c>
    </row>
    <row r="39" spans="3:9" ht="15" thickBot="1" x14ac:dyDescent="0.35">
      <c r="C39" s="67"/>
      <c r="D39" s="48"/>
      <c r="E39" s="49"/>
    </row>
    <row r="40" spans="3:9" x14ac:dyDescent="0.3">
      <c r="C40" s="66" t="s">
        <v>69</v>
      </c>
      <c r="D40" s="45" t="s">
        <v>65</v>
      </c>
      <c r="E40" s="46">
        <f t="shared" si="0"/>
        <v>0.11291023513062574</v>
      </c>
    </row>
    <row r="41" spans="3:9" x14ac:dyDescent="0.3">
      <c r="C41" s="66"/>
      <c r="D41" s="45" t="s">
        <v>66</v>
      </c>
      <c r="E41" s="46">
        <f t="shared" si="0"/>
        <v>0.1028378327755219</v>
      </c>
    </row>
    <row r="42" spans="3:9" x14ac:dyDescent="0.3">
      <c r="C42" s="66"/>
      <c r="D42" s="45" t="s">
        <v>67</v>
      </c>
      <c r="E42" s="46">
        <f t="shared" si="0"/>
        <v>4.4872509175819433</v>
      </c>
    </row>
    <row r="43" spans="3:9" x14ac:dyDescent="0.3">
      <c r="C43" s="66"/>
      <c r="D43" s="45" t="s">
        <v>66</v>
      </c>
      <c r="E43" s="46">
        <f t="shared" si="0"/>
        <v>4.3619673201715825</v>
      </c>
    </row>
    <row r="44" spans="3:9" ht="15" thickBot="1" x14ac:dyDescent="0.35">
      <c r="C44" s="67"/>
      <c r="D44" s="48"/>
      <c r="E44" s="49"/>
    </row>
    <row r="45" spans="3:9" x14ac:dyDescent="0.3">
      <c r="C45" s="90"/>
      <c r="D45" s="57"/>
      <c r="E45" s="43"/>
    </row>
    <row r="46" spans="3:9" x14ac:dyDescent="0.3">
      <c r="C46" s="90"/>
      <c r="D46" s="57"/>
      <c r="E46" s="43"/>
    </row>
    <row r="47" spans="3:9" x14ac:dyDescent="0.3">
      <c r="C47" s="90"/>
      <c r="D47" s="57"/>
      <c r="E47" s="43"/>
    </row>
    <row r="48" spans="3:9" x14ac:dyDescent="0.3">
      <c r="C48" s="90"/>
      <c r="D48" s="57"/>
      <c r="E48" s="43"/>
    </row>
    <row r="49" spans="3:21" x14ac:dyDescent="0.3">
      <c r="C49" s="90"/>
      <c r="D49" s="57"/>
    </row>
    <row r="50" spans="3:21" s="1" customFormat="1" ht="81" customHeight="1" thickBot="1" x14ac:dyDescent="0.35">
      <c r="C50" s="82" t="s">
        <v>118</v>
      </c>
      <c r="D50" s="82"/>
      <c r="E50" s="82"/>
      <c r="G50" s="82" t="s">
        <v>119</v>
      </c>
      <c r="H50" s="82"/>
      <c r="I50" s="82"/>
      <c r="K50" s="82" t="s">
        <v>120</v>
      </c>
      <c r="L50" s="82"/>
      <c r="M50" s="82"/>
      <c r="O50" s="82" t="s">
        <v>121</v>
      </c>
      <c r="P50" s="82"/>
      <c r="Q50" s="82"/>
      <c r="S50" s="82" t="s">
        <v>122</v>
      </c>
      <c r="T50" s="82"/>
      <c r="U50" s="82"/>
    </row>
    <row r="51" spans="3:21" ht="15" thickBot="1" x14ac:dyDescent="0.35">
      <c r="C51" s="44" t="s">
        <v>98</v>
      </c>
      <c r="D51" s="88" t="s">
        <v>61</v>
      </c>
      <c r="E51" s="89"/>
      <c r="G51" s="44" t="s">
        <v>99</v>
      </c>
      <c r="H51" s="88" t="s">
        <v>61</v>
      </c>
      <c r="I51" s="89"/>
      <c r="K51" s="44" t="s">
        <v>100</v>
      </c>
      <c r="L51" s="88" t="s">
        <v>61</v>
      </c>
      <c r="M51" s="89"/>
      <c r="O51" s="44" t="s">
        <v>101</v>
      </c>
      <c r="P51" s="88" t="s">
        <v>61</v>
      </c>
      <c r="Q51" s="89"/>
      <c r="S51" s="44" t="s">
        <v>102</v>
      </c>
      <c r="T51" s="88" t="s">
        <v>61</v>
      </c>
      <c r="U51" s="89"/>
    </row>
    <row r="52" spans="3:21" x14ac:dyDescent="0.3">
      <c r="C52" s="65" t="s">
        <v>23</v>
      </c>
      <c r="D52" s="50" t="s">
        <v>65</v>
      </c>
      <c r="E52" s="51" cm="1">
        <f t="array" ref="E52">AVERAGE(ABS(data!F338:M338),ABS(data!F350:M350),ABS(data!F362:M362))</f>
        <v>2.571733115218914</v>
      </c>
      <c r="F52" s="57"/>
      <c r="G52" s="65" t="s">
        <v>23</v>
      </c>
      <c r="H52" s="50" t="s">
        <v>65</v>
      </c>
      <c r="I52" s="51" cm="1">
        <f t="array" ref="I52">AVERAGE(ABS(data!F379:M379),ABS(data!F391:M391),ABS(data!F403:M403))</f>
        <v>2.0670883828095921</v>
      </c>
      <c r="J52" s="57"/>
      <c r="K52" s="65" t="s">
        <v>23</v>
      </c>
      <c r="L52" s="50" t="s">
        <v>65</v>
      </c>
      <c r="M52" s="51" cm="1">
        <f t="array" ref="M52">AVERAGE(ABS(data!F420:M420),ABS(data!F432:M432),ABS(data!F444:M444))</f>
        <v>2.799266990055997</v>
      </c>
      <c r="N52" s="57"/>
      <c r="O52" s="65" t="s">
        <v>23</v>
      </c>
      <c r="P52" s="50" t="s">
        <v>65</v>
      </c>
      <c r="Q52" s="51" cm="1">
        <f t="array" ref="Q52">AVERAGE(ABS(data!F461:M461),ABS(data!F473:M473),ABS(data!F485:M485))</f>
        <v>2.5765614009201006</v>
      </c>
      <c r="R52" s="57"/>
      <c r="S52" s="65" t="s">
        <v>23</v>
      </c>
      <c r="T52" s="50" t="s">
        <v>65</v>
      </c>
      <c r="U52" s="51" cm="1">
        <f t="array" ref="U52">AVERAGE(ABS(data!F502:M502),ABS(data!F514:M514),ABS(data!F526:M526))</f>
        <v>2.1700059957096154</v>
      </c>
    </row>
    <row r="53" spans="3:21" x14ac:dyDescent="0.3">
      <c r="C53" s="66"/>
      <c r="D53" s="45" t="s">
        <v>66</v>
      </c>
      <c r="E53" s="46" cm="1">
        <f t="array" ref="E53">_xlfn.STDEV.P(ABS(data!F338:M338),ABS(data!F350:M350),ABS(data!F362:M362))</f>
        <v>1.5567336270557437</v>
      </c>
      <c r="F53" s="57"/>
      <c r="G53" s="66"/>
      <c r="H53" s="45" t="s">
        <v>66</v>
      </c>
      <c r="I53" s="46" cm="1">
        <f t="array" ref="I53">_xlfn.STDEV.P(ABS(data!F379:M379),ABS(data!F391:M391),ABS(data!F403:M403))</f>
        <v>1.0787167537004421</v>
      </c>
      <c r="J53" s="57"/>
      <c r="K53" s="66"/>
      <c r="L53" s="45" t="s">
        <v>66</v>
      </c>
      <c r="M53" s="46" cm="1">
        <f t="array" ref="M53">_xlfn.STDEV.P(ABS(data!F420:M420),ABS(data!F432:M432),ABS(data!F444:M444))</f>
        <v>1.4715477074195868</v>
      </c>
      <c r="N53" s="57"/>
      <c r="O53" s="66"/>
      <c r="P53" s="45" t="s">
        <v>66</v>
      </c>
      <c r="Q53" s="46" cm="1">
        <f t="array" ref="Q53">_xlfn.STDEV.P(ABS(data!F461:M461),ABS(data!F473:M473),ABS(data!F485:M485))</f>
        <v>0.96576710813742039</v>
      </c>
      <c r="R53" s="57"/>
      <c r="S53" s="66"/>
      <c r="T53" s="45" t="s">
        <v>66</v>
      </c>
      <c r="U53" s="46" cm="1">
        <f t="array" ref="U53">_xlfn.STDEV.P(ABS(data!F502:M502),ABS(data!F514:M514),ABS(data!F526:M526))</f>
        <v>1.6860466680324475</v>
      </c>
    </row>
    <row r="54" spans="3:21" x14ac:dyDescent="0.3">
      <c r="C54" s="66"/>
      <c r="D54" s="45" t="s">
        <v>67</v>
      </c>
      <c r="E54" s="46" cm="1">
        <f t="array" ref="E54">AVERAGE(ABS(data!F339:M339),ABS(data!F351:M351),ABS(data!F363:M363))</f>
        <v>536.44856042114645</v>
      </c>
      <c r="F54" s="57"/>
      <c r="G54" s="66"/>
      <c r="H54" s="45" t="s">
        <v>67</v>
      </c>
      <c r="I54" s="46" cm="1">
        <f t="array" ref="I54">AVERAGE(ABS(data!F380:M380),ABS(data!F392:M392),ABS(data!F404:M404))</f>
        <v>564.00484819418978</v>
      </c>
      <c r="J54" s="57"/>
      <c r="K54" s="66"/>
      <c r="L54" s="45" t="s">
        <v>67</v>
      </c>
      <c r="M54" s="46" cm="1">
        <f t="array" ref="M54">AVERAGE(ABS(data!F421:M421),ABS(data!F433:M433),ABS(data!F445:M445))</f>
        <v>823.36032903193097</v>
      </c>
      <c r="N54" s="57"/>
      <c r="O54" s="66"/>
      <c r="P54" s="45" t="s">
        <v>67</v>
      </c>
      <c r="Q54" s="46" cm="1">
        <f t="array" ref="Q54">AVERAGE(ABS(data!F462:M462),ABS(data!F474:M474),ABS(data!F486:M486))</f>
        <v>454.96567386268833</v>
      </c>
      <c r="R54" s="57"/>
      <c r="S54" s="66"/>
      <c r="T54" s="45" t="s">
        <v>67</v>
      </c>
      <c r="U54" s="46" cm="1">
        <f t="array" ref="U54">AVERAGE(ABS(data!F503:M503),ABS(data!F515:M515),ABS(data!F527:M527))</f>
        <v>391.75094677844203</v>
      </c>
    </row>
    <row r="55" spans="3:21" x14ac:dyDescent="0.3">
      <c r="C55" s="66"/>
      <c r="D55" s="45" t="s">
        <v>66</v>
      </c>
      <c r="E55" s="46" cm="1">
        <f t="array" ref="E55">_xlfn.STDEV.P(ABS(data!F339:M339),ABS(data!F351:M351),ABS(data!F363:M363))</f>
        <v>600.22773138538196</v>
      </c>
      <c r="F55" s="57"/>
      <c r="G55" s="66"/>
      <c r="H55" s="45" t="s">
        <v>66</v>
      </c>
      <c r="I55" s="46" cm="1">
        <f t="array" ref="I55">_xlfn.STDEV.P(ABS(data!F380:M380),ABS(data!F392:M392),ABS(data!F404:M404))</f>
        <v>643.85095120707331</v>
      </c>
      <c r="J55" s="57"/>
      <c r="K55" s="66"/>
      <c r="L55" s="45" t="s">
        <v>66</v>
      </c>
      <c r="M55" s="46" cm="1">
        <f t="array" ref="M55">_xlfn.STDEV.P(ABS(data!F421:M421),ABS(data!F433:M433),ABS(data!F445:M445))</f>
        <v>732.95407785613816</v>
      </c>
      <c r="N55" s="57"/>
      <c r="O55" s="66"/>
      <c r="P55" s="45" t="s">
        <v>66</v>
      </c>
      <c r="Q55" s="46" cm="1">
        <f t="array" ref="Q55">_xlfn.STDEV.P(ABS(data!F462:M462),ABS(data!F474:M474),ABS(data!F486:M486))</f>
        <v>233.97747765314</v>
      </c>
      <c r="R55" s="57"/>
      <c r="S55" s="66"/>
      <c r="T55" s="45" t="s">
        <v>66</v>
      </c>
      <c r="U55" s="46" cm="1">
        <f t="array" ref="U55">_xlfn.STDEV.P(ABS(data!F503:M503),ABS(data!F515:M515),ABS(data!F527:M527))</f>
        <v>755.20119471995406</v>
      </c>
    </row>
    <row r="56" spans="3:21" x14ac:dyDescent="0.3">
      <c r="C56" s="85"/>
      <c r="D56" s="47"/>
      <c r="E56" s="54"/>
      <c r="F56" s="57"/>
      <c r="G56" s="85"/>
      <c r="H56" s="47"/>
      <c r="I56" s="54"/>
      <c r="J56" s="57"/>
      <c r="K56" s="85"/>
      <c r="L56" s="47"/>
      <c r="M56" s="54"/>
      <c r="N56" s="57"/>
      <c r="O56" s="85"/>
      <c r="P56" s="47"/>
      <c r="Q56" s="54"/>
      <c r="R56" s="57"/>
      <c r="S56" s="85"/>
      <c r="T56" s="47"/>
      <c r="U56" s="54"/>
    </row>
    <row r="57" spans="3:21" x14ac:dyDescent="0.3">
      <c r="C57" s="66" t="s">
        <v>68</v>
      </c>
      <c r="D57" s="45" t="s">
        <v>65</v>
      </c>
      <c r="E57" s="46" cm="1">
        <f t="array" ref="E57">AVERAGE(ABS(data!F341:M341),ABS(data!F353:M353),ABS(data!F365:M365))</f>
        <v>2.5529831152189142</v>
      </c>
      <c r="F57" s="57"/>
      <c r="G57" s="66" t="s">
        <v>68</v>
      </c>
      <c r="H57" s="45" t="s">
        <v>65</v>
      </c>
      <c r="I57" s="46" cm="1">
        <f t="array" ref="I57">AVERAGE(ABS(data!F382:M382),ABS(data!F394:M394),ABS(data!F406:M406))</f>
        <v>1.9720883828095923</v>
      </c>
      <c r="J57" s="57"/>
      <c r="K57" s="66" t="s">
        <v>68</v>
      </c>
      <c r="L57" s="45" t="s">
        <v>65</v>
      </c>
      <c r="M57" s="46" cm="1">
        <f t="array" ref="M57">AVERAGE(ABS(data!F423:M423),ABS(data!F435:M435),ABS(data!F447:M447))</f>
        <v>2.6830169900559966</v>
      </c>
      <c r="N57" s="57"/>
      <c r="O57" s="66" t="s">
        <v>68</v>
      </c>
      <c r="P57" s="45" t="s">
        <v>65</v>
      </c>
      <c r="Q57" s="46" cm="1">
        <f t="array" ref="Q57">AVERAGE(ABS(data!F464:M464),ABS(data!F476:M476),ABS(data!F488:M488))</f>
        <v>2.5003114009201011</v>
      </c>
      <c r="R57" s="57"/>
      <c r="S57" s="66" t="s">
        <v>68</v>
      </c>
      <c r="T57" s="45" t="s">
        <v>65</v>
      </c>
      <c r="U57" s="46" cm="1">
        <f t="array" ref="U57">AVERAGE(ABS(data!F505:M505),ABS(data!F517:M517),ABS(data!F529:M529))</f>
        <v>2.0975059957096152</v>
      </c>
    </row>
    <row r="58" spans="3:21" x14ac:dyDescent="0.3">
      <c r="C58" s="66"/>
      <c r="D58" s="45" t="s">
        <v>66</v>
      </c>
      <c r="E58" s="46" cm="1">
        <f t="array" ref="E58">_xlfn.STDEV.P(ABS(data!F341:M341),ABS(data!F353:M353),ABS(data!F365:M365))</f>
        <v>1.5665410421967085</v>
      </c>
      <c r="F58" s="57"/>
      <c r="G58" s="66"/>
      <c r="H58" s="45" t="s">
        <v>66</v>
      </c>
      <c r="I58" s="46" cm="1">
        <f t="array" ref="I58">_xlfn.STDEV.P(ABS(data!F382:M382),ABS(data!F394:M394),ABS(data!F406:M406))</f>
        <v>1.0272709334103931</v>
      </c>
      <c r="J58" s="57"/>
      <c r="K58" s="66"/>
      <c r="L58" s="45" t="s">
        <v>66</v>
      </c>
      <c r="M58" s="46" cm="1">
        <f t="array" ref="M58">_xlfn.STDEV.P(ABS(data!F423:M423),ABS(data!F435:M435),ABS(data!F447:M447))</f>
        <v>1.4659805180455214</v>
      </c>
      <c r="N58" s="57"/>
      <c r="O58" s="66"/>
      <c r="P58" s="45" t="s">
        <v>66</v>
      </c>
      <c r="Q58" s="46" cm="1">
        <f t="array" ref="Q58">_xlfn.STDEV.P(ABS(data!F464:M464),ABS(data!F476:M476),ABS(data!F488:M488))</f>
        <v>0.96884056050876721</v>
      </c>
      <c r="R58" s="57"/>
      <c r="S58" s="66"/>
      <c r="T58" s="45" t="s">
        <v>66</v>
      </c>
      <c r="U58" s="46" cm="1">
        <f t="array" ref="U58">_xlfn.STDEV.P(ABS(data!F505:M505),ABS(data!F517:M517),ABS(data!F529:M529))</f>
        <v>1.7598313371017393</v>
      </c>
    </row>
    <row r="59" spans="3:21" x14ac:dyDescent="0.3">
      <c r="C59" s="66"/>
      <c r="D59" s="45" t="s">
        <v>67</v>
      </c>
      <c r="E59" s="46" cm="1">
        <f t="array" ref="E59">AVERAGE(ABS(data!F342:M342),ABS(data!F354:M354),ABS(data!F366:M366))</f>
        <v>534.80870099612582</v>
      </c>
      <c r="F59" s="57"/>
      <c r="G59" s="66"/>
      <c r="H59" s="45" t="s">
        <v>67</v>
      </c>
      <c r="I59" s="46" cm="1">
        <f t="array" ref="I59">AVERAGE(ABS(data!F383:M383),ABS(data!F395:M395),ABS(data!F407:M407))</f>
        <v>537.05403760129889</v>
      </c>
      <c r="J59" s="57"/>
      <c r="K59" s="66"/>
      <c r="L59" s="45" t="s">
        <v>67</v>
      </c>
      <c r="M59" s="46" cm="1">
        <f t="array" ref="M59">AVERAGE(ABS(data!F424:M424),ABS(data!F436:M436),ABS(data!F448:M448))</f>
        <v>792.21613585746616</v>
      </c>
      <c r="N59" s="57"/>
      <c r="O59" s="66"/>
      <c r="P59" s="45" t="s">
        <v>67</v>
      </c>
      <c r="Q59" s="46" cm="1">
        <f t="array" ref="Q59">AVERAGE(ABS(data!F465:M465),ABS(data!F477:M477),ABS(data!F489:M489))</f>
        <v>435.45557186151615</v>
      </c>
      <c r="R59" s="57"/>
      <c r="S59" s="66"/>
      <c r="T59" s="45" t="s">
        <v>67</v>
      </c>
      <c r="U59" s="46" cm="1">
        <f t="array" ref="U59">AVERAGE(ABS(data!F506:M506),ABS(data!F518:M518),ABS(data!F530:M530))</f>
        <v>377.93835815904055</v>
      </c>
    </row>
    <row r="60" spans="3:21" x14ac:dyDescent="0.3">
      <c r="C60" s="66"/>
      <c r="D60" s="45" t="s">
        <v>66</v>
      </c>
      <c r="E60" s="46" cm="1">
        <f t="array" ref="E60">_xlfn.STDEV.P(ABS(data!F342:M342),ABS(data!F354:M354),ABS(data!F366:M366))</f>
        <v>604.32460107963482</v>
      </c>
      <c r="F60" s="57"/>
      <c r="G60" s="66"/>
      <c r="H60" s="45" t="s">
        <v>66</v>
      </c>
      <c r="I60" s="46" cm="1">
        <f t="array" ref="I60">_xlfn.STDEV.P(ABS(data!F383:M383),ABS(data!F395:M395),ABS(data!F407:M407))</f>
        <v>617.56774229933967</v>
      </c>
      <c r="J60" s="57"/>
      <c r="K60" s="66"/>
      <c r="L60" s="45" t="s">
        <v>66</v>
      </c>
      <c r="M60" s="46" cm="1">
        <f t="array" ref="M60">_xlfn.STDEV.P(ABS(data!F424:M424),ABS(data!F436:M436),ABS(data!F448:M448))</f>
        <v>715.05382397023709</v>
      </c>
      <c r="N60" s="57"/>
      <c r="O60" s="66"/>
      <c r="P60" s="45" t="s">
        <v>66</v>
      </c>
      <c r="Q60" s="46" cm="1">
        <f t="array" ref="Q60">_xlfn.STDEV.P(ABS(data!F465:M465),ABS(data!F477:M477),ABS(data!F489:M489))</f>
        <v>230.63403443857788</v>
      </c>
      <c r="R60" s="57"/>
      <c r="S60" s="66"/>
      <c r="T60" s="45" t="s">
        <v>66</v>
      </c>
      <c r="U60" s="46" cm="1">
        <f t="array" ref="U60">_xlfn.STDEV.P(ABS(data!F506:M506),ABS(data!F518:M518),ABS(data!F530:M530))</f>
        <v>738.7878005570077</v>
      </c>
    </row>
    <row r="61" spans="3:21" x14ac:dyDescent="0.3">
      <c r="C61" s="85"/>
      <c r="D61" s="47"/>
      <c r="E61" s="54"/>
      <c r="F61" s="57"/>
      <c r="G61" s="85"/>
      <c r="H61" s="47"/>
      <c r="I61" s="54"/>
      <c r="J61" s="57"/>
      <c r="K61" s="85"/>
      <c r="L61" s="47"/>
      <c r="M61" s="54"/>
      <c r="N61" s="57"/>
      <c r="O61" s="85"/>
      <c r="P61" s="47"/>
      <c r="Q61" s="54"/>
      <c r="R61" s="57"/>
      <c r="S61" s="85"/>
      <c r="T61" s="47"/>
      <c r="U61" s="54"/>
    </row>
    <row r="62" spans="3:21" x14ac:dyDescent="0.3">
      <c r="C62" s="66" t="s">
        <v>69</v>
      </c>
      <c r="D62" s="45" t="s">
        <v>65</v>
      </c>
      <c r="E62" s="46" cm="1">
        <f t="array" ref="E62">AVERAGE(ABS(data!F344:M344),ABS(data!F356:M356),ABS(data!F368:M368))</f>
        <v>2.5892331152189141</v>
      </c>
      <c r="F62" s="57"/>
      <c r="G62" s="66" t="s">
        <v>69</v>
      </c>
      <c r="H62" s="45" t="s">
        <v>65</v>
      </c>
      <c r="I62" s="46" cm="1">
        <f t="array" ref="I62">AVERAGE(ABS(data!F385:M385),ABS(data!F397:M397),ABS(data!F409:M409))</f>
        <v>1.9958383828095922</v>
      </c>
      <c r="J62" s="57"/>
      <c r="K62" s="66" t="s">
        <v>69</v>
      </c>
      <c r="L62" s="45" t="s">
        <v>65</v>
      </c>
      <c r="M62" s="46" cm="1">
        <f t="array" ref="M62">AVERAGE(ABS(data!F426:M426),ABS(data!F438:M438),ABS(data!F450:M450))</f>
        <v>2.7067669900559967</v>
      </c>
      <c r="N62" s="57"/>
      <c r="O62" s="66" t="s">
        <v>69</v>
      </c>
      <c r="P62" s="45" t="s">
        <v>65</v>
      </c>
      <c r="Q62" s="46" cm="1">
        <f t="array" ref="Q62">AVERAGE(ABS(data!F467:M467),ABS(data!F479:M479),ABS(data!F491:M491))</f>
        <v>2.5028114009201015</v>
      </c>
      <c r="R62" s="57"/>
      <c r="S62" s="66" t="s">
        <v>69</v>
      </c>
      <c r="T62" s="45" t="s">
        <v>65</v>
      </c>
      <c r="U62" s="46" cm="1">
        <f t="array" ref="U62">AVERAGE(ABS(data!F508:M508),ABS(data!F520:M520),ABS(data!F532:M532))</f>
        <v>2.1200059957096156</v>
      </c>
    </row>
    <row r="63" spans="3:21" x14ac:dyDescent="0.3">
      <c r="C63" s="66"/>
      <c r="D63" s="45" t="s">
        <v>66</v>
      </c>
      <c r="E63" s="46" cm="1">
        <f t="array" ref="E63">_xlfn.STDEV.P(ABS(data!F344:M344),ABS(data!F356:M356),ABS(data!F368:M368))</f>
        <v>1.5660693872331346</v>
      </c>
      <c r="F63" s="57"/>
      <c r="G63" s="66"/>
      <c r="H63" s="45" t="s">
        <v>66</v>
      </c>
      <c r="I63" s="46" cm="1">
        <f t="array" ref="I63">_xlfn.STDEV.P(ABS(data!F385:M385),ABS(data!F397:M397),ABS(data!F409:M409))</f>
        <v>1.0794184914783693</v>
      </c>
      <c r="J63" s="57"/>
      <c r="K63" s="66"/>
      <c r="L63" s="45" t="s">
        <v>66</v>
      </c>
      <c r="M63" s="46" cm="1">
        <f t="array" ref="M63">_xlfn.STDEV.P(ABS(data!F426:M426),ABS(data!F438:M438),ABS(data!F450:M450))</f>
        <v>1.4515868219211752</v>
      </c>
      <c r="N63" s="57"/>
      <c r="O63" s="66"/>
      <c r="P63" s="45" t="s">
        <v>66</v>
      </c>
      <c r="Q63" s="46" cm="1">
        <f t="array" ref="Q63">_xlfn.STDEV.P(ABS(data!F467:M467),ABS(data!F479:M479),ABS(data!F491:M491))</f>
        <v>0.9524669693554717</v>
      </c>
      <c r="R63" s="57"/>
      <c r="S63" s="66"/>
      <c r="T63" s="45" t="s">
        <v>66</v>
      </c>
      <c r="U63" s="46" cm="1">
        <f t="array" ref="U63">_xlfn.STDEV.P(ABS(data!F508:M508),ABS(data!F520:M520),ABS(data!F532:M532))</f>
        <v>1.7236491701642784</v>
      </c>
    </row>
    <row r="64" spans="3:21" x14ac:dyDescent="0.3">
      <c r="C64" s="66"/>
      <c r="D64" s="45" t="s">
        <v>67</v>
      </c>
      <c r="E64" s="46" cm="1">
        <f t="array" ref="E64">AVERAGE(ABS(data!F345:M345),ABS(data!F357:M357),ABS(data!F369:M369))</f>
        <v>540.02525369309262</v>
      </c>
      <c r="F64" s="57"/>
      <c r="G64" s="66"/>
      <c r="H64" s="45" t="s">
        <v>67</v>
      </c>
      <c r="I64" s="46" cm="1">
        <f t="array" ref="I64">AVERAGE(ABS(data!F386:M386),ABS(data!F398:M398),ABS(data!F410:M410))</f>
        <v>547.92982753997569</v>
      </c>
      <c r="J64" s="57"/>
      <c r="K64" s="66"/>
      <c r="L64" s="45" t="s">
        <v>67</v>
      </c>
      <c r="M64" s="46" cm="1">
        <f t="array" ref="M64">AVERAGE(ABS(data!F427:M427),ABS(data!F439:M439),ABS(data!F451:M451))</f>
        <v>795.87430616121082</v>
      </c>
      <c r="N64" s="57"/>
      <c r="O64" s="66"/>
      <c r="P64" s="45" t="s">
        <v>67</v>
      </c>
      <c r="Q64" s="46" cm="1">
        <f t="array" ref="Q64">AVERAGE(ABS(data!F468:M468),ABS(data!F480:M480),ABS(data!F492:M492))</f>
        <v>438.08807216059409</v>
      </c>
      <c r="R64" s="57"/>
      <c r="S64" s="66"/>
      <c r="T64" s="45" t="s">
        <v>67</v>
      </c>
      <c r="U64" s="46" cm="1">
        <f t="array" ref="U64">AVERAGE(ABS(data!F509:M509),ABS(data!F521:M521),ABS(data!F533:M533))</f>
        <v>382.3280273880053</v>
      </c>
    </row>
    <row r="65" spans="3:21" x14ac:dyDescent="0.3">
      <c r="C65" s="66"/>
      <c r="D65" s="45" t="s">
        <v>66</v>
      </c>
      <c r="E65" s="46" cm="1">
        <f t="array" ref="E65">_xlfn.STDEV.P(ABS(data!F345:M345),ABS(data!F357:M357),ABS(data!F369:M369))</f>
        <v>607.91241896896736</v>
      </c>
      <c r="F65" s="57"/>
      <c r="G65" s="66"/>
      <c r="H65" s="45" t="s">
        <v>66</v>
      </c>
      <c r="I65" s="46" cm="1">
        <f t="array" ref="I65">_xlfn.STDEV.P(ABS(data!F386:M386),ABS(data!F398:M398),ABS(data!F410:M410))</f>
        <v>629.88685866309777</v>
      </c>
      <c r="J65" s="57"/>
      <c r="K65" s="66"/>
      <c r="L65" s="45" t="s">
        <v>66</v>
      </c>
      <c r="M65" s="46" cm="1">
        <f t="array" ref="M65">_xlfn.STDEV.P(ABS(data!F427:M427),ABS(data!F439:M439),ABS(data!F451:M451))</f>
        <v>708.80096242419393</v>
      </c>
      <c r="N65" s="57"/>
      <c r="O65" s="66"/>
      <c r="P65" s="45" t="s">
        <v>66</v>
      </c>
      <c r="Q65" s="46" cm="1">
        <f t="array" ref="Q65">_xlfn.STDEV.P(ABS(data!F468:M468),ABS(data!F480:M480),ABS(data!F492:M492))</f>
        <v>232.07746099178036</v>
      </c>
      <c r="R65" s="57"/>
      <c r="S65" s="66"/>
      <c r="T65" s="45" t="s">
        <v>66</v>
      </c>
      <c r="U65" s="46" cm="1">
        <f t="array" ref="U65">_xlfn.STDEV.P(ABS(data!F509:M509),ABS(data!F521:M521),ABS(data!F533:M533))</f>
        <v>744.56746135100059</v>
      </c>
    </row>
    <row r="66" spans="3:21" x14ac:dyDescent="0.3">
      <c r="C66" s="85"/>
      <c r="D66" s="45"/>
      <c r="E66" s="46"/>
      <c r="F66" s="57"/>
      <c r="G66" s="85"/>
      <c r="H66" s="45"/>
      <c r="I66" s="46"/>
      <c r="J66" s="57"/>
      <c r="K66" s="85"/>
      <c r="L66" s="45"/>
      <c r="M66" s="46"/>
      <c r="N66" s="57"/>
      <c r="O66" s="85"/>
      <c r="P66" s="45"/>
      <c r="Q66" s="46"/>
      <c r="R66" s="57"/>
      <c r="S66" s="85"/>
      <c r="T66" s="45"/>
      <c r="U66" s="46"/>
    </row>
    <row r="67" spans="3:21" x14ac:dyDescent="0.3">
      <c r="C67" s="66" t="s">
        <v>70</v>
      </c>
      <c r="D67" s="52" t="s">
        <v>65</v>
      </c>
      <c r="E67" s="53">
        <f>AVERAGE(E52,E57,E62)</f>
        <v>2.5713164485522473</v>
      </c>
      <c r="F67" s="57"/>
      <c r="G67" s="66" t="s">
        <v>70</v>
      </c>
      <c r="H67" s="52" t="s">
        <v>65</v>
      </c>
      <c r="I67" s="53">
        <f>AVERAGE(I52,I57,I62)</f>
        <v>2.0116717161429256</v>
      </c>
      <c r="J67" s="57"/>
      <c r="K67" s="66" t="s">
        <v>70</v>
      </c>
      <c r="L67" s="52" t="s">
        <v>65</v>
      </c>
      <c r="M67" s="53">
        <f>AVERAGE(M52,M57,M62)</f>
        <v>2.7296836567226634</v>
      </c>
      <c r="N67" s="57"/>
      <c r="O67" s="66" t="s">
        <v>70</v>
      </c>
      <c r="P67" s="52" t="s">
        <v>65</v>
      </c>
      <c r="Q67" s="53">
        <f>AVERAGE(Q52,Q57,Q62)</f>
        <v>2.5265614009201012</v>
      </c>
      <c r="R67" s="57"/>
      <c r="S67" s="66" t="s">
        <v>70</v>
      </c>
      <c r="T67" s="52" t="s">
        <v>65</v>
      </c>
      <c r="U67" s="53">
        <f>AVERAGE(M52,M57,M62)</f>
        <v>2.7296836567226634</v>
      </c>
    </row>
    <row r="68" spans="3:21" x14ac:dyDescent="0.3">
      <c r="C68" s="66"/>
      <c r="D68" s="45" t="s">
        <v>71</v>
      </c>
      <c r="E68" s="46">
        <f>AVERAGE(E53,E58,E63)</f>
        <v>1.5631146854951954</v>
      </c>
      <c r="F68" s="57"/>
      <c r="G68" s="66"/>
      <c r="H68" s="45" t="s">
        <v>71</v>
      </c>
      <c r="I68" s="46">
        <f>AVERAGE(I53,I58,I63)</f>
        <v>1.0618020595297348</v>
      </c>
      <c r="J68" s="57"/>
      <c r="K68" s="66"/>
      <c r="L68" s="45" t="s">
        <v>71</v>
      </c>
      <c r="M68" s="46">
        <f>AVERAGE(M53,M58,M63)</f>
        <v>1.4630383491287613</v>
      </c>
      <c r="N68" s="57"/>
      <c r="O68" s="66"/>
      <c r="P68" s="45" t="s">
        <v>71</v>
      </c>
      <c r="Q68" s="46">
        <f>AVERAGE(Q53,Q58,Q63)</f>
        <v>0.96235821266721977</v>
      </c>
      <c r="R68" s="57"/>
      <c r="S68" s="66"/>
      <c r="T68" s="45" t="s">
        <v>71</v>
      </c>
      <c r="U68" s="46">
        <f>AVERAGE(M53,M58,M63)</f>
        <v>1.4630383491287613</v>
      </c>
    </row>
    <row r="69" spans="3:21" x14ac:dyDescent="0.3">
      <c r="C69" s="66"/>
      <c r="D69" s="45" t="s">
        <v>67</v>
      </c>
      <c r="E69" s="46">
        <f>AVERAGE(E54,E59,E64)</f>
        <v>537.09417170345489</v>
      </c>
      <c r="F69" s="57"/>
      <c r="G69" s="66"/>
      <c r="H69" s="45" t="s">
        <v>67</v>
      </c>
      <c r="I69" s="46">
        <f>AVERAGE(I54,I59,I64)</f>
        <v>549.66290444515471</v>
      </c>
      <c r="J69" s="57"/>
      <c r="K69" s="66"/>
      <c r="L69" s="45" t="s">
        <v>67</v>
      </c>
      <c r="M69" s="46">
        <f>AVERAGE(M54,M59,M64)</f>
        <v>803.81692368353595</v>
      </c>
      <c r="N69" s="57"/>
      <c r="O69" s="66"/>
      <c r="P69" s="45" t="s">
        <v>67</v>
      </c>
      <c r="Q69" s="46">
        <f>AVERAGE(Q54,Q59,Q64)</f>
        <v>442.83643929493286</v>
      </c>
      <c r="R69" s="57"/>
      <c r="S69" s="66"/>
      <c r="T69" s="45" t="s">
        <v>67</v>
      </c>
      <c r="U69" s="46">
        <f>AVERAGE(M54,M59,M64)</f>
        <v>803.81692368353595</v>
      </c>
    </row>
    <row r="70" spans="3:21" x14ac:dyDescent="0.3">
      <c r="C70" s="66"/>
      <c r="D70" s="45" t="s">
        <v>66</v>
      </c>
      <c r="E70" s="46">
        <f>AVERAGE(E55,E60,E65)</f>
        <v>604.15491714466134</v>
      </c>
      <c r="F70" s="57"/>
      <c r="G70" s="66"/>
      <c r="H70" s="45" t="s">
        <v>66</v>
      </c>
      <c r="I70" s="46">
        <f>AVERAGE(I55,I60,I65)</f>
        <v>630.43518405650366</v>
      </c>
      <c r="J70" s="57"/>
      <c r="K70" s="66"/>
      <c r="L70" s="45" t="s">
        <v>66</v>
      </c>
      <c r="M70" s="46">
        <f>AVERAGE(M55,M60,M65)</f>
        <v>718.93628808352298</v>
      </c>
      <c r="N70" s="57"/>
      <c r="O70" s="66"/>
      <c r="P70" s="45" t="s">
        <v>66</v>
      </c>
      <c r="Q70" s="46">
        <f>AVERAGE(Q55,Q60,Q65)</f>
        <v>232.22965769449942</v>
      </c>
      <c r="R70" s="57"/>
      <c r="S70" s="66"/>
      <c r="T70" s="45" t="s">
        <v>66</v>
      </c>
      <c r="U70" s="46">
        <f>AVERAGE(M55,M60,M65)</f>
        <v>718.93628808352298</v>
      </c>
    </row>
    <row r="71" spans="3:21" ht="15" thickBot="1" x14ac:dyDescent="0.35">
      <c r="C71" s="67"/>
      <c r="D71" s="48"/>
      <c r="E71" s="49"/>
      <c r="F71" s="57"/>
      <c r="G71" s="67"/>
      <c r="H71" s="48"/>
      <c r="I71" s="49"/>
      <c r="J71" s="57"/>
      <c r="K71" s="67"/>
      <c r="L71" s="48"/>
      <c r="M71" s="49"/>
      <c r="N71" s="57"/>
      <c r="O71" s="67"/>
      <c r="P71" s="48"/>
      <c r="Q71" s="49"/>
      <c r="R71" s="57"/>
      <c r="S71" s="67"/>
      <c r="T71" s="48"/>
      <c r="U71" s="49"/>
    </row>
    <row r="75" spans="3:21" ht="15" thickBot="1" x14ac:dyDescent="0.35">
      <c r="C75" s="82" t="s">
        <v>123</v>
      </c>
      <c r="D75" s="82"/>
      <c r="E75" s="82"/>
      <c r="G75" s="82" t="s">
        <v>124</v>
      </c>
      <c r="H75" s="82"/>
      <c r="I75" s="82"/>
    </row>
    <row r="76" spans="3:21" ht="15" thickBot="1" x14ac:dyDescent="0.35">
      <c r="C76" s="44"/>
      <c r="D76" s="88" t="s">
        <v>61</v>
      </c>
      <c r="E76" s="89"/>
      <c r="G76" s="44"/>
      <c r="H76" s="88" t="s">
        <v>61</v>
      </c>
      <c r="I76" s="89"/>
    </row>
    <row r="77" spans="3:21" x14ac:dyDescent="0.3">
      <c r="C77" s="65" t="s">
        <v>23</v>
      </c>
      <c r="D77" s="50" t="s">
        <v>65</v>
      </c>
      <c r="E77" s="51">
        <f>AVERAGE(E52,I52,M52,Q52,U52)</f>
        <v>2.4369311769428439</v>
      </c>
      <c r="G77" s="65"/>
      <c r="H77" s="50" t="s">
        <v>65</v>
      </c>
      <c r="I77" s="51">
        <f>AVERAGE(E77,E82,E87)</f>
        <v>2.3936811769428439</v>
      </c>
    </row>
    <row r="78" spans="3:21" x14ac:dyDescent="0.3">
      <c r="C78" s="66"/>
      <c r="D78" s="45" t="s">
        <v>66</v>
      </c>
      <c r="E78" s="46">
        <f t="shared" ref="E78:E80" si="2">AVERAGE(E53,I53,M53,Q53,U53)</f>
        <v>1.3517623728691279</v>
      </c>
      <c r="G78" s="66"/>
      <c r="H78" s="45" t="s">
        <v>66</v>
      </c>
      <c r="I78" s="46">
        <f t="shared" ref="I78:I80" si="3">AVERAGE(E78,E83,E88)</f>
        <v>1.35469780638408</v>
      </c>
    </row>
    <row r="79" spans="3:21" x14ac:dyDescent="0.3">
      <c r="C79" s="66"/>
      <c r="D79" s="45" t="s">
        <v>67</v>
      </c>
      <c r="E79" s="46">
        <f t="shared" si="2"/>
        <v>554.10607165767954</v>
      </c>
      <c r="G79" s="66"/>
      <c r="H79" s="45" t="s">
        <v>67</v>
      </c>
      <c r="I79" s="46">
        <f t="shared" si="3"/>
        <v>543.4832433137816</v>
      </c>
    </row>
    <row r="80" spans="3:21" x14ac:dyDescent="0.3">
      <c r="C80" s="66"/>
      <c r="D80" s="45" t="s">
        <v>66</v>
      </c>
      <c r="E80" s="46">
        <f t="shared" si="2"/>
        <v>593.24228656433741</v>
      </c>
      <c r="G80" s="66"/>
      <c r="H80" s="45" t="s">
        <v>66</v>
      </c>
      <c r="I80" s="46">
        <f t="shared" si="3"/>
        <v>586.3883065043683</v>
      </c>
    </row>
    <row r="81" spans="3:9" ht="15" thickBot="1" x14ac:dyDescent="0.35">
      <c r="C81" s="67"/>
      <c r="D81" s="48"/>
      <c r="E81" s="49"/>
      <c r="G81" s="67"/>
      <c r="H81" s="48"/>
      <c r="I81" s="49"/>
    </row>
    <row r="82" spans="3:9" x14ac:dyDescent="0.3">
      <c r="C82" s="65" t="s">
        <v>68</v>
      </c>
      <c r="D82" s="50" t="s">
        <v>65</v>
      </c>
      <c r="E82" s="51">
        <f t="shared" ref="E82:E85" si="4">AVERAGE(E57,I57,M57,Q57,U57)</f>
        <v>2.3611811769428437</v>
      </c>
    </row>
    <row r="83" spans="3:9" x14ac:dyDescent="0.3">
      <c r="C83" s="66"/>
      <c r="D83" s="45" t="s">
        <v>66</v>
      </c>
      <c r="E83" s="46">
        <f t="shared" si="4"/>
        <v>1.3576928782526259</v>
      </c>
    </row>
    <row r="84" spans="3:9" x14ac:dyDescent="0.3">
      <c r="C84" s="66"/>
      <c r="D84" s="45" t="s">
        <v>67</v>
      </c>
      <c r="E84" s="46">
        <f t="shared" si="4"/>
        <v>535.49456089508953</v>
      </c>
    </row>
    <row r="85" spans="3:9" x14ac:dyDescent="0.3">
      <c r="C85" s="66"/>
      <c r="D85" s="45" t="s">
        <v>66</v>
      </c>
      <c r="E85" s="46">
        <f t="shared" si="4"/>
        <v>581.27360046895944</v>
      </c>
    </row>
    <row r="86" spans="3:9" ht="15" thickBot="1" x14ac:dyDescent="0.35">
      <c r="C86" s="67"/>
      <c r="D86" s="48"/>
      <c r="E86" s="49"/>
    </row>
    <row r="87" spans="3:9" x14ac:dyDescent="0.3">
      <c r="C87" s="66" t="s">
        <v>69</v>
      </c>
      <c r="D87" s="45" t="s">
        <v>65</v>
      </c>
      <c r="E87" s="46">
        <f t="shared" ref="E87:E90" si="5">AVERAGE(E62,I62,M62,Q62,U62)</f>
        <v>2.3829311769428441</v>
      </c>
    </row>
    <row r="88" spans="3:9" x14ac:dyDescent="0.3">
      <c r="C88" s="66"/>
      <c r="D88" s="45" t="s">
        <v>66</v>
      </c>
      <c r="E88" s="46">
        <f t="shared" si="5"/>
        <v>1.3546381680304858</v>
      </c>
    </row>
    <row r="89" spans="3:9" x14ac:dyDescent="0.3">
      <c r="C89" s="66"/>
      <c r="D89" s="45" t="s">
        <v>67</v>
      </c>
      <c r="E89" s="46">
        <f t="shared" si="5"/>
        <v>540.84909738857573</v>
      </c>
    </row>
    <row r="90" spans="3:9" x14ac:dyDescent="0.3">
      <c r="C90" s="66"/>
      <c r="D90" s="45" t="s">
        <v>66</v>
      </c>
      <c r="E90" s="46">
        <f t="shared" si="5"/>
        <v>584.64903247980806</v>
      </c>
    </row>
    <row r="91" spans="3:9" ht="15" thickBot="1" x14ac:dyDescent="0.35">
      <c r="C91" s="67"/>
      <c r="D91" s="48"/>
      <c r="E91" s="49"/>
    </row>
  </sheetData>
  <mergeCells count="77">
    <mergeCell ref="D4:E4"/>
    <mergeCell ref="H4:I4"/>
    <mergeCell ref="L4:M4"/>
    <mergeCell ref="P4:Q4"/>
    <mergeCell ref="T4:U4"/>
    <mergeCell ref="C3:E3"/>
    <mergeCell ref="G3:I3"/>
    <mergeCell ref="K3:M3"/>
    <mergeCell ref="O3:Q3"/>
    <mergeCell ref="S3:U3"/>
    <mergeCell ref="C10:C14"/>
    <mergeCell ref="G10:G14"/>
    <mergeCell ref="K10:K14"/>
    <mergeCell ref="O10:O14"/>
    <mergeCell ref="S10:S14"/>
    <mergeCell ref="C5:C9"/>
    <mergeCell ref="G5:G9"/>
    <mergeCell ref="K5:K9"/>
    <mergeCell ref="O5:O9"/>
    <mergeCell ref="S5:S9"/>
    <mergeCell ref="C20:C24"/>
    <mergeCell ref="G20:G24"/>
    <mergeCell ref="K20:K24"/>
    <mergeCell ref="O20:O24"/>
    <mergeCell ref="S20:S24"/>
    <mergeCell ref="C15:C19"/>
    <mergeCell ref="G15:G19"/>
    <mergeCell ref="K15:K19"/>
    <mergeCell ref="O15:O19"/>
    <mergeCell ref="S15:S19"/>
    <mergeCell ref="C28:E28"/>
    <mergeCell ref="G28:I28"/>
    <mergeCell ref="D29:E29"/>
    <mergeCell ref="H29:I29"/>
    <mergeCell ref="C30:C34"/>
    <mergeCell ref="G30:G34"/>
    <mergeCell ref="C35:C39"/>
    <mergeCell ref="C40:C44"/>
    <mergeCell ref="C45:C49"/>
    <mergeCell ref="C50:E50"/>
    <mergeCell ref="G50:I50"/>
    <mergeCell ref="O50:Q50"/>
    <mergeCell ref="S50:U50"/>
    <mergeCell ref="D51:E51"/>
    <mergeCell ref="H51:I51"/>
    <mergeCell ref="L51:M51"/>
    <mergeCell ref="P51:Q51"/>
    <mergeCell ref="T51:U51"/>
    <mergeCell ref="K50:M50"/>
    <mergeCell ref="C57:C61"/>
    <mergeCell ref="G57:G61"/>
    <mergeCell ref="K57:K61"/>
    <mergeCell ref="O57:O61"/>
    <mergeCell ref="S57:S61"/>
    <mergeCell ref="C52:C56"/>
    <mergeCell ref="G52:G56"/>
    <mergeCell ref="K52:K56"/>
    <mergeCell ref="O52:O56"/>
    <mergeCell ref="S52:S56"/>
    <mergeCell ref="C67:C71"/>
    <mergeCell ref="G67:G71"/>
    <mergeCell ref="K67:K71"/>
    <mergeCell ref="O67:O71"/>
    <mergeCell ref="S67:S71"/>
    <mergeCell ref="C62:C66"/>
    <mergeCell ref="G62:G66"/>
    <mergeCell ref="K62:K66"/>
    <mergeCell ref="O62:O66"/>
    <mergeCell ref="S62:S66"/>
    <mergeCell ref="C82:C86"/>
    <mergeCell ref="C87:C91"/>
    <mergeCell ref="C75:E75"/>
    <mergeCell ref="G75:I75"/>
    <mergeCell ref="D76:E76"/>
    <mergeCell ref="H76:I76"/>
    <mergeCell ref="C77:C81"/>
    <mergeCell ref="G77:G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4C90-F444-4680-AFD9-5D2201E33D4C}">
  <dimension ref="C2:S123"/>
  <sheetViews>
    <sheetView topLeftCell="H57" workbookViewId="0">
      <selection activeCell="S89" sqref="S89:S92"/>
    </sheetView>
  </sheetViews>
  <sheetFormatPr defaultRowHeight="14.4" x14ac:dyDescent="0.3"/>
  <cols>
    <col min="3" max="3" width="11.33203125" bestFit="1" customWidth="1"/>
    <col min="4" max="4" width="17.33203125" bestFit="1" customWidth="1"/>
    <col min="5" max="5" width="12" bestFit="1" customWidth="1"/>
    <col min="6" max="6" width="17.33203125" bestFit="1" customWidth="1"/>
    <col min="7" max="7" width="15.5546875" customWidth="1"/>
    <col min="8" max="8" width="17.33203125" bestFit="1" customWidth="1"/>
    <col min="9" max="9" width="17.6640625" bestFit="1" customWidth="1"/>
    <col min="10" max="10" width="17.33203125" bestFit="1" customWidth="1"/>
    <col min="11" max="11" width="17.6640625" bestFit="1" customWidth="1"/>
    <col min="12" max="12" width="17.33203125" bestFit="1" customWidth="1"/>
    <col min="14" max="14" width="17.33203125" bestFit="1" customWidth="1"/>
    <col min="16" max="16" width="17.33203125" bestFit="1" customWidth="1"/>
    <col min="18" max="18" width="17.33203125" bestFit="1" customWidth="1"/>
  </cols>
  <sheetData>
    <row r="2" spans="3:19" ht="15" thickBot="1" x14ac:dyDescent="0.35">
      <c r="C2" s="86" t="s">
        <v>125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3:19" ht="15" thickBot="1" x14ac:dyDescent="0.35">
      <c r="C3" s="44" t="s">
        <v>56</v>
      </c>
      <c r="D3" s="83" t="s">
        <v>57</v>
      </c>
      <c r="E3" s="84"/>
      <c r="F3" s="83" t="s">
        <v>58</v>
      </c>
      <c r="G3" s="84"/>
      <c r="H3" s="83" t="s">
        <v>59</v>
      </c>
      <c r="I3" s="84"/>
      <c r="J3" s="83" t="s">
        <v>60</v>
      </c>
      <c r="K3" s="84"/>
      <c r="L3" s="83" t="s">
        <v>61</v>
      </c>
      <c r="M3" s="84"/>
      <c r="N3" s="83" t="s">
        <v>62</v>
      </c>
      <c r="O3" s="84"/>
      <c r="P3" s="83" t="s">
        <v>63</v>
      </c>
      <c r="Q3" s="84"/>
      <c r="R3" s="83" t="s">
        <v>64</v>
      </c>
      <c r="S3" s="84"/>
    </row>
    <row r="4" spans="3:19" x14ac:dyDescent="0.3">
      <c r="C4" s="65" t="s">
        <v>23</v>
      </c>
      <c r="D4" s="50" t="s">
        <v>65</v>
      </c>
      <c r="E4" s="51" cm="1">
        <f t="array" ref="E4">AVERAGE(ABS(data!N12:U12),ABS(data!N24:U24),ABS(data!N36:U36))</f>
        <v>0.20768729330428201</v>
      </c>
      <c r="F4" s="50" t="s">
        <v>65</v>
      </c>
      <c r="G4" s="51" cm="1">
        <f t="array" ref="G4">AVERAGE(ABS(data!AH12:AO12),ABS(data!AH24:AO24),ABS(data!AH36:AO36))</f>
        <v>0.18270836012282921</v>
      </c>
      <c r="H4" s="50" t="s">
        <v>65</v>
      </c>
      <c r="I4" s="51" cm="1">
        <f t="array" ref="I4">AVERAGE(ABS(data!BB12:BI12),ABS(data!BB24:BI24),ABS(data!BB36:BI36))</f>
        <v>9.1749633463711996E-2</v>
      </c>
      <c r="J4" s="50" t="s">
        <v>65</v>
      </c>
      <c r="K4" s="51" cm="1">
        <f t="array" ref="K4">AVERAGE(ABS(data!BV12:CC12),ABS(data!BV24:CC24),ABS(data!BV36:CC36))</f>
        <v>0.10104314392959214</v>
      </c>
      <c r="L4" s="50" t="s">
        <v>65</v>
      </c>
      <c r="M4" s="51" cm="1">
        <f t="array" ref="M4">AVERAGE(ABS(data!CP12:CW12),ABS(data!CP24:CW24),ABS(data!CP36:CW36))</f>
        <v>1.249724006500311</v>
      </c>
      <c r="N4" s="50" t="s">
        <v>65</v>
      </c>
      <c r="O4" s="51" cm="1">
        <f t="array" ref="O4">AVERAGE(ABS(data!DJ12:DQ12),ABS(data!DJ24:DQ24),ABS(data!DJ36:DQ36))</f>
        <v>2.7134440488799725</v>
      </c>
      <c r="P4" s="50" t="s">
        <v>65</v>
      </c>
      <c r="Q4" s="51" cm="1">
        <f t="array" ref="Q4">AVERAGE(ABS(data!ED12:EK12),ABS(data!ED24:EK24),ABS(data!ED36:EK36))</f>
        <v>2.4877646239847224</v>
      </c>
      <c r="R4" s="50" t="s">
        <v>65</v>
      </c>
      <c r="S4" s="51" cm="1">
        <f t="array" ref="S4">AVERAGE(ABS(data!EX12:FE12),ABS(data!EX24:FE24),ABS(data!EX36:FE36))</f>
        <v>3.0996144982078344</v>
      </c>
    </row>
    <row r="5" spans="3:19" x14ac:dyDescent="0.3">
      <c r="C5" s="66"/>
      <c r="D5" s="45" t="s">
        <v>66</v>
      </c>
      <c r="E5" s="46" cm="1">
        <f t="array" ref="E5">_xlfn.STDEV.P(ABS(data!N12:U12),ABS(data!N24:U24),ABS(data!N36:U36))</f>
        <v>0.13709115576651551</v>
      </c>
      <c r="F5" s="45" t="s">
        <v>66</v>
      </c>
      <c r="G5" s="46" cm="1">
        <f t="array" ref="G5">_xlfn.STDEV.P(ABS(data!AH12:AO12),ABS(data!AH24:AO24),ABS(data!AH36:AO36))</f>
        <v>0.13558866066615977</v>
      </c>
      <c r="H5" s="45" t="s">
        <v>66</v>
      </c>
      <c r="I5" s="46" cm="1">
        <f t="array" ref="I5">_xlfn.STDEV.P(ABS(data!BB12:BI12),ABS(data!BB24:BI24),ABS(data!BB36:BI36))</f>
        <v>7.6482863904254253E-2</v>
      </c>
      <c r="J5" s="45" t="s">
        <v>66</v>
      </c>
      <c r="K5" s="46" cm="1">
        <f t="array" ref="K5">_xlfn.STDEV.P(ABS(data!BV12:CC12),ABS(data!BV24:CC24),ABS(data!BV36:CC36))</f>
        <v>9.7781867594708485E-2</v>
      </c>
      <c r="L5" s="45" t="s">
        <v>66</v>
      </c>
      <c r="M5" s="46" cm="1">
        <f t="array" ref="M5">_xlfn.STDEV.P(ABS(data!CP12:CW12),ABS(data!CP24:CW24),ABS(data!CP36:CW36))</f>
        <v>1.2661241708977675</v>
      </c>
      <c r="N5" s="45" t="s">
        <v>66</v>
      </c>
      <c r="O5" s="46" cm="1">
        <f t="array" ref="O5">_xlfn.STDEV.P(ABS(data!DJ12:DQ12),ABS(data!DJ24:DQ24),ABS(data!DJ36:DQ36))</f>
        <v>1.2061249084771515</v>
      </c>
      <c r="P5" s="45" t="s">
        <v>66</v>
      </c>
      <c r="Q5" s="46" cm="1">
        <f t="array" ref="Q5">_xlfn.STDEV.P(ABS(data!ED12:EK12),ABS(data!ED24:EK24),ABS(data!ED36:EK36))</f>
        <v>2.5181490691594379</v>
      </c>
      <c r="R5" s="45" t="s">
        <v>66</v>
      </c>
      <c r="S5" s="46" cm="1">
        <f t="array" ref="S5">_xlfn.STDEV.P(ABS(data!EX12:FE12),ABS(data!EX24:FE24),ABS(data!EX36:FE36))</f>
        <v>1.4370822407608743</v>
      </c>
    </row>
    <row r="6" spans="3:19" x14ac:dyDescent="0.3">
      <c r="C6" s="66"/>
      <c r="D6" s="45" t="s">
        <v>67</v>
      </c>
      <c r="E6" s="46" cm="1">
        <f t="array" ref="E6">AVERAGE(ABS(data!N13:U13),ABS(data!N25:U25),ABS(data!N37:U37))</f>
        <v>5.7502686312333013</v>
      </c>
      <c r="F6" s="45" t="s">
        <v>67</v>
      </c>
      <c r="G6" s="46" cm="1">
        <f t="array" ref="G6">AVERAGE(ABS(data!AH13:AO13),ABS(data!AH25:AO25),ABS(data!AH37:AO37))</f>
        <v>4.3125630853059027</v>
      </c>
      <c r="H6" s="45" t="s">
        <v>67</v>
      </c>
      <c r="I6" s="46" cm="1">
        <f t="array" ref="I6">AVERAGE(ABS(data!BB13:BI13),ABS(data!BB25:BI25),ABS(data!BB37:BI37))</f>
        <v>3.4049260282504061</v>
      </c>
      <c r="J6" s="45" t="s">
        <v>67</v>
      </c>
      <c r="K6" s="46" cm="1">
        <f t="array" ref="K6">AVERAGE(ABS(data!BV13:CC13),ABS(data!BV25:CC25),ABS(data!BV37:CC37))</f>
        <v>2.6737118840202729</v>
      </c>
      <c r="L6" s="45" t="s">
        <v>67</v>
      </c>
      <c r="M6" s="46" cm="1">
        <f t="array" ref="M6">AVERAGE(ABS(data!CP13:CW13),ABS(data!CP25:CW25),ABS(data!CP37:CW37))</f>
        <v>73.01723846896995</v>
      </c>
      <c r="N6" s="45" t="s">
        <v>67</v>
      </c>
      <c r="O6" s="46" cm="1">
        <f t="array" ref="O6">AVERAGE(ABS(data!DJ13:DQ13),ABS(data!DJ25:DQ25),ABS(data!DJ37:DQ37))</f>
        <v>348.31567307513996</v>
      </c>
      <c r="P6" s="45" t="s">
        <v>67</v>
      </c>
      <c r="Q6" s="46" cm="1">
        <f t="array" ref="Q6">AVERAGE(ABS(data!ED13:EK13),ABS(data!ED25:EK25),ABS(data!ED37:EK37))</f>
        <v>202.37226617415766</v>
      </c>
      <c r="R6" s="45" t="s">
        <v>67</v>
      </c>
      <c r="S6" s="46" cm="1">
        <f t="array" ref="S6">AVERAGE(ABS(data!EX13:FE13),ABS(data!EX25:FE25),ABS(data!EX37:FE37))</f>
        <v>679.32210094650668</v>
      </c>
    </row>
    <row r="7" spans="3:19" x14ac:dyDescent="0.3">
      <c r="C7" s="66"/>
      <c r="D7" s="45" t="s">
        <v>66</v>
      </c>
      <c r="E7" s="46" cm="1">
        <f t="array" ref="E7">_xlfn.STDEV.P(ABS(data!N13:U13),ABS(data!N25:U25),ABS(data!N37:U37))</f>
        <v>3.5759514120452862</v>
      </c>
      <c r="F7" s="45" t="s">
        <v>66</v>
      </c>
      <c r="G7" s="46" cm="1">
        <f t="array" ref="G7">_xlfn.STDEV.P(ABS(data!AH13:AO13),ABS(data!AH25:AO25),ABS(data!AH37:AO37))</f>
        <v>3.2604217826019073</v>
      </c>
      <c r="H7" s="45" t="s">
        <v>66</v>
      </c>
      <c r="I7" s="46" cm="1">
        <f t="array" ref="I7">_xlfn.STDEV.P(ABS(data!BB13:BI13),ABS(data!BB25:BI25),ABS(data!BB37:BI37))</f>
        <v>2.8222819662241232</v>
      </c>
      <c r="J7" s="45" t="s">
        <v>66</v>
      </c>
      <c r="K7" s="46" cm="1">
        <f t="array" ref="K7">_xlfn.STDEV.P(ABS(data!BV13:CC13),ABS(data!BV25:CC25),ABS(data!BV37:CC37))</f>
        <v>2.7581531767691492</v>
      </c>
      <c r="L7" s="45" t="s">
        <v>66</v>
      </c>
      <c r="M7" s="46" cm="1">
        <f t="array" ref="M7">_xlfn.STDEV.P(ABS(data!CP13:CW13),ABS(data!CP25:CW25),ABS(data!CP37:CW37))</f>
        <v>85.458147847106289</v>
      </c>
      <c r="N7" s="45" t="s">
        <v>66</v>
      </c>
      <c r="O7" s="46" cm="1">
        <f t="array" ref="O7">_xlfn.STDEV.P(ABS(data!DJ13:DQ13),ABS(data!DJ25:DQ25),ABS(data!DJ37:DQ37))</f>
        <v>396.01552344982713</v>
      </c>
      <c r="P7" s="45" t="s">
        <v>66</v>
      </c>
      <c r="Q7" s="46" cm="1">
        <f t="array" ref="Q7">_xlfn.STDEV.P(ABS(data!ED13:EK13),ABS(data!ED25:EK25),ABS(data!ED37:EK37))</f>
        <v>198.85495894470696</v>
      </c>
      <c r="R7" s="45" t="s">
        <v>66</v>
      </c>
      <c r="S7" s="46" cm="1">
        <f t="array" ref="S7">_xlfn.STDEV.P(ABS(data!EX13:FE13),ABS(data!EX25:FE25),ABS(data!EX37:FE37))</f>
        <v>730.80482425674904</v>
      </c>
    </row>
    <row r="8" spans="3:19" x14ac:dyDescent="0.3">
      <c r="C8" s="85"/>
      <c r="D8" s="47"/>
      <c r="E8" s="54"/>
      <c r="F8" s="47"/>
      <c r="G8" s="54"/>
      <c r="H8" s="47"/>
      <c r="I8" s="54"/>
      <c r="J8" s="47"/>
      <c r="K8" s="54"/>
      <c r="L8" s="47"/>
      <c r="M8" s="54"/>
      <c r="N8" s="47"/>
      <c r="O8" s="54"/>
      <c r="P8" s="47"/>
      <c r="Q8" s="54"/>
      <c r="R8" s="47"/>
      <c r="S8" s="54"/>
    </row>
    <row r="9" spans="3:19" x14ac:dyDescent="0.3">
      <c r="C9" s="66" t="s">
        <v>68</v>
      </c>
      <c r="D9" s="45" t="s">
        <v>65</v>
      </c>
      <c r="E9" s="46" cm="1">
        <f t="array" ref="E9">AVERAGE(ABS(data!N15:U15),ABS(data!N27:U27),ABS(data!N39:U39))</f>
        <v>0.15918494871888803</v>
      </c>
      <c r="F9" s="45" t="s">
        <v>65</v>
      </c>
      <c r="G9" s="46" cm="1">
        <f t="array" ref="G9">AVERAGE(ABS(data!AH15:AO15),ABS(data!AH27:AO27),ABS(data!AH39:AO39))</f>
        <v>0.14301510477190835</v>
      </c>
      <c r="H9" s="45" t="s">
        <v>65</v>
      </c>
      <c r="I9" s="46" cm="1">
        <f t="array" ref="I9">AVERAGE(ABS(data!BB15:BI15),ABS(data!BB27:BI27),ABS(data!BB39:BI39))</f>
        <v>0.15924963346371201</v>
      </c>
      <c r="J9" s="45" t="s">
        <v>65</v>
      </c>
      <c r="K9" s="46" cm="1">
        <f t="array" ref="K9">AVERAGE(ABS(data!BV15:CC15),ABS(data!BV27:CC27),ABS(data!BV39:CC39))</f>
        <v>7.9258361320894588E-2</v>
      </c>
      <c r="L9" s="45" t="s">
        <v>65</v>
      </c>
      <c r="M9" s="46" cm="1">
        <f t="array" ref="M9">AVERAGE(ABS(data!CP15:CW15),ABS(data!CP27:CW27),ABS(data!CP39:CW39))</f>
        <v>1.2655573398336446</v>
      </c>
      <c r="N9" s="45" t="s">
        <v>65</v>
      </c>
      <c r="O9" s="46" cm="1">
        <f t="array" ref="O9">AVERAGE(ABS(data!DJ15:DQ15),ABS(data!DJ27:DQ27),ABS(data!DJ39:DQ39))</f>
        <v>2.7471940488799724</v>
      </c>
      <c r="P9" s="45" t="s">
        <v>65</v>
      </c>
      <c r="Q9" s="46" cm="1">
        <f t="array" ref="Q9">AVERAGE(ABS(data!ED15:EK15),ABS(data!ED27:EK27),ABS(data!ED39:EK39))</f>
        <v>2.422764623984722</v>
      </c>
      <c r="R9" s="45" t="s">
        <v>65</v>
      </c>
      <c r="S9" s="46" cm="1">
        <f t="array" ref="S9">AVERAGE(ABS(data!EX15:FE15),ABS(data!EX27:FE27),ABS(data!EX39:FE39))</f>
        <v>3.0983644982078347</v>
      </c>
    </row>
    <row r="10" spans="3:19" x14ac:dyDescent="0.3">
      <c r="C10" s="66"/>
      <c r="D10" s="45" t="s">
        <v>66</v>
      </c>
      <c r="E10" s="46" cm="1">
        <f t="array" ref="E10">_xlfn.STDEV.P(ABS(data!N15:U15),ABS(data!N27:U27),ABS(data!N39:U39))</f>
        <v>0.11792577624861005</v>
      </c>
      <c r="F10" s="45" t="s">
        <v>66</v>
      </c>
      <c r="G10" s="46" cm="1">
        <f t="array" ref="G10">_xlfn.STDEV.P(ABS(data!AH15:AO15),ABS(data!AH27:AO27),ABS(data!AH39:AO39))</f>
        <v>0.13126858041652922</v>
      </c>
      <c r="H10" s="45" t="s">
        <v>66</v>
      </c>
      <c r="I10" s="46" cm="1">
        <f t="array" ref="I10">_xlfn.STDEV.P(ABS(data!BB15:BI15),ABS(data!BB27:BI27),ABS(data!BB39:BI39))</f>
        <v>0.23756029704656467</v>
      </c>
      <c r="J10" s="45" t="s">
        <v>66</v>
      </c>
      <c r="K10" s="46" cm="1">
        <f t="array" ref="K10">_xlfn.STDEV.P(ABS(data!BV15:CC15),ABS(data!BV27:CC27),ABS(data!BV39:CC39))</f>
        <v>8.5324466494150999E-2</v>
      </c>
      <c r="L10" s="45" t="s">
        <v>66</v>
      </c>
      <c r="M10" s="46" cm="1">
        <f t="array" ref="M10">_xlfn.STDEV.P(ABS(data!CP15:CW15),ABS(data!CP27:CW27),ABS(data!CP39:CW39))</f>
        <v>1.2837766576684602</v>
      </c>
      <c r="N10" s="45" t="s">
        <v>66</v>
      </c>
      <c r="O10" s="46" cm="1">
        <f t="array" ref="O10">_xlfn.STDEV.P(ABS(data!DJ15:DQ15),ABS(data!DJ27:DQ27),ABS(data!DJ39:DQ39))</f>
        <v>1.1892545049402226</v>
      </c>
      <c r="P10" s="45" t="s">
        <v>66</v>
      </c>
      <c r="Q10" s="46" cm="1">
        <f t="array" ref="Q10">_xlfn.STDEV.P(ABS(data!ED15:EK15),ABS(data!ED27:EK27),ABS(data!ED39:EK39))</f>
        <v>2.5354838173637182</v>
      </c>
      <c r="R10" s="45" t="s">
        <v>66</v>
      </c>
      <c r="S10" s="46" cm="1">
        <f t="array" ref="S10">_xlfn.STDEV.P(ABS(data!EX15:FE15),ABS(data!EX27:FE27),ABS(data!EX39:FE39))</f>
        <v>1.4247282888915211</v>
      </c>
    </row>
    <row r="11" spans="3:19" x14ac:dyDescent="0.3">
      <c r="C11" s="66"/>
      <c r="D11" s="45" t="s">
        <v>67</v>
      </c>
      <c r="E11" s="46" cm="1">
        <f t="array" ref="E11">AVERAGE(ABS(data!N16:U16),ABS(data!N28:U28),ABS(data!N40:U40))</f>
        <v>4.4374654629909172</v>
      </c>
      <c r="F11" s="45" t="s">
        <v>67</v>
      </c>
      <c r="G11" s="46" cm="1">
        <f t="array" ref="G11">AVERAGE(ABS(data!AH16:AO16),ABS(data!AH28:AO28),ABS(data!AH40:AO40))</f>
        <v>3.2631721625856294</v>
      </c>
      <c r="H11" s="45" t="s">
        <v>67</v>
      </c>
      <c r="I11" s="46" cm="1">
        <f t="array" ref="I11">AVERAGE(ABS(data!BB16:BI16),ABS(data!BB28:BI28),ABS(data!BB40:BI40))</f>
        <v>5.2985030693623214</v>
      </c>
      <c r="J11" s="45" t="s">
        <v>67</v>
      </c>
      <c r="K11" s="46" cm="1">
        <f t="array" ref="K11">AVERAGE(ABS(data!BV16:CC16),ABS(data!BV28:CC28),ABS(data!BV40:CC40))</f>
        <v>2.0836986523724481</v>
      </c>
      <c r="L11" s="45" t="s">
        <v>67</v>
      </c>
      <c r="M11" s="46" cm="1">
        <f t="array" ref="M11">AVERAGE(ABS(data!CP16:CW16),ABS(data!CP28:CW28),ABS(data!CP40:CW40))</f>
        <v>74.694226730540535</v>
      </c>
      <c r="N11" s="45" t="s">
        <v>67</v>
      </c>
      <c r="O11" s="46" cm="1">
        <f t="array" ref="O11">AVERAGE(ABS(data!DJ16:DQ16),ABS(data!DJ28:DQ28),ABS(data!DJ40:DQ40))</f>
        <v>352.02564142320102</v>
      </c>
      <c r="P11" s="45" t="s">
        <v>67</v>
      </c>
      <c r="Q11" s="46" cm="1">
        <f t="array" ref="Q11">AVERAGE(ABS(data!ED16:EK16),ABS(data!ED28:EK28),ABS(data!ED40:EK40))</f>
        <v>197.97414327919944</v>
      </c>
      <c r="R11" s="45" t="s">
        <v>67</v>
      </c>
      <c r="S11" s="46" cm="1">
        <f t="array" ref="S11">AVERAGE(ABS(data!EX16:FE16),ABS(data!EX28:FE28),ABS(data!EX40:FE40))</f>
        <v>681.8953219166076</v>
      </c>
    </row>
    <row r="12" spans="3:19" x14ac:dyDescent="0.3">
      <c r="C12" s="66"/>
      <c r="D12" s="45" t="s">
        <v>66</v>
      </c>
      <c r="E12" s="46" cm="1">
        <f t="array" ref="E12">_xlfn.STDEV.P(ABS(data!N16:U16),ABS(data!N28:U28),ABS(data!N40:U40))</f>
        <v>3.0196020838332456</v>
      </c>
      <c r="F12" s="45" t="s">
        <v>66</v>
      </c>
      <c r="G12" s="46" cm="1">
        <f t="array" ref="G12">_xlfn.STDEV.P(ABS(data!AH16:AO16),ABS(data!AH28:AO28),ABS(data!AH40:AO40))</f>
        <v>2.9594281354136016</v>
      </c>
      <c r="H12" s="45" t="s">
        <v>66</v>
      </c>
      <c r="I12" s="46" cm="1">
        <f t="array" ref="I12">_xlfn.STDEV.P(ABS(data!BB16:BI16),ABS(data!BB28:BI28),ABS(data!BB40:BI40))</f>
        <v>5.9833533850075833</v>
      </c>
      <c r="J12" s="45" t="s">
        <v>66</v>
      </c>
      <c r="K12" s="46" cm="1">
        <f t="array" ref="K12">_xlfn.STDEV.P(ABS(data!BV16:CC16),ABS(data!BV28:CC28),ABS(data!BV40:CC40))</f>
        <v>2.4134127334446056</v>
      </c>
      <c r="L12" s="45" t="s">
        <v>66</v>
      </c>
      <c r="M12" s="46" cm="1">
        <f t="array" ref="M12">_xlfn.STDEV.P(ABS(data!CP16:CW16),ABS(data!CP28:CW28),ABS(data!CP40:CW40))</f>
        <v>88.122840379284852</v>
      </c>
      <c r="N12" s="45" t="s">
        <v>66</v>
      </c>
      <c r="O12" s="46" cm="1">
        <f t="array" ref="O12">_xlfn.STDEV.P(ABS(data!DJ16:DQ16),ABS(data!DJ28:DQ28),ABS(data!DJ40:DQ40))</f>
        <v>400.51889129352378</v>
      </c>
      <c r="P12" s="45" t="s">
        <v>66</v>
      </c>
      <c r="Q12" s="46" cm="1">
        <f t="array" ref="Q12">_xlfn.STDEV.P(ABS(data!ED16:EK16),ABS(data!ED28:EK28),ABS(data!ED40:EK40))</f>
        <v>201.43431000939583</v>
      </c>
      <c r="R12" s="45" t="s">
        <v>66</v>
      </c>
      <c r="S12" s="46" cm="1">
        <f t="array" ref="S12">_xlfn.STDEV.P(ABS(data!EX16:FE16),ABS(data!EX28:FE28),ABS(data!EX40:FE40))</f>
        <v>738.71091808998676</v>
      </c>
    </row>
    <row r="13" spans="3:19" x14ac:dyDescent="0.3">
      <c r="C13" s="85"/>
      <c r="D13" s="47"/>
      <c r="E13" s="54"/>
      <c r="F13" s="47"/>
      <c r="G13" s="54"/>
      <c r="H13" s="47"/>
      <c r="I13" s="54"/>
      <c r="J13" s="47"/>
      <c r="K13" s="54"/>
      <c r="L13" s="47"/>
      <c r="M13" s="54"/>
      <c r="N13" s="47"/>
      <c r="O13" s="54"/>
      <c r="P13" s="47"/>
      <c r="Q13" s="54"/>
      <c r="R13" s="47"/>
      <c r="S13" s="54"/>
    </row>
    <row r="14" spans="3:19" x14ac:dyDescent="0.3">
      <c r="C14" s="66" t="s">
        <v>69</v>
      </c>
      <c r="D14" s="45" t="s">
        <v>65</v>
      </c>
      <c r="E14" s="46" cm="1">
        <f t="array" ref="E14">AVERAGE(ABS(data!N18:U18),ABS(data!N30:U30),ABS(data!N42:U42))</f>
        <v>0.1514259760131072</v>
      </c>
      <c r="F14" s="45" t="s">
        <v>65</v>
      </c>
      <c r="G14" s="46" cm="1">
        <f t="array" ref="G14">AVERAGE(ABS(data!AH18:AO18),ABS(data!AH30:AO30),ABS(data!AH42:AO42))</f>
        <v>0.16792106683152999</v>
      </c>
      <c r="H14" s="45" t="s">
        <v>65</v>
      </c>
      <c r="I14" s="46" cm="1">
        <f t="array" ref="I14">AVERAGE(ABS(data!BB18:BI18),ABS(data!BB30:BI30),ABS(data!BB42:BI42))</f>
        <v>9.4512518753490385E-2</v>
      </c>
      <c r="J14" s="45" t="s">
        <v>65</v>
      </c>
      <c r="K14" s="46" cm="1">
        <f t="array" ref="K14">AVERAGE(ABS(data!BV18:CC18),ABS(data!BV30:CC30),ABS(data!BV42:CC42))</f>
        <v>9.3699603410512936E-2</v>
      </c>
      <c r="L14" s="45" t="s">
        <v>65</v>
      </c>
      <c r="M14" s="46" cm="1">
        <f t="array" ref="M14">AVERAGE(ABS(data!CP18:CW18),ABS(data!CP30:CW30),ABS(data!CP42:CW42))</f>
        <v>1.2772240065003113</v>
      </c>
      <c r="N14" s="45" t="s">
        <v>65</v>
      </c>
      <c r="O14" s="46" cm="1">
        <f t="array" ref="O14">AVERAGE(ABS(data!DJ18:DQ18),ABS(data!DJ30:DQ30),ABS(data!DJ42:DQ42))</f>
        <v>2.7434440488799723</v>
      </c>
      <c r="P14" s="45" t="s">
        <v>65</v>
      </c>
      <c r="Q14" s="46" cm="1">
        <f t="array" ref="Q14">AVERAGE(ABS(data!ED18:EK18),ABS(data!ED30:EK30),ABS(data!ED42:EK42))</f>
        <v>2.5215146239847219</v>
      </c>
      <c r="R14" s="45" t="s">
        <v>65</v>
      </c>
      <c r="S14" s="46" cm="1">
        <f t="array" ref="S14">AVERAGE(ABS(data!EX18:FE18),ABS(data!EX30:FE30),ABS(data!EX42:FE42))</f>
        <v>3.1208644982078346</v>
      </c>
    </row>
    <row r="15" spans="3:19" x14ac:dyDescent="0.3">
      <c r="C15" s="66"/>
      <c r="D15" s="45" t="s">
        <v>66</v>
      </c>
      <c r="E15" s="46" cm="1">
        <f t="array" ref="E15">_xlfn.STDEV.P(ABS(data!N18:U18),ABS(data!N30:U30),ABS(data!N42:U42))</f>
        <v>0.11308685602822664</v>
      </c>
      <c r="F15" s="45" t="s">
        <v>66</v>
      </c>
      <c r="G15" s="46" cm="1">
        <f t="array" ref="G15">_xlfn.STDEV.P(ABS(data!AH18:AO18),ABS(data!AH30:AO30),ABS(data!AH42:AO42))</f>
        <v>0.14875578211741738</v>
      </c>
      <c r="H15" s="45" t="s">
        <v>66</v>
      </c>
      <c r="I15" s="46" cm="1">
        <f t="array" ref="I15">_xlfn.STDEV.P(ABS(data!BB18:BI18),ABS(data!BB30:BI30),ABS(data!BB42:BI42))</f>
        <v>5.3484741458372939E-2</v>
      </c>
      <c r="J15" s="45" t="s">
        <v>66</v>
      </c>
      <c r="K15" s="46" cm="1">
        <f t="array" ref="K15">_xlfn.STDEV.P(ABS(data!BV18:CC18),ABS(data!BV30:CC30),ABS(data!BV42:CC42))</f>
        <v>8.7193473513425199E-2</v>
      </c>
      <c r="L15" s="45" t="s">
        <v>66</v>
      </c>
      <c r="M15" s="46" cm="1">
        <f t="array" ref="M15">_xlfn.STDEV.P(ABS(data!CP18:CW18),ABS(data!CP30:CW30),ABS(data!CP42:CW42))</f>
        <v>1.2987606275272348</v>
      </c>
      <c r="N15" s="45" t="s">
        <v>66</v>
      </c>
      <c r="O15" s="46" cm="1">
        <f t="array" ref="O15">_xlfn.STDEV.P(ABS(data!DJ18:DQ18),ABS(data!DJ30:DQ30),ABS(data!DJ42:DQ42))</f>
        <v>1.2037161885955645</v>
      </c>
      <c r="P15" s="45" t="s">
        <v>66</v>
      </c>
      <c r="Q15" s="46" cm="1">
        <f t="array" ref="Q15">_xlfn.STDEV.P(ABS(data!ED18:EK18),ABS(data!ED30:EK30),ABS(data!ED42:EK42))</f>
        <v>2.5293456444080364</v>
      </c>
      <c r="R15" s="45" t="s">
        <v>66</v>
      </c>
      <c r="S15" s="46" cm="1">
        <f t="array" ref="S15">_xlfn.STDEV.P(ABS(data!EX18:FE18),ABS(data!EX30:FE30),ABS(data!EX42:FE42))</f>
        <v>1.4379733682963729</v>
      </c>
    </row>
    <row r="16" spans="3:19" x14ac:dyDescent="0.3">
      <c r="C16" s="66"/>
      <c r="D16" s="45" t="s">
        <v>67</v>
      </c>
      <c r="E16" s="46" cm="1">
        <f t="array" ref="E16">AVERAGE(ABS(data!N19:U19),ABS(data!N31:U31),ABS(data!N43:U43))</f>
        <v>4.2417987499141381</v>
      </c>
      <c r="F16" s="45" t="s">
        <v>67</v>
      </c>
      <c r="G16" s="46" cm="1">
        <f t="array" ref="G16">AVERAGE(ABS(data!AH19:AO19),ABS(data!AH31:AO31),ABS(data!AH43:AO43))</f>
        <v>3.9855301143751851</v>
      </c>
      <c r="H16" s="45" t="s">
        <v>67</v>
      </c>
      <c r="I16" s="46" cm="1">
        <f t="array" ref="I16">AVERAGE(ABS(data!BB19:BI19),ABS(data!BB31:BI31),ABS(data!BB43:BI43))</f>
        <v>3.5264771900974079</v>
      </c>
      <c r="J16" s="45" t="s">
        <v>67</v>
      </c>
      <c r="K16" s="46" cm="1">
        <f t="array" ref="K16">AVERAGE(ABS(data!BV19:CC19),ABS(data!BV31:CC31),ABS(data!BV43:CC43))</f>
        <v>2.3089112566432139</v>
      </c>
      <c r="L16" s="45" t="s">
        <v>67</v>
      </c>
      <c r="M16" s="46" cm="1">
        <f t="array" ref="M16">AVERAGE(ABS(data!CP19:CW19),ABS(data!CP31:CW31),ABS(data!CP43:CW43))</f>
        <v>75.301160935449062</v>
      </c>
      <c r="N16" s="45" t="s">
        <v>67</v>
      </c>
      <c r="O16" s="46" cm="1">
        <f t="array" ref="O16">AVERAGE(ABS(data!DJ19:DQ19),ABS(data!DJ31:DQ31),ABS(data!DJ43:DQ43))</f>
        <v>351.56402850662954</v>
      </c>
      <c r="P16" s="45" t="s">
        <v>67</v>
      </c>
      <c r="Q16" s="46" cm="1">
        <f t="array" ref="Q16">AVERAGE(ABS(data!ED19:EK19),ABS(data!ED31:EK31),ABS(data!ED43:EK43))</f>
        <v>202.67678889847949</v>
      </c>
      <c r="R16" s="45" t="s">
        <v>67</v>
      </c>
      <c r="S16" s="46" cm="1">
        <f t="array" ref="S16">AVERAGE(ABS(data!EX19:FE19),ABS(data!EX31:FE31),ABS(data!EX43:FE43))</f>
        <v>685.46830917963678</v>
      </c>
    </row>
    <row r="17" spans="3:19" x14ac:dyDescent="0.3">
      <c r="C17" s="66"/>
      <c r="D17" s="45" t="s">
        <v>66</v>
      </c>
      <c r="E17" s="46" cm="1">
        <f t="array" ref="E17">_xlfn.STDEV.P(ABS(data!N19:U19),ABS(data!N31:U31),ABS(data!N43:U43))</f>
        <v>2.9385653301395096</v>
      </c>
      <c r="F17" s="45" t="s">
        <v>66</v>
      </c>
      <c r="G17" s="46" cm="1">
        <f t="array" ref="G17">_xlfn.STDEV.P(ABS(data!AH19:AO19),ABS(data!AH31:AO31),ABS(data!AH43:AO43))</f>
        <v>3.5482607599849203</v>
      </c>
      <c r="H17" s="45" t="s">
        <v>66</v>
      </c>
      <c r="I17" s="46" cm="1">
        <f t="array" ref="I17">_xlfn.STDEV.P(ABS(data!BB19:BI19),ABS(data!BB31:BI31),ABS(data!BB43:BI43))</f>
        <v>2.5703315430996181</v>
      </c>
      <c r="J17" s="45" t="s">
        <v>66</v>
      </c>
      <c r="K17" s="46" cm="1">
        <f t="array" ref="K17">_xlfn.STDEV.P(ABS(data!BV19:CC19),ABS(data!BV31:CC31),ABS(data!BV43:CC43))</f>
        <v>2.4473060897611956</v>
      </c>
      <c r="L17" s="45" t="s">
        <v>66</v>
      </c>
      <c r="M17" s="46" cm="1">
        <f t="array" ref="M17">_xlfn.STDEV.P(ABS(data!CP19:CW19),ABS(data!CP31:CW31),ABS(data!CP43:CW43))</f>
        <v>88.926624077565577</v>
      </c>
      <c r="N17" s="45" t="s">
        <v>66</v>
      </c>
      <c r="O17" s="46" cm="1">
        <f t="array" ref="O17">_xlfn.STDEV.P(ABS(data!DJ19:DQ19),ABS(data!DJ31:DQ31),ABS(data!DJ43:DQ43))</f>
        <v>400.89930282720218</v>
      </c>
      <c r="P17" s="45" t="s">
        <v>66</v>
      </c>
      <c r="Q17" s="46" cm="1">
        <f t="array" ref="Q17">_xlfn.STDEV.P(ABS(data!ED19:EK19),ABS(data!ED31:EK31),ABS(data!ED43:EK43))</f>
        <v>195.40821769687955</v>
      </c>
      <c r="R17" s="45" t="s">
        <v>66</v>
      </c>
      <c r="S17" s="46" cm="1">
        <f t="array" ref="S17">_xlfn.STDEV.P(ABS(data!EX19:FE19),ABS(data!EX31:FE31),ABS(data!EX43:FE43))</f>
        <v>743.10302003157449</v>
      </c>
    </row>
    <row r="18" spans="3:19" x14ac:dyDescent="0.3">
      <c r="C18" s="85"/>
      <c r="D18" s="45"/>
      <c r="E18" s="46"/>
      <c r="F18" s="45"/>
      <c r="G18" s="46"/>
      <c r="H18" s="45"/>
      <c r="I18" s="46"/>
      <c r="J18" s="45"/>
      <c r="K18" s="46"/>
      <c r="L18" s="45"/>
      <c r="M18" s="46"/>
      <c r="N18" s="45"/>
      <c r="O18" s="46"/>
      <c r="P18" s="45"/>
      <c r="Q18" s="46"/>
      <c r="R18" s="45"/>
      <c r="S18" s="46"/>
    </row>
    <row r="19" spans="3:19" x14ac:dyDescent="0.3">
      <c r="C19" s="66" t="s">
        <v>70</v>
      </c>
      <c r="D19" s="52" t="s">
        <v>65</v>
      </c>
      <c r="E19" s="53">
        <f>AVERAGE(E4,E9,E14)</f>
        <v>0.17276607267875907</v>
      </c>
      <c r="F19" s="52" t="s">
        <v>65</v>
      </c>
      <c r="G19" s="53">
        <f>AVERAGE(G4,G9,G14)</f>
        <v>0.16454817724208917</v>
      </c>
      <c r="H19" s="52" t="s">
        <v>65</v>
      </c>
      <c r="I19" s="53">
        <f>AVERAGE(I4,I9,I14)</f>
        <v>0.11517059522697147</v>
      </c>
      <c r="J19" s="52" t="s">
        <v>65</v>
      </c>
      <c r="K19" s="53">
        <f>AVERAGE(K4,K9,K14)</f>
        <v>9.1333702886999879E-2</v>
      </c>
      <c r="L19" s="52" t="s">
        <v>65</v>
      </c>
      <c r="M19" s="53">
        <f>AVERAGE(M4,M9,M14)</f>
        <v>1.2641684509447557</v>
      </c>
      <c r="N19" s="52" t="s">
        <v>65</v>
      </c>
      <c r="O19" s="53">
        <f>AVERAGE(O4,O9,O14)</f>
        <v>2.7346940488799727</v>
      </c>
      <c r="P19" s="52" t="s">
        <v>65</v>
      </c>
      <c r="Q19" s="53">
        <f>AVERAGE(Q4,Q9,Q14)</f>
        <v>2.4773479573180555</v>
      </c>
      <c r="R19" s="52" t="s">
        <v>65</v>
      </c>
      <c r="S19" s="53">
        <f>AVERAGE(S4,S9,S14)</f>
        <v>3.1062811648745012</v>
      </c>
    </row>
    <row r="20" spans="3:19" x14ac:dyDescent="0.3">
      <c r="C20" s="66"/>
      <c r="D20" s="45" t="s">
        <v>71</v>
      </c>
      <c r="E20" s="46">
        <f>AVERAGE(E5,E10,E15)</f>
        <v>0.1227012626811174</v>
      </c>
      <c r="F20" s="45" t="s">
        <v>71</v>
      </c>
      <c r="G20" s="46">
        <f>AVERAGE(G5,G10,G15)</f>
        <v>0.13853767440003548</v>
      </c>
      <c r="H20" s="45" t="s">
        <v>71</v>
      </c>
      <c r="I20" s="46">
        <f>AVERAGE(I5,I10,I15)</f>
        <v>0.12250930080306395</v>
      </c>
      <c r="J20" s="45" t="s">
        <v>71</v>
      </c>
      <c r="K20" s="46">
        <f>AVERAGE(K5,K10,K15)</f>
        <v>9.0099935867428219E-2</v>
      </c>
      <c r="L20" s="45" t="s">
        <v>71</v>
      </c>
      <c r="M20" s="46">
        <f>AVERAGE(M5,M10,M15)</f>
        <v>1.2828871520311542</v>
      </c>
      <c r="N20" s="45" t="s">
        <v>71</v>
      </c>
      <c r="O20" s="46">
        <f>AVERAGE(O5,O10,O15)</f>
        <v>1.1996985340043129</v>
      </c>
      <c r="P20" s="45" t="s">
        <v>71</v>
      </c>
      <c r="Q20" s="46">
        <f>AVERAGE(Q5,Q10,Q15)</f>
        <v>2.5276595103103974</v>
      </c>
      <c r="R20" s="45" t="s">
        <v>71</v>
      </c>
      <c r="S20" s="46">
        <f>AVERAGE(S5,S10,S15)</f>
        <v>1.4332612993162561</v>
      </c>
    </row>
    <row r="21" spans="3:19" x14ac:dyDescent="0.3">
      <c r="C21" s="66"/>
      <c r="D21" s="45" t="s">
        <v>67</v>
      </c>
      <c r="E21" s="46">
        <f>AVERAGE(E6,E11,E16)</f>
        <v>4.8098442813794522</v>
      </c>
      <c r="F21" s="45" t="s">
        <v>67</v>
      </c>
      <c r="G21" s="46">
        <f>AVERAGE(G6,G11,G16)</f>
        <v>3.8537551207555722</v>
      </c>
      <c r="H21" s="45" t="s">
        <v>67</v>
      </c>
      <c r="I21" s="46">
        <f>AVERAGE(I6,I11,I16)</f>
        <v>4.0766354292367115</v>
      </c>
      <c r="J21" s="45" t="s">
        <v>67</v>
      </c>
      <c r="K21" s="46">
        <f>AVERAGE(K6,K11,K16)</f>
        <v>2.3554405976786446</v>
      </c>
      <c r="L21" s="45" t="s">
        <v>67</v>
      </c>
      <c r="M21" s="46">
        <f>AVERAGE(M6,M11,M16)</f>
        <v>74.337542044986506</v>
      </c>
      <c r="N21" s="45" t="s">
        <v>67</v>
      </c>
      <c r="O21" s="46">
        <f>AVERAGE(O6,O11,O16)</f>
        <v>350.63511433499019</v>
      </c>
      <c r="P21" s="45" t="s">
        <v>67</v>
      </c>
      <c r="Q21" s="46">
        <f>AVERAGE(Q6,Q11,Q16)</f>
        <v>201.0077327839455</v>
      </c>
      <c r="R21" s="45" t="s">
        <v>67</v>
      </c>
      <c r="S21" s="46">
        <f>AVERAGE(S6,S11,S16)</f>
        <v>682.22857734758372</v>
      </c>
    </row>
    <row r="22" spans="3:19" x14ac:dyDescent="0.3">
      <c r="C22" s="66"/>
      <c r="D22" s="45" t="s">
        <v>66</v>
      </c>
      <c r="E22" s="46">
        <f>AVERAGE(E7,E12,E17)</f>
        <v>3.1780396086726803</v>
      </c>
      <c r="F22" s="45" t="s">
        <v>66</v>
      </c>
      <c r="G22" s="46">
        <f>AVERAGE(G7,G12,G17)</f>
        <v>3.2560368926668097</v>
      </c>
      <c r="H22" s="45" t="s">
        <v>66</v>
      </c>
      <c r="I22" s="46">
        <f>AVERAGE(I7,I12,I17)</f>
        <v>3.7919889647771083</v>
      </c>
      <c r="J22" s="45" t="s">
        <v>66</v>
      </c>
      <c r="K22" s="46">
        <f>AVERAGE(K7,K12,K17)</f>
        <v>2.5396239999916497</v>
      </c>
      <c r="L22" s="45" t="s">
        <v>66</v>
      </c>
      <c r="M22" s="46">
        <f>AVERAGE(M7,M12,M17)</f>
        <v>87.50253743465224</v>
      </c>
      <c r="N22" s="45" t="s">
        <v>66</v>
      </c>
      <c r="O22" s="46">
        <f>AVERAGE(O7,O12,O17)</f>
        <v>399.14457252351775</v>
      </c>
      <c r="P22" s="45" t="s">
        <v>66</v>
      </c>
      <c r="Q22" s="46">
        <f>AVERAGE(Q7,Q12,Q17)</f>
        <v>198.56582888366077</v>
      </c>
      <c r="R22" s="45" t="s">
        <v>66</v>
      </c>
      <c r="S22" s="46">
        <f>AVERAGE(S7,S12,S17)</f>
        <v>737.5395874594368</v>
      </c>
    </row>
    <row r="23" spans="3:19" ht="15" thickBot="1" x14ac:dyDescent="0.35">
      <c r="C23" s="67"/>
      <c r="D23" s="48"/>
      <c r="E23" s="49"/>
      <c r="F23" s="48"/>
      <c r="G23" s="49"/>
      <c r="H23" s="48"/>
      <c r="I23" s="49"/>
      <c r="J23" s="48"/>
      <c r="K23" s="49"/>
      <c r="L23" s="48"/>
      <c r="M23" s="49"/>
      <c r="N23" s="48"/>
      <c r="O23" s="49"/>
      <c r="P23" s="48"/>
      <c r="Q23" s="49"/>
      <c r="R23" s="48"/>
      <c r="S23" s="49"/>
    </row>
    <row r="27" spans="3:19" ht="15" thickBot="1" x14ac:dyDescent="0.35">
      <c r="C27" s="86" t="s">
        <v>126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</row>
    <row r="28" spans="3:19" ht="15" thickBot="1" x14ac:dyDescent="0.35">
      <c r="C28" s="44" t="s">
        <v>73</v>
      </c>
      <c r="D28" s="83" t="s">
        <v>57</v>
      </c>
      <c r="E28" s="84"/>
      <c r="F28" s="83" t="s">
        <v>58</v>
      </c>
      <c r="G28" s="84"/>
      <c r="H28" s="83" t="s">
        <v>59</v>
      </c>
      <c r="I28" s="84"/>
      <c r="J28" s="83" t="s">
        <v>60</v>
      </c>
      <c r="K28" s="84"/>
      <c r="L28" s="83" t="s">
        <v>61</v>
      </c>
      <c r="M28" s="84"/>
      <c r="N28" s="83" t="s">
        <v>62</v>
      </c>
      <c r="O28" s="84"/>
      <c r="P28" s="83" t="s">
        <v>63</v>
      </c>
      <c r="Q28" s="84"/>
      <c r="R28" s="83" t="s">
        <v>64</v>
      </c>
      <c r="S28" s="84"/>
    </row>
    <row r="29" spans="3:19" x14ac:dyDescent="0.3">
      <c r="C29" s="65" t="s">
        <v>23</v>
      </c>
      <c r="D29" s="50" t="s">
        <v>65</v>
      </c>
      <c r="E29" s="51" cm="1">
        <f t="array" ref="E29">AVERAGE(ABS(data!N53:U53),ABS(data!N65:U65),ABS(data!N77:U77))</f>
        <v>7.549091559602418E-2</v>
      </c>
      <c r="F29" s="50" t="s">
        <v>65</v>
      </c>
      <c r="G29" s="51" cm="1">
        <f t="array" ref="G29">AVERAGE(ABS(data!AH53:AO53),ABS(data!AH65:AO65),ABS(data!AH77:AO77))</f>
        <v>0.1794283791549196</v>
      </c>
      <c r="H29" s="50" t="s">
        <v>65</v>
      </c>
      <c r="I29" s="51" cm="1">
        <f t="array" ref="I29">AVERAGE(ABS(data!BB53:BI53),ABS(data!BB65:BI65),ABS(data!BB77:BI77))</f>
        <v>0.16821748048835206</v>
      </c>
      <c r="J29" s="50" t="s">
        <v>65</v>
      </c>
      <c r="K29" s="51" cm="1">
        <f t="array" ref="K29">AVERAGE(ABS(data!BV53:CC53),ABS(data!BV65:CC65),ABS(data!BV77:CC77))</f>
        <v>0.15323585413428117</v>
      </c>
      <c r="L29" s="50" t="s">
        <v>65</v>
      </c>
      <c r="M29" s="51" cm="1">
        <f t="array" ref="M29">AVERAGE(ABS(data!CP53:CW53),ABS(data!CP65:CW65),ABS(data!CP77:CW77))</f>
        <v>2.1124547026235665</v>
      </c>
      <c r="N29" s="50" t="s">
        <v>65</v>
      </c>
      <c r="O29" s="51" cm="1">
        <f t="array" ref="O29">AVERAGE(ABS(data!DJ53:DQ53),ABS(data!DJ65:DQ65),ABS(data!DJ77:DQ77))</f>
        <v>3.0356328263782353</v>
      </c>
      <c r="P29" s="50" t="s">
        <v>65</v>
      </c>
      <c r="Q29" s="51" cm="1">
        <f t="array" ref="Q29">AVERAGE(ABS(data!ED53:EK53),ABS(data!ED65:EK65),ABS(data!ED77:EK77))</f>
        <v>1.7612930834641745</v>
      </c>
      <c r="R29" s="50" t="s">
        <v>65</v>
      </c>
      <c r="S29" s="51" cm="1">
        <f t="array" ref="S29">AVERAGE(ABS(data!EX53:FE53),ABS(data!EX65:FE65),ABS(data!EX77:FE77))</f>
        <v>1.9397281577880616</v>
      </c>
    </row>
    <row r="30" spans="3:19" x14ac:dyDescent="0.3">
      <c r="C30" s="66"/>
      <c r="D30" s="45" t="s">
        <v>66</v>
      </c>
      <c r="E30" s="46" cm="1">
        <f t="array" ref="E30">_xlfn.STDEV.P(ABS(data!N53:U53),ABS(data!N65:U65),ABS(data!N77:U77))</f>
        <v>4.9655118479250464E-2</v>
      </c>
      <c r="F30" s="45" t="s">
        <v>66</v>
      </c>
      <c r="G30" s="46" cm="1">
        <f t="array" ref="G30">_xlfn.STDEV.P(ABS(data!AH53:AO53),ABS(data!AH65:AO65),ABS(data!AH77:AO77))</f>
        <v>0.15815018354151938</v>
      </c>
      <c r="H30" s="45" t="s">
        <v>66</v>
      </c>
      <c r="I30" s="46" cm="1">
        <f t="array" ref="I30">_xlfn.STDEV.P(ABS(data!BB53:BI53),ABS(data!BB65:BI65),ABS(data!BB77:BI77))</f>
        <v>0.13167413450760695</v>
      </c>
      <c r="J30" s="45" t="s">
        <v>66</v>
      </c>
      <c r="K30" s="46" cm="1">
        <f t="array" ref="K30">_xlfn.STDEV.P(ABS(data!BV53:CC53),ABS(data!BV65:CC65),ABS(data!BV77:CC77))</f>
        <v>0.10555217917763932</v>
      </c>
      <c r="L30" s="45" t="s">
        <v>66</v>
      </c>
      <c r="M30" s="46" cm="1">
        <f t="array" ref="M30">_xlfn.STDEV.P(ABS(data!CP53:CW53),ABS(data!CP65:CW65),ABS(data!CP77:CW77))</f>
        <v>1.6419925186345057</v>
      </c>
      <c r="N30" s="45" t="s">
        <v>66</v>
      </c>
      <c r="O30" s="46" cm="1">
        <f t="array" ref="O30">_xlfn.STDEV.P(ABS(data!DJ53:DQ53),ABS(data!DJ65:DQ65),ABS(data!DJ77:DQ77))</f>
        <v>1.3873064454248532</v>
      </c>
      <c r="P30" s="45" t="s">
        <v>66</v>
      </c>
      <c r="Q30" s="46" cm="1">
        <f t="array" ref="Q30">_xlfn.STDEV.P(ABS(data!ED53:EK53),ABS(data!ED65:EK65),ABS(data!ED77:EK77))</f>
        <v>0.74204332927120964</v>
      </c>
      <c r="R30" s="45" t="s">
        <v>66</v>
      </c>
      <c r="S30" s="46" cm="1">
        <f t="array" ref="S30">_xlfn.STDEV.P(ABS(data!EX53:FE53),ABS(data!EX65:FE65),ABS(data!EX77:FE77))</f>
        <v>1.1073393744805411</v>
      </c>
    </row>
    <row r="31" spans="3:19" x14ac:dyDescent="0.3">
      <c r="C31" s="66"/>
      <c r="D31" s="45" t="s">
        <v>67</v>
      </c>
      <c r="E31" s="46" cm="1">
        <f t="array" ref="E31">AVERAGE(ABS(data!N54:U54),ABS(data!N66:U66),ABS(data!N78:U78))</f>
        <v>2.5851518201481545</v>
      </c>
      <c r="F31" s="45" t="s">
        <v>67</v>
      </c>
      <c r="G31" s="46" cm="1">
        <f t="array" ref="G31">AVERAGE(ABS(data!AH54:AO54),ABS(data!AH66:AO66),ABS(data!AH78:AO78))</f>
        <v>6.1825360093464541</v>
      </c>
      <c r="H31" s="45" t="s">
        <v>67</v>
      </c>
      <c r="I31" s="46" cm="1">
        <f t="array" ref="I31">AVERAGE(ABS(data!BB54:BI54),ABS(data!BB66:BI66),ABS(data!BB78:BI78))</f>
        <v>5.0909357516801812</v>
      </c>
      <c r="J31" s="45" t="s">
        <v>67</v>
      </c>
      <c r="K31" s="46" cm="1">
        <f t="array" ref="K31">AVERAGE(ABS(data!BV54:CC54),ABS(data!BV66:CC66),ABS(data!BV78:CC78))</f>
        <v>4.1315298227609878</v>
      </c>
      <c r="L31" s="45" t="s">
        <v>67</v>
      </c>
      <c r="M31" s="46" cm="1">
        <f t="array" ref="M31">AVERAGE(ABS(data!CP54:CW54),ABS(data!CP66:CW66),ABS(data!CP78:CW78))</f>
        <v>287.66744808571576</v>
      </c>
      <c r="N31" s="45" t="s">
        <v>67</v>
      </c>
      <c r="O31" s="46" cm="1">
        <f t="array" ref="O31">AVERAGE(ABS(data!DJ54:DQ54),ABS(data!DJ66:DQ66),ABS(data!DJ78:DQ78))</f>
        <v>907.52096119323494</v>
      </c>
      <c r="P31" s="45" t="s">
        <v>67</v>
      </c>
      <c r="Q31" s="46" cm="1">
        <f t="array" ref="Q31">AVERAGE(ABS(data!ED54:EK54),ABS(data!ED66:EK66),ABS(data!ED78:EK78))</f>
        <v>247.22712849200272</v>
      </c>
      <c r="R31" s="45" t="s">
        <v>67</v>
      </c>
      <c r="S31" s="46" cm="1">
        <f t="array" ref="S31">AVERAGE(ABS(data!EX54:FE54),ABS(data!EX66:FE66),ABS(data!EX78:FE78))</f>
        <v>349.59118875902345</v>
      </c>
    </row>
    <row r="32" spans="3:19" x14ac:dyDescent="0.3">
      <c r="C32" s="66"/>
      <c r="D32" s="45" t="s">
        <v>66</v>
      </c>
      <c r="E32" s="46" cm="1">
        <f t="array" ref="E32">_xlfn.STDEV.P(ABS(data!N54:U54),ABS(data!N66:U66),ABS(data!N78:U78))</f>
        <v>2.6049313597119896</v>
      </c>
      <c r="F32" s="45" t="s">
        <v>66</v>
      </c>
      <c r="G32" s="46" cm="1">
        <f t="array" ref="G32">_xlfn.STDEV.P(ABS(data!AH54:AO54),ABS(data!AH66:AO66),ABS(data!AH78:AO78))</f>
        <v>5.8104252936945864</v>
      </c>
      <c r="H32" s="45" t="s">
        <v>66</v>
      </c>
      <c r="I32" s="46" cm="1">
        <f t="array" ref="I32">_xlfn.STDEV.P(ABS(data!BB54:BI54),ABS(data!BB66:BI66),ABS(data!BB78:BI78))</f>
        <v>2.7873722451758702</v>
      </c>
      <c r="J32" s="45" t="s">
        <v>66</v>
      </c>
      <c r="K32" s="46" cm="1">
        <f t="array" ref="K32">_xlfn.STDEV.P(ABS(data!BV54:CC54),ABS(data!BV66:CC66),ABS(data!BV78:CC78))</f>
        <v>2.3372043493622248</v>
      </c>
      <c r="L32" s="45" t="s">
        <v>66</v>
      </c>
      <c r="M32" s="46" cm="1">
        <f t="array" ref="M32">_xlfn.STDEV.P(ABS(data!CP54:CW54),ABS(data!CP66:CW66),ABS(data!CP78:CW78))</f>
        <v>299.11500768280467</v>
      </c>
      <c r="N32" s="45" t="s">
        <v>66</v>
      </c>
      <c r="O32" s="46" cm="1">
        <f t="array" ref="O32">_xlfn.STDEV.P(ABS(data!DJ54:DQ54),ABS(data!DJ66:DQ66),ABS(data!DJ78:DQ78))</f>
        <v>1115.6400409516225</v>
      </c>
      <c r="P32" s="45" t="s">
        <v>66</v>
      </c>
      <c r="Q32" s="46" cm="1">
        <f t="array" ref="Q32">_xlfn.STDEV.P(ABS(data!ED54:EK54),ABS(data!ED66:EK66),ABS(data!ED78:EK78))</f>
        <v>219.11209641572819</v>
      </c>
      <c r="R32" s="45" t="s">
        <v>66</v>
      </c>
      <c r="S32" s="46" cm="1">
        <f t="array" ref="S32">_xlfn.STDEV.P(ABS(data!EX54:FE54),ABS(data!EX66:FE66),ABS(data!EX78:FE78))</f>
        <v>287.92593063634394</v>
      </c>
    </row>
    <row r="33" spans="3:19" x14ac:dyDescent="0.3">
      <c r="C33" s="85"/>
      <c r="D33" s="47"/>
      <c r="E33" s="54"/>
      <c r="F33" s="47"/>
      <c r="G33" s="54"/>
      <c r="H33" s="47"/>
      <c r="I33" s="54"/>
      <c r="J33" s="47"/>
      <c r="K33" s="54"/>
      <c r="L33" s="47"/>
      <c r="M33" s="54"/>
      <c r="N33" s="47"/>
      <c r="O33" s="54"/>
      <c r="P33" s="47"/>
      <c r="Q33" s="54"/>
      <c r="R33" s="47"/>
      <c r="S33" s="54"/>
    </row>
    <row r="34" spans="3:19" x14ac:dyDescent="0.3">
      <c r="C34" s="66" t="s">
        <v>68</v>
      </c>
      <c r="D34" s="45" t="s">
        <v>65</v>
      </c>
      <c r="E34" s="46" cm="1">
        <f t="array" ref="E34">AVERAGE(ABS(data!N56:U56),ABS(data!N68:U68),ABS(data!N80:U80))</f>
        <v>7.4843119243439157E-2</v>
      </c>
      <c r="F34" s="45" t="s">
        <v>65</v>
      </c>
      <c r="G34" s="46" cm="1">
        <f t="array" ref="G34">AVERAGE(ABS(data!AH56:AO56),ABS(data!AH68:AO68),ABS(data!AH80:AO80))</f>
        <v>0.16192837915491962</v>
      </c>
      <c r="H34" s="45" t="s">
        <v>65</v>
      </c>
      <c r="I34" s="46" cm="1">
        <f t="array" ref="I34">AVERAGE(ABS(data!BB56:BI56),ABS(data!BB68:BI68),ABS(data!BB80:BI80))</f>
        <v>0.16071748048835208</v>
      </c>
      <c r="J34" s="45" t="s">
        <v>65</v>
      </c>
      <c r="K34" s="46" cm="1">
        <f t="array" ref="K34">AVERAGE(ABS(data!BV56:CC56),ABS(data!BV68:CC68),ABS(data!BV80:CC80))</f>
        <v>0.12974775889618628</v>
      </c>
      <c r="L34" s="45" t="s">
        <v>65</v>
      </c>
      <c r="M34" s="46" cm="1">
        <f t="array" ref="M34">AVERAGE(ABS(data!CP56:CW56),ABS(data!CP68:CW68),ABS(data!CP80:CW80))</f>
        <v>2.1199547026235672</v>
      </c>
      <c r="N34" s="45" t="s">
        <v>65</v>
      </c>
      <c r="O34" s="46" cm="1">
        <f t="array" ref="O34">AVERAGE(ABS(data!DJ56:DQ56),ABS(data!DJ68:DQ68),ABS(data!DJ80:DQ80))</f>
        <v>3.0406328263782356</v>
      </c>
      <c r="P34" s="45" t="s">
        <v>65</v>
      </c>
      <c r="Q34" s="46" cm="1">
        <f t="array" ref="Q34">AVERAGE(ABS(data!ED56:EK56),ABS(data!ED68:EK68),ABS(data!ED80:EK80))</f>
        <v>1.7612930834641747</v>
      </c>
      <c r="R34" s="45" t="s">
        <v>65</v>
      </c>
      <c r="S34" s="46" cm="1">
        <f t="array" ref="S34">AVERAGE(ABS(data!EX56:FE56),ABS(data!EX68:FE68),ABS(data!EX80:FE80))</f>
        <v>1.9626448244547277</v>
      </c>
    </row>
    <row r="35" spans="3:19" x14ac:dyDescent="0.3">
      <c r="C35" s="66"/>
      <c r="D35" s="45" t="s">
        <v>66</v>
      </c>
      <c r="E35" s="46" cm="1">
        <f t="array" ref="E35">_xlfn.STDEV.P(ABS(data!N56:U56),ABS(data!N68:U68),ABS(data!N80:U80))</f>
        <v>4.5459890494820757E-2</v>
      </c>
      <c r="F35" s="45" t="s">
        <v>66</v>
      </c>
      <c r="G35" s="46" cm="1">
        <f t="array" ref="G35">_xlfn.STDEV.P(ABS(data!AH56:AO56),ABS(data!AH68:AO68),ABS(data!AH80:AO80))</f>
        <v>0.12873132712293098</v>
      </c>
      <c r="H35" s="45" t="s">
        <v>66</v>
      </c>
      <c r="I35" s="46" cm="1">
        <f t="array" ref="I35">_xlfn.STDEV.P(ABS(data!BB56:BI56),ABS(data!BB68:BI68),ABS(data!BB80:BI80))</f>
        <v>0.15105605598501895</v>
      </c>
      <c r="J35" s="45" t="s">
        <v>66</v>
      </c>
      <c r="K35" s="46" cm="1">
        <f t="array" ref="K35">_xlfn.STDEV.P(ABS(data!BV56:CC56),ABS(data!BV68:CC68),ABS(data!BV80:CC80))</f>
        <v>0.12939674809877788</v>
      </c>
      <c r="L35" s="45" t="s">
        <v>66</v>
      </c>
      <c r="M35" s="46" cm="1">
        <f t="array" ref="M35">_xlfn.STDEV.P(ABS(data!CP56:CW56),ABS(data!CP68:CW68),ABS(data!CP80:CW80))</f>
        <v>1.6396013759277877</v>
      </c>
      <c r="N35" s="45" t="s">
        <v>66</v>
      </c>
      <c r="O35" s="46" cm="1">
        <f t="array" ref="O35">_xlfn.STDEV.P(ABS(data!DJ56:DQ56),ABS(data!DJ68:DQ68),ABS(data!DJ80:DQ80))</f>
        <v>1.3765937937099439</v>
      </c>
      <c r="P35" s="45" t="s">
        <v>66</v>
      </c>
      <c r="Q35" s="46" cm="1">
        <f t="array" ref="Q35">_xlfn.STDEV.P(ABS(data!ED56:EK56),ABS(data!ED68:EK68),ABS(data!ED80:EK80))</f>
        <v>0.73909422622609733</v>
      </c>
      <c r="R35" s="45" t="s">
        <v>66</v>
      </c>
      <c r="S35" s="46" cm="1">
        <f t="array" ref="S35">_xlfn.STDEV.P(ABS(data!EX56:FE56),ABS(data!EX68:FE68),ABS(data!EX80:FE80))</f>
        <v>1.1057272685671955</v>
      </c>
    </row>
    <row r="36" spans="3:19" x14ac:dyDescent="0.3">
      <c r="C36" s="66"/>
      <c r="D36" s="45" t="s">
        <v>67</v>
      </c>
      <c r="E36" s="46" cm="1">
        <f t="array" ref="E36">AVERAGE(ABS(data!N57:U57),ABS(data!N69:U69),ABS(data!N81:U81))</f>
        <v>2.5608554600577795</v>
      </c>
      <c r="F36" s="45" t="s">
        <v>67</v>
      </c>
      <c r="G36" s="46" cm="1">
        <f t="array" ref="G36">AVERAGE(ABS(data!AH57:AO57),ABS(data!AH69:AO69),ABS(data!AH81:AO81))</f>
        <v>5.4173303082151785</v>
      </c>
      <c r="H36" s="45" t="s">
        <v>67</v>
      </c>
      <c r="I36" s="46" cm="1">
        <f t="array" ref="I36">AVERAGE(ABS(data!BB57:BI57),ABS(data!BB69:BI69),ABS(data!BB81:BI81))</f>
        <v>4.5869206540387326</v>
      </c>
      <c r="J36" s="45" t="s">
        <v>67</v>
      </c>
      <c r="K36" s="46" cm="1">
        <f t="array" ref="K36">AVERAGE(ABS(data!BV57:CC57),ABS(data!BV69:CC69),ABS(data!BV81:CC81))</f>
        <v>3.0803465060639468</v>
      </c>
      <c r="L36" s="45" t="s">
        <v>67</v>
      </c>
      <c r="M36" s="46" cm="1">
        <f t="array" ref="M36">AVERAGE(ABS(data!CP57:CW57),ABS(data!CP69:CW69),ABS(data!CP81:CW81))</f>
        <v>289.10150437528461</v>
      </c>
      <c r="N36" s="45" t="s">
        <v>67</v>
      </c>
      <c r="O36" s="46" cm="1">
        <f t="array" ref="O36">AVERAGE(ABS(data!DJ57:DQ57),ABS(data!DJ69:DQ69),ABS(data!DJ81:DQ81))</f>
        <v>911.99592217926522</v>
      </c>
      <c r="P36" s="45" t="s">
        <v>67</v>
      </c>
      <c r="Q36" s="46" cm="1">
        <f t="array" ref="Q36">AVERAGE(ABS(data!ED57:EK57),ABS(data!ED69:EK69),ABS(data!ED81:EK81))</f>
        <v>248.66585615597788</v>
      </c>
      <c r="R36" s="45" t="s">
        <v>67</v>
      </c>
      <c r="S36" s="46" cm="1">
        <f t="array" ref="S36">AVERAGE(ABS(data!EX57:FE57),ABS(data!EX69:FE69),ABS(data!EX81:FE81))</f>
        <v>355.59988092986504</v>
      </c>
    </row>
    <row r="37" spans="3:19" x14ac:dyDescent="0.3">
      <c r="C37" s="66"/>
      <c r="D37" s="45" t="s">
        <v>66</v>
      </c>
      <c r="E37" s="46" cm="1">
        <f t="array" ref="E37">_xlfn.STDEV.P(ABS(data!N57:U57),ABS(data!N69:U69),ABS(data!N81:U81))</f>
        <v>2.8293472369959547</v>
      </c>
      <c r="F37" s="45" t="s">
        <v>66</v>
      </c>
      <c r="G37" s="46" cm="1">
        <f t="array" ref="G37">_xlfn.STDEV.P(ABS(data!AH57:AO57),ABS(data!AH69:AO69),ABS(data!AH81:AO81))</f>
        <v>5.0249468114864397</v>
      </c>
      <c r="H37" s="45" t="s">
        <v>66</v>
      </c>
      <c r="I37" s="46" cm="1">
        <f t="array" ref="I37">_xlfn.STDEV.P(ABS(data!BB57:BI57),ABS(data!BB69:BI69),ABS(data!BB81:BI81))</f>
        <v>2.650556034856864</v>
      </c>
      <c r="J37" s="45" t="s">
        <v>66</v>
      </c>
      <c r="K37" s="46" cm="1">
        <f t="array" ref="K37">_xlfn.STDEV.P(ABS(data!BV57:CC57),ABS(data!BV69:CC69),ABS(data!BV81:CC81))</f>
        <v>2.4199738342166954</v>
      </c>
      <c r="L37" s="45" t="s">
        <v>66</v>
      </c>
      <c r="M37" s="46" cm="1">
        <f t="array" ref="M37">_xlfn.STDEV.P(ABS(data!CP57:CW57),ABS(data!CP69:CW69),ABS(data!CP81:CW81))</f>
        <v>300.59354085763914</v>
      </c>
      <c r="N37" s="45" t="s">
        <v>66</v>
      </c>
      <c r="O37" s="46" cm="1">
        <f t="array" ref="O37">_xlfn.STDEV.P(ABS(data!DJ57:DQ57),ABS(data!DJ69:DQ69),ABS(data!DJ81:DQ81))</f>
        <v>1117.7854111052384</v>
      </c>
      <c r="P37" s="45" t="s">
        <v>66</v>
      </c>
      <c r="Q37" s="46" cm="1">
        <f t="array" ref="Q37">_xlfn.STDEV.P(ABS(data!ED57:EK57),ABS(data!ED69:EK69),ABS(data!ED81:EK81))</f>
        <v>222.65377440380513</v>
      </c>
      <c r="R37" s="45" t="s">
        <v>66</v>
      </c>
      <c r="S37" s="46" cm="1">
        <f t="array" ref="S37">_xlfn.STDEV.P(ABS(data!EX57:FE57),ABS(data!EX69:FE69),ABS(data!EX81:FE81))</f>
        <v>293.21636235519088</v>
      </c>
    </row>
    <row r="38" spans="3:19" x14ac:dyDescent="0.3">
      <c r="C38" s="85"/>
      <c r="D38" s="47"/>
      <c r="E38" s="54"/>
      <c r="F38" s="47"/>
      <c r="G38" s="54"/>
      <c r="H38" s="47"/>
      <c r="I38" s="54"/>
      <c r="J38" s="47"/>
      <c r="K38" s="54"/>
      <c r="L38" s="47"/>
      <c r="M38" s="54"/>
      <c r="N38" s="47"/>
      <c r="O38" s="54"/>
      <c r="P38" s="47"/>
      <c r="Q38" s="54"/>
      <c r="R38" s="47"/>
      <c r="S38" s="54"/>
    </row>
    <row r="39" spans="3:19" x14ac:dyDescent="0.3">
      <c r="C39" s="66" t="s">
        <v>69</v>
      </c>
      <c r="D39" s="45" t="s">
        <v>65</v>
      </c>
      <c r="E39" s="46" cm="1">
        <f t="array" ref="E39">AVERAGE(ABS(data!N59:U59),ABS(data!N71:U71),ABS(data!N83:U83))</f>
        <v>9.3593119243439091E-2</v>
      </c>
      <c r="F39" s="45" t="s">
        <v>65</v>
      </c>
      <c r="G39" s="46" cm="1">
        <f t="array" ref="G39">AVERAGE(ABS(data!AH59:AO59),ABS(data!AH71:AO71),ABS(data!AH83:AO83))</f>
        <v>0.18817837915491961</v>
      </c>
      <c r="H39" s="45" t="s">
        <v>65</v>
      </c>
      <c r="I39" s="46" cm="1">
        <f t="array" ref="I39">AVERAGE(ABS(data!BB59:BI59),ABS(data!BB71:BI71),ABS(data!BB83:BI83))</f>
        <v>0.18071748048835201</v>
      </c>
      <c r="J39" s="45" t="s">
        <v>65</v>
      </c>
      <c r="K39" s="46" cm="1">
        <f t="array" ref="K39">AVERAGE(ABS(data!BV59:CC59),ABS(data!BV71:CC71),ABS(data!BV83:CC83))</f>
        <v>0.12166574831417615</v>
      </c>
      <c r="L39" s="45" t="s">
        <v>65</v>
      </c>
      <c r="M39" s="46" cm="1">
        <f t="array" ref="M39">AVERAGE(ABS(data!CP59:CW59),ABS(data!CP71:CW71),ABS(data!CP83:CW83))</f>
        <v>2.1407880359568998</v>
      </c>
      <c r="N39" s="45" t="s">
        <v>65</v>
      </c>
      <c r="O39" s="46" cm="1">
        <f t="array" ref="O39">AVERAGE(ABS(data!DJ59:DQ59),ABS(data!DJ71:DQ71),ABS(data!DJ83:DQ83))</f>
        <v>3.0518828263782365</v>
      </c>
      <c r="P39" s="45" t="s">
        <v>65</v>
      </c>
      <c r="Q39" s="46" cm="1">
        <f t="array" ref="Q39">AVERAGE(ABS(data!ED59:EK59),ABS(data!ED71:EK71),ABS(data!ED83:EK83))</f>
        <v>1.7812930834641749</v>
      </c>
      <c r="R39" s="45" t="s">
        <v>65</v>
      </c>
      <c r="S39" s="46" cm="1">
        <f t="array" ref="S39">AVERAGE(ABS(data!EX59:FE59),ABS(data!EX71:FE71),ABS(data!EX83:FE83))</f>
        <v>1.9784781577880615</v>
      </c>
    </row>
    <row r="40" spans="3:19" x14ac:dyDescent="0.3">
      <c r="C40" s="66"/>
      <c r="D40" s="45" t="s">
        <v>66</v>
      </c>
      <c r="E40" s="46" cm="1">
        <f t="array" ref="E40">_xlfn.STDEV.P(ABS(data!N59:U59),ABS(data!N71:U71),ABS(data!N83:U83))</f>
        <v>7.1651169395466036E-2</v>
      </c>
      <c r="F40" s="45" t="s">
        <v>66</v>
      </c>
      <c r="G40" s="46" cm="1">
        <f t="array" ref="G40">_xlfn.STDEV.P(ABS(data!AH59:AO59),ABS(data!AH71:AO71),ABS(data!AH83:AO83))</f>
        <v>0.11282976109539578</v>
      </c>
      <c r="H40" s="45" t="s">
        <v>66</v>
      </c>
      <c r="I40" s="46" cm="1">
        <f t="array" ref="I40">_xlfn.STDEV.P(ABS(data!BB59:BI59),ABS(data!BB71:BI71),ABS(data!BB83:BI83))</f>
        <v>0.15371014119208193</v>
      </c>
      <c r="J40" s="45" t="s">
        <v>66</v>
      </c>
      <c r="K40" s="46" cm="1">
        <f t="array" ref="K40">_xlfn.STDEV.P(ABS(data!BV59:CC59),ABS(data!BV71:CC71),ABS(data!BV83:CC83))</f>
        <v>0.13795043573902821</v>
      </c>
      <c r="L40" s="45" t="s">
        <v>66</v>
      </c>
      <c r="M40" s="46" cm="1">
        <f t="array" ref="M40">_xlfn.STDEV.P(ABS(data!CP59:CW59),ABS(data!CP71:CW71),ABS(data!CP83:CW83))</f>
        <v>1.6544782264160254</v>
      </c>
      <c r="N40" s="45" t="s">
        <v>66</v>
      </c>
      <c r="O40" s="46" cm="1">
        <f t="array" ref="O40">_xlfn.STDEV.P(ABS(data!DJ59:DQ59),ABS(data!DJ71:DQ71),ABS(data!DJ83:DQ83))</f>
        <v>1.3795750485066984</v>
      </c>
      <c r="P40" s="45" t="s">
        <v>66</v>
      </c>
      <c r="Q40" s="46" cm="1">
        <f t="array" ref="Q40">_xlfn.STDEV.P(ABS(data!ED59:EK59),ABS(data!ED71:EK71),ABS(data!ED83:EK83))</f>
        <v>0.72777620322648862</v>
      </c>
      <c r="R40" s="45" t="s">
        <v>66</v>
      </c>
      <c r="S40" s="46" cm="1">
        <f t="array" ref="S40">_xlfn.STDEV.P(ABS(data!EX59:FE59),ABS(data!EX71:FE71),ABS(data!EX83:FE83))</f>
        <v>1.1132208590730408</v>
      </c>
    </row>
    <row r="41" spans="3:19" x14ac:dyDescent="0.3">
      <c r="C41" s="66"/>
      <c r="D41" s="45" t="s">
        <v>67</v>
      </c>
      <c r="E41" s="46" cm="1">
        <f t="array" ref="E41">AVERAGE(ABS(data!N60:U60),ABS(data!N72:U72),ABS(data!N84:U84))</f>
        <v>3.073014917440831</v>
      </c>
      <c r="F41" s="45" t="s">
        <v>67</v>
      </c>
      <c r="G41" s="46" cm="1">
        <f t="array" ref="G41">AVERAGE(ABS(data!AH60:AO60),ABS(data!AH72:AO72),ABS(data!AH84:AO84))</f>
        <v>6.1827094562026472</v>
      </c>
      <c r="H41" s="45" t="s">
        <v>67</v>
      </c>
      <c r="I41" s="46" cm="1">
        <f t="array" ref="I41">AVERAGE(ABS(data!BB60:BI60),ABS(data!BB72:BI72),ABS(data!BB84:BI84))</f>
        <v>5.2317998224052573</v>
      </c>
      <c r="J41" s="45" t="s">
        <v>67</v>
      </c>
      <c r="K41" s="46" cm="1">
        <f t="array" ref="K41">AVERAGE(ABS(data!BV60:CC60),ABS(data!BV72:CC72),ABS(data!BV84:CC84))</f>
        <v>2.9046486844408861</v>
      </c>
      <c r="L41" s="45" t="s">
        <v>67</v>
      </c>
      <c r="M41" s="46" cm="1">
        <f t="array" ref="M41">AVERAGE(ABS(data!CP60:CW60),ABS(data!CP72:CW72),ABS(data!CP84:CW84))</f>
        <v>293.00413679031755</v>
      </c>
      <c r="N41" s="45" t="s">
        <v>67</v>
      </c>
      <c r="O41" s="46" cm="1">
        <f t="array" ref="O41">AVERAGE(ABS(data!DJ60:DQ60),ABS(data!DJ72:DQ72),ABS(data!DJ84:DQ84))</f>
        <v>917.75463943429065</v>
      </c>
      <c r="P41" s="45" t="s">
        <v>67</v>
      </c>
      <c r="Q41" s="46" cm="1">
        <f t="array" ref="Q41">AVERAGE(ABS(data!ED60:EK60),ABS(data!ED72:EK72),ABS(data!ED84:EK84))</f>
        <v>249.05265882397262</v>
      </c>
      <c r="R41" s="45" t="s">
        <v>67</v>
      </c>
      <c r="S41" s="46" cm="1">
        <f t="array" ref="S41">AVERAGE(ABS(data!EX60:FE60),ABS(data!EX72:FE72),ABS(data!EX84:FE84))</f>
        <v>357.30319593477299</v>
      </c>
    </row>
    <row r="42" spans="3:19" x14ac:dyDescent="0.3">
      <c r="C42" s="66"/>
      <c r="D42" s="45" t="s">
        <v>66</v>
      </c>
      <c r="E42" s="46" cm="1">
        <f t="array" ref="E42">_xlfn.STDEV.P(ABS(data!N60:U60),ABS(data!N72:U72),ABS(data!N84:U84))</f>
        <v>3.4088571736175299</v>
      </c>
      <c r="F42" s="45" t="s">
        <v>66</v>
      </c>
      <c r="G42" s="46" cm="1">
        <f t="array" ref="G42">_xlfn.STDEV.P(ABS(data!AH60:AO60),ABS(data!AH72:AO72),ABS(data!AH84:AO84))</f>
        <v>4.6917096880984577</v>
      </c>
      <c r="H42" s="45" t="s">
        <v>66</v>
      </c>
      <c r="I42" s="46" cm="1">
        <f t="array" ref="I42">_xlfn.STDEV.P(ABS(data!BB60:BI60),ABS(data!BB72:BI72),ABS(data!BB84:BI84))</f>
        <v>3.0169991638871743</v>
      </c>
      <c r="J42" s="45" t="s">
        <v>66</v>
      </c>
      <c r="K42" s="46" cm="1">
        <f t="array" ref="K42">_xlfn.STDEV.P(ABS(data!BV60:CC60),ABS(data!BV72:CC72),ABS(data!BV84:CC84))</f>
        <v>2.5114468945727118</v>
      </c>
      <c r="L42" s="45" t="s">
        <v>66</v>
      </c>
      <c r="M42" s="46" cm="1">
        <f t="array" ref="M42">_xlfn.STDEV.P(ABS(data!CP60:CW60),ABS(data!CP72:CW72),ABS(data!CP84:CW84))</f>
        <v>305.20322121185234</v>
      </c>
      <c r="N42" s="45" t="s">
        <v>66</v>
      </c>
      <c r="O42" s="46" cm="1">
        <f t="array" ref="O42">_xlfn.STDEV.P(ABS(data!DJ60:DQ60),ABS(data!DJ72:DQ72),ABS(data!DJ84:DQ84))</f>
        <v>1127.0891162310431</v>
      </c>
      <c r="P42" s="45" t="s">
        <v>66</v>
      </c>
      <c r="Q42" s="46" cm="1">
        <f t="array" ref="Q42">_xlfn.STDEV.P(ABS(data!ED60:EK60),ABS(data!ED72:EK72),ABS(data!ED84:EK84))</f>
        <v>218.2464977056691</v>
      </c>
      <c r="R42" s="45" t="s">
        <v>66</v>
      </c>
      <c r="S42" s="46" cm="1">
        <f t="array" ref="S42">_xlfn.STDEV.P(ABS(data!EX60:FE60),ABS(data!EX72:FE72),ABS(data!EX84:FE84))</f>
        <v>294.64158973659119</v>
      </c>
    </row>
    <row r="43" spans="3:19" x14ac:dyDescent="0.3">
      <c r="C43" s="85"/>
      <c r="D43" s="45"/>
      <c r="E43" s="46"/>
      <c r="F43" s="45"/>
      <c r="G43" s="46"/>
      <c r="H43" s="45"/>
      <c r="I43" s="46"/>
      <c r="J43" s="45"/>
      <c r="K43" s="46"/>
      <c r="L43" s="45"/>
      <c r="M43" s="46"/>
      <c r="N43" s="45"/>
      <c r="O43" s="46"/>
      <c r="P43" s="45"/>
      <c r="Q43" s="46"/>
      <c r="R43" s="45"/>
      <c r="S43" s="46"/>
    </row>
    <row r="44" spans="3:19" x14ac:dyDescent="0.3">
      <c r="C44" s="66" t="s">
        <v>70</v>
      </c>
      <c r="D44" s="52" t="s">
        <v>65</v>
      </c>
      <c r="E44" s="53">
        <f>AVERAGE(E29,E34,E39)</f>
        <v>8.1309051360967485E-2</v>
      </c>
      <c r="F44" s="52" t="s">
        <v>65</v>
      </c>
      <c r="G44" s="53">
        <f>AVERAGE(G29,G34,G39)</f>
        <v>0.17651171248825295</v>
      </c>
      <c r="H44" s="52" t="s">
        <v>65</v>
      </c>
      <c r="I44" s="53">
        <f>AVERAGE(I29,I34,I39)</f>
        <v>0.16988414715501873</v>
      </c>
      <c r="J44" s="52" t="s">
        <v>65</v>
      </c>
      <c r="K44" s="53">
        <f>AVERAGE(K29,K34,K39)</f>
        <v>0.13488312044821454</v>
      </c>
      <c r="L44" s="52" t="s">
        <v>65</v>
      </c>
      <c r="M44" s="53">
        <f>AVERAGE(M29,M34,M39)</f>
        <v>2.1243991470680115</v>
      </c>
      <c r="N44" s="52" t="s">
        <v>65</v>
      </c>
      <c r="O44" s="53">
        <f>AVERAGE(O29,O34,O39)</f>
        <v>3.0427161597115688</v>
      </c>
      <c r="P44" s="52" t="s">
        <v>65</v>
      </c>
      <c r="Q44" s="53">
        <f>AVERAGE(Q29,Q34,Q39)</f>
        <v>1.7679597501308413</v>
      </c>
      <c r="R44" s="52" t="s">
        <v>65</v>
      </c>
      <c r="S44" s="53">
        <f>AVERAGE(S29,S34,S39)</f>
        <v>1.9602837133436168</v>
      </c>
    </row>
    <row r="45" spans="3:19" x14ac:dyDescent="0.3">
      <c r="C45" s="66"/>
      <c r="D45" s="45" t="s">
        <v>71</v>
      </c>
      <c r="E45" s="46">
        <f>AVERAGE(E30,E35,E40)</f>
        <v>5.5588726123179083E-2</v>
      </c>
      <c r="F45" s="45" t="s">
        <v>71</v>
      </c>
      <c r="G45" s="46">
        <f>AVERAGE(G30,G35,G40)</f>
        <v>0.13323709058661537</v>
      </c>
      <c r="H45" s="45" t="s">
        <v>71</v>
      </c>
      <c r="I45" s="46">
        <f>AVERAGE(I30,I35,I40)</f>
        <v>0.14548011056156929</v>
      </c>
      <c r="J45" s="45" t="s">
        <v>71</v>
      </c>
      <c r="K45" s="46">
        <f>AVERAGE(K30,K35,K40)</f>
        <v>0.12429978767181514</v>
      </c>
      <c r="L45" s="45" t="s">
        <v>71</v>
      </c>
      <c r="M45" s="46">
        <f>AVERAGE(M30,M35,M40)</f>
        <v>1.6453573736594398</v>
      </c>
      <c r="N45" s="45" t="s">
        <v>71</v>
      </c>
      <c r="O45" s="46">
        <f>AVERAGE(O30,O35,O40)</f>
        <v>1.3811584292138317</v>
      </c>
      <c r="P45" s="45" t="s">
        <v>71</v>
      </c>
      <c r="Q45" s="46">
        <f>AVERAGE(Q30,Q35,Q40)</f>
        <v>0.73630458624126527</v>
      </c>
      <c r="R45" s="45" t="s">
        <v>71</v>
      </c>
      <c r="S45" s="46">
        <f>AVERAGE(S30,S35,S40)</f>
        <v>1.1087625007069257</v>
      </c>
    </row>
    <row r="46" spans="3:19" x14ac:dyDescent="0.3">
      <c r="C46" s="66"/>
      <c r="D46" s="45" t="s">
        <v>67</v>
      </c>
      <c r="E46" s="46">
        <f>AVERAGE(E31,E36,E41)</f>
        <v>2.7396740658822551</v>
      </c>
      <c r="F46" s="45" t="s">
        <v>67</v>
      </c>
      <c r="G46" s="46">
        <f>AVERAGE(G31,G36,G41)</f>
        <v>5.9275252579214266</v>
      </c>
      <c r="H46" s="45" t="s">
        <v>67</v>
      </c>
      <c r="I46" s="46">
        <f>AVERAGE(I31,I36,I41)</f>
        <v>4.9698854093747231</v>
      </c>
      <c r="J46" s="45" t="s">
        <v>67</v>
      </c>
      <c r="K46" s="46">
        <f>AVERAGE(K31,K36,K41)</f>
        <v>3.3721750044219405</v>
      </c>
      <c r="L46" s="45" t="s">
        <v>67</v>
      </c>
      <c r="M46" s="46">
        <f>AVERAGE(M31,M36,M41)</f>
        <v>289.92436308377268</v>
      </c>
      <c r="N46" s="45" t="s">
        <v>67</v>
      </c>
      <c r="O46" s="46">
        <f>AVERAGE(O31,O36,O41)</f>
        <v>912.42384093559701</v>
      </c>
      <c r="P46" s="45" t="s">
        <v>67</v>
      </c>
      <c r="Q46" s="46">
        <f>AVERAGE(Q31,Q36,Q41)</f>
        <v>248.31521449065107</v>
      </c>
      <c r="R46" s="45" t="s">
        <v>67</v>
      </c>
      <c r="S46" s="46">
        <f>AVERAGE(S31,S36,S41)</f>
        <v>354.16475520788714</v>
      </c>
    </row>
    <row r="47" spans="3:19" x14ac:dyDescent="0.3">
      <c r="C47" s="66"/>
      <c r="D47" s="45" t="s">
        <v>66</v>
      </c>
      <c r="E47" s="46">
        <f>AVERAGE(E32,E37,E42)</f>
        <v>2.9477119234418248</v>
      </c>
      <c r="F47" s="45" t="s">
        <v>66</v>
      </c>
      <c r="G47" s="46">
        <f>AVERAGE(G32,G37,G42)</f>
        <v>5.1756939310931616</v>
      </c>
      <c r="H47" s="45" t="s">
        <v>66</v>
      </c>
      <c r="I47" s="46">
        <f>AVERAGE(I32,I37,I42)</f>
        <v>2.8183091479733027</v>
      </c>
      <c r="J47" s="45" t="s">
        <v>66</v>
      </c>
      <c r="K47" s="46">
        <f>AVERAGE(K32,K37,K42)</f>
        <v>2.4228750260505443</v>
      </c>
      <c r="L47" s="45" t="s">
        <v>66</v>
      </c>
      <c r="M47" s="46">
        <f>AVERAGE(M32,M37,M42)</f>
        <v>301.63725658409874</v>
      </c>
      <c r="N47" s="45" t="s">
        <v>66</v>
      </c>
      <c r="O47" s="46">
        <f>AVERAGE(O32,O37,O42)</f>
        <v>1120.1715227626348</v>
      </c>
      <c r="P47" s="45" t="s">
        <v>66</v>
      </c>
      <c r="Q47" s="46">
        <f>AVERAGE(Q32,Q37,Q42)</f>
        <v>220.00412284173413</v>
      </c>
      <c r="R47" s="45" t="s">
        <v>66</v>
      </c>
      <c r="S47" s="46">
        <f>AVERAGE(S32,S37,S42)</f>
        <v>291.92796090937532</v>
      </c>
    </row>
    <row r="48" spans="3:19" ht="15" thickBot="1" x14ac:dyDescent="0.35">
      <c r="C48" s="67"/>
      <c r="D48" s="48"/>
      <c r="E48" s="49"/>
      <c r="F48" s="48"/>
      <c r="G48" s="49"/>
      <c r="H48" s="48"/>
      <c r="I48" s="49"/>
      <c r="J48" s="48"/>
      <c r="K48" s="49"/>
      <c r="L48" s="48"/>
      <c r="M48" s="49"/>
      <c r="N48" s="48"/>
      <c r="O48" s="49"/>
      <c r="P48" s="48"/>
      <c r="Q48" s="49"/>
      <c r="R48" s="48"/>
      <c r="S48" s="49"/>
    </row>
    <row r="52" spans="3:19" ht="15" thickBot="1" x14ac:dyDescent="0.35">
      <c r="C52" s="86" t="s">
        <v>127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3:19" ht="15" thickBot="1" x14ac:dyDescent="0.35">
      <c r="C53" s="44" t="s">
        <v>75</v>
      </c>
      <c r="D53" s="83" t="s">
        <v>57</v>
      </c>
      <c r="E53" s="84"/>
      <c r="F53" s="83" t="s">
        <v>58</v>
      </c>
      <c r="G53" s="84"/>
      <c r="H53" s="83" t="s">
        <v>59</v>
      </c>
      <c r="I53" s="84"/>
      <c r="J53" s="83" t="s">
        <v>60</v>
      </c>
      <c r="K53" s="84"/>
      <c r="L53" s="83" t="s">
        <v>61</v>
      </c>
      <c r="M53" s="84"/>
      <c r="N53" s="83" t="s">
        <v>62</v>
      </c>
      <c r="O53" s="84"/>
      <c r="P53" s="83" t="s">
        <v>63</v>
      </c>
      <c r="Q53" s="84"/>
      <c r="R53" s="83" t="s">
        <v>64</v>
      </c>
      <c r="S53" s="84"/>
    </row>
    <row r="54" spans="3:19" x14ac:dyDescent="0.3">
      <c r="C54" s="65" t="s">
        <v>23</v>
      </c>
      <c r="D54" s="50" t="s">
        <v>65</v>
      </c>
      <c r="E54" s="51" cm="1">
        <f t="array" ref="E54">AVERAGE(ABS(data!N94:U94),ABS(data!N106:U106),ABS(data!N118:U118))</f>
        <v>0.24339330706016948</v>
      </c>
      <c r="F54" s="50" t="s">
        <v>65</v>
      </c>
      <c r="G54" s="51" cm="1">
        <f t="array" ref="G54">AVERAGE(ABS(data!AH94:AO94),ABS(data!AH106:AO106),ABS(data!AH118:AO118))</f>
        <v>0.12121809814749752</v>
      </c>
      <c r="H54" s="50" t="s">
        <v>65</v>
      </c>
      <c r="I54" s="51" cm="1">
        <f t="array" ref="I54">AVERAGE(ABS(data!BB94:BI94),ABS(data!BB106:BI106),ABS(data!BB118:BI118))</f>
        <v>7.8686636621464426E-2</v>
      </c>
      <c r="J54" s="50" t="s">
        <v>65</v>
      </c>
      <c r="K54" s="51" cm="1">
        <f t="array" ref="K54">AVERAGE(ABS(data!BV94:CC94),ABS(data!BV106:CC106),ABS(data!BV118:CC118))</f>
        <v>0.11969453992402083</v>
      </c>
      <c r="L54" s="50" t="s">
        <v>65</v>
      </c>
      <c r="M54" s="51" cm="1">
        <f t="array" ref="M54">AVERAGE(ABS(data!CP94:CW94),ABS(data!CP106:CW106),ABS(data!CP118:CW118))</f>
        <v>3.0952808791953856</v>
      </c>
      <c r="N54" s="50" t="s">
        <v>65</v>
      </c>
      <c r="O54" s="51" cm="1">
        <f t="array" ref="O54">AVERAGE(ABS(data!DJ94:DQ94),ABS(data!DJ106:DQ106),ABS(data!DJ118:DQ118))</f>
        <v>2.1263394220651608</v>
      </c>
      <c r="P54" s="50" t="s">
        <v>65</v>
      </c>
      <c r="Q54" s="51" cm="1">
        <f t="array" ref="Q54">AVERAGE(ABS(data!ED94:EK94),ABS(data!ED106:EK106),ABS(data!ED118:EK118))</f>
        <v>2.1922702676518511</v>
      </c>
      <c r="R54" s="50" t="s">
        <v>65</v>
      </c>
      <c r="S54" s="51" cm="1">
        <f t="array" ref="S54">AVERAGE(ABS(data!EX94:FE94),ABS(data!EX106:FE106),ABS(data!EX118:FE118))</f>
        <v>2.6934361267517115</v>
      </c>
    </row>
    <row r="55" spans="3:19" x14ac:dyDescent="0.3">
      <c r="C55" s="66"/>
      <c r="D55" s="45" t="s">
        <v>66</v>
      </c>
      <c r="E55" s="46" cm="1">
        <f t="array" ref="E55">_xlfn.STDEV.P(ABS(data!N94:U94),ABS(data!N106:U106),ABS(data!N118:U118))</f>
        <v>0.17097627782531055</v>
      </c>
      <c r="F55" s="45" t="s">
        <v>66</v>
      </c>
      <c r="G55" s="46" cm="1">
        <f t="array" ref="G55">_xlfn.STDEV.P(ABS(data!AH94:AO94),ABS(data!AH106:AO106),ABS(data!AH118:AO118))</f>
        <v>8.9419159049673694E-2</v>
      </c>
      <c r="H55" s="45" t="s">
        <v>66</v>
      </c>
      <c r="I55" s="46" cm="1">
        <f t="array" ref="I55">_xlfn.STDEV.P(ABS(data!BB94:BI94),ABS(data!BB106:BI106),ABS(data!BB118:BI118))</f>
        <v>6.9557640896212095E-2</v>
      </c>
      <c r="J55" s="45" t="s">
        <v>66</v>
      </c>
      <c r="K55" s="46" cm="1">
        <f t="array" ref="K55">_xlfn.STDEV.P(ABS(data!BV94:CC94),ABS(data!BV106:CC106),ABS(data!BV118:CC118))</f>
        <v>0.10216727684989223</v>
      </c>
      <c r="L55" s="45" t="s">
        <v>66</v>
      </c>
      <c r="M55" s="46" cm="1">
        <f t="array" ref="M55">_xlfn.STDEV.P(ABS(data!CP94:CW94),ABS(data!CP106:CW106),ABS(data!CP118:CW118))</f>
        <v>4.090574342361351</v>
      </c>
      <c r="N55" s="45" t="s">
        <v>66</v>
      </c>
      <c r="O55" s="46" cm="1">
        <f t="array" ref="O55">_xlfn.STDEV.P(ABS(data!DJ94:DQ94),ABS(data!DJ106:DQ106),ABS(data!DJ118:DQ118))</f>
        <v>1.1118126309742278</v>
      </c>
      <c r="P55" s="45" t="s">
        <v>66</v>
      </c>
      <c r="Q55" s="46" cm="1">
        <f t="array" ref="Q55">_xlfn.STDEV.P(ABS(data!ED94:EK94),ABS(data!ED106:EK106),ABS(data!ED118:EK118))</f>
        <v>0.86654989960247175</v>
      </c>
      <c r="R55" s="45" t="s">
        <v>66</v>
      </c>
      <c r="S55" s="46" cm="1">
        <f t="array" ref="S55">_xlfn.STDEV.P(ABS(data!EX94:FE94),ABS(data!EX106:FE106),ABS(data!EX118:FE118))</f>
        <v>1.3713581018959786</v>
      </c>
    </row>
    <row r="56" spans="3:19" x14ac:dyDescent="0.3">
      <c r="C56" s="66"/>
      <c r="D56" s="45" t="s">
        <v>67</v>
      </c>
      <c r="E56" s="46" cm="1">
        <f t="array" ref="E56">AVERAGE(ABS(data!N95:U95),ABS(data!N107:U107),ABS(data!N119:U119))</f>
        <v>6.6754928496098351</v>
      </c>
      <c r="F56" s="45" t="s">
        <v>67</v>
      </c>
      <c r="G56" s="46" cm="1">
        <f t="array" ref="G56">AVERAGE(ABS(data!AH95:AO95),ABS(data!AH107:AO107),ABS(data!AH119:AO119))</f>
        <v>5.1068434639591578</v>
      </c>
      <c r="H56" s="45" t="s">
        <v>67</v>
      </c>
      <c r="I56" s="46" cm="1">
        <f t="array" ref="I56">AVERAGE(ABS(data!BB95:BI95),ABS(data!BB107:BI107),ABS(data!BB119:BI119))</f>
        <v>2.8660394132351477</v>
      </c>
      <c r="J56" s="45" t="s">
        <v>67</v>
      </c>
      <c r="K56" s="46" cm="1">
        <f t="array" ref="K56">AVERAGE(ABS(data!BV95:CC95),ABS(data!BV107:CC107),ABS(data!BV119:CC119))</f>
        <v>2.8546962894644019</v>
      </c>
      <c r="L56" s="45" t="s">
        <v>67</v>
      </c>
      <c r="M56" s="46" cm="1">
        <f t="array" ref="M56">AVERAGE(ABS(data!CP95:CW95),ABS(data!CP107:CW107),ABS(data!CP119:CW119))</f>
        <v>103.03634105049055</v>
      </c>
      <c r="N56" s="45" t="s">
        <v>67</v>
      </c>
      <c r="O56" s="46" cm="1">
        <f t="array" ref="O56">AVERAGE(ABS(data!DJ95:DQ95),ABS(data!DJ107:DQ107),ABS(data!DJ119:DQ119))</f>
        <v>381.99119012323035</v>
      </c>
      <c r="P56" s="45" t="s">
        <v>67</v>
      </c>
      <c r="Q56" s="46" cm="1">
        <f t="array" ref="Q56">AVERAGE(ABS(data!ED95:EK95),ABS(data!ED107:EK107),ABS(data!ED119:EK119))</f>
        <v>165.44196618267105</v>
      </c>
      <c r="R56" s="45" t="s">
        <v>67</v>
      </c>
      <c r="S56" s="46" cm="1">
        <f t="array" ref="S56">AVERAGE(ABS(data!EX95:FE95),ABS(data!EX107:FE107),ABS(data!EX119:FE119))</f>
        <v>310.48239666118803</v>
      </c>
    </row>
    <row r="57" spans="3:19" x14ac:dyDescent="0.3">
      <c r="C57" s="66"/>
      <c r="D57" s="45" t="s">
        <v>66</v>
      </c>
      <c r="E57" s="46" cm="1">
        <f t="array" ref="E57">_xlfn.STDEV.P(ABS(data!N95:U95),ABS(data!N107:U107),ABS(data!N119:U119))</f>
        <v>3.1992794782439398</v>
      </c>
      <c r="F57" s="45" t="s">
        <v>66</v>
      </c>
      <c r="G57" s="46" cm="1">
        <f t="array" ref="G57">_xlfn.STDEV.P(ABS(data!AH95:AO95),ABS(data!AH107:AO107),ABS(data!AH119:AO119))</f>
        <v>3.7497898800829241</v>
      </c>
      <c r="H57" s="45" t="s">
        <v>66</v>
      </c>
      <c r="I57" s="46" cm="1">
        <f t="array" ref="I57">_xlfn.STDEV.P(ABS(data!BB95:BI95),ABS(data!BB107:BI107),ABS(data!BB119:BI119))</f>
        <v>4.1320857446606327</v>
      </c>
      <c r="J57" s="45" t="s">
        <v>66</v>
      </c>
      <c r="K57" s="46" cm="1">
        <f t="array" ref="K57">_xlfn.STDEV.P(ABS(data!BV95:CC95),ABS(data!BV107:CC107),ABS(data!BV119:CC119))</f>
        <v>2.5872762749052365</v>
      </c>
      <c r="L57" s="45" t="s">
        <v>66</v>
      </c>
      <c r="M57" s="46" cm="1">
        <f t="array" ref="M57">_xlfn.STDEV.P(ABS(data!CP95:CW95),ABS(data!CP107:CW107),ABS(data!CP119:CW119))</f>
        <v>101.27773681567965</v>
      </c>
      <c r="N57" s="45" t="s">
        <v>66</v>
      </c>
      <c r="O57" s="46" cm="1">
        <f t="array" ref="O57">_xlfn.STDEV.P(ABS(data!DJ95:DQ95),ABS(data!DJ107:DQ107),ABS(data!DJ119:DQ119))</f>
        <v>330.82280661277758</v>
      </c>
      <c r="P57" s="45" t="s">
        <v>66</v>
      </c>
      <c r="Q57" s="46" cm="1">
        <f t="array" ref="Q57">_xlfn.STDEV.P(ABS(data!ED95:EK95),ABS(data!ED107:EK107),ABS(data!ED119:EK119))</f>
        <v>92.765990584099129</v>
      </c>
      <c r="R57" s="45" t="s">
        <v>66</v>
      </c>
      <c r="S57" s="46" cm="1">
        <f t="array" ref="S57">_xlfn.STDEV.P(ABS(data!EX95:FE95),ABS(data!EX107:FE107),ABS(data!EX119:FE119))</f>
        <v>347.54256973600604</v>
      </c>
    </row>
    <row r="58" spans="3:19" x14ac:dyDescent="0.3">
      <c r="C58" s="85"/>
      <c r="D58" s="47"/>
      <c r="E58" s="54"/>
      <c r="F58" s="47"/>
      <c r="G58" s="54"/>
      <c r="H58" s="47"/>
      <c r="I58" s="54"/>
      <c r="J58" s="47"/>
      <c r="K58" s="54"/>
      <c r="L58" s="47"/>
      <c r="M58" s="54"/>
      <c r="N58" s="47"/>
      <c r="O58" s="54"/>
      <c r="P58" s="47"/>
      <c r="Q58" s="54"/>
      <c r="R58" s="47"/>
      <c r="S58" s="54"/>
    </row>
    <row r="59" spans="3:19" x14ac:dyDescent="0.3">
      <c r="C59" s="66" t="s">
        <v>68</v>
      </c>
      <c r="D59" s="45" t="s">
        <v>65</v>
      </c>
      <c r="E59" s="46" cm="1">
        <f t="array" ref="E59">AVERAGE(ABS(data!N97:U97),ABS(data!N109:U109),ABS(data!N121:U121))</f>
        <v>0.24839330706016957</v>
      </c>
      <c r="F59" s="45" t="s">
        <v>65</v>
      </c>
      <c r="G59" s="46" cm="1">
        <f t="array" ref="G59">AVERAGE(ABS(data!AH97:AO97),ABS(data!AH109:AO109),ABS(data!AH121:AO121))</f>
        <v>0.1599680981474976</v>
      </c>
      <c r="H59" s="45" t="s">
        <v>65</v>
      </c>
      <c r="I59" s="46" cm="1">
        <f t="array" ref="I59">AVERAGE(ABS(data!BB97:BI97),ABS(data!BB109:BI109),ABS(data!BB121:BI121))</f>
        <v>4.8123091129827052E-2</v>
      </c>
      <c r="J59" s="45" t="s">
        <v>65</v>
      </c>
      <c r="K59" s="46" cm="1">
        <f t="array" ref="K59">AVERAGE(ABS(data!BV97:CC97),ABS(data!BV109:CC109),ABS(data!BV121:CC121))</f>
        <v>9.4112227802954126E-2</v>
      </c>
      <c r="L59" s="45" t="s">
        <v>65</v>
      </c>
      <c r="M59" s="46" cm="1">
        <f t="array" ref="M59">AVERAGE(ABS(data!CP97:CW97),ABS(data!CP109:CW109),ABS(data!CP121:CW121))</f>
        <v>3.0977808791953851</v>
      </c>
      <c r="N59" s="45" t="s">
        <v>65</v>
      </c>
      <c r="O59" s="46" cm="1">
        <f t="array" ref="O59">AVERAGE(ABS(data!DJ97:DQ97),ABS(data!DJ109:DQ109),ABS(data!DJ121:DQ121))</f>
        <v>2.1225894220651615</v>
      </c>
      <c r="P59" s="45" t="s">
        <v>65</v>
      </c>
      <c r="Q59" s="46" cm="1">
        <f t="array" ref="Q59">AVERAGE(ABS(data!ED97:EK97),ABS(data!ED109:EK109),ABS(data!ED121:EK121))</f>
        <v>2.2197702676518505</v>
      </c>
      <c r="R59" s="45" t="s">
        <v>65</v>
      </c>
      <c r="S59" s="46" cm="1">
        <f t="array" ref="S59">AVERAGE(ABS(data!EX97:FE97),ABS(data!EX109:FE109),ABS(data!EX121:FE121))</f>
        <v>2.7021861267517124</v>
      </c>
    </row>
    <row r="60" spans="3:19" x14ac:dyDescent="0.3">
      <c r="C60" s="66"/>
      <c r="D60" s="45" t="s">
        <v>66</v>
      </c>
      <c r="E60" s="46" cm="1">
        <f t="array" ref="E60">_xlfn.STDEV.P(ABS(data!N97:U97),ABS(data!N109:U109),ABS(data!N121:U121))</f>
        <v>0.17701237050661392</v>
      </c>
      <c r="F60" s="45" t="s">
        <v>66</v>
      </c>
      <c r="G60" s="46" cm="1">
        <f t="array" ref="G60">_xlfn.STDEV.P(ABS(data!AH97:AO97),ABS(data!AH109:AO109),ABS(data!AH121:AO121))</f>
        <v>0.10348803015074862</v>
      </c>
      <c r="H60" s="45" t="s">
        <v>66</v>
      </c>
      <c r="I60" s="46" cm="1">
        <f t="array" ref="I60">_xlfn.STDEV.P(ABS(data!BB97:BI97),ABS(data!BB109:BI109),ABS(data!BB121:BI121))</f>
        <v>5.2567610600385589E-2</v>
      </c>
      <c r="J60" s="45" t="s">
        <v>66</v>
      </c>
      <c r="K60" s="46" cm="1">
        <f t="array" ref="K60">_xlfn.STDEV.P(ABS(data!BV97:CC97),ABS(data!BV109:CC109),ABS(data!BV121:CC121))</f>
        <v>7.8100154521681342E-2</v>
      </c>
      <c r="L60" s="45" t="s">
        <v>66</v>
      </c>
      <c r="M60" s="46" cm="1">
        <f t="array" ref="M60">_xlfn.STDEV.P(ABS(data!CP97:CW97),ABS(data!CP109:CW109),ABS(data!CP121:CW121))</f>
        <v>4.0768368372751427</v>
      </c>
      <c r="N60" s="45" t="s">
        <v>66</v>
      </c>
      <c r="O60" s="46" cm="1">
        <f t="array" ref="O60">_xlfn.STDEV.P(ABS(data!DJ97:DQ97),ABS(data!DJ109:DQ109),ABS(data!DJ121:DQ121))</f>
        <v>1.0977131996418317</v>
      </c>
      <c r="P60" s="45" t="s">
        <v>66</v>
      </c>
      <c r="Q60" s="46" cm="1">
        <f t="array" ref="Q60">_xlfn.STDEV.P(ABS(data!ED97:EK97),ABS(data!ED109:EK109),ABS(data!ED121:EK121))</f>
        <v>0.88387503861573002</v>
      </c>
      <c r="R60" s="45" t="s">
        <v>66</v>
      </c>
      <c r="S60" s="46" cm="1">
        <f t="array" ref="S60">_xlfn.STDEV.P(ABS(data!EX97:FE97),ABS(data!EX109:FE109),ABS(data!EX121:FE121))</f>
        <v>1.3561637741337367</v>
      </c>
    </row>
    <row r="61" spans="3:19" x14ac:dyDescent="0.3">
      <c r="C61" s="66"/>
      <c r="D61" s="45" t="s">
        <v>67</v>
      </c>
      <c r="E61" s="46" cm="1">
        <f t="array" ref="E61">AVERAGE(ABS(data!N98:U98),ABS(data!N110:U110),ABS(data!N122:U122))</f>
        <v>6.9448376234715044</v>
      </c>
      <c r="F61" s="45" t="s">
        <v>67</v>
      </c>
      <c r="G61" s="46" cm="1">
        <f t="array" ref="G61">AVERAGE(ABS(data!AH98:AO98),ABS(data!AH110:AO110),ABS(data!AH122:AO122))</f>
        <v>7.4507141121698517</v>
      </c>
      <c r="H61" s="45" t="s">
        <v>67</v>
      </c>
      <c r="I61" s="46" cm="1">
        <f t="array" ref="I61">AVERAGE(ABS(data!BB98:BI98),ABS(data!BB110:BI110),ABS(data!BB122:BI122))</f>
        <v>1.8604431644041932</v>
      </c>
      <c r="J61" s="45" t="s">
        <v>67</v>
      </c>
      <c r="K61" s="46" cm="1">
        <f t="array" ref="K61">AVERAGE(ABS(data!BV98:CC98),ABS(data!BV110:CC110),ABS(data!BV122:CC122))</f>
        <v>2.203483351975049</v>
      </c>
      <c r="L61" s="45" t="s">
        <v>67</v>
      </c>
      <c r="M61" s="46" cm="1">
        <f t="array" ref="M61">AVERAGE(ABS(data!CP98:CW98),ABS(data!CP110:CW110),ABS(data!CP122:CW122))</f>
        <v>103.39791509800024</v>
      </c>
      <c r="N61" s="45" t="s">
        <v>67</v>
      </c>
      <c r="O61" s="46" cm="1">
        <f t="array" ref="O61">AVERAGE(ABS(data!DJ98:DQ98),ABS(data!DJ110:DQ110),ABS(data!DJ122:DQ122))</f>
        <v>391.84115714671799</v>
      </c>
      <c r="P61" s="45" t="s">
        <v>67</v>
      </c>
      <c r="Q61" s="46" cm="1">
        <f t="array" ref="Q61">AVERAGE(ABS(data!ED98:EK98),ABS(data!ED110:EK110),ABS(data!ED122:EK122))</f>
        <v>170.06571092660215</v>
      </c>
      <c r="R61" s="45" t="s">
        <v>67</v>
      </c>
      <c r="S61" s="46" cm="1">
        <f t="array" ref="S61">AVERAGE(ABS(data!EX98:FE98),ABS(data!EX110:FE110),ABS(data!EX122:FE122))</f>
        <v>313.75730910483617</v>
      </c>
    </row>
    <row r="62" spans="3:19" x14ac:dyDescent="0.3">
      <c r="C62" s="66"/>
      <c r="D62" s="45" t="s">
        <v>66</v>
      </c>
      <c r="E62" s="46" cm="1">
        <f t="array" ref="E62">_xlfn.STDEV.P(ABS(data!N98:U98),ABS(data!N110:U110),ABS(data!N122:U122))</f>
        <v>2.4712660557160637</v>
      </c>
      <c r="F62" s="45" t="s">
        <v>66</v>
      </c>
      <c r="G62" s="46" cm="1">
        <f t="array" ref="G62">_xlfn.STDEV.P(ABS(data!AH98:AO98),ABS(data!AH110:AO110),ABS(data!AH122:AO122))</f>
        <v>6.3628999269901092</v>
      </c>
      <c r="H62" s="45" t="s">
        <v>66</v>
      </c>
      <c r="I62" s="46" cm="1">
        <f t="array" ref="I62">_xlfn.STDEV.P(ABS(data!BB98:BI98),ABS(data!BB110:BI110),ABS(data!BB122:BI122))</f>
        <v>3.0292704612911825</v>
      </c>
      <c r="J62" s="45" t="s">
        <v>66</v>
      </c>
      <c r="K62" s="46" cm="1">
        <f t="array" ref="K62">_xlfn.STDEV.P(ABS(data!BV98:CC98),ABS(data!BV110:CC110),ABS(data!BV122:CC122))</f>
        <v>2.0029956018887063</v>
      </c>
      <c r="L62" s="45" t="s">
        <v>66</v>
      </c>
      <c r="M62" s="46" cm="1">
        <f t="array" ref="M62">_xlfn.STDEV.P(ABS(data!CP98:CW98),ABS(data!CP110:CW110),ABS(data!CP122:CW122))</f>
        <v>98.846564044805461</v>
      </c>
      <c r="N62" s="45" t="s">
        <v>66</v>
      </c>
      <c r="O62" s="46" cm="1">
        <f t="array" ref="O62">_xlfn.STDEV.P(ABS(data!DJ98:DQ98),ABS(data!DJ110:DQ110),ABS(data!DJ122:DQ122))</f>
        <v>339.06831141078493</v>
      </c>
      <c r="P62" s="45" t="s">
        <v>66</v>
      </c>
      <c r="Q62" s="46" cm="1">
        <f t="array" ref="Q62">_xlfn.STDEV.P(ABS(data!ED98:EK98),ABS(data!ED110:EK110),ABS(data!ED122:EK122))</f>
        <v>100.08384618717869</v>
      </c>
      <c r="R62" s="45" t="s">
        <v>66</v>
      </c>
      <c r="S62" s="46" cm="1">
        <f t="array" ref="S62">_xlfn.STDEV.P(ABS(data!EX98:FE98),ABS(data!EX110:FE110),ABS(data!EX122:FE122))</f>
        <v>352.17411178843633</v>
      </c>
    </row>
    <row r="63" spans="3:19" x14ac:dyDescent="0.3">
      <c r="C63" s="85"/>
      <c r="D63" s="47"/>
      <c r="E63" s="54"/>
      <c r="F63" s="47"/>
      <c r="G63" s="54"/>
      <c r="H63" s="47"/>
      <c r="I63" s="54"/>
      <c r="J63" s="47"/>
      <c r="K63" s="54"/>
      <c r="L63" s="47"/>
      <c r="M63" s="54"/>
      <c r="N63" s="47"/>
      <c r="O63" s="54"/>
      <c r="P63" s="47"/>
      <c r="Q63" s="54"/>
      <c r="R63" s="47"/>
      <c r="S63" s="54"/>
    </row>
    <row r="64" spans="3:19" x14ac:dyDescent="0.3">
      <c r="C64" s="66" t="s">
        <v>69</v>
      </c>
      <c r="D64" s="45" t="s">
        <v>65</v>
      </c>
      <c r="E64" s="46" cm="1">
        <f t="array" ref="E64">AVERAGE(ABS(data!N100:U100),ABS(data!N112:U112),ABS(data!N124:U124))</f>
        <v>0.25839330706016955</v>
      </c>
      <c r="F64" s="45" t="s">
        <v>65</v>
      </c>
      <c r="G64" s="46" cm="1">
        <f t="array" ref="G64">AVERAGE(ABS(data!AH100:AO100),ABS(data!AH112:AO112),ABS(data!AH124:AO124))</f>
        <v>0.15819061868856768</v>
      </c>
      <c r="H64" s="45" t="s">
        <v>65</v>
      </c>
      <c r="I64" s="46" cm="1">
        <f t="array" ref="I64">AVERAGE(ABS(data!BB100:BI100),ABS(data!BB112:BI112),ABS(data!BB124:BI124))</f>
        <v>5.8351631496627088E-2</v>
      </c>
      <c r="J64" s="45" t="s">
        <v>65</v>
      </c>
      <c r="K64" s="46" cm="1">
        <f t="array" ref="K64">AVERAGE(ABS(data!BV100:CC100),ABS(data!BV112:CC112),ABS(data!BV124:CC124))</f>
        <v>0.1114922743475991</v>
      </c>
      <c r="L64" s="45" t="s">
        <v>65</v>
      </c>
      <c r="M64" s="46" cm="1">
        <f t="array" ref="M64">AVERAGE(ABS(data!CP100:CW100),ABS(data!CP112:CW112),ABS(data!CP124:CW124))</f>
        <v>3.1052808791953854</v>
      </c>
      <c r="N64" s="45" t="s">
        <v>65</v>
      </c>
      <c r="O64" s="46" cm="1">
        <f t="array" ref="O64">AVERAGE(ABS(data!DJ100:DQ100),ABS(data!DJ112:DQ112),ABS(data!DJ124:DQ124))</f>
        <v>2.1375894220651617</v>
      </c>
      <c r="P64" s="45" t="s">
        <v>65</v>
      </c>
      <c r="Q64" s="46" cm="1">
        <f t="array" ref="Q64">AVERAGE(ABS(data!ED100:EK100),ABS(data!ED112:EK112),ABS(data!ED124:EK124))</f>
        <v>2.2347702676518506</v>
      </c>
      <c r="R64" s="45" t="s">
        <v>65</v>
      </c>
      <c r="S64" s="46" cm="1">
        <f t="array" ref="S64">AVERAGE(ABS(data!EX100:FE100),ABS(data!EX112:FE112),ABS(data!EX124:FE124))</f>
        <v>2.7059361267517112</v>
      </c>
    </row>
    <row r="65" spans="3:19" x14ac:dyDescent="0.3">
      <c r="C65" s="66"/>
      <c r="D65" s="45" t="s">
        <v>66</v>
      </c>
      <c r="E65" s="46" cm="1">
        <f t="array" ref="E65">_xlfn.STDEV.P(ABS(data!N100:U100),ABS(data!N112:U112),ABS(data!N124:U124))</f>
        <v>0.18158200110412365</v>
      </c>
      <c r="F65" s="45" t="s">
        <v>66</v>
      </c>
      <c r="G65" s="46" cm="1">
        <f t="array" ref="G65">_xlfn.STDEV.P(ABS(data!AH100:AO100),ABS(data!AH112:AO112),ABS(data!AH124:AO124))</f>
        <v>0.10841644759216475</v>
      </c>
      <c r="H65" s="45" t="s">
        <v>66</v>
      </c>
      <c r="I65" s="46" cm="1">
        <f t="array" ref="I65">_xlfn.STDEV.P(ABS(data!BB100:BI100),ABS(data!BB112:BI112),ABS(data!BB124:BI124))</f>
        <v>6.0711650703484311E-2</v>
      </c>
      <c r="J65" s="45" t="s">
        <v>66</v>
      </c>
      <c r="K65" s="46" cm="1">
        <f t="array" ref="K65">_xlfn.STDEV.P(ABS(data!BV100:CC100),ABS(data!BV112:CC112),ABS(data!BV124:CC124))</f>
        <v>9.9884939105016335E-2</v>
      </c>
      <c r="L65" s="45" t="s">
        <v>66</v>
      </c>
      <c r="M65" s="46" cm="1">
        <f t="array" ref="M65">_xlfn.STDEV.P(ABS(data!CP100:CW100),ABS(data!CP112:CW112),ABS(data!CP124:CW124))</f>
        <v>4.0743630408292892</v>
      </c>
      <c r="N65" s="45" t="s">
        <v>66</v>
      </c>
      <c r="O65" s="46" cm="1">
        <f t="array" ref="O65">_xlfn.STDEV.P(ABS(data!DJ100:DQ100),ABS(data!DJ112:DQ112),ABS(data!DJ124:DQ124))</f>
        <v>1.118464343133712</v>
      </c>
      <c r="P65" s="45" t="s">
        <v>66</v>
      </c>
      <c r="Q65" s="46" cm="1">
        <f t="array" ref="Q65">_xlfn.STDEV.P(ABS(data!ED100:EK100),ABS(data!ED112:EK112),ABS(data!ED124:EK124))</f>
        <v>0.89917851990918629</v>
      </c>
      <c r="R65" s="45" t="s">
        <v>66</v>
      </c>
      <c r="S65" s="46" cm="1">
        <f t="array" ref="S65">_xlfn.STDEV.P(ABS(data!EX100:FE100),ABS(data!EX112:FE112),ABS(data!EX124:FE124))</f>
        <v>1.3622017250686975</v>
      </c>
    </row>
    <row r="66" spans="3:19" x14ac:dyDescent="0.3">
      <c r="C66" s="66"/>
      <c r="D66" s="45" t="s">
        <v>67</v>
      </c>
      <c r="E66" s="46" cm="1">
        <f t="array" ref="E66">AVERAGE(ABS(data!N101:U101),ABS(data!N113:U113),ABS(data!N125:U125))</f>
        <v>7.397807531724486</v>
      </c>
      <c r="F66" s="45" t="s">
        <v>67</v>
      </c>
      <c r="G66" s="46" cm="1">
        <f t="array" ref="G66">AVERAGE(ABS(data!AH101:AO101),ABS(data!AH113:AO113),ABS(data!AH125:AO125))</f>
        <v>6.7122106022129655</v>
      </c>
      <c r="H66" s="45" t="s">
        <v>67</v>
      </c>
      <c r="I66" s="46" cm="1">
        <f t="array" ref="I66">AVERAGE(ABS(data!BB101:BI101),ABS(data!BB113:BI113),ABS(data!BB125:BI125))</f>
        <v>2.1699079028959698</v>
      </c>
      <c r="J66" s="45" t="s">
        <v>67</v>
      </c>
      <c r="K66" s="46" cm="1">
        <f t="array" ref="K66">AVERAGE(ABS(data!BV101:CC101),ABS(data!BV113:CC113),ABS(data!BV125:CC125))</f>
        <v>2.6481819959709578</v>
      </c>
      <c r="L66" s="45" t="s">
        <v>67</v>
      </c>
      <c r="M66" s="46" cm="1">
        <f t="array" ref="M66">AVERAGE(ABS(data!CP101:CW101),ABS(data!CP113:CW113),ABS(data!CP125:CW125))</f>
        <v>103.81619003568943</v>
      </c>
      <c r="N66" s="45" t="s">
        <v>67</v>
      </c>
      <c r="O66" s="46" cm="1">
        <f t="array" ref="O66">AVERAGE(ABS(data!DJ101:DQ101),ABS(data!DJ113:DQ113),ABS(data!DJ125:DQ125))</f>
        <v>389.9463870356588</v>
      </c>
      <c r="P66" s="45" t="s">
        <v>67</v>
      </c>
      <c r="Q66" s="46" cm="1">
        <f t="array" ref="Q66">AVERAGE(ABS(data!ED101:EK101),ABS(data!ED113:EK113),ABS(data!ED125:EK125))</f>
        <v>170.50383507214514</v>
      </c>
      <c r="R66" s="45" t="s">
        <v>67</v>
      </c>
      <c r="S66" s="46" cm="1">
        <f t="array" ref="S66">AVERAGE(ABS(data!EX101:FE101),ABS(data!EX113:FE113),ABS(data!EX125:FE125))</f>
        <v>312.99951747330169</v>
      </c>
    </row>
    <row r="67" spans="3:19" x14ac:dyDescent="0.3">
      <c r="C67" s="66"/>
      <c r="D67" s="45" t="s">
        <v>66</v>
      </c>
      <c r="E67" s="46" cm="1">
        <f t="array" ref="E67">_xlfn.STDEV.P(ABS(data!N101:U101),ABS(data!N113:U113),ABS(data!N125:U125))</f>
        <v>2.9145208326477796</v>
      </c>
      <c r="F67" s="45" t="s">
        <v>66</v>
      </c>
      <c r="G67" s="46" cm="1">
        <f t="array" ref="G67">_xlfn.STDEV.P(ABS(data!AH101:AO101),ABS(data!AH113:AO113),ABS(data!AH125:AO125))</f>
        <v>4.9136048388935469</v>
      </c>
      <c r="H67" s="45" t="s">
        <v>66</v>
      </c>
      <c r="I67" s="46" cm="1">
        <f t="array" ref="I67">_xlfn.STDEV.P(ABS(data!BB101:BI101),ABS(data!BB113:BI113),ABS(data!BB125:BI125))</f>
        <v>3.2054087467439301</v>
      </c>
      <c r="J67" s="45" t="s">
        <v>66</v>
      </c>
      <c r="K67" s="46" cm="1">
        <f t="array" ref="K67">_xlfn.STDEV.P(ABS(data!BV101:CC101),ABS(data!BV113:CC113),ABS(data!BV125:CC125))</f>
        <v>2.672472109462412</v>
      </c>
      <c r="L67" s="45" t="s">
        <v>66</v>
      </c>
      <c r="M67" s="46" cm="1">
        <f t="array" ref="M67">_xlfn.STDEV.P(ABS(data!CP101:CW101),ABS(data!CP113:CW113),ABS(data!CP125:CW125))</f>
        <v>100.17753791033616</v>
      </c>
      <c r="N67" s="45" t="s">
        <v>66</v>
      </c>
      <c r="O67" s="46" cm="1">
        <f t="array" ref="O67">_xlfn.STDEV.P(ABS(data!DJ101:DQ101),ABS(data!DJ113:DQ113),ABS(data!DJ125:DQ125))</f>
        <v>340.19031542960067</v>
      </c>
      <c r="P67" s="45" t="s">
        <v>66</v>
      </c>
      <c r="Q67" s="46" cm="1">
        <f t="array" ref="Q67">_xlfn.STDEV.P(ABS(data!ED101:EK101),ABS(data!ED113:EK113),ABS(data!ED125:EK125))</f>
        <v>99.472552738623932</v>
      </c>
      <c r="R67" s="45" t="s">
        <v>66</v>
      </c>
      <c r="S67" s="46" cm="1">
        <f t="array" ref="S67">_xlfn.STDEV.P(ABS(data!EX101:FE101),ABS(data!EX113:FE113),ABS(data!EX125:FE125))</f>
        <v>351.83920838651409</v>
      </c>
    </row>
    <row r="68" spans="3:19" x14ac:dyDescent="0.3">
      <c r="C68" s="85"/>
      <c r="D68" s="45"/>
      <c r="E68" s="46"/>
      <c r="F68" s="45"/>
      <c r="G68" s="46"/>
      <c r="H68" s="45"/>
      <c r="I68" s="46"/>
      <c r="J68" s="45"/>
      <c r="K68" s="46"/>
      <c r="L68" s="45"/>
      <c r="M68" s="46"/>
      <c r="N68" s="45"/>
      <c r="O68" s="46"/>
      <c r="P68" s="45"/>
      <c r="Q68" s="46"/>
      <c r="R68" s="45"/>
      <c r="S68" s="46"/>
    </row>
    <row r="69" spans="3:19" x14ac:dyDescent="0.3">
      <c r="C69" s="66" t="s">
        <v>70</v>
      </c>
      <c r="D69" s="52" t="s">
        <v>65</v>
      </c>
      <c r="E69" s="53">
        <f>AVERAGE(E54,E59,E64)</f>
        <v>0.25005997372683625</v>
      </c>
      <c r="F69" s="52" t="s">
        <v>65</v>
      </c>
      <c r="G69" s="53">
        <f>AVERAGE(G54,G59,G64)</f>
        <v>0.14645893832785428</v>
      </c>
      <c r="H69" s="52" t="s">
        <v>65</v>
      </c>
      <c r="I69" s="53">
        <f>AVERAGE(I54,I59,I64)</f>
        <v>6.1720453082639522E-2</v>
      </c>
      <c r="J69" s="52" t="s">
        <v>65</v>
      </c>
      <c r="K69" s="53">
        <f>AVERAGE(K54,K59,K64)</f>
        <v>0.10843301402485801</v>
      </c>
      <c r="L69" s="52" t="s">
        <v>65</v>
      </c>
      <c r="M69" s="53">
        <f>AVERAGE(M54,M59,M64)</f>
        <v>3.0994475458620521</v>
      </c>
      <c r="N69" s="52" t="s">
        <v>65</v>
      </c>
      <c r="O69" s="53">
        <f>AVERAGE(O54,O59,O64)</f>
        <v>2.1288394220651612</v>
      </c>
      <c r="P69" s="52" t="s">
        <v>65</v>
      </c>
      <c r="Q69" s="53">
        <f>AVERAGE(Q54,Q59,Q64)</f>
        <v>2.2156036009851836</v>
      </c>
      <c r="R69" s="52" t="s">
        <v>65</v>
      </c>
      <c r="S69" s="53">
        <f>AVERAGE(S54,S59,S64)</f>
        <v>2.7005194600850451</v>
      </c>
    </row>
    <row r="70" spans="3:19" x14ac:dyDescent="0.3">
      <c r="C70" s="66"/>
      <c r="D70" s="45" t="s">
        <v>71</v>
      </c>
      <c r="E70" s="46">
        <f>AVERAGE(E55,E60,E65)</f>
        <v>0.17652354981201604</v>
      </c>
      <c r="F70" s="45" t="s">
        <v>71</v>
      </c>
      <c r="G70" s="46">
        <f>AVERAGE(G55,G60,G65)</f>
        <v>0.10044121226419568</v>
      </c>
      <c r="H70" s="45" t="s">
        <v>71</v>
      </c>
      <c r="I70" s="46">
        <f>AVERAGE(I55,I60,I65)</f>
        <v>6.0945634066694003E-2</v>
      </c>
      <c r="J70" s="45" t="s">
        <v>71</v>
      </c>
      <c r="K70" s="46">
        <f>AVERAGE(K55,K60,K65)</f>
        <v>9.3384123492196644E-2</v>
      </c>
      <c r="L70" s="45" t="s">
        <v>71</v>
      </c>
      <c r="M70" s="46">
        <f>AVERAGE(M55,M60,M65)</f>
        <v>4.0805914068219273</v>
      </c>
      <c r="N70" s="45" t="s">
        <v>71</v>
      </c>
      <c r="O70" s="46">
        <f>AVERAGE(O55,O60,O65)</f>
        <v>1.1093300579165906</v>
      </c>
      <c r="P70" s="45" t="s">
        <v>71</v>
      </c>
      <c r="Q70" s="46">
        <f>AVERAGE(Q55,Q60,Q65)</f>
        <v>0.88320115270912936</v>
      </c>
      <c r="R70" s="45" t="s">
        <v>71</v>
      </c>
      <c r="S70" s="46">
        <f>AVERAGE(S55,S60,S65)</f>
        <v>1.3632412003661376</v>
      </c>
    </row>
    <row r="71" spans="3:19" x14ac:dyDescent="0.3">
      <c r="C71" s="66"/>
      <c r="D71" s="45" t="s">
        <v>67</v>
      </c>
      <c r="E71" s="46">
        <f>AVERAGE(E56,E61,E66)</f>
        <v>7.0060460016019412</v>
      </c>
      <c r="F71" s="45" t="s">
        <v>67</v>
      </c>
      <c r="G71" s="46">
        <f>AVERAGE(G56,G61,G66)</f>
        <v>6.4232560594473256</v>
      </c>
      <c r="H71" s="45" t="s">
        <v>67</v>
      </c>
      <c r="I71" s="46">
        <f>AVERAGE(I56,I61,I66)</f>
        <v>2.2987968268451033</v>
      </c>
      <c r="J71" s="45" t="s">
        <v>67</v>
      </c>
      <c r="K71" s="46">
        <f>AVERAGE(K56,K61,K66)</f>
        <v>2.5687872124701361</v>
      </c>
      <c r="L71" s="45" t="s">
        <v>67</v>
      </c>
      <c r="M71" s="46">
        <f>AVERAGE(M56,M61,M66)</f>
        <v>103.41681539472673</v>
      </c>
      <c r="N71" s="45" t="s">
        <v>67</v>
      </c>
      <c r="O71" s="46">
        <f>AVERAGE(O56,O61,O66)</f>
        <v>387.9262447685357</v>
      </c>
      <c r="P71" s="45" t="s">
        <v>67</v>
      </c>
      <c r="Q71" s="46">
        <f>AVERAGE(Q56,Q61,Q66)</f>
        <v>168.67050406047278</v>
      </c>
      <c r="R71" s="45" t="s">
        <v>67</v>
      </c>
      <c r="S71" s="46">
        <f>AVERAGE(S56,S61,S66)</f>
        <v>312.41307441310863</v>
      </c>
    </row>
    <row r="72" spans="3:19" x14ac:dyDescent="0.3">
      <c r="C72" s="66"/>
      <c r="D72" s="45" t="s">
        <v>66</v>
      </c>
      <c r="E72" s="46">
        <f>AVERAGE(E57,E62,E67)</f>
        <v>2.861688788869261</v>
      </c>
      <c r="F72" s="45" t="s">
        <v>66</v>
      </c>
      <c r="G72" s="46">
        <f>AVERAGE(G57,G62,G67)</f>
        <v>5.0087648819888599</v>
      </c>
      <c r="H72" s="45" t="s">
        <v>66</v>
      </c>
      <c r="I72" s="46">
        <f>AVERAGE(I57,I62,I67)</f>
        <v>3.4555883175652489</v>
      </c>
      <c r="J72" s="45" t="s">
        <v>66</v>
      </c>
      <c r="K72" s="46">
        <f>AVERAGE(K57,K62,K67)</f>
        <v>2.4209146620854516</v>
      </c>
      <c r="L72" s="45" t="s">
        <v>66</v>
      </c>
      <c r="M72" s="46">
        <f>AVERAGE(M57,M62,M67)</f>
        <v>100.1006129236071</v>
      </c>
      <c r="N72" s="45" t="s">
        <v>66</v>
      </c>
      <c r="O72" s="46">
        <f>AVERAGE(O57,O62,O67)</f>
        <v>336.69381115105438</v>
      </c>
      <c r="P72" s="45" t="s">
        <v>66</v>
      </c>
      <c r="Q72" s="46">
        <f>AVERAGE(Q57,Q62,Q67)</f>
        <v>97.440796503300589</v>
      </c>
      <c r="R72" s="45" t="s">
        <v>66</v>
      </c>
      <c r="S72" s="46">
        <f>AVERAGE(S57,S62,S67)</f>
        <v>350.51862997031884</v>
      </c>
    </row>
    <row r="73" spans="3:19" ht="15" thickBot="1" x14ac:dyDescent="0.35">
      <c r="C73" s="67"/>
      <c r="D73" s="48"/>
      <c r="E73" s="49"/>
      <c r="F73" s="48"/>
      <c r="G73" s="49"/>
      <c r="H73" s="48"/>
      <c r="I73" s="49"/>
      <c r="J73" s="48"/>
      <c r="K73" s="49"/>
      <c r="L73" s="48"/>
      <c r="M73" s="49"/>
      <c r="N73" s="48"/>
      <c r="O73" s="49"/>
      <c r="P73" s="48"/>
      <c r="Q73" s="49"/>
      <c r="R73" s="48"/>
      <c r="S73" s="49"/>
    </row>
    <row r="77" spans="3:19" ht="15" thickBot="1" x14ac:dyDescent="0.35">
      <c r="C77" s="86" t="s">
        <v>128</v>
      </c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</row>
    <row r="78" spans="3:19" ht="15" thickBot="1" x14ac:dyDescent="0.35">
      <c r="C78" s="44"/>
      <c r="D78" s="83" t="s">
        <v>57</v>
      </c>
      <c r="E78" s="84"/>
      <c r="F78" s="83" t="s">
        <v>58</v>
      </c>
      <c r="G78" s="84"/>
      <c r="H78" s="83" t="s">
        <v>59</v>
      </c>
      <c r="I78" s="84"/>
      <c r="J78" s="83" t="s">
        <v>60</v>
      </c>
      <c r="K78" s="84"/>
      <c r="L78" s="83" t="s">
        <v>61</v>
      </c>
      <c r="M78" s="84"/>
      <c r="N78" s="83" t="s">
        <v>62</v>
      </c>
      <c r="O78" s="84"/>
      <c r="P78" s="83" t="s">
        <v>63</v>
      </c>
      <c r="Q78" s="84"/>
      <c r="R78" s="83" t="s">
        <v>64</v>
      </c>
      <c r="S78" s="84"/>
    </row>
    <row r="79" spans="3:19" x14ac:dyDescent="0.3">
      <c r="C79" s="65" t="s">
        <v>23</v>
      </c>
      <c r="D79" s="50" t="s">
        <v>65</v>
      </c>
      <c r="E79" s="51">
        <f>AVERAGE(E29,E54,E4)</f>
        <v>0.17552383865349189</v>
      </c>
      <c r="F79" s="50" t="s">
        <v>65</v>
      </c>
      <c r="G79" s="51">
        <f>AVERAGE(G29,G54,G4)</f>
        <v>0.16111827914174878</v>
      </c>
      <c r="H79" s="50" t="s">
        <v>65</v>
      </c>
      <c r="I79" s="51">
        <f>AVERAGE(I29,I54,I4)</f>
        <v>0.11288458352450949</v>
      </c>
      <c r="J79" s="50" t="s">
        <v>65</v>
      </c>
      <c r="K79" s="51">
        <f>AVERAGE(K29,K54,K4)</f>
        <v>0.1246578459959647</v>
      </c>
      <c r="L79" s="50" t="s">
        <v>65</v>
      </c>
      <c r="M79" s="51">
        <f>AVERAGE(M29,M54,M4)</f>
        <v>2.1524865294397544</v>
      </c>
      <c r="N79" s="50" t="s">
        <v>65</v>
      </c>
      <c r="O79" s="51">
        <f>AVERAGE(O29,O54,O4)</f>
        <v>2.6251387657744565</v>
      </c>
      <c r="P79" s="50" t="s">
        <v>65</v>
      </c>
      <c r="Q79" s="51">
        <f>AVERAGE(Q29,Q54,Q4)</f>
        <v>2.1471093250335826</v>
      </c>
      <c r="R79" s="50" t="s">
        <v>65</v>
      </c>
      <c r="S79" s="51">
        <f>AVERAGE(S29,S54,S4)</f>
        <v>2.5775929275825358</v>
      </c>
    </row>
    <row r="80" spans="3:19" x14ac:dyDescent="0.3">
      <c r="C80" s="66"/>
      <c r="D80" s="45" t="s">
        <v>66</v>
      </c>
      <c r="E80" s="46">
        <f t="shared" ref="E80:G92" si="0">AVERAGE(E30,E55,E5)</f>
        <v>0.11924085069035883</v>
      </c>
      <c r="F80" s="45" t="s">
        <v>66</v>
      </c>
      <c r="G80" s="46">
        <f t="shared" si="0"/>
        <v>0.12771933441911762</v>
      </c>
      <c r="H80" s="45" t="s">
        <v>66</v>
      </c>
      <c r="I80" s="46">
        <f t="shared" ref="I80:I82" si="1">AVERAGE(I30,I55,I5)</f>
        <v>9.2571546436024429E-2</v>
      </c>
      <c r="J80" s="45" t="s">
        <v>66</v>
      </c>
      <c r="K80" s="46">
        <f t="shared" ref="K80:K82" si="2">AVERAGE(K30,K55,K5)</f>
        <v>0.10183377454074667</v>
      </c>
      <c r="L80" s="45" t="s">
        <v>66</v>
      </c>
      <c r="M80" s="46">
        <f t="shared" ref="M80:M81" si="3">AVERAGE(M30,M55,M5)</f>
        <v>2.3328970106312079</v>
      </c>
      <c r="N80" s="45" t="s">
        <v>66</v>
      </c>
      <c r="O80" s="46">
        <f t="shared" ref="O80:O82" si="4">AVERAGE(O30,O55,O5)</f>
        <v>1.2350813282920774</v>
      </c>
      <c r="P80" s="45" t="s">
        <v>66</v>
      </c>
      <c r="Q80" s="46">
        <f t="shared" ref="Q80:Q82" si="5">AVERAGE(Q30,Q55,Q5)</f>
        <v>1.3755807660110397</v>
      </c>
      <c r="R80" s="45" t="s">
        <v>66</v>
      </c>
      <c r="S80" s="46">
        <f t="shared" ref="S80:S81" si="6">AVERAGE(S30,S55,S5)</f>
        <v>1.3052599057124648</v>
      </c>
    </row>
    <row r="81" spans="3:19" x14ac:dyDescent="0.3">
      <c r="C81" s="66"/>
      <c r="D81" s="45" t="s">
        <v>67</v>
      </c>
      <c r="E81" s="46">
        <f t="shared" si="0"/>
        <v>5.0036377669970973</v>
      </c>
      <c r="F81" s="45" t="s">
        <v>67</v>
      </c>
      <c r="G81" s="46">
        <f t="shared" si="0"/>
        <v>5.2006475195371715</v>
      </c>
      <c r="H81" s="45" t="s">
        <v>67</v>
      </c>
      <c r="I81" s="46">
        <f t="shared" si="1"/>
        <v>3.787300397721912</v>
      </c>
      <c r="J81" s="45" t="s">
        <v>67</v>
      </c>
      <c r="K81" s="46">
        <f t="shared" si="2"/>
        <v>3.2199793320818877</v>
      </c>
      <c r="L81" s="45" t="s">
        <v>67</v>
      </c>
      <c r="M81" s="46">
        <f t="shared" si="3"/>
        <v>154.57367586839209</v>
      </c>
      <c r="N81" s="45" t="s">
        <v>67</v>
      </c>
      <c r="O81" s="46">
        <f t="shared" si="4"/>
        <v>545.94260813053518</v>
      </c>
      <c r="P81" s="45" t="s">
        <v>67</v>
      </c>
      <c r="Q81" s="46">
        <f t="shared" si="5"/>
        <v>205.01378694961048</v>
      </c>
      <c r="R81" s="45" t="s">
        <v>67</v>
      </c>
      <c r="S81" s="46">
        <f t="shared" si="6"/>
        <v>446.46522878890602</v>
      </c>
    </row>
    <row r="82" spans="3:19" x14ac:dyDescent="0.3">
      <c r="C82" s="66"/>
      <c r="D82" s="45" t="s">
        <v>66</v>
      </c>
      <c r="E82" s="46">
        <f t="shared" si="0"/>
        <v>3.1267207500004055</v>
      </c>
      <c r="F82" s="45" t="s">
        <v>66</v>
      </c>
      <c r="G82" s="46">
        <f t="shared" si="0"/>
        <v>4.2735456521264732</v>
      </c>
      <c r="H82" s="45" t="s">
        <v>66</v>
      </c>
      <c r="I82" s="46">
        <f t="shared" si="1"/>
        <v>3.247246652020209</v>
      </c>
      <c r="J82" s="45" t="s">
        <v>66</v>
      </c>
      <c r="K82" s="46">
        <f t="shared" si="2"/>
        <v>2.5608779336788703</v>
      </c>
      <c r="L82" s="45" t="s">
        <v>66</v>
      </c>
      <c r="M82" s="46">
        <f>AVERAGE(M32,M57,M7)</f>
        <v>161.95029744853022</v>
      </c>
      <c r="N82" s="45" t="s">
        <v>66</v>
      </c>
      <c r="O82" s="46">
        <f t="shared" si="4"/>
        <v>614.15945700474242</v>
      </c>
      <c r="P82" s="45" t="s">
        <v>66</v>
      </c>
      <c r="Q82" s="46">
        <f t="shared" si="5"/>
        <v>170.24434864817809</v>
      </c>
      <c r="R82" s="45" t="s">
        <v>66</v>
      </c>
      <c r="S82" s="46">
        <f>AVERAGE(S32,S57,S7)</f>
        <v>455.42444154303303</v>
      </c>
    </row>
    <row r="83" spans="3:19" x14ac:dyDescent="0.3">
      <c r="C83" s="85"/>
      <c r="D83" s="45"/>
      <c r="E83" s="46"/>
      <c r="F83" s="47"/>
      <c r="G83" s="46"/>
      <c r="H83" s="47"/>
      <c r="I83" s="46"/>
      <c r="J83" s="47"/>
      <c r="K83" s="46"/>
      <c r="L83" s="47"/>
      <c r="M83" s="46"/>
      <c r="N83" s="47"/>
      <c r="O83" s="46"/>
      <c r="P83" s="47"/>
      <c r="Q83" s="46"/>
      <c r="R83" s="47"/>
      <c r="S83" s="46"/>
    </row>
    <row r="84" spans="3:19" x14ac:dyDescent="0.3">
      <c r="C84" s="66" t="s">
        <v>68</v>
      </c>
      <c r="D84" s="52" t="s">
        <v>65</v>
      </c>
      <c r="E84" s="53">
        <f t="shared" si="0"/>
        <v>0.16080712500749891</v>
      </c>
      <c r="F84" s="45" t="s">
        <v>65</v>
      </c>
      <c r="G84" s="53">
        <f t="shared" si="0"/>
        <v>0.15497052735810854</v>
      </c>
      <c r="H84" s="45" t="s">
        <v>65</v>
      </c>
      <c r="I84" s="53">
        <f t="shared" ref="I84:I87" si="7">AVERAGE(I34,I59,I9)</f>
        <v>0.12269673502729705</v>
      </c>
      <c r="J84" s="45" t="s">
        <v>65</v>
      </c>
      <c r="K84" s="53">
        <f t="shared" ref="K84:K87" si="8">AVERAGE(K34,K59,K9)</f>
        <v>0.10103944934001167</v>
      </c>
      <c r="L84" s="45" t="s">
        <v>65</v>
      </c>
      <c r="M84" s="53">
        <f t="shared" ref="M84:M87" si="9">AVERAGE(M34,M59,M9)</f>
        <v>2.1610976405508655</v>
      </c>
      <c r="N84" s="45" t="s">
        <v>65</v>
      </c>
      <c r="O84" s="53">
        <f t="shared" ref="O84:O87" si="10">AVERAGE(O34,O59,O9)</f>
        <v>2.6368054324411232</v>
      </c>
      <c r="P84" s="45" t="s">
        <v>65</v>
      </c>
      <c r="Q84" s="53">
        <f t="shared" ref="Q84:Q87" si="11">AVERAGE(Q34,Q59,Q9)</f>
        <v>2.134609325033582</v>
      </c>
      <c r="R84" s="45" t="s">
        <v>65</v>
      </c>
      <c r="S84" s="53">
        <f t="shared" ref="S84:S86" si="12">AVERAGE(S34,S59,S9)</f>
        <v>2.5877318164714249</v>
      </c>
    </row>
    <row r="85" spans="3:19" x14ac:dyDescent="0.3">
      <c r="C85" s="66"/>
      <c r="D85" s="45" t="s">
        <v>66</v>
      </c>
      <c r="E85" s="46">
        <f t="shared" si="0"/>
        <v>0.11346601241668158</v>
      </c>
      <c r="F85" s="45" t="s">
        <v>66</v>
      </c>
      <c r="G85" s="46">
        <f t="shared" si="0"/>
        <v>0.12116264589673627</v>
      </c>
      <c r="H85" s="45" t="s">
        <v>66</v>
      </c>
      <c r="I85" s="46">
        <f t="shared" si="7"/>
        <v>0.1470613212106564</v>
      </c>
      <c r="J85" s="45" t="s">
        <v>66</v>
      </c>
      <c r="K85" s="46">
        <f t="shared" si="8"/>
        <v>9.7607123038203403E-2</v>
      </c>
      <c r="L85" s="45" t="s">
        <v>66</v>
      </c>
      <c r="M85" s="46">
        <f t="shared" si="9"/>
        <v>2.3334049569571302</v>
      </c>
      <c r="N85" s="45" t="s">
        <v>66</v>
      </c>
      <c r="O85" s="46">
        <f t="shared" si="10"/>
        <v>1.2211871660973326</v>
      </c>
      <c r="P85" s="45" t="s">
        <v>66</v>
      </c>
      <c r="Q85" s="46">
        <f t="shared" si="11"/>
        <v>1.3861510274018485</v>
      </c>
      <c r="R85" s="45" t="s">
        <v>66</v>
      </c>
      <c r="S85" s="46">
        <f>AVERAGE(S35,S60,S10)</f>
        <v>1.2955397771974846</v>
      </c>
    </row>
    <row r="86" spans="3:19" x14ac:dyDescent="0.3">
      <c r="C86" s="66"/>
      <c r="D86" s="45" t="s">
        <v>67</v>
      </c>
      <c r="E86" s="46">
        <f>AVERAGE(E36,E61,E11)</f>
        <v>4.6477195155067337</v>
      </c>
      <c r="F86" s="45" t="s">
        <v>67</v>
      </c>
      <c r="G86" s="46">
        <f t="shared" si="0"/>
        <v>5.3770721943235529</v>
      </c>
      <c r="H86" s="45" t="s">
        <v>67</v>
      </c>
      <c r="I86" s="46">
        <f t="shared" si="7"/>
        <v>3.9152889626017493</v>
      </c>
      <c r="J86" s="45" t="s">
        <v>67</v>
      </c>
      <c r="K86" s="46">
        <f t="shared" si="8"/>
        <v>2.4558428368038143</v>
      </c>
      <c r="L86" s="45" t="s">
        <v>67</v>
      </c>
      <c r="M86" s="46">
        <f>AVERAGE(M36,M61,M11)</f>
        <v>155.73121540127514</v>
      </c>
      <c r="N86" s="45" t="s">
        <v>67</v>
      </c>
      <c r="O86" s="46">
        <f t="shared" si="10"/>
        <v>551.95424024972806</v>
      </c>
      <c r="P86" s="45" t="s">
        <v>67</v>
      </c>
      <c r="Q86" s="46">
        <f>AVERAGE(Q36,Q61,Q11)</f>
        <v>205.56857012059314</v>
      </c>
      <c r="R86" s="45" t="s">
        <v>67</v>
      </c>
      <c r="S86" s="46">
        <f t="shared" si="12"/>
        <v>450.41750398376962</v>
      </c>
    </row>
    <row r="87" spans="3:19" x14ac:dyDescent="0.3">
      <c r="C87" s="66"/>
      <c r="D87" s="45" t="s">
        <v>66</v>
      </c>
      <c r="E87" s="46">
        <f t="shared" si="0"/>
        <v>2.773405125515088</v>
      </c>
      <c r="F87" s="45" t="s">
        <v>66</v>
      </c>
      <c r="G87" s="46">
        <f t="shared" si="0"/>
        <v>4.7824249579633831</v>
      </c>
      <c r="H87" s="45" t="s">
        <v>66</v>
      </c>
      <c r="I87" s="46">
        <f t="shared" si="7"/>
        <v>3.8877266270518764</v>
      </c>
      <c r="J87" s="45" t="s">
        <v>66</v>
      </c>
      <c r="K87" s="46">
        <f t="shared" si="8"/>
        <v>2.2787940565166691</v>
      </c>
      <c r="L87" s="45" t="s">
        <v>66</v>
      </c>
      <c r="M87" s="46">
        <f t="shared" si="9"/>
        <v>162.52098176057649</v>
      </c>
      <c r="N87" s="45" t="s">
        <v>66</v>
      </c>
      <c r="O87" s="46">
        <f t="shared" si="10"/>
        <v>619.12420460318242</v>
      </c>
      <c r="P87" s="45" t="s">
        <v>66</v>
      </c>
      <c r="Q87" s="46">
        <f t="shared" si="11"/>
        <v>174.72397686679324</v>
      </c>
      <c r="R87" s="45" t="s">
        <v>66</v>
      </c>
      <c r="S87" s="46">
        <f>AVERAGE(S37,S62,S12)</f>
        <v>461.36713074453797</v>
      </c>
    </row>
    <row r="88" spans="3:19" x14ac:dyDescent="0.3">
      <c r="C88" s="85"/>
      <c r="D88" s="47"/>
      <c r="E88" s="54"/>
      <c r="F88" s="47"/>
      <c r="G88" s="54"/>
      <c r="H88" s="47"/>
      <c r="I88" s="54"/>
      <c r="J88" s="47"/>
      <c r="K88" s="54"/>
      <c r="L88" s="47"/>
      <c r="M88" s="54"/>
      <c r="N88" s="47"/>
      <c r="O88" s="54"/>
      <c r="P88" s="47"/>
      <c r="Q88" s="54"/>
      <c r="R88" s="47"/>
      <c r="S88" s="54"/>
    </row>
    <row r="89" spans="3:19" x14ac:dyDescent="0.3">
      <c r="C89" s="66" t="s">
        <v>69</v>
      </c>
      <c r="D89" s="45" t="s">
        <v>65</v>
      </c>
      <c r="E89" s="46">
        <f t="shared" si="0"/>
        <v>0.16780413410557196</v>
      </c>
      <c r="F89" s="52" t="s">
        <v>65</v>
      </c>
      <c r="G89" s="46">
        <f t="shared" si="0"/>
        <v>0.17143002155833909</v>
      </c>
      <c r="H89" s="52" t="s">
        <v>65</v>
      </c>
      <c r="I89" s="46">
        <f t="shared" ref="I89:I91" si="13">AVERAGE(I39,I64,I14)</f>
        <v>0.11119387691282316</v>
      </c>
      <c r="J89" s="52" t="s">
        <v>65</v>
      </c>
      <c r="K89" s="46">
        <f t="shared" ref="K89:K92" si="14">AVERAGE(K39,K64,K14)</f>
        <v>0.10895254202409606</v>
      </c>
      <c r="L89" s="52" t="s">
        <v>65</v>
      </c>
      <c r="M89" s="46">
        <f t="shared" ref="M89:M92" si="15">AVERAGE(M39,M64,M14)</f>
        <v>2.1744309738841991</v>
      </c>
      <c r="N89" s="52" t="s">
        <v>65</v>
      </c>
      <c r="O89" s="46">
        <f t="shared" ref="O89:O92" si="16">AVERAGE(O39,O64,O14)</f>
        <v>2.6443054324411235</v>
      </c>
      <c r="P89" s="52" t="s">
        <v>65</v>
      </c>
      <c r="Q89" s="46">
        <f t="shared" ref="Q89:Q92" si="17">AVERAGE(Q39,Q64,Q14)</f>
        <v>2.1791926583669157</v>
      </c>
      <c r="R89" s="52" t="s">
        <v>65</v>
      </c>
      <c r="S89" s="46">
        <f t="shared" ref="S89:S92" si="18">AVERAGE(S39,S64,S14)</f>
        <v>2.6017595942492022</v>
      </c>
    </row>
    <row r="90" spans="3:19" x14ac:dyDescent="0.3">
      <c r="C90" s="66"/>
      <c r="D90" s="45" t="s">
        <v>66</v>
      </c>
      <c r="E90" s="46">
        <f>AVERAGE(E40,E65,E15)</f>
        <v>0.12210667550927212</v>
      </c>
      <c r="F90" s="45" t="s">
        <v>66</v>
      </c>
      <c r="G90" s="46">
        <f t="shared" si="0"/>
        <v>0.12333399693499263</v>
      </c>
      <c r="H90" s="45" t="s">
        <v>66</v>
      </c>
      <c r="I90" s="46">
        <f t="shared" si="13"/>
        <v>8.9302177784646386E-2</v>
      </c>
      <c r="J90" s="45" t="s">
        <v>66</v>
      </c>
      <c r="K90" s="46">
        <f t="shared" si="14"/>
        <v>0.10834294945248991</v>
      </c>
      <c r="L90" s="45" t="s">
        <v>66</v>
      </c>
      <c r="M90" s="46">
        <f t="shared" si="15"/>
        <v>2.3425339649241832</v>
      </c>
      <c r="N90" s="45" t="s">
        <v>66</v>
      </c>
      <c r="O90" s="46">
        <f t="shared" si="16"/>
        <v>1.233918526745325</v>
      </c>
      <c r="P90" s="45" t="s">
        <v>66</v>
      </c>
      <c r="Q90" s="46">
        <f t="shared" si="17"/>
        <v>1.3854334558479036</v>
      </c>
      <c r="R90" s="45" t="s">
        <v>66</v>
      </c>
      <c r="S90" s="46">
        <f t="shared" si="18"/>
        <v>1.3044653174793706</v>
      </c>
    </row>
    <row r="91" spans="3:19" x14ac:dyDescent="0.3">
      <c r="C91" s="66"/>
      <c r="D91" s="45" t="s">
        <v>67</v>
      </c>
      <c r="E91" s="46">
        <f t="shared" si="0"/>
        <v>4.9042070663598176</v>
      </c>
      <c r="F91" s="45" t="s">
        <v>67</v>
      </c>
      <c r="G91" s="46">
        <f t="shared" si="0"/>
        <v>5.6268167242635991</v>
      </c>
      <c r="H91" s="45" t="s">
        <v>67</v>
      </c>
      <c r="I91" s="46">
        <f t="shared" si="13"/>
        <v>3.6427283051328785</v>
      </c>
      <c r="J91" s="45" t="s">
        <v>67</v>
      </c>
      <c r="K91" s="46">
        <f t="shared" si="14"/>
        <v>2.6205806456850191</v>
      </c>
      <c r="L91" s="45" t="s">
        <v>67</v>
      </c>
      <c r="M91" s="46">
        <f t="shared" si="15"/>
        <v>157.37382925381868</v>
      </c>
      <c r="N91" s="45" t="s">
        <v>67</v>
      </c>
      <c r="O91" s="46">
        <f t="shared" si="16"/>
        <v>553.08835165885966</v>
      </c>
      <c r="P91" s="45" t="s">
        <v>67</v>
      </c>
      <c r="Q91" s="46">
        <f t="shared" si="17"/>
        <v>207.41109426486574</v>
      </c>
      <c r="R91" s="45" t="s">
        <v>67</v>
      </c>
      <c r="S91" s="46">
        <f t="shared" si="18"/>
        <v>451.92367419590374</v>
      </c>
    </row>
    <row r="92" spans="3:19" x14ac:dyDescent="0.3">
      <c r="C92" s="66"/>
      <c r="D92" s="45" t="s">
        <v>66</v>
      </c>
      <c r="E92" s="46">
        <f t="shared" si="0"/>
        <v>3.087314445468273</v>
      </c>
      <c r="F92" s="45" t="s">
        <v>66</v>
      </c>
      <c r="G92" s="46">
        <f t="shared" si="0"/>
        <v>4.384525095658975</v>
      </c>
      <c r="H92" s="45" t="s">
        <v>66</v>
      </c>
      <c r="I92" s="46">
        <f>AVERAGE(I42,I67,I17)</f>
        <v>2.930913151243574</v>
      </c>
      <c r="J92" s="45" t="s">
        <v>66</v>
      </c>
      <c r="K92" s="46">
        <f t="shared" si="14"/>
        <v>2.5437416979321061</v>
      </c>
      <c r="L92" s="45" t="s">
        <v>66</v>
      </c>
      <c r="M92" s="46">
        <f t="shared" si="15"/>
        <v>164.76912773325134</v>
      </c>
      <c r="N92" s="45" t="s">
        <v>66</v>
      </c>
      <c r="O92" s="46">
        <f t="shared" si="16"/>
        <v>622.72624482928188</v>
      </c>
      <c r="P92" s="45" t="s">
        <v>66</v>
      </c>
      <c r="Q92" s="46">
        <f t="shared" si="17"/>
        <v>171.04242271372422</v>
      </c>
      <c r="R92" s="45" t="s">
        <v>66</v>
      </c>
      <c r="S92" s="46">
        <f t="shared" si="18"/>
        <v>463.1946060515599</v>
      </c>
    </row>
    <row r="93" spans="3:19" ht="15" thickBot="1" x14ac:dyDescent="0.35">
      <c r="C93" s="67"/>
      <c r="D93" s="48"/>
      <c r="E93" s="49"/>
      <c r="F93" s="48"/>
      <c r="G93" s="49"/>
      <c r="H93" s="48"/>
      <c r="I93" s="49"/>
      <c r="J93" s="48"/>
      <c r="K93" s="49"/>
      <c r="L93" s="48"/>
      <c r="M93" s="49"/>
      <c r="N93" s="48"/>
      <c r="O93" s="49"/>
      <c r="P93" s="48"/>
      <c r="Q93" s="49"/>
      <c r="R93" s="48"/>
      <c r="S93" s="49"/>
    </row>
    <row r="97" spans="3:19" ht="15" thickBot="1" x14ac:dyDescent="0.35">
      <c r="C97" s="86" t="s">
        <v>129</v>
      </c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</row>
    <row r="98" spans="3:19" x14ac:dyDescent="0.3">
      <c r="H98" s="44"/>
      <c r="I98" s="83" t="s">
        <v>78</v>
      </c>
      <c r="J98" s="84"/>
      <c r="K98" s="83" t="s">
        <v>79</v>
      </c>
      <c r="L98" s="84"/>
    </row>
    <row r="99" spans="3:19" ht="14.4" customHeight="1" x14ac:dyDescent="0.3">
      <c r="H99" s="65" t="s">
        <v>23</v>
      </c>
      <c r="I99" s="50" t="s">
        <v>65</v>
      </c>
      <c r="J99" s="51">
        <f>AVERAGE(E79,G79,I79,K79)</f>
        <v>0.14354613682892872</v>
      </c>
      <c r="K99" s="50" t="s">
        <v>65</v>
      </c>
      <c r="L99" s="51">
        <f>AVERAGE(M79,O79,Q79,S79)</f>
        <v>2.3755818869575824</v>
      </c>
    </row>
    <row r="100" spans="3:19" ht="14.4" customHeight="1" x14ac:dyDescent="0.3">
      <c r="H100" s="66"/>
      <c r="I100" s="45" t="s">
        <v>66</v>
      </c>
      <c r="J100" s="46">
        <f t="shared" ref="J100:J112" si="19">AVERAGE(E80,G80,I80,K80)</f>
        <v>0.11034137652156188</v>
      </c>
      <c r="K100" s="45" t="s">
        <v>66</v>
      </c>
      <c r="L100" s="46">
        <f t="shared" ref="L100:L112" si="20">AVERAGE(M80,O80,Q80,S80)</f>
        <v>1.5622047526616973</v>
      </c>
    </row>
    <row r="101" spans="3:19" ht="14.4" customHeight="1" x14ac:dyDescent="0.3">
      <c r="H101" s="66"/>
      <c r="I101" s="45" t="s">
        <v>67</v>
      </c>
      <c r="J101" s="46">
        <f t="shared" si="19"/>
        <v>4.3028912540845177</v>
      </c>
      <c r="K101" s="45" t="s">
        <v>67</v>
      </c>
      <c r="L101" s="46">
        <f t="shared" si="20"/>
        <v>337.99882493436093</v>
      </c>
    </row>
    <row r="102" spans="3:19" ht="14.4" customHeight="1" x14ac:dyDescent="0.3">
      <c r="H102" s="66"/>
      <c r="I102" s="45" t="s">
        <v>66</v>
      </c>
      <c r="J102" s="46">
        <f t="shared" si="19"/>
        <v>3.3020977469564894</v>
      </c>
      <c r="K102" s="45" t="s">
        <v>66</v>
      </c>
      <c r="L102" s="46">
        <f t="shared" si="20"/>
        <v>350.44463616112091</v>
      </c>
    </row>
    <row r="103" spans="3:19" ht="14.4" customHeight="1" x14ac:dyDescent="0.3">
      <c r="H103" s="85"/>
      <c r="I103" s="45"/>
      <c r="J103" s="46"/>
      <c r="K103" s="45"/>
      <c r="L103" s="46"/>
    </row>
    <row r="104" spans="3:19" ht="14.4" customHeight="1" x14ac:dyDescent="0.3">
      <c r="H104" s="91" t="s">
        <v>68</v>
      </c>
      <c r="I104" s="52" t="s">
        <v>65</v>
      </c>
      <c r="J104" s="53">
        <f t="shared" si="19"/>
        <v>0.13487845918322905</v>
      </c>
      <c r="K104" s="52" t="s">
        <v>65</v>
      </c>
      <c r="L104" s="53">
        <f t="shared" si="20"/>
        <v>2.380061053624249</v>
      </c>
    </row>
    <row r="105" spans="3:19" ht="14.4" customHeight="1" x14ac:dyDescent="0.3">
      <c r="H105" s="66"/>
      <c r="I105" s="45" t="s">
        <v>66</v>
      </c>
      <c r="J105" s="46">
        <f t="shared" si="19"/>
        <v>0.11982427564056941</v>
      </c>
      <c r="K105" s="45" t="s">
        <v>66</v>
      </c>
      <c r="L105" s="46">
        <f t="shared" si="20"/>
        <v>1.5590707319134491</v>
      </c>
    </row>
    <row r="106" spans="3:19" ht="14.4" customHeight="1" x14ac:dyDescent="0.3">
      <c r="H106" s="66"/>
      <c r="I106" s="45" t="s">
        <v>67</v>
      </c>
      <c r="J106" s="46">
        <f t="shared" si="19"/>
        <v>4.0989808773089624</v>
      </c>
      <c r="K106" s="45" t="s">
        <v>67</v>
      </c>
      <c r="L106" s="46">
        <f t="shared" si="20"/>
        <v>340.9178824388415</v>
      </c>
    </row>
    <row r="107" spans="3:19" ht="14.4" customHeight="1" x14ac:dyDescent="0.3">
      <c r="H107" s="66"/>
      <c r="I107" s="45" t="s">
        <v>66</v>
      </c>
      <c r="J107" s="46">
        <f t="shared" si="19"/>
        <v>3.4305876917617537</v>
      </c>
      <c r="K107" s="45" t="s">
        <v>66</v>
      </c>
      <c r="L107" s="46">
        <f t="shared" si="20"/>
        <v>354.43407349377253</v>
      </c>
    </row>
    <row r="108" spans="3:19" ht="14.4" customHeight="1" x14ac:dyDescent="0.3">
      <c r="H108" s="85"/>
      <c r="I108" s="47"/>
      <c r="J108" s="54"/>
      <c r="K108" s="47"/>
      <c r="L108" s="54"/>
    </row>
    <row r="109" spans="3:19" ht="14.4" customHeight="1" x14ac:dyDescent="0.3">
      <c r="H109" s="91" t="s">
        <v>69</v>
      </c>
      <c r="I109" s="52" t="s">
        <v>65</v>
      </c>
      <c r="J109" s="53">
        <f t="shared" si="19"/>
        <v>0.13984514365020756</v>
      </c>
      <c r="K109" s="52" t="s">
        <v>65</v>
      </c>
      <c r="L109" s="53">
        <f t="shared" si="20"/>
        <v>2.3999221647353601</v>
      </c>
    </row>
    <row r="110" spans="3:19" ht="14.4" customHeight="1" x14ac:dyDescent="0.3">
      <c r="H110" s="66"/>
      <c r="I110" s="45" t="s">
        <v>66</v>
      </c>
      <c r="J110" s="46">
        <f>AVERAGE(E90,G90,I90,K90)</f>
        <v>0.11077144992035026</v>
      </c>
      <c r="K110" s="45" t="s">
        <v>66</v>
      </c>
      <c r="L110" s="46">
        <f t="shared" si="20"/>
        <v>1.5665878162491955</v>
      </c>
    </row>
    <row r="111" spans="3:19" ht="14.4" customHeight="1" x14ac:dyDescent="0.3">
      <c r="H111" s="66"/>
      <c r="I111" s="45" t="s">
        <v>67</v>
      </c>
      <c r="J111" s="46">
        <f t="shared" si="19"/>
        <v>4.198583185360329</v>
      </c>
      <c r="K111" s="45" t="s">
        <v>67</v>
      </c>
      <c r="L111" s="46">
        <f t="shared" si="20"/>
        <v>342.44923734336197</v>
      </c>
    </row>
    <row r="112" spans="3:19" ht="14.4" customHeight="1" x14ac:dyDescent="0.3">
      <c r="H112" s="66"/>
      <c r="I112" s="45" t="s">
        <v>66</v>
      </c>
      <c r="J112" s="46">
        <f t="shared" si="19"/>
        <v>3.2366235975757318</v>
      </c>
      <c r="K112" s="45" t="s">
        <v>66</v>
      </c>
      <c r="L112" s="46">
        <f t="shared" si="20"/>
        <v>355.43310033195434</v>
      </c>
    </row>
    <row r="113" spans="8:12" x14ac:dyDescent="0.3">
      <c r="H113" s="67"/>
      <c r="I113" s="48"/>
      <c r="J113" s="49"/>
      <c r="K113" s="56"/>
      <c r="L113" s="49"/>
    </row>
    <row r="117" spans="8:12" ht="15" thickBot="1" x14ac:dyDescent="0.35">
      <c r="H117" s="86" t="s">
        <v>130</v>
      </c>
      <c r="I117" s="86"/>
      <c r="J117" s="86"/>
      <c r="K117" s="86"/>
      <c r="L117" s="86"/>
    </row>
    <row r="118" spans="8:12" ht="15" thickBot="1" x14ac:dyDescent="0.35">
      <c r="H118" s="44"/>
      <c r="I118" s="83" t="s">
        <v>78</v>
      </c>
      <c r="J118" s="84"/>
      <c r="K118" s="83" t="s">
        <v>79</v>
      </c>
      <c r="L118" s="84"/>
    </row>
    <row r="119" spans="8:12" x14ac:dyDescent="0.3">
      <c r="H119" s="65"/>
      <c r="I119" s="50" t="s">
        <v>65</v>
      </c>
      <c r="J119" s="51">
        <f>AVERAGE(J99,J104,J109)</f>
        <v>0.13942324655412178</v>
      </c>
      <c r="K119" s="50" t="s">
        <v>65</v>
      </c>
      <c r="L119" s="51">
        <f>AVERAGE(L99,L104,L109)</f>
        <v>2.3851883684390636</v>
      </c>
    </row>
    <row r="120" spans="8:12" x14ac:dyDescent="0.3">
      <c r="H120" s="66"/>
      <c r="I120" s="45" t="s">
        <v>66</v>
      </c>
      <c r="J120" s="46">
        <f t="shared" ref="J120:J122" si="21">AVERAGE(J100,J105,J110)</f>
        <v>0.11364570069416052</v>
      </c>
      <c r="K120" s="45" t="s">
        <v>66</v>
      </c>
      <c r="L120" s="46">
        <f>AVERAGE(L100,L105,L110)</f>
        <v>1.5626211002747805</v>
      </c>
    </row>
    <row r="121" spans="8:12" x14ac:dyDescent="0.3">
      <c r="H121" s="66"/>
      <c r="I121" s="45" t="s">
        <v>67</v>
      </c>
      <c r="J121" s="46">
        <f>AVERAGE(J101,J106,J111)</f>
        <v>4.20015177225127</v>
      </c>
      <c r="K121" s="45" t="s">
        <v>67</v>
      </c>
      <c r="L121" s="46">
        <f t="shared" ref="L121" si="22">AVERAGE(L101,L106,L111)</f>
        <v>340.45531490552145</v>
      </c>
    </row>
    <row r="122" spans="8:12" x14ac:dyDescent="0.3">
      <c r="H122" s="66"/>
      <c r="I122" s="45" t="s">
        <v>66</v>
      </c>
      <c r="J122" s="46">
        <f t="shared" si="21"/>
        <v>3.3231030120979916</v>
      </c>
      <c r="K122" s="45" t="s">
        <v>66</v>
      </c>
      <c r="L122" s="46">
        <f>AVERAGE(L102,L107,L112)</f>
        <v>353.43726999561591</v>
      </c>
    </row>
    <row r="123" spans="8:12" ht="15" thickBot="1" x14ac:dyDescent="0.35">
      <c r="H123" s="85"/>
      <c r="I123" s="48"/>
      <c r="J123" s="55"/>
      <c r="K123" s="48"/>
      <c r="L123" s="55"/>
    </row>
  </sheetData>
  <mergeCells count="61">
    <mergeCell ref="C2:S2"/>
    <mergeCell ref="D3:E3"/>
    <mergeCell ref="F3:G3"/>
    <mergeCell ref="H3:I3"/>
    <mergeCell ref="J3:K3"/>
    <mergeCell ref="L3:M3"/>
    <mergeCell ref="N3:O3"/>
    <mergeCell ref="P3:Q3"/>
    <mergeCell ref="R3:S3"/>
    <mergeCell ref="C39:C43"/>
    <mergeCell ref="C4:C8"/>
    <mergeCell ref="C9:C13"/>
    <mergeCell ref="C14:C18"/>
    <mergeCell ref="C19:C23"/>
    <mergeCell ref="C27:S27"/>
    <mergeCell ref="D28:E28"/>
    <mergeCell ref="F28:G28"/>
    <mergeCell ref="H28:I28"/>
    <mergeCell ref="J28:K28"/>
    <mergeCell ref="L28:M28"/>
    <mergeCell ref="N28:O28"/>
    <mergeCell ref="P28:Q28"/>
    <mergeCell ref="R28:S28"/>
    <mergeCell ref="C29:C33"/>
    <mergeCell ref="C34:C38"/>
    <mergeCell ref="C44:C48"/>
    <mergeCell ref="C52:S52"/>
    <mergeCell ref="D53:E53"/>
    <mergeCell ref="F53:G53"/>
    <mergeCell ref="H53:I53"/>
    <mergeCell ref="J53:K53"/>
    <mergeCell ref="L53:M53"/>
    <mergeCell ref="N53:O53"/>
    <mergeCell ref="P53:Q53"/>
    <mergeCell ref="R53:S53"/>
    <mergeCell ref="C89:C93"/>
    <mergeCell ref="C54:C58"/>
    <mergeCell ref="C59:C63"/>
    <mergeCell ref="C64:C68"/>
    <mergeCell ref="C69:C73"/>
    <mergeCell ref="C77:S77"/>
    <mergeCell ref="D78:E78"/>
    <mergeCell ref="F78:G78"/>
    <mergeCell ref="H78:I78"/>
    <mergeCell ref="J78:K78"/>
    <mergeCell ref="L78:M78"/>
    <mergeCell ref="N78:O78"/>
    <mergeCell ref="P78:Q78"/>
    <mergeCell ref="R78:S78"/>
    <mergeCell ref="C79:C83"/>
    <mergeCell ref="C84:C88"/>
    <mergeCell ref="H117:L117"/>
    <mergeCell ref="I118:J118"/>
    <mergeCell ref="K118:L118"/>
    <mergeCell ref="H119:H123"/>
    <mergeCell ref="C97:S97"/>
    <mergeCell ref="I98:J98"/>
    <mergeCell ref="K98:L98"/>
    <mergeCell ref="H99:H103"/>
    <mergeCell ref="H104:H108"/>
    <mergeCell ref="H109:H1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55AD-6FFB-4E8A-B97F-D9AA948A09C8}">
  <dimension ref="C3:U91"/>
  <sheetViews>
    <sheetView workbookViewId="0"/>
  </sheetViews>
  <sheetFormatPr defaultRowHeight="14.4" x14ac:dyDescent="0.3"/>
  <cols>
    <col min="3" max="3" width="12.33203125" bestFit="1" customWidth="1"/>
    <col min="4" max="4" width="17.33203125" bestFit="1" customWidth="1"/>
    <col min="5" max="5" width="6.5546875" bestFit="1" customWidth="1"/>
    <col min="6" max="6" width="9.6640625" customWidth="1"/>
    <col min="7" max="7" width="12.33203125" bestFit="1" customWidth="1"/>
    <col min="8" max="8" width="17.44140625" customWidth="1"/>
    <col min="9" max="9" width="6.5546875" bestFit="1" customWidth="1"/>
    <col min="10" max="10" width="9.5546875" customWidth="1"/>
    <col min="11" max="11" width="12.33203125" bestFit="1" customWidth="1"/>
    <col min="12" max="12" width="17.33203125" bestFit="1" customWidth="1"/>
    <col min="13" max="13" width="6.5546875" bestFit="1" customWidth="1"/>
    <col min="15" max="15" width="12.33203125" bestFit="1" customWidth="1"/>
    <col min="16" max="16" width="17.33203125" bestFit="1" customWidth="1"/>
    <col min="17" max="17" width="8" bestFit="1" customWidth="1"/>
    <col min="19" max="19" width="12.33203125" bestFit="1" customWidth="1"/>
    <col min="20" max="20" width="17.33203125" bestFit="1" customWidth="1"/>
    <col min="21" max="21" width="6.5546875" bestFit="1" customWidth="1"/>
  </cols>
  <sheetData>
    <row r="3" spans="3:21" ht="94.2" customHeight="1" thickBot="1" x14ac:dyDescent="0.35">
      <c r="C3" s="82" t="s">
        <v>131</v>
      </c>
      <c r="D3" s="82"/>
      <c r="E3" s="82"/>
      <c r="G3" s="82" t="s">
        <v>132</v>
      </c>
      <c r="H3" s="82"/>
      <c r="I3" s="82"/>
      <c r="K3" s="82" t="s">
        <v>133</v>
      </c>
      <c r="L3" s="82"/>
      <c r="M3" s="82"/>
      <c r="O3" s="82" t="s">
        <v>134</v>
      </c>
      <c r="P3" s="82"/>
      <c r="Q3" s="82"/>
      <c r="S3" s="82" t="s">
        <v>135</v>
      </c>
      <c r="T3" s="82"/>
      <c r="U3" s="82"/>
    </row>
    <row r="4" spans="3:21" ht="15" thickBot="1" x14ac:dyDescent="0.35">
      <c r="C4" s="44" t="s">
        <v>86</v>
      </c>
      <c r="D4" s="88" t="s">
        <v>57</v>
      </c>
      <c r="E4" s="89"/>
      <c r="G4" s="44" t="s">
        <v>87</v>
      </c>
      <c r="H4" s="88" t="s">
        <v>57</v>
      </c>
      <c r="I4" s="89"/>
      <c r="K4" s="44" t="s">
        <v>88</v>
      </c>
      <c r="L4" s="88" t="s">
        <v>57</v>
      </c>
      <c r="M4" s="89"/>
      <c r="O4" s="44" t="s">
        <v>89</v>
      </c>
      <c r="P4" s="88" t="s">
        <v>57</v>
      </c>
      <c r="Q4" s="89"/>
      <c r="S4" s="44" t="s">
        <v>90</v>
      </c>
      <c r="T4" s="88" t="s">
        <v>57</v>
      </c>
      <c r="U4" s="89"/>
    </row>
    <row r="5" spans="3:21" x14ac:dyDescent="0.3">
      <c r="C5" s="65" t="s">
        <v>23</v>
      </c>
      <c r="D5" s="50" t="s">
        <v>65</v>
      </c>
      <c r="E5" s="51" cm="1">
        <f t="array" ref="E5">AVERAGE(ABS(data!N135:U135),ABS(data!N147:U147),ABS(data!N159:U159))</f>
        <v>7.7865808723678306E-2</v>
      </c>
      <c r="F5" s="57"/>
      <c r="G5" s="65" t="s">
        <v>23</v>
      </c>
      <c r="H5" s="50" t="s">
        <v>65</v>
      </c>
      <c r="I5" s="51" cm="1">
        <f t="array" ref="I5">AVERAGE(ABS(data!N174:U174),ABS(data!N186:U186),ABS(data!N198:U198))</f>
        <v>0.15863279506803041</v>
      </c>
      <c r="J5" s="57"/>
      <c r="K5" s="65" t="s">
        <v>23</v>
      </c>
      <c r="L5" s="50" t="s">
        <v>65</v>
      </c>
      <c r="M5" s="51" cm="1">
        <f t="array" ref="M5">AVERAGE(ABS(data!N215:U215),ABS(data!N227:U227),ABS(data!N239:U239))</f>
        <v>0.11514292542593683</v>
      </c>
      <c r="N5" s="57"/>
      <c r="O5" s="65" t="s">
        <v>23</v>
      </c>
      <c r="P5" s="50" t="s">
        <v>65</v>
      </c>
      <c r="Q5" s="51" cm="1">
        <f t="array" ref="Q5">AVERAGE(ABS(data!N256:U256),ABS(data!N268:U268),ABS(data!N280:U280))</f>
        <v>0.21529179740966964</v>
      </c>
      <c r="R5" s="57"/>
      <c r="S5" s="65" t="s">
        <v>23</v>
      </c>
      <c r="T5" s="50" t="s">
        <v>65</v>
      </c>
      <c r="U5" s="51" cm="1">
        <f t="array" ref="U5">AVERAGE(ABS(data!N297:U297),ABS(data!N309:U309),ABS(data!N321:U321))</f>
        <v>0.14718958384288411</v>
      </c>
    </row>
    <row r="6" spans="3:21" x14ac:dyDescent="0.3">
      <c r="C6" s="66"/>
      <c r="D6" s="45" t="s">
        <v>66</v>
      </c>
      <c r="E6" s="46" cm="1">
        <f t="array" ref="E6">_xlfn.STDEV.P(ABS(data!N135:U135),ABS(data!N147:U147),ABS(data!N159:U159))</f>
        <v>5.2605687030626576E-2</v>
      </c>
      <c r="F6" s="57"/>
      <c r="G6" s="66"/>
      <c r="H6" s="45" t="s">
        <v>66</v>
      </c>
      <c r="I6" s="46" cm="1">
        <f t="array" ref="I6">_xlfn.STDEV.P(ABS(data!N174:U174),ABS(data!N186:U186),ABS(data!N198:U198))</f>
        <v>7.4938533022972945E-2</v>
      </c>
      <c r="J6" s="57"/>
      <c r="K6" s="66"/>
      <c r="L6" s="45" t="s">
        <v>66</v>
      </c>
      <c r="M6" s="46" cm="1">
        <f t="array" ref="M6">_xlfn.STDEV.P(ABS(data!N215:U215),ABS(data!N227:U227),ABS(data!N239:U239))</f>
        <v>8.1761025203940893E-2</v>
      </c>
      <c r="N6" s="57"/>
      <c r="O6" s="66"/>
      <c r="P6" s="45" t="s">
        <v>66</v>
      </c>
      <c r="Q6" s="46" cm="1">
        <f t="array" ref="Q6">_xlfn.STDEV.P(ABS(data!N256:U256),ABS(data!N268:U268),ABS(data!N280:U280))</f>
        <v>0.18974579062779109</v>
      </c>
      <c r="R6" s="57"/>
      <c r="S6" s="66"/>
      <c r="T6" s="45" t="s">
        <v>66</v>
      </c>
      <c r="U6" s="46" cm="1">
        <f t="array" ref="U6">_xlfn.STDEV.P(ABS(data!N297:U297),ABS(data!N309:U309),ABS(data!N321:U321))</f>
        <v>0.10499321105567157</v>
      </c>
    </row>
    <row r="7" spans="3:21" x14ac:dyDescent="0.3">
      <c r="C7" s="66"/>
      <c r="D7" s="45" t="s">
        <v>67</v>
      </c>
      <c r="E7" s="46" cm="1">
        <f t="array" ref="E7">AVERAGE(ABS(data!N136:U136),ABS(data!N148:U148),ABS(data!N160:U160))</f>
        <v>2.2787460456919382</v>
      </c>
      <c r="F7" s="57"/>
      <c r="G7" s="66"/>
      <c r="H7" s="45" t="s">
        <v>67</v>
      </c>
      <c r="I7" s="46" cm="1">
        <f t="array" ref="I7">AVERAGE(ABS(data!N175:U175),ABS(data!N187:U187),ABS(data!N199:U199))</f>
        <v>5.4247173785335292</v>
      </c>
      <c r="J7" s="57"/>
      <c r="K7" s="66"/>
      <c r="L7" s="45" t="s">
        <v>67</v>
      </c>
      <c r="M7" s="46" cm="1">
        <f t="array" ref="M7">AVERAGE(ABS(data!N216:U216),ABS(data!N228:U228),ABS(data!N240:U240))</f>
        <v>4.9597007217941664</v>
      </c>
      <c r="N7" s="57"/>
      <c r="O7" s="66"/>
      <c r="P7" s="45" t="s">
        <v>67</v>
      </c>
      <c r="Q7" s="46" cm="1">
        <f t="array" ref="Q7">AVERAGE(ABS(data!N257:U257),ABS(data!N269:U269),ABS(data!N281:U281))</f>
        <v>7.8869688010065673</v>
      </c>
      <c r="R7" s="57"/>
      <c r="S7" s="66"/>
      <c r="T7" s="45" t="s">
        <v>67</v>
      </c>
      <c r="U7" s="46" cm="1">
        <f t="array" ref="U7">AVERAGE(ABS(data!N298:U298),ABS(data!N310:U310),ABS(data!N322:U322))</f>
        <v>9.5404077944009806</v>
      </c>
    </row>
    <row r="8" spans="3:21" x14ac:dyDescent="0.3">
      <c r="C8" s="66"/>
      <c r="D8" s="45" t="s">
        <v>66</v>
      </c>
      <c r="E8" s="46" cm="1">
        <f t="array" ref="E8">_xlfn.STDEV.P(ABS(data!N136:U136),ABS(data!N148:U148),ABS(data!N160:U160))</f>
        <v>1.3249236714516832</v>
      </c>
      <c r="F8" s="57"/>
      <c r="G8" s="66"/>
      <c r="H8" s="45" t="s">
        <v>66</v>
      </c>
      <c r="I8" s="46" cm="1">
        <f t="array" ref="I8">_xlfn.STDEV.P(ABS(data!N175:U175),ABS(data!N187:U187),ABS(data!N199:U199))</f>
        <v>2.1730686040044875</v>
      </c>
      <c r="J8" s="57"/>
      <c r="K8" s="66"/>
      <c r="L8" s="45" t="s">
        <v>66</v>
      </c>
      <c r="M8" s="46" cm="1">
        <f t="array" ref="M8">_xlfn.STDEV.P(ABS(data!N216:U216),ABS(data!N228:U228),ABS(data!N240:U240))</f>
        <v>6.7312853358713873</v>
      </c>
      <c r="N8" s="57"/>
      <c r="O8" s="66"/>
      <c r="P8" s="45" t="s">
        <v>66</v>
      </c>
      <c r="Q8" s="46" cm="1">
        <f t="array" ref="Q8">_xlfn.STDEV.P(ABS(data!N257:U257),ABS(data!N269:U269),ABS(data!N281:U281))</f>
        <v>6.696017197538005</v>
      </c>
      <c r="R8" s="57"/>
      <c r="S8" s="66"/>
      <c r="T8" s="45" t="s">
        <v>66</v>
      </c>
      <c r="U8" s="46" cm="1">
        <f t="array" ref="U8">_xlfn.STDEV.P(ABS(data!N298:U298),ABS(data!N310:U310),ABS(data!N322:U322))</f>
        <v>11.297806623095825</v>
      </c>
    </row>
    <row r="9" spans="3:21" x14ac:dyDescent="0.3">
      <c r="C9" s="85"/>
      <c r="D9" s="47"/>
      <c r="E9" s="54"/>
      <c r="F9" s="57"/>
      <c r="G9" s="85"/>
      <c r="H9" s="47"/>
      <c r="I9" s="54"/>
      <c r="J9" s="57"/>
      <c r="K9" s="85"/>
      <c r="L9" s="47"/>
      <c r="M9" s="54"/>
      <c r="N9" s="57"/>
      <c r="O9" s="85"/>
      <c r="P9" s="47"/>
      <c r="Q9" s="54"/>
      <c r="R9" s="57"/>
      <c r="S9" s="85"/>
      <c r="T9" s="47"/>
      <c r="U9" s="54"/>
    </row>
    <row r="10" spans="3:21" x14ac:dyDescent="0.3">
      <c r="C10" s="66" t="s">
        <v>68</v>
      </c>
      <c r="D10" s="45" t="s">
        <v>65</v>
      </c>
      <c r="E10" s="46" cm="1">
        <f t="array" ref="E10">AVERAGE(ABS(data!N138:U138),ABS(data!N150:U150),ABS(data!N162:U162))</f>
        <v>6.3573108128344866E-2</v>
      </c>
      <c r="F10" s="57"/>
      <c r="G10" s="66" t="s">
        <v>68</v>
      </c>
      <c r="H10" s="45" t="s">
        <v>65</v>
      </c>
      <c r="I10" s="46" cm="1">
        <f t="array" ref="I10">AVERAGE(ABS(data!N177:U177),ABS(data!N189:U189),ABS(data!N201:U201))</f>
        <v>6.136888920531542E-2</v>
      </c>
      <c r="J10" s="57"/>
      <c r="K10" s="66" t="s">
        <v>68</v>
      </c>
      <c r="L10" s="45" t="s">
        <v>65</v>
      </c>
      <c r="M10" s="46" cm="1">
        <f t="array" ref="M10">AVERAGE(ABS(data!N218:U218),ABS(data!N230:U230),ABS(data!N242:U242))</f>
        <v>7.4975649167699984E-2</v>
      </c>
      <c r="N10" s="57"/>
      <c r="O10" s="66" t="s">
        <v>68</v>
      </c>
      <c r="P10" s="45" t="s">
        <v>65</v>
      </c>
      <c r="Q10" s="46" cm="1">
        <f t="array" ref="Q10">AVERAGE(ABS(data!N259:U259),ABS(data!N271:U271),ABS(data!N283:U283))</f>
        <v>0.17867344352519957</v>
      </c>
      <c r="R10" s="57"/>
      <c r="S10" s="66" t="s">
        <v>68</v>
      </c>
      <c r="T10" s="45" t="s">
        <v>65</v>
      </c>
      <c r="U10" s="46" cm="1">
        <f t="array" ref="U10">AVERAGE(ABS(data!N300:U300),ABS(data!N312:U312),ABS(data!N324:U324))</f>
        <v>7.5836462992344963E-2</v>
      </c>
    </row>
    <row r="11" spans="3:21" x14ac:dyDescent="0.3">
      <c r="C11" s="66"/>
      <c r="D11" s="45" t="s">
        <v>66</v>
      </c>
      <c r="E11" s="46" cm="1">
        <f t="array" ref="E11">_xlfn.STDEV.P(ABS(data!N138:U138),ABS(data!N150:U150),ABS(data!N162:U162))</f>
        <v>4.9788668736928256E-2</v>
      </c>
      <c r="F11" s="57"/>
      <c r="G11" s="66"/>
      <c r="H11" s="45" t="s">
        <v>66</v>
      </c>
      <c r="I11" s="46" cm="1">
        <f t="array" ref="I11">_xlfn.STDEV.P(ABS(data!N177:U177),ABS(data!N189:U189),ABS(data!N201:U201))</f>
        <v>4.619167065757937E-2</v>
      </c>
      <c r="J11" s="57"/>
      <c r="K11" s="66"/>
      <c r="L11" s="45" t="s">
        <v>66</v>
      </c>
      <c r="M11" s="46" cm="1">
        <f t="array" ref="M11">_xlfn.STDEV.P(ABS(data!N218:U218),ABS(data!N230:U230),ABS(data!N242:U242))</f>
        <v>5.8746714407837318E-2</v>
      </c>
      <c r="N11" s="57"/>
      <c r="O11" s="66"/>
      <c r="P11" s="45" t="s">
        <v>66</v>
      </c>
      <c r="Q11" s="46" cm="1">
        <f t="array" ref="Q11">_xlfn.STDEV.P(ABS(data!N259:U259),ABS(data!N271:U271),ABS(data!N283:U283))</f>
        <v>0.22331838897125453</v>
      </c>
      <c r="R11" s="57"/>
      <c r="S11" s="66"/>
      <c r="T11" s="45" t="s">
        <v>66</v>
      </c>
      <c r="U11" s="46" cm="1">
        <f t="array" ref="U11">_xlfn.STDEV.P(ABS(data!N300:U300),ABS(data!N312:U312),ABS(data!N324:U324))</f>
        <v>6.2184177084772217E-2</v>
      </c>
    </row>
    <row r="12" spans="3:21" x14ac:dyDescent="0.3">
      <c r="C12" s="66"/>
      <c r="D12" s="45" t="s">
        <v>67</v>
      </c>
      <c r="E12" s="46" cm="1">
        <f t="array" ref="E12">AVERAGE(ABS(data!N139:U139),ABS(data!N151:U151),ABS(data!N163:U163))</f>
        <v>1.9866259474623638</v>
      </c>
      <c r="F12" s="57"/>
      <c r="G12" s="66"/>
      <c r="H12" s="45" t="s">
        <v>67</v>
      </c>
      <c r="I12" s="46" cm="1">
        <f t="array" ref="I12">AVERAGE(ABS(data!N178:U178),ABS(data!N190:U190),ABS(data!N202:U202))</f>
        <v>2.3107523178596461</v>
      </c>
      <c r="J12" s="57"/>
      <c r="K12" s="66"/>
      <c r="L12" s="45" t="s">
        <v>67</v>
      </c>
      <c r="M12" s="46" cm="1">
        <f t="array" ref="M12">AVERAGE(ABS(data!N219:U219),ABS(data!N231:U231),ABS(data!N243:U243))</f>
        <v>3.8164022696599589</v>
      </c>
      <c r="N12" s="57"/>
      <c r="O12" s="66"/>
      <c r="P12" s="45" t="s">
        <v>67</v>
      </c>
      <c r="Q12" s="46" cm="1">
        <f t="array" ref="Q12">AVERAGE(ABS(data!N260:U260),ABS(data!N272:U272),ABS(data!N284:U284))</f>
        <v>5.271382922968634</v>
      </c>
      <c r="R12" s="57"/>
      <c r="S12" s="66"/>
      <c r="T12" s="45" t="s">
        <v>67</v>
      </c>
      <c r="U12" s="46" cm="1">
        <f t="array" ref="U12">AVERAGE(ABS(data!N301:U301),ABS(data!N313:U313),ABS(data!N325:U325))</f>
        <v>4.9906792483648639</v>
      </c>
    </row>
    <row r="13" spans="3:21" x14ac:dyDescent="0.3">
      <c r="C13" s="66"/>
      <c r="D13" s="45" t="s">
        <v>66</v>
      </c>
      <c r="E13" s="46" cm="1">
        <f t="array" ref="E13">_xlfn.STDEV.P(ABS(data!N139:U139),ABS(data!N151:U151),ABS(data!N163:U163))</f>
        <v>1.4655657656052392</v>
      </c>
      <c r="F13" s="57"/>
      <c r="G13" s="66"/>
      <c r="H13" s="45" t="s">
        <v>66</v>
      </c>
      <c r="I13" s="46" cm="1">
        <f t="array" ref="I13">_xlfn.STDEV.P(ABS(data!N178:U178),ABS(data!N190:U190),ABS(data!N202:U202))</f>
        <v>1.7324612182430534</v>
      </c>
      <c r="J13" s="57"/>
      <c r="K13" s="66"/>
      <c r="L13" s="45" t="s">
        <v>66</v>
      </c>
      <c r="M13" s="46" cm="1">
        <f t="array" ref="M13">_xlfn.STDEV.P(ABS(data!N219:U219),ABS(data!N231:U231),ABS(data!N243:U243))</f>
        <v>4.4376627810804328</v>
      </c>
      <c r="N13" s="57"/>
      <c r="O13" s="66"/>
      <c r="P13" s="45" t="s">
        <v>66</v>
      </c>
      <c r="Q13" s="46" cm="1">
        <f t="array" ref="Q13">_xlfn.STDEV.P(ABS(data!N260:U260),ABS(data!N272:U272),ABS(data!N284:U284))</f>
        <v>3.9039388137401896</v>
      </c>
      <c r="R13" s="57"/>
      <c r="S13" s="66"/>
      <c r="T13" s="45" t="s">
        <v>66</v>
      </c>
      <c r="U13" s="46" cm="1">
        <f t="array" ref="U13">_xlfn.STDEV.P(ABS(data!N301:U301),ABS(data!N313:U313),ABS(data!N325:U325))</f>
        <v>6.7118681850858781</v>
      </c>
    </row>
    <row r="14" spans="3:21" x14ac:dyDescent="0.3">
      <c r="C14" s="85"/>
      <c r="D14" s="47"/>
      <c r="E14" s="54"/>
      <c r="F14" s="57"/>
      <c r="G14" s="85"/>
      <c r="H14" s="47"/>
      <c r="I14" s="54"/>
      <c r="J14" s="57"/>
      <c r="K14" s="85"/>
      <c r="L14" s="47"/>
      <c r="M14" s="54"/>
      <c r="N14" s="57"/>
      <c r="O14" s="85"/>
      <c r="P14" s="47"/>
      <c r="Q14" s="54"/>
      <c r="R14" s="57"/>
      <c r="S14" s="85"/>
      <c r="T14" s="47"/>
      <c r="U14" s="54"/>
    </row>
    <row r="15" spans="3:21" x14ac:dyDescent="0.3">
      <c r="C15" s="66" t="s">
        <v>69</v>
      </c>
      <c r="D15" s="45" t="s">
        <v>65</v>
      </c>
      <c r="E15" s="46" cm="1">
        <f t="array" ref="E15">AVERAGE(ABS(data!N141:U141),ABS(data!N153:U153),ABS(data!N165:U165))</f>
        <v>8.4869845082691728E-2</v>
      </c>
      <c r="F15" s="57"/>
      <c r="G15" s="66" t="s">
        <v>69</v>
      </c>
      <c r="H15" s="45" t="s">
        <v>65</v>
      </c>
      <c r="I15" s="46" cm="1">
        <f t="array" ref="I15">AVERAGE(ABS(data!N180:U180),ABS(data!N192:U192),ABS(data!N204:U204))</f>
        <v>9.878462230737034E-2</v>
      </c>
      <c r="J15" s="57"/>
      <c r="K15" s="66" t="s">
        <v>69</v>
      </c>
      <c r="L15" s="45" t="s">
        <v>65</v>
      </c>
      <c r="M15" s="46" cm="1">
        <f t="array" ref="M15">AVERAGE(ABS(data!N221:U221),ABS(data!N233:U233),ABS(data!N245:U245))</f>
        <v>9.9585024167700029E-2</v>
      </c>
      <c r="N15" s="57"/>
      <c r="O15" s="66" t="s">
        <v>69</v>
      </c>
      <c r="P15" s="45" t="s">
        <v>65</v>
      </c>
      <c r="Q15" s="46" cm="1">
        <f t="array" ref="Q15">AVERAGE(ABS(data!N262:U262),ABS(data!N274:U274),ABS(data!N286:U286))</f>
        <v>0.20367344352519967</v>
      </c>
      <c r="R15" s="57"/>
      <c r="S15" s="66" t="s">
        <v>69</v>
      </c>
      <c r="T15" s="45" t="s">
        <v>65</v>
      </c>
      <c r="U15" s="46" cm="1">
        <f t="array" ref="U15">AVERAGE(ABS(data!N303:U303),ABS(data!N315:U315),ABS(data!N327:U327))</f>
        <v>8.3439583842884232E-2</v>
      </c>
    </row>
    <row r="16" spans="3:21" x14ac:dyDescent="0.3">
      <c r="C16" s="66"/>
      <c r="D16" s="45" t="s">
        <v>66</v>
      </c>
      <c r="E16" s="46" cm="1">
        <f t="array" ref="E16">_xlfn.STDEV.P(ABS(data!N141:U141),ABS(data!N153:U153),ABS(data!N165:U165))</f>
        <v>6.1898367875136383E-2</v>
      </c>
      <c r="F16" s="57"/>
      <c r="G16" s="66"/>
      <c r="H16" s="45" t="s">
        <v>66</v>
      </c>
      <c r="I16" s="46" cm="1">
        <f t="array" ref="I16">_xlfn.STDEV.P(ABS(data!N180:U180),ABS(data!N192:U192),ABS(data!N204:U204))</f>
        <v>7.1920529661892857E-2</v>
      </c>
      <c r="J16" s="57"/>
      <c r="K16" s="66"/>
      <c r="L16" s="45" t="s">
        <v>66</v>
      </c>
      <c r="M16" s="46" cm="1">
        <f t="array" ref="M16">_xlfn.STDEV.P(ABS(data!N221:U221),ABS(data!N233:U233),ABS(data!N245:U245))</f>
        <v>5.7600024032844213E-2</v>
      </c>
      <c r="N16" s="57"/>
      <c r="O16" s="66"/>
      <c r="P16" s="45" t="s">
        <v>66</v>
      </c>
      <c r="Q16" s="46" cm="1">
        <f t="array" ref="Q16">_xlfn.STDEV.P(ABS(data!N262:U262),ABS(data!N274:U274),ABS(data!N286:U286))</f>
        <v>0.24293942608474056</v>
      </c>
      <c r="R16" s="57"/>
      <c r="S16" s="66"/>
      <c r="T16" s="45" t="s">
        <v>66</v>
      </c>
      <c r="U16" s="46" cm="1">
        <f t="array" ref="U16">_xlfn.STDEV.P(ABS(data!N303:U303),ABS(data!N315:U315),ABS(data!N327:U327))</f>
        <v>7.2785003216841018E-2</v>
      </c>
    </row>
    <row r="17" spans="3:21" x14ac:dyDescent="0.3">
      <c r="C17" s="66"/>
      <c r="D17" s="45" t="s">
        <v>67</v>
      </c>
      <c r="E17" s="46" cm="1">
        <f t="array" ref="E17">AVERAGE(ABS(data!N142:U142),ABS(data!N154:U154),ABS(data!N166:U166))</f>
        <v>2.6754910153121201</v>
      </c>
      <c r="F17" s="57"/>
      <c r="G17" s="66"/>
      <c r="H17" s="45" t="s">
        <v>67</v>
      </c>
      <c r="I17" s="46" cm="1">
        <f t="array" ref="I17">AVERAGE(ABS(data!N181:U181),ABS(data!N193:U193),ABS(data!N205:U205))</f>
        <v>3.2990900310406794</v>
      </c>
      <c r="J17" s="57"/>
      <c r="K17" s="66"/>
      <c r="L17" s="45" t="s">
        <v>67</v>
      </c>
      <c r="M17" s="46" cm="1">
        <f t="array" ref="M17">AVERAGE(ABS(data!N222:U222),ABS(data!N234:U234),ABS(data!N246:U246))</f>
        <v>4.4552908842987788</v>
      </c>
      <c r="N17" s="57"/>
      <c r="O17" s="66"/>
      <c r="P17" s="45" t="s">
        <v>67</v>
      </c>
      <c r="Q17" s="46" cm="1">
        <f t="array" ref="Q17">AVERAGE(ABS(data!N263:U263),ABS(data!N275:U275),ABS(data!N287:U287))</f>
        <v>6.442972035437009</v>
      </c>
      <c r="R17" s="57"/>
      <c r="S17" s="66"/>
      <c r="T17" s="45" t="s">
        <v>67</v>
      </c>
      <c r="U17" s="46" cm="1">
        <f t="array" ref="U17">AVERAGE(ABS(data!N304:U304),ABS(data!N316:U316),ABS(data!N328:U328))</f>
        <v>5.7481111357813086</v>
      </c>
    </row>
    <row r="18" spans="3:21" x14ac:dyDescent="0.3">
      <c r="C18" s="66"/>
      <c r="D18" s="45" t="s">
        <v>66</v>
      </c>
      <c r="E18" s="46" cm="1">
        <f t="array" ref="E18">_xlfn.STDEV.P(ABS(data!N142:U142),ABS(data!N154:U154),ABS(data!N166:U166))</f>
        <v>2.0488927897738063</v>
      </c>
      <c r="F18" s="57"/>
      <c r="G18" s="66"/>
      <c r="H18" s="45" t="s">
        <v>66</v>
      </c>
      <c r="I18" s="46" cm="1">
        <f t="array" ref="I18">_xlfn.STDEV.P(ABS(data!N181:U181),ABS(data!N193:U193),ABS(data!N205:U205))</f>
        <v>2.1086102440971182</v>
      </c>
      <c r="J18" s="57"/>
      <c r="K18" s="66"/>
      <c r="L18" s="45" t="s">
        <v>66</v>
      </c>
      <c r="M18" s="46" cm="1">
        <f t="array" ref="M18">_xlfn.STDEV.P(ABS(data!N222:U222),ABS(data!N234:U234),ABS(data!N246:U246))</f>
        <v>5.1581173784492655</v>
      </c>
      <c r="N18" s="57"/>
      <c r="O18" s="66"/>
      <c r="P18" s="45" t="s">
        <v>66</v>
      </c>
      <c r="Q18" s="46" cm="1">
        <f t="array" ref="Q18">_xlfn.STDEV.P(ABS(data!N263:U263),ABS(data!N275:U275),ABS(data!N287:U287))</f>
        <v>4.9441491200286842</v>
      </c>
      <c r="R18" s="57"/>
      <c r="S18" s="66"/>
      <c r="T18" s="45" t="s">
        <v>66</v>
      </c>
      <c r="U18" s="46" cm="1">
        <f t="array" ref="U18">_xlfn.STDEV.P(ABS(data!N304:U304),ABS(data!N316:U316),ABS(data!N328:U328))</f>
        <v>7.405546339952088</v>
      </c>
    </row>
    <row r="19" spans="3:21" x14ac:dyDescent="0.3">
      <c r="C19" s="85"/>
      <c r="D19" s="45"/>
      <c r="E19" s="46"/>
      <c r="F19" s="57"/>
      <c r="G19" s="85"/>
      <c r="H19" s="45"/>
      <c r="I19" s="46"/>
      <c r="J19" s="57"/>
      <c r="K19" s="85"/>
      <c r="L19" s="45"/>
      <c r="M19" s="46"/>
      <c r="N19" s="57"/>
      <c r="O19" s="85"/>
      <c r="P19" s="45"/>
      <c r="Q19" s="46"/>
      <c r="R19" s="57"/>
      <c r="S19" s="85"/>
      <c r="T19" s="45"/>
      <c r="U19" s="46"/>
    </row>
    <row r="20" spans="3:21" x14ac:dyDescent="0.3">
      <c r="C20" s="66" t="s">
        <v>70</v>
      </c>
      <c r="D20" s="52" t="s">
        <v>65</v>
      </c>
      <c r="E20" s="53">
        <f>AVERAGE(E5,E10,E15)</f>
        <v>7.5436253978238291E-2</v>
      </c>
      <c r="F20" s="57"/>
      <c r="G20" s="66" t="s">
        <v>70</v>
      </c>
      <c r="H20" s="52" t="s">
        <v>65</v>
      </c>
      <c r="I20" s="53">
        <f>AVERAGE(I5,I10,I15)</f>
        <v>0.10626210219357206</v>
      </c>
      <c r="J20" s="57"/>
      <c r="K20" s="66" t="s">
        <v>70</v>
      </c>
      <c r="L20" s="52" t="s">
        <v>65</v>
      </c>
      <c r="M20" s="53">
        <f>AVERAGE(M5,M10,M15)</f>
        <v>9.6567866253778945E-2</v>
      </c>
      <c r="N20" s="57"/>
      <c r="O20" s="66" t="s">
        <v>70</v>
      </c>
      <c r="P20" s="52" t="s">
        <v>65</v>
      </c>
      <c r="Q20" s="53">
        <f>AVERAGE(Q5,Q10,Q15)</f>
        <v>0.19921289482002294</v>
      </c>
      <c r="R20" s="57"/>
      <c r="S20" s="66" t="s">
        <v>70</v>
      </c>
      <c r="T20" s="52" t="s">
        <v>65</v>
      </c>
      <c r="U20" s="53">
        <f>AVERAGE(U5,U10,U15)</f>
        <v>0.10215521022603778</v>
      </c>
    </row>
    <row r="21" spans="3:21" x14ac:dyDescent="0.3">
      <c r="C21" s="66"/>
      <c r="D21" s="45" t="s">
        <v>71</v>
      </c>
      <c r="E21" s="46">
        <f>AVERAGE(E6,E11,E16)</f>
        <v>5.4764241214230402E-2</v>
      </c>
      <c r="F21" s="57"/>
      <c r="G21" s="66"/>
      <c r="H21" s="45" t="s">
        <v>71</v>
      </c>
      <c r="I21" s="46">
        <f>AVERAGE(I6,I11,I16)</f>
        <v>6.4350244447481719E-2</v>
      </c>
      <c r="J21" s="57"/>
      <c r="K21" s="66"/>
      <c r="L21" s="45" t="s">
        <v>71</v>
      </c>
      <c r="M21" s="46">
        <f>AVERAGE(M6,M11,M16)</f>
        <v>6.603592121487413E-2</v>
      </c>
      <c r="N21" s="57"/>
      <c r="O21" s="66"/>
      <c r="P21" s="45" t="s">
        <v>71</v>
      </c>
      <c r="Q21" s="46">
        <f>AVERAGE(Q6,Q11,Q16)</f>
        <v>0.21866786856126205</v>
      </c>
      <c r="R21" s="57"/>
      <c r="S21" s="66"/>
      <c r="T21" s="45" t="s">
        <v>71</v>
      </c>
      <c r="U21" s="46">
        <f>AVERAGE(U6,U11,U16)</f>
        <v>7.9987463785761603E-2</v>
      </c>
    </row>
    <row r="22" spans="3:21" x14ac:dyDescent="0.3">
      <c r="C22" s="66"/>
      <c r="D22" s="45" t="s">
        <v>67</v>
      </c>
      <c r="E22" s="46">
        <f>AVERAGE(E7,E12,E17)</f>
        <v>2.3136210028221407</v>
      </c>
      <c r="F22" s="57"/>
      <c r="G22" s="66"/>
      <c r="H22" s="45" t="s">
        <v>67</v>
      </c>
      <c r="I22" s="46">
        <f>AVERAGE(I7,I12,I17)</f>
        <v>3.6781865758112851</v>
      </c>
      <c r="J22" s="57"/>
      <c r="K22" s="66"/>
      <c r="L22" s="45" t="s">
        <v>67</v>
      </c>
      <c r="M22" s="46">
        <f>AVERAGE(M7,M12,M17)</f>
        <v>4.4104646252509676</v>
      </c>
      <c r="N22" s="57"/>
      <c r="O22" s="66"/>
      <c r="P22" s="45" t="s">
        <v>67</v>
      </c>
      <c r="Q22" s="46">
        <f>AVERAGE(Q7,Q12,Q17)</f>
        <v>6.5337745864707371</v>
      </c>
      <c r="R22" s="57"/>
      <c r="S22" s="66"/>
      <c r="T22" s="45" t="s">
        <v>67</v>
      </c>
      <c r="U22" s="46">
        <f>AVERAGE(U7,U12,U17)</f>
        <v>6.7597327261823841</v>
      </c>
    </row>
    <row r="23" spans="3:21" x14ac:dyDescent="0.3">
      <c r="C23" s="66"/>
      <c r="D23" s="45" t="s">
        <v>66</v>
      </c>
      <c r="E23" s="46">
        <f>AVERAGE(E8,E13,E18)</f>
        <v>1.6131274089435763</v>
      </c>
      <c r="F23" s="57"/>
      <c r="G23" s="66"/>
      <c r="H23" s="45" t="s">
        <v>66</v>
      </c>
      <c r="I23" s="46">
        <f>AVERAGE(I8,I13,I18)</f>
        <v>2.0047133554482195</v>
      </c>
      <c r="J23" s="57"/>
      <c r="K23" s="66"/>
      <c r="L23" s="45" t="s">
        <v>66</v>
      </c>
      <c r="M23" s="46">
        <f>AVERAGE(M8,M13,M18)</f>
        <v>5.4423551651336952</v>
      </c>
      <c r="N23" s="57"/>
      <c r="O23" s="66"/>
      <c r="P23" s="45" t="s">
        <v>66</v>
      </c>
      <c r="Q23" s="46">
        <f>AVERAGE(Q8,Q13,Q18)</f>
        <v>5.1813683771022925</v>
      </c>
      <c r="R23" s="57"/>
      <c r="S23" s="66"/>
      <c r="T23" s="45" t="s">
        <v>66</v>
      </c>
      <c r="U23" s="46">
        <f>AVERAGE(U8,U13,U18)</f>
        <v>8.4717403827112641</v>
      </c>
    </row>
    <row r="24" spans="3:21" ht="15" thickBot="1" x14ac:dyDescent="0.35">
      <c r="C24" s="67"/>
      <c r="D24" s="48"/>
      <c r="E24" s="49"/>
      <c r="F24" s="57"/>
      <c r="G24" s="67"/>
      <c r="H24" s="48"/>
      <c r="I24" s="49"/>
      <c r="J24" s="57"/>
      <c r="K24" s="67"/>
      <c r="L24" s="48"/>
      <c r="M24" s="49"/>
      <c r="N24" s="57"/>
      <c r="O24" s="67"/>
      <c r="P24" s="48"/>
      <c r="Q24" s="49"/>
      <c r="R24" s="57"/>
      <c r="S24" s="67"/>
      <c r="T24" s="48"/>
      <c r="U24" s="49"/>
    </row>
    <row r="28" spans="3:21" ht="15" thickBot="1" x14ac:dyDescent="0.35">
      <c r="C28" s="82" t="s">
        <v>136</v>
      </c>
      <c r="D28" s="82"/>
      <c r="E28" s="82"/>
      <c r="G28" s="82" t="s">
        <v>137</v>
      </c>
      <c r="H28" s="82"/>
      <c r="I28" s="82"/>
    </row>
    <row r="29" spans="3:21" ht="15" thickBot="1" x14ac:dyDescent="0.35">
      <c r="C29" s="44"/>
      <c r="D29" s="88" t="s">
        <v>57</v>
      </c>
      <c r="E29" s="89"/>
      <c r="G29" s="44"/>
      <c r="H29" s="88" t="s">
        <v>57</v>
      </c>
      <c r="I29" s="89"/>
    </row>
    <row r="30" spans="3:21" x14ac:dyDescent="0.3">
      <c r="C30" s="65" t="s">
        <v>23</v>
      </c>
      <c r="D30" s="50" t="s">
        <v>65</v>
      </c>
      <c r="E30" s="51">
        <f>AVERAGE(E5,I5,M5,Q5,U5)</f>
        <v>0.14282458209403986</v>
      </c>
      <c r="G30" s="65"/>
      <c r="H30" s="50" t="s">
        <v>65</v>
      </c>
      <c r="I30" s="51">
        <f>AVERAGE(E30,E35,E40)</f>
        <v>0.11592686549433001</v>
      </c>
    </row>
    <row r="31" spans="3:21" x14ac:dyDescent="0.3">
      <c r="C31" s="66"/>
      <c r="D31" s="45" t="s">
        <v>66</v>
      </c>
      <c r="E31" s="46">
        <f t="shared" ref="E31:E43" si="0">AVERAGE(E6,I6,M6,Q6,U6)</f>
        <v>0.10080884938820063</v>
      </c>
      <c r="G31" s="66"/>
      <c r="H31" s="45" t="s">
        <v>66</v>
      </c>
      <c r="I31" s="46">
        <f t="shared" ref="I31:I33" si="1">AVERAGE(E31,E36,E41)</f>
        <v>9.6761147844721992E-2</v>
      </c>
    </row>
    <row r="32" spans="3:21" x14ac:dyDescent="0.3">
      <c r="C32" s="66"/>
      <c r="D32" s="45" t="s">
        <v>67</v>
      </c>
      <c r="E32" s="46">
        <f t="shared" si="0"/>
        <v>6.0181081482854362</v>
      </c>
      <c r="G32" s="66"/>
      <c r="H32" s="45" t="s">
        <v>67</v>
      </c>
      <c r="I32" s="46">
        <f t="shared" si="1"/>
        <v>4.7391559033075028</v>
      </c>
    </row>
    <row r="33" spans="3:9" x14ac:dyDescent="0.3">
      <c r="C33" s="66"/>
      <c r="D33" s="45" t="s">
        <v>66</v>
      </c>
      <c r="E33" s="46">
        <f t="shared" si="0"/>
        <v>5.6446202863922776</v>
      </c>
      <c r="G33" s="66"/>
      <c r="H33" s="45" t="s">
        <v>66</v>
      </c>
      <c r="I33" s="46">
        <f t="shared" si="1"/>
        <v>4.5426609378678089</v>
      </c>
    </row>
    <row r="34" spans="3:9" ht="15" thickBot="1" x14ac:dyDescent="0.35">
      <c r="C34" s="67"/>
      <c r="D34" s="48"/>
      <c r="E34" s="49"/>
      <c r="G34" s="67"/>
      <c r="H34" s="48"/>
      <c r="I34" s="49"/>
    </row>
    <row r="35" spans="3:9" x14ac:dyDescent="0.3">
      <c r="C35" s="65" t="s">
        <v>68</v>
      </c>
      <c r="D35" s="50" t="s">
        <v>65</v>
      </c>
      <c r="E35" s="51">
        <f t="shared" si="0"/>
        <v>9.0885510603780972E-2</v>
      </c>
    </row>
    <row r="36" spans="3:9" x14ac:dyDescent="0.3">
      <c r="C36" s="66"/>
      <c r="D36" s="45" t="s">
        <v>66</v>
      </c>
      <c r="E36" s="46">
        <f t="shared" si="0"/>
        <v>8.8045923971674336E-2</v>
      </c>
    </row>
    <row r="37" spans="3:9" x14ac:dyDescent="0.3">
      <c r="C37" s="66"/>
      <c r="D37" s="45" t="s">
        <v>67</v>
      </c>
      <c r="E37" s="46">
        <f t="shared" si="0"/>
        <v>3.6751685412630932</v>
      </c>
    </row>
    <row r="38" spans="3:9" x14ac:dyDescent="0.3">
      <c r="C38" s="66"/>
      <c r="D38" s="45" t="s">
        <v>66</v>
      </c>
      <c r="E38" s="46">
        <f t="shared" si="0"/>
        <v>3.6502993527509586</v>
      </c>
    </row>
    <row r="39" spans="3:9" ht="15" thickBot="1" x14ac:dyDescent="0.35">
      <c r="C39" s="67"/>
      <c r="D39" s="48"/>
      <c r="E39" s="49"/>
    </row>
    <row r="40" spans="3:9" x14ac:dyDescent="0.3">
      <c r="C40" s="66" t="s">
        <v>69</v>
      </c>
      <c r="D40" s="45" t="s">
        <v>65</v>
      </c>
      <c r="E40" s="46">
        <f t="shared" si="0"/>
        <v>0.11407050378516921</v>
      </c>
    </row>
    <row r="41" spans="3:9" x14ac:dyDescent="0.3">
      <c r="C41" s="66"/>
      <c r="D41" s="45" t="s">
        <v>66</v>
      </c>
      <c r="E41" s="46">
        <f t="shared" si="0"/>
        <v>0.101428670174291</v>
      </c>
    </row>
    <row r="42" spans="3:9" x14ac:dyDescent="0.3">
      <c r="C42" s="66"/>
      <c r="D42" s="45" t="s">
        <v>67</v>
      </c>
      <c r="E42" s="46">
        <f t="shared" si="0"/>
        <v>4.524191020373979</v>
      </c>
    </row>
    <row r="43" spans="3:9" x14ac:dyDescent="0.3">
      <c r="C43" s="66"/>
      <c r="D43" s="45" t="s">
        <v>66</v>
      </c>
      <c r="E43" s="46">
        <f t="shared" si="0"/>
        <v>4.3330631744601922</v>
      </c>
    </row>
    <row r="44" spans="3:9" ht="15" thickBot="1" x14ac:dyDescent="0.35">
      <c r="C44" s="67"/>
      <c r="D44" s="48"/>
      <c r="E44" s="49"/>
    </row>
    <row r="45" spans="3:9" x14ac:dyDescent="0.3">
      <c r="C45" s="90"/>
      <c r="D45" s="57"/>
      <c r="E45" s="43"/>
    </row>
    <row r="46" spans="3:9" x14ac:dyDescent="0.3">
      <c r="C46" s="90"/>
      <c r="D46" s="57"/>
      <c r="E46" s="43"/>
    </row>
    <row r="47" spans="3:9" x14ac:dyDescent="0.3">
      <c r="C47" s="90"/>
      <c r="D47" s="57"/>
      <c r="E47" s="43"/>
    </row>
    <row r="48" spans="3:9" x14ac:dyDescent="0.3">
      <c r="C48" s="90"/>
      <c r="D48" s="57"/>
      <c r="E48" s="43"/>
    </row>
    <row r="49" spans="3:21" x14ac:dyDescent="0.3">
      <c r="C49" s="90"/>
      <c r="D49" s="57"/>
    </row>
    <row r="50" spans="3:21" ht="15" thickBot="1" x14ac:dyDescent="0.35">
      <c r="C50" s="82" t="s">
        <v>138</v>
      </c>
      <c r="D50" s="82"/>
      <c r="E50" s="82"/>
      <c r="G50" s="82" t="s">
        <v>139</v>
      </c>
      <c r="H50" s="82"/>
      <c r="I50" s="82"/>
      <c r="K50" s="82" t="s">
        <v>140</v>
      </c>
      <c r="L50" s="82"/>
      <c r="M50" s="82"/>
      <c r="O50" s="82" t="s">
        <v>141</v>
      </c>
      <c r="P50" s="82"/>
      <c r="Q50" s="82"/>
      <c r="S50" s="82" t="s">
        <v>142</v>
      </c>
      <c r="T50" s="82"/>
      <c r="U50" s="82"/>
    </row>
    <row r="51" spans="3:21" ht="15" thickBot="1" x14ac:dyDescent="0.35">
      <c r="C51" s="44" t="s">
        <v>98</v>
      </c>
      <c r="D51" s="88" t="s">
        <v>61</v>
      </c>
      <c r="E51" s="89"/>
      <c r="G51" s="44" t="s">
        <v>99</v>
      </c>
      <c r="H51" s="88" t="s">
        <v>61</v>
      </c>
      <c r="I51" s="89"/>
      <c r="K51" s="44" t="s">
        <v>100</v>
      </c>
      <c r="L51" s="88" t="s">
        <v>61</v>
      </c>
      <c r="M51" s="89"/>
      <c r="O51" s="44" t="s">
        <v>101</v>
      </c>
      <c r="P51" s="88" t="s">
        <v>61</v>
      </c>
      <c r="Q51" s="89"/>
      <c r="S51" s="44" t="s">
        <v>102</v>
      </c>
      <c r="T51" s="88" t="s">
        <v>61</v>
      </c>
      <c r="U51" s="89"/>
    </row>
    <row r="52" spans="3:21" x14ac:dyDescent="0.3">
      <c r="C52" s="65" t="s">
        <v>23</v>
      </c>
      <c r="D52" s="50" t="s">
        <v>65</v>
      </c>
      <c r="E52" s="51" cm="1">
        <f t="array" ref="E52">AVERAGE(ABS(data!N338:U338),ABS(data!N350:U350),ABS(data!N362:U362))</f>
        <v>2.5846119957365215</v>
      </c>
      <c r="F52" s="57"/>
      <c r="G52" s="65" t="s">
        <v>23</v>
      </c>
      <c r="H52" s="50" t="s">
        <v>65</v>
      </c>
      <c r="I52" s="51" cm="1">
        <f t="array" ref="I52">AVERAGE(ABS(data!N379:U379),ABS(data!N391:U391),ABS(data!N403:U403))</f>
        <v>2.0683672589875637</v>
      </c>
      <c r="J52" s="57"/>
      <c r="K52" s="65" t="s">
        <v>23</v>
      </c>
      <c r="L52" s="50" t="s">
        <v>65</v>
      </c>
      <c r="M52" s="51" cm="1">
        <f t="array" ref="M52">AVERAGE(ABS(data!N420:U420),ABS(data!N432:U432),ABS(data!N444:U444))</f>
        <v>2.7810906594404243</v>
      </c>
      <c r="N52" s="57"/>
      <c r="O52" s="65" t="s">
        <v>23</v>
      </c>
      <c r="P52" s="50" t="s">
        <v>65</v>
      </c>
      <c r="Q52" s="51" cm="1">
        <f t="array" ref="Q52">AVERAGE(ABS(data!N461:U461),ABS(data!N473:U473),ABS(data!N485:U485))</f>
        <v>2.5848364635430077</v>
      </c>
      <c r="R52" s="57"/>
      <c r="S52" s="65" t="s">
        <v>23</v>
      </c>
      <c r="T52" s="50" t="s">
        <v>65</v>
      </c>
      <c r="U52" s="51" cm="1">
        <f t="array" ref="U52">AVERAGE(ABS(data!N502:U502),ABS(data!N514:U514),ABS(data!N526:U526))</f>
        <v>2.1831817042390171</v>
      </c>
    </row>
    <row r="53" spans="3:21" x14ac:dyDescent="0.3">
      <c r="C53" s="66"/>
      <c r="D53" s="45" t="s">
        <v>66</v>
      </c>
      <c r="E53" s="46" cm="1">
        <f t="array" ref="E53">_xlfn.STDEV.P(ABS(data!N338:U338),ABS(data!N350:U350),ABS(data!N362:U362))</f>
        <v>1.5522125635529251</v>
      </c>
      <c r="F53" s="57"/>
      <c r="G53" s="66"/>
      <c r="H53" s="45" t="s">
        <v>66</v>
      </c>
      <c r="I53" s="46" cm="1">
        <f t="array" ref="I53">_xlfn.STDEV.P(ABS(data!N379:U379),ABS(data!N391:U391),ABS(data!N403:U403))</f>
        <v>1.0759161777663377</v>
      </c>
      <c r="J53" s="57"/>
      <c r="K53" s="66"/>
      <c r="L53" s="45" t="s">
        <v>66</v>
      </c>
      <c r="M53" s="46" cm="1">
        <f t="array" ref="M53">_xlfn.STDEV.P(ABS(data!N420:U420),ABS(data!N432:U432),ABS(data!N444:U444))</f>
        <v>1.4799692360805605</v>
      </c>
      <c r="N53" s="57"/>
      <c r="O53" s="66"/>
      <c r="P53" s="45" t="s">
        <v>66</v>
      </c>
      <c r="Q53" s="46" cm="1">
        <f t="array" ref="Q53">_xlfn.STDEV.P(ABS(data!N461:U461),ABS(data!N473:U473),ABS(data!N485:U485))</f>
        <v>0.96987338593046379</v>
      </c>
      <c r="R53" s="57"/>
      <c r="S53" s="66"/>
      <c r="T53" s="45" t="s">
        <v>66</v>
      </c>
      <c r="U53" s="46" cm="1">
        <f t="array" ref="U53">_xlfn.STDEV.P(ABS(data!N502:U502),ABS(data!N514:U514),ABS(data!N526:U526))</f>
        <v>1.687013340081273</v>
      </c>
    </row>
    <row r="54" spans="3:21" x14ac:dyDescent="0.3">
      <c r="C54" s="66"/>
      <c r="D54" s="45" t="s">
        <v>67</v>
      </c>
      <c r="E54" s="46" cm="1">
        <f t="array" ref="E54">AVERAGE(ABS(data!N339:U339),ABS(data!N351:U351),ABS(data!N363:U363))</f>
        <v>544.41281360068388</v>
      </c>
      <c r="F54" s="57"/>
      <c r="G54" s="66"/>
      <c r="H54" s="45" t="s">
        <v>67</v>
      </c>
      <c r="I54" s="46" cm="1">
        <f t="array" ref="I54">AVERAGE(ABS(data!N380:U380),ABS(data!N392:U392),ABS(data!N404:U404))</f>
        <v>557.91645656796015</v>
      </c>
      <c r="J54" s="57"/>
      <c r="K54" s="66"/>
      <c r="L54" s="45" t="s">
        <v>67</v>
      </c>
      <c r="M54" s="46" cm="1">
        <f t="array" ref="M54">AVERAGE(ABS(data!N421:U421),ABS(data!N433:U433),ABS(data!N445:U445))</f>
        <v>819.69941235899023</v>
      </c>
      <c r="N54" s="57"/>
      <c r="O54" s="66"/>
      <c r="P54" s="45" t="s">
        <v>67</v>
      </c>
      <c r="Q54" s="46" cm="1">
        <f t="array" ref="Q54">AVERAGE(ABS(data!N462:U462),ABS(data!N474:U474),ABS(data!N486:U486))</f>
        <v>461.12512013059273</v>
      </c>
      <c r="R54" s="57"/>
      <c r="S54" s="66"/>
      <c r="T54" s="45" t="s">
        <v>67</v>
      </c>
      <c r="U54" s="46" cm="1">
        <f t="array" ref="U54">AVERAGE(ABS(data!N503:U503),ABS(data!N515:U515),ABS(data!N527:U527))</f>
        <v>393.941175088092</v>
      </c>
    </row>
    <row r="55" spans="3:21" x14ac:dyDescent="0.3">
      <c r="C55" s="66"/>
      <c r="D55" s="45" t="s">
        <v>66</v>
      </c>
      <c r="E55" s="46" cm="1">
        <f t="array" ref="E55">_xlfn.STDEV.P(ABS(data!N339:U339),ABS(data!N351:U351),ABS(data!N363:U363))</f>
        <v>609.37930489319933</v>
      </c>
      <c r="F55" s="57"/>
      <c r="G55" s="66"/>
      <c r="H55" s="45" t="s">
        <v>66</v>
      </c>
      <c r="I55" s="46" cm="1">
        <f t="array" ref="I55">_xlfn.STDEV.P(ABS(data!N380:U380),ABS(data!N392:U392),ABS(data!N404:U404))</f>
        <v>630.71703922483641</v>
      </c>
      <c r="J55" s="57"/>
      <c r="K55" s="66"/>
      <c r="L55" s="45" t="s">
        <v>66</v>
      </c>
      <c r="M55" s="46" cm="1">
        <f t="array" ref="M55">_xlfn.STDEV.P(ABS(data!N421:U421),ABS(data!N433:U433),ABS(data!N445:U445))</f>
        <v>735.45375386592582</v>
      </c>
      <c r="N55" s="57"/>
      <c r="O55" s="66"/>
      <c r="P55" s="45" t="s">
        <v>66</v>
      </c>
      <c r="Q55" s="46" cm="1">
        <f t="array" ref="Q55">_xlfn.STDEV.P(ABS(data!N462:U462),ABS(data!N474:U474),ABS(data!N486:U486))</f>
        <v>237.09037734712166</v>
      </c>
      <c r="R55" s="57"/>
      <c r="S55" s="66"/>
      <c r="T55" s="45" t="s">
        <v>66</v>
      </c>
      <c r="U55" s="46" cm="1">
        <f t="array" ref="U55">_xlfn.STDEV.P(ABS(data!N503:U503),ABS(data!N515:U515),ABS(data!N527:U527))</f>
        <v>759.34487778674963</v>
      </c>
    </row>
    <row r="56" spans="3:21" x14ac:dyDescent="0.3">
      <c r="C56" s="85"/>
      <c r="D56" s="47"/>
      <c r="E56" s="54"/>
      <c r="F56" s="57"/>
      <c r="G56" s="85"/>
      <c r="H56" s="47"/>
      <c r="I56" s="54"/>
      <c r="J56" s="57"/>
      <c r="K56" s="85"/>
      <c r="L56" s="47"/>
      <c r="M56" s="54"/>
      <c r="N56" s="57"/>
      <c r="O56" s="85"/>
      <c r="P56" s="47"/>
      <c r="Q56" s="54"/>
      <c r="R56" s="57"/>
      <c r="S56" s="85"/>
      <c r="T56" s="47"/>
      <c r="U56" s="54"/>
    </row>
    <row r="57" spans="3:21" x14ac:dyDescent="0.3">
      <c r="C57" s="66" t="s">
        <v>68</v>
      </c>
      <c r="D57" s="45" t="s">
        <v>65</v>
      </c>
      <c r="E57" s="46" cm="1">
        <f t="array" ref="E57">AVERAGE(ABS(data!N341:U341),ABS(data!N353:U353),ABS(data!N365:U365))</f>
        <v>2.5658619957365221</v>
      </c>
      <c r="F57" s="57"/>
      <c r="G57" s="66" t="s">
        <v>68</v>
      </c>
      <c r="H57" s="45" t="s">
        <v>65</v>
      </c>
      <c r="I57" s="46" cm="1">
        <f t="array" ref="I57">AVERAGE(ABS(data!N382:U382),ABS(data!N394:U394),ABS(data!N406:U406))</f>
        <v>1.9733672589875642</v>
      </c>
      <c r="J57" s="57"/>
      <c r="K57" s="66" t="s">
        <v>68</v>
      </c>
      <c r="L57" s="45" t="s">
        <v>65</v>
      </c>
      <c r="M57" s="46" cm="1">
        <f t="array" ref="M57">AVERAGE(ABS(data!N423:U423),ABS(data!N435:U435),ABS(data!N447:U447))</f>
        <v>2.6648406594404244</v>
      </c>
      <c r="N57" s="57"/>
      <c r="O57" s="66" t="s">
        <v>68</v>
      </c>
      <c r="P57" s="45" t="s">
        <v>65</v>
      </c>
      <c r="Q57" s="46" cm="1">
        <f t="array" ref="Q57">AVERAGE(ABS(data!N464:U464),ABS(data!N476:U476),ABS(data!N488:U488))</f>
        <v>2.5085864635430082</v>
      </c>
      <c r="R57" s="57"/>
      <c r="S57" s="66" t="s">
        <v>68</v>
      </c>
      <c r="T57" s="45" t="s">
        <v>65</v>
      </c>
      <c r="U57" s="46" cm="1">
        <f t="array" ref="U57">AVERAGE(ABS(data!N505:U505),ABS(data!N517:U517),ABS(data!N529:U529))</f>
        <v>2.1106817042390174</v>
      </c>
    </row>
    <row r="58" spans="3:21" x14ac:dyDescent="0.3">
      <c r="C58" s="66"/>
      <c r="D58" s="45" t="s">
        <v>66</v>
      </c>
      <c r="E58" s="46" cm="1">
        <f t="array" ref="E58">_xlfn.STDEV.P(ABS(data!N341:U341),ABS(data!N353:U353),ABS(data!N365:U365))</f>
        <v>1.5620965533583191</v>
      </c>
      <c r="F58" s="57"/>
      <c r="G58" s="66"/>
      <c r="H58" s="45" t="s">
        <v>66</v>
      </c>
      <c r="I58" s="46" cm="1">
        <f t="array" ref="I58">_xlfn.STDEV.P(ABS(data!N382:U382),ABS(data!N394:U394),ABS(data!N406:U406))</f>
        <v>1.024208654762907</v>
      </c>
      <c r="J58" s="57"/>
      <c r="K58" s="66"/>
      <c r="L58" s="45" t="s">
        <v>66</v>
      </c>
      <c r="M58" s="46" cm="1">
        <f t="array" ref="M58">_xlfn.STDEV.P(ABS(data!N423:U423),ABS(data!N435:U435),ABS(data!N447:U447))</f>
        <v>1.474511987446258</v>
      </c>
      <c r="N58" s="57"/>
      <c r="O58" s="66"/>
      <c r="P58" s="45" t="s">
        <v>66</v>
      </c>
      <c r="Q58" s="46" cm="1">
        <f t="array" ref="Q58">_xlfn.STDEV.P(ABS(data!N464:U464),ABS(data!N476:U476),ABS(data!N488:U488))</f>
        <v>0.97305641514935415</v>
      </c>
      <c r="R58" s="57"/>
      <c r="S58" s="66"/>
      <c r="T58" s="45" t="s">
        <v>66</v>
      </c>
      <c r="U58" s="46" cm="1">
        <f t="array" ref="U58">_xlfn.STDEV.P(ABS(data!N505:U505),ABS(data!N517:U517),ABS(data!N529:U529))</f>
        <v>1.7618717307904419</v>
      </c>
    </row>
    <row r="59" spans="3:21" x14ac:dyDescent="0.3">
      <c r="C59" s="66"/>
      <c r="D59" s="45" t="s">
        <v>67</v>
      </c>
      <c r="E59" s="46" cm="1">
        <f t="array" ref="E59">AVERAGE(ABS(data!N342:U342),ABS(data!N354:U354),ABS(data!N366:U366))</f>
        <v>542.74763647802206</v>
      </c>
      <c r="F59" s="57"/>
      <c r="G59" s="66"/>
      <c r="H59" s="45" t="s">
        <v>67</v>
      </c>
      <c r="I59" s="46" cm="1">
        <f t="array" ref="I59">AVERAGE(ABS(data!N383:U383),ABS(data!N395:U395),ABS(data!N407:U407))</f>
        <v>531.20831072602425</v>
      </c>
      <c r="J59" s="57"/>
      <c r="K59" s="66"/>
      <c r="L59" s="45" t="s">
        <v>67</v>
      </c>
      <c r="M59" s="46" cm="1">
        <f t="array" ref="M59">AVERAGE(ABS(data!N424:U424),ABS(data!N436:U436),ABS(data!N448:U448))</f>
        <v>788.73463332870836</v>
      </c>
      <c r="N59" s="57"/>
      <c r="O59" s="66"/>
      <c r="P59" s="45" t="s">
        <v>67</v>
      </c>
      <c r="Q59" s="46" cm="1">
        <f t="array" ref="Q59">AVERAGE(ABS(data!N465:U465),ABS(data!N477:U477),ABS(data!N489:U489))</f>
        <v>441.39313050145711</v>
      </c>
      <c r="R59" s="57"/>
      <c r="S59" s="66"/>
      <c r="T59" s="45" t="s">
        <v>67</v>
      </c>
      <c r="U59" s="46" cm="1">
        <f t="array" ref="U59">AVERAGE(ABS(data!N506:U506),ABS(data!N518:U518),ABS(data!N530:U530))</f>
        <v>380.06970868910048</v>
      </c>
    </row>
    <row r="60" spans="3:21" x14ac:dyDescent="0.3">
      <c r="C60" s="66"/>
      <c r="D60" s="45" t="s">
        <v>66</v>
      </c>
      <c r="E60" s="46" cm="1">
        <f t="array" ref="E60">_xlfn.STDEV.P(ABS(data!N342:U342),ABS(data!N354:U354),ABS(data!N366:U366))</f>
        <v>613.57086031713766</v>
      </c>
      <c r="F60" s="57"/>
      <c r="G60" s="66"/>
      <c r="H60" s="45" t="s">
        <v>66</v>
      </c>
      <c r="I60" s="46" cm="1">
        <f t="array" ref="I60">_xlfn.STDEV.P(ABS(data!N383:U383),ABS(data!N395:U395),ABS(data!N407:U407))</f>
        <v>604.97441382185639</v>
      </c>
      <c r="J60" s="57"/>
      <c r="K60" s="66"/>
      <c r="L60" s="45" t="s">
        <v>66</v>
      </c>
      <c r="M60" s="46" cm="1">
        <f t="array" ref="M60">_xlfn.STDEV.P(ABS(data!N424:U424),ABS(data!N436:U436),ABS(data!N448:U448))</f>
        <v>717.54460055018421</v>
      </c>
      <c r="N60" s="57"/>
      <c r="O60" s="66"/>
      <c r="P60" s="45" t="s">
        <v>66</v>
      </c>
      <c r="Q60" s="46" cm="1">
        <f t="array" ref="Q60">_xlfn.STDEV.P(ABS(data!N465:U465),ABS(data!N477:U477),ABS(data!N489:U489))</f>
        <v>233.75412226336408</v>
      </c>
      <c r="R60" s="57"/>
      <c r="S60" s="66"/>
      <c r="T60" s="45" t="s">
        <v>66</v>
      </c>
      <c r="U60" s="46" cm="1">
        <f t="array" ref="U60">_xlfn.STDEV.P(ABS(data!N506:U506),ABS(data!N518:U518),ABS(data!N530:U530))</f>
        <v>742.84984675145643</v>
      </c>
    </row>
    <row r="61" spans="3:21" x14ac:dyDescent="0.3">
      <c r="C61" s="85"/>
      <c r="D61" s="47"/>
      <c r="E61" s="54"/>
      <c r="F61" s="57"/>
      <c r="G61" s="85"/>
      <c r="H61" s="47"/>
      <c r="I61" s="54"/>
      <c r="J61" s="57"/>
      <c r="K61" s="85"/>
      <c r="L61" s="47"/>
      <c r="M61" s="54"/>
      <c r="N61" s="57"/>
      <c r="O61" s="85"/>
      <c r="P61" s="47"/>
      <c r="Q61" s="54"/>
      <c r="R61" s="57"/>
      <c r="S61" s="85"/>
      <c r="T61" s="47"/>
      <c r="U61" s="54"/>
    </row>
    <row r="62" spans="3:21" x14ac:dyDescent="0.3">
      <c r="C62" s="66" t="s">
        <v>69</v>
      </c>
      <c r="D62" s="45" t="s">
        <v>65</v>
      </c>
      <c r="E62" s="46" cm="1">
        <f t="array" ref="E62">AVERAGE(ABS(data!N344:U344),ABS(data!N356:U356),ABS(data!N368:U368))</f>
        <v>2.602111995736522</v>
      </c>
      <c r="F62" s="57"/>
      <c r="G62" s="66" t="s">
        <v>69</v>
      </c>
      <c r="H62" s="45" t="s">
        <v>65</v>
      </c>
      <c r="I62" s="46" cm="1">
        <f t="array" ref="I62">AVERAGE(ABS(data!N385:U385),ABS(data!N397:U397),ABS(data!N409:U409))</f>
        <v>1.9971172589875641</v>
      </c>
      <c r="J62" s="57"/>
      <c r="K62" s="66" t="s">
        <v>69</v>
      </c>
      <c r="L62" s="45" t="s">
        <v>65</v>
      </c>
      <c r="M62" s="46" cm="1">
        <f t="array" ref="M62">AVERAGE(ABS(data!N426:U426),ABS(data!N438:U438),ABS(data!N450:U450))</f>
        <v>2.6885906594404232</v>
      </c>
      <c r="N62" s="57"/>
      <c r="O62" s="66" t="s">
        <v>69</v>
      </c>
      <c r="P62" s="45" t="s">
        <v>65</v>
      </c>
      <c r="Q62" s="46" cm="1">
        <f t="array" ref="Q62">AVERAGE(ABS(data!N467:U467),ABS(data!N479:U479),ABS(data!N491:U491))</f>
        <v>2.5110864635430072</v>
      </c>
      <c r="R62" s="57"/>
      <c r="S62" s="66" t="s">
        <v>69</v>
      </c>
      <c r="T62" s="45" t="s">
        <v>65</v>
      </c>
      <c r="U62" s="46" cm="1">
        <f t="array" ref="U62">AVERAGE(ABS(data!N508:U508),ABS(data!N520:U520),ABS(data!N532:U532))</f>
        <v>2.1331817042390178</v>
      </c>
    </row>
    <row r="63" spans="3:21" x14ac:dyDescent="0.3">
      <c r="C63" s="66"/>
      <c r="D63" s="45" t="s">
        <v>66</v>
      </c>
      <c r="E63" s="46" cm="1">
        <f t="array" ref="E63">_xlfn.STDEV.P(ABS(data!N344:U344),ABS(data!N356:U356),ABS(data!N368:U368))</f>
        <v>1.5616084831800132</v>
      </c>
      <c r="F63" s="57"/>
      <c r="G63" s="66"/>
      <c r="H63" s="45" t="s">
        <v>66</v>
      </c>
      <c r="I63" s="46" cm="1">
        <f t="array" ref="I63">_xlfn.STDEV.P(ABS(data!N385:U385),ABS(data!N397:U397),ABS(data!N409:U409))</f>
        <v>1.0763665645006635</v>
      </c>
      <c r="J63" s="57"/>
      <c r="K63" s="66"/>
      <c r="L63" s="45" t="s">
        <v>66</v>
      </c>
      <c r="M63" s="46" cm="1">
        <f t="array" ref="M63">_xlfn.STDEV.P(ABS(data!N426:U426),ABS(data!N438:U438),ABS(data!N450:U450))</f>
        <v>1.4598011224502838</v>
      </c>
      <c r="N63" s="57"/>
      <c r="O63" s="66"/>
      <c r="P63" s="45" t="s">
        <v>66</v>
      </c>
      <c r="Q63" s="46" cm="1">
        <f t="array" ref="Q63">_xlfn.STDEV.P(ABS(data!N467:U467),ABS(data!N479:U479),ABS(data!N491:U491))</f>
        <v>0.95676054751960504</v>
      </c>
      <c r="R63" s="57"/>
      <c r="S63" s="66"/>
      <c r="T63" s="45" t="s">
        <v>66</v>
      </c>
      <c r="U63" s="46" cm="1">
        <f t="array" ref="U63">_xlfn.STDEV.P(ABS(data!N508:U508),ABS(data!N520:U520),ABS(data!N532:U532))</f>
        <v>1.7254869894692095</v>
      </c>
    </row>
    <row r="64" spans="3:21" x14ac:dyDescent="0.3">
      <c r="C64" s="66"/>
      <c r="D64" s="45" t="s">
        <v>67</v>
      </c>
      <c r="E64" s="46" cm="1">
        <f t="array" ref="E64">AVERAGE(ABS(data!N345:U345),ABS(data!N357:U357),ABS(data!N369:U369))</f>
        <v>548.02717539999674</v>
      </c>
      <c r="F64" s="57"/>
      <c r="G64" s="66"/>
      <c r="H64" s="45" t="s">
        <v>67</v>
      </c>
      <c r="I64" s="46" cm="1">
        <f t="array" ref="I64">AVERAGE(ABS(data!N386:U386),ABS(data!N398:U398),ABS(data!N410:U410))</f>
        <v>541.97502614500002</v>
      </c>
      <c r="J64" s="57"/>
      <c r="K64" s="66"/>
      <c r="L64" s="45" t="s">
        <v>67</v>
      </c>
      <c r="M64" s="46" cm="1">
        <f t="array" ref="M64">AVERAGE(ABS(data!N427:U427),ABS(data!N439:U439),ABS(data!N451:U451))</f>
        <v>792.32438243129081</v>
      </c>
      <c r="N64" s="57"/>
      <c r="O64" s="66"/>
      <c r="P64" s="45" t="s">
        <v>67</v>
      </c>
      <c r="Q64" s="46" cm="1">
        <f t="array" ref="Q64">AVERAGE(ABS(data!N468:U468),ABS(data!N480:U480),ABS(data!N492:U492))</f>
        <v>444.08574000076032</v>
      </c>
      <c r="R64" s="57"/>
      <c r="S64" s="66"/>
      <c r="T64" s="45" t="s">
        <v>67</v>
      </c>
      <c r="U64" s="46" cm="1">
        <f t="array" ref="U64">AVERAGE(ABS(data!N509:U509),ABS(data!N521:U521),ABS(data!N533:U533))</f>
        <v>384.47043334887411</v>
      </c>
    </row>
    <row r="65" spans="3:21" x14ac:dyDescent="0.3">
      <c r="C65" s="66"/>
      <c r="D65" s="45" t="s">
        <v>66</v>
      </c>
      <c r="E65" s="46" cm="1">
        <f t="array" ref="E65">_xlfn.STDEV.P(ABS(data!N345:U345),ABS(data!N357:U357),ABS(data!N369:U369))</f>
        <v>617.20889020331833</v>
      </c>
      <c r="F65" s="57"/>
      <c r="G65" s="66"/>
      <c r="H65" s="45" t="s">
        <v>66</v>
      </c>
      <c r="I65" s="46" cm="1">
        <f t="array" ref="I65">_xlfn.STDEV.P(ABS(data!N386:U386),ABS(data!N398:U398),ABS(data!N410:U410))</f>
        <v>617.09660666286618</v>
      </c>
      <c r="J65" s="57"/>
      <c r="K65" s="66"/>
      <c r="L65" s="45" t="s">
        <v>66</v>
      </c>
      <c r="M65" s="46" cm="1">
        <f t="array" ref="M65">_xlfn.STDEV.P(ABS(data!N427:U427),ABS(data!N439:U439),ABS(data!N451:U451))</f>
        <v>711.27276153929733</v>
      </c>
      <c r="N65" s="57"/>
      <c r="O65" s="66"/>
      <c r="P65" s="45" t="s">
        <v>66</v>
      </c>
      <c r="Q65" s="46" cm="1">
        <f t="array" ref="Q65">_xlfn.STDEV.P(ABS(data!N468:U468),ABS(data!N480:U480),ABS(data!N492:U492))</f>
        <v>235.25960167614295</v>
      </c>
      <c r="R65" s="57"/>
      <c r="S65" s="66"/>
      <c r="T65" s="45" t="s">
        <v>66</v>
      </c>
      <c r="U65" s="46" cm="1">
        <f t="array" ref="U65">_xlfn.STDEV.P(ABS(data!N509:U509),ABS(data!N521:U521),ABS(data!N533:U533))</f>
        <v>748.65763248084261</v>
      </c>
    </row>
    <row r="66" spans="3:21" x14ac:dyDescent="0.3">
      <c r="C66" s="85"/>
      <c r="D66" s="45"/>
      <c r="E66" s="46"/>
      <c r="F66" s="57"/>
      <c r="G66" s="85"/>
      <c r="H66" s="45"/>
      <c r="I66" s="46"/>
      <c r="J66" s="57"/>
      <c r="K66" s="85"/>
      <c r="L66" s="45"/>
      <c r="M66" s="46"/>
      <c r="N66" s="57"/>
      <c r="O66" s="85"/>
      <c r="P66" s="45"/>
      <c r="Q66" s="46"/>
      <c r="R66" s="57"/>
      <c r="S66" s="85"/>
      <c r="T66" s="45"/>
      <c r="U66" s="46"/>
    </row>
    <row r="67" spans="3:21" x14ac:dyDescent="0.3">
      <c r="C67" s="66" t="s">
        <v>70</v>
      </c>
      <c r="D67" s="52" t="s">
        <v>65</v>
      </c>
      <c r="E67" s="53">
        <f>AVERAGE(E52,E57,E62)</f>
        <v>2.5841953290698552</v>
      </c>
      <c r="F67" s="57"/>
      <c r="G67" s="66" t="s">
        <v>70</v>
      </c>
      <c r="H67" s="52" t="s">
        <v>65</v>
      </c>
      <c r="I67" s="53">
        <f>AVERAGE(I52,I57,I62)</f>
        <v>2.0129505923208972</v>
      </c>
      <c r="J67" s="57"/>
      <c r="K67" s="66" t="s">
        <v>70</v>
      </c>
      <c r="L67" s="52" t="s">
        <v>65</v>
      </c>
      <c r="M67" s="53">
        <f>AVERAGE(M52,M57,M62)</f>
        <v>2.7115073261070908</v>
      </c>
      <c r="N67" s="57"/>
      <c r="O67" s="66" t="s">
        <v>70</v>
      </c>
      <c r="P67" s="52" t="s">
        <v>65</v>
      </c>
      <c r="Q67" s="53">
        <f>AVERAGE(Q52,Q57,Q62)</f>
        <v>2.5348364635430074</v>
      </c>
      <c r="R67" s="57"/>
      <c r="S67" s="66" t="s">
        <v>70</v>
      </c>
      <c r="T67" s="52" t="s">
        <v>65</v>
      </c>
      <c r="U67" s="53">
        <f>AVERAGE(U52,U57,U62)</f>
        <v>2.1423483709056841</v>
      </c>
    </row>
    <row r="68" spans="3:21" x14ac:dyDescent="0.3">
      <c r="C68" s="66"/>
      <c r="D68" s="45" t="s">
        <v>71</v>
      </c>
      <c r="E68" s="46">
        <f>AVERAGE(E53,E58,E63)</f>
        <v>1.5586392000304192</v>
      </c>
      <c r="F68" s="57"/>
      <c r="G68" s="66"/>
      <c r="H68" s="45" t="s">
        <v>71</v>
      </c>
      <c r="I68" s="46">
        <f>AVERAGE(I53,I58,I63)</f>
        <v>1.0588304656766361</v>
      </c>
      <c r="J68" s="57"/>
      <c r="K68" s="66"/>
      <c r="L68" s="45" t="s">
        <v>71</v>
      </c>
      <c r="M68" s="46">
        <f>AVERAGE(M53,M58,M63)</f>
        <v>1.4714274486590344</v>
      </c>
      <c r="N68" s="57"/>
      <c r="O68" s="66"/>
      <c r="P68" s="45" t="s">
        <v>71</v>
      </c>
      <c r="Q68" s="46">
        <f>AVERAGE(Q53,Q58,Q63)</f>
        <v>0.96656344953314088</v>
      </c>
      <c r="R68" s="57"/>
      <c r="S68" s="66"/>
      <c r="T68" s="45" t="s">
        <v>71</v>
      </c>
      <c r="U68" s="46">
        <f>AVERAGE(U53,U58,U63)</f>
        <v>1.724790686780308</v>
      </c>
    </row>
    <row r="69" spans="3:21" x14ac:dyDescent="0.3">
      <c r="C69" s="66"/>
      <c r="D69" s="45" t="s">
        <v>67</v>
      </c>
      <c r="E69" s="46">
        <f>AVERAGE(E54,E59,E64)</f>
        <v>545.06254182623422</v>
      </c>
      <c r="F69" s="57"/>
      <c r="G69" s="66"/>
      <c r="H69" s="45" t="s">
        <v>67</v>
      </c>
      <c r="I69" s="46">
        <f>AVERAGE(I54,I59,I64)</f>
        <v>543.69993114632814</v>
      </c>
      <c r="J69" s="57"/>
      <c r="K69" s="66"/>
      <c r="L69" s="45" t="s">
        <v>67</v>
      </c>
      <c r="M69" s="46">
        <f>AVERAGE(M54,M59,M64)</f>
        <v>800.25280937299647</v>
      </c>
      <c r="N69" s="57"/>
      <c r="O69" s="66"/>
      <c r="P69" s="45" t="s">
        <v>67</v>
      </c>
      <c r="Q69" s="46">
        <f>AVERAGE(Q54,Q59,Q64)</f>
        <v>448.86799687760339</v>
      </c>
      <c r="R69" s="57"/>
      <c r="S69" s="66"/>
      <c r="T69" s="45" t="s">
        <v>67</v>
      </c>
      <c r="U69" s="46">
        <f>AVERAGE(U54,U59,U64)</f>
        <v>386.16043904202223</v>
      </c>
    </row>
    <row r="70" spans="3:21" x14ac:dyDescent="0.3">
      <c r="C70" s="66"/>
      <c r="D70" s="45" t="s">
        <v>66</v>
      </c>
      <c r="E70" s="46">
        <f>AVERAGE(E55,E60,E65)</f>
        <v>613.38635180455174</v>
      </c>
      <c r="F70" s="57"/>
      <c r="G70" s="66"/>
      <c r="H70" s="45" t="s">
        <v>66</v>
      </c>
      <c r="I70" s="46">
        <f>AVERAGE(I55,I60,I65)</f>
        <v>617.5960199031864</v>
      </c>
      <c r="J70" s="57"/>
      <c r="K70" s="66"/>
      <c r="L70" s="45" t="s">
        <v>66</v>
      </c>
      <c r="M70" s="46">
        <f>AVERAGE(M55,M60,M65)</f>
        <v>721.42370531846916</v>
      </c>
      <c r="N70" s="57"/>
      <c r="O70" s="66"/>
      <c r="P70" s="45" t="s">
        <v>66</v>
      </c>
      <c r="Q70" s="46">
        <f>AVERAGE(Q55,Q60,Q65)</f>
        <v>235.36803376220959</v>
      </c>
      <c r="R70" s="57"/>
      <c r="S70" s="66"/>
      <c r="T70" s="45" t="s">
        <v>66</v>
      </c>
      <c r="U70" s="46">
        <f>AVERAGE(U55,U60,U65)</f>
        <v>750.28411900634956</v>
      </c>
    </row>
    <row r="71" spans="3:21" ht="15" thickBot="1" x14ac:dyDescent="0.35">
      <c r="C71" s="67"/>
      <c r="D71" s="48"/>
      <c r="E71" s="49"/>
      <c r="F71" s="57"/>
      <c r="G71" s="67"/>
      <c r="H71" s="48"/>
      <c r="I71" s="49"/>
      <c r="J71" s="57"/>
      <c r="K71" s="67"/>
      <c r="L71" s="48"/>
      <c r="M71" s="49"/>
      <c r="N71" s="57"/>
      <c r="O71" s="67"/>
      <c r="P71" s="48"/>
      <c r="Q71" s="49"/>
      <c r="R71" s="57"/>
      <c r="S71" s="67"/>
      <c r="T71" s="48"/>
      <c r="U71" s="49"/>
    </row>
    <row r="75" spans="3:21" ht="15" thickBot="1" x14ac:dyDescent="0.35">
      <c r="C75" s="82" t="s">
        <v>143</v>
      </c>
      <c r="D75" s="82"/>
      <c r="E75" s="82"/>
      <c r="G75" s="82" t="s">
        <v>144</v>
      </c>
      <c r="H75" s="82"/>
      <c r="I75" s="82"/>
    </row>
    <row r="76" spans="3:21" ht="15" thickBot="1" x14ac:dyDescent="0.35">
      <c r="C76" s="44"/>
      <c r="D76" s="88" t="s">
        <v>61</v>
      </c>
      <c r="E76" s="89"/>
      <c r="G76" s="44"/>
      <c r="H76" s="88" t="s">
        <v>61</v>
      </c>
      <c r="I76" s="89"/>
    </row>
    <row r="77" spans="3:21" x14ac:dyDescent="0.3">
      <c r="C77" s="65" t="s">
        <v>23</v>
      </c>
      <c r="D77" s="50" t="s">
        <v>65</v>
      </c>
      <c r="E77" s="51">
        <f>AVERAGE(E52,I52,M52,Q52,U52)</f>
        <v>2.4404176163893068</v>
      </c>
      <c r="G77" s="65"/>
      <c r="H77" s="50" t="s">
        <v>65</v>
      </c>
      <c r="I77" s="51">
        <f>AVERAGE(E77,E82,E87)</f>
        <v>2.3971676163893072</v>
      </c>
    </row>
    <row r="78" spans="3:21" x14ac:dyDescent="0.3">
      <c r="C78" s="66"/>
      <c r="D78" s="45" t="s">
        <v>66</v>
      </c>
      <c r="E78" s="46">
        <f t="shared" ref="E78:E80" si="2">AVERAGE(E53,I53,M53,Q53,U53)</f>
        <v>1.3529969406823121</v>
      </c>
      <c r="G78" s="66"/>
      <c r="H78" s="45" t="s">
        <v>66</v>
      </c>
      <c r="I78" s="46">
        <f t="shared" ref="I78:I80" si="3">AVERAGE(E78,E83,E88)</f>
        <v>1.3560502501359075</v>
      </c>
    </row>
    <row r="79" spans="3:21" x14ac:dyDescent="0.3">
      <c r="C79" s="66"/>
      <c r="D79" s="45" t="s">
        <v>67</v>
      </c>
      <c r="E79" s="46">
        <f t="shared" si="2"/>
        <v>555.41899554926385</v>
      </c>
      <c r="G79" s="66"/>
      <c r="H79" s="45" t="s">
        <v>67</v>
      </c>
      <c r="I79" s="46">
        <f t="shared" si="3"/>
        <v>544.80874365303691</v>
      </c>
    </row>
    <row r="80" spans="3:21" x14ac:dyDescent="0.3">
      <c r="C80" s="66"/>
      <c r="D80" s="45" t="s">
        <v>66</v>
      </c>
      <c r="E80" s="46">
        <f t="shared" si="2"/>
        <v>594.39707062356661</v>
      </c>
      <c r="G80" s="66"/>
      <c r="H80" s="45" t="s">
        <v>66</v>
      </c>
      <c r="I80" s="46">
        <f t="shared" si="3"/>
        <v>587.61164595895332</v>
      </c>
    </row>
    <row r="81" spans="3:9" ht="15" thickBot="1" x14ac:dyDescent="0.35">
      <c r="C81" s="67"/>
      <c r="D81" s="48"/>
      <c r="E81" s="49"/>
      <c r="G81" s="67"/>
      <c r="H81" s="48"/>
      <c r="I81" s="49"/>
    </row>
    <row r="82" spans="3:9" x14ac:dyDescent="0.3">
      <c r="C82" s="65" t="s">
        <v>68</v>
      </c>
      <c r="D82" s="50" t="s">
        <v>65</v>
      </c>
      <c r="E82" s="51">
        <f t="shared" ref="E82:E85" si="4">AVERAGE(E57,I57,M57,Q57,U57)</f>
        <v>2.364667616389307</v>
      </c>
    </row>
    <row r="83" spans="3:9" x14ac:dyDescent="0.3">
      <c r="C83" s="66"/>
      <c r="D83" s="45" t="s">
        <v>66</v>
      </c>
      <c r="E83" s="46">
        <f t="shared" si="4"/>
        <v>1.359149068301456</v>
      </c>
    </row>
    <row r="84" spans="3:9" x14ac:dyDescent="0.3">
      <c r="C84" s="66"/>
      <c r="D84" s="45" t="s">
        <v>67</v>
      </c>
      <c r="E84" s="46">
        <f t="shared" si="4"/>
        <v>536.8306839446625</v>
      </c>
    </row>
    <row r="85" spans="3:9" x14ac:dyDescent="0.3">
      <c r="C85" s="66"/>
      <c r="D85" s="45" t="s">
        <v>66</v>
      </c>
      <c r="E85" s="46">
        <f t="shared" si="4"/>
        <v>582.53876874079981</v>
      </c>
    </row>
    <row r="86" spans="3:9" ht="15" thickBot="1" x14ac:dyDescent="0.35">
      <c r="C86" s="67"/>
      <c r="D86" s="48"/>
      <c r="E86" s="49"/>
    </row>
    <row r="87" spans="3:9" x14ac:dyDescent="0.3">
      <c r="C87" s="66" t="s">
        <v>69</v>
      </c>
      <c r="D87" s="45" t="s">
        <v>65</v>
      </c>
      <c r="E87" s="46">
        <f t="shared" ref="E87:E90" si="5">AVERAGE(E62,I62,M62,Q62,U62)</f>
        <v>2.3864176163893069</v>
      </c>
    </row>
    <row r="88" spans="3:9" x14ac:dyDescent="0.3">
      <c r="C88" s="66"/>
      <c r="D88" s="45" t="s">
        <v>66</v>
      </c>
      <c r="E88" s="46">
        <f t="shared" si="5"/>
        <v>1.3560047414239551</v>
      </c>
    </row>
    <row r="89" spans="3:9" x14ac:dyDescent="0.3">
      <c r="C89" s="66"/>
      <c r="D89" s="45" t="s">
        <v>67</v>
      </c>
      <c r="E89" s="46">
        <f t="shared" si="5"/>
        <v>542.17655146518439</v>
      </c>
    </row>
    <row r="90" spans="3:9" x14ac:dyDescent="0.3">
      <c r="C90" s="66"/>
      <c r="D90" s="45" t="s">
        <v>66</v>
      </c>
      <c r="E90" s="46">
        <f t="shared" si="5"/>
        <v>585.89909851249354</v>
      </c>
    </row>
    <row r="91" spans="3:9" ht="15" thickBot="1" x14ac:dyDescent="0.35">
      <c r="C91" s="67"/>
      <c r="D91" s="48"/>
      <c r="E91" s="49"/>
    </row>
  </sheetData>
  <mergeCells count="77">
    <mergeCell ref="D4:E4"/>
    <mergeCell ref="H4:I4"/>
    <mergeCell ref="L4:M4"/>
    <mergeCell ref="P4:Q4"/>
    <mergeCell ref="T4:U4"/>
    <mergeCell ref="C3:E3"/>
    <mergeCell ref="G3:I3"/>
    <mergeCell ref="K3:M3"/>
    <mergeCell ref="O3:Q3"/>
    <mergeCell ref="S3:U3"/>
    <mergeCell ref="C10:C14"/>
    <mergeCell ref="G10:G14"/>
    <mergeCell ref="K10:K14"/>
    <mergeCell ref="O10:O14"/>
    <mergeCell ref="S10:S14"/>
    <mergeCell ref="C5:C9"/>
    <mergeCell ref="G5:G9"/>
    <mergeCell ref="K5:K9"/>
    <mergeCell ref="O5:O9"/>
    <mergeCell ref="S5:S9"/>
    <mergeCell ref="C20:C24"/>
    <mergeCell ref="G20:G24"/>
    <mergeCell ref="K20:K24"/>
    <mergeCell ref="O20:O24"/>
    <mergeCell ref="S20:S24"/>
    <mergeCell ref="C15:C19"/>
    <mergeCell ref="G15:G19"/>
    <mergeCell ref="K15:K19"/>
    <mergeCell ref="O15:O19"/>
    <mergeCell ref="S15:S19"/>
    <mergeCell ref="C28:E28"/>
    <mergeCell ref="G28:I28"/>
    <mergeCell ref="D29:E29"/>
    <mergeCell ref="H29:I29"/>
    <mergeCell ref="C30:C34"/>
    <mergeCell ref="G30:G34"/>
    <mergeCell ref="C35:C39"/>
    <mergeCell ref="C40:C44"/>
    <mergeCell ref="C45:C49"/>
    <mergeCell ref="C50:E50"/>
    <mergeCell ref="G50:I50"/>
    <mergeCell ref="O50:Q50"/>
    <mergeCell ref="S50:U50"/>
    <mergeCell ref="D51:E51"/>
    <mergeCell ref="H51:I51"/>
    <mergeCell ref="L51:M51"/>
    <mergeCell ref="P51:Q51"/>
    <mergeCell ref="T51:U51"/>
    <mergeCell ref="K50:M50"/>
    <mergeCell ref="C57:C61"/>
    <mergeCell ref="G57:G61"/>
    <mergeCell ref="K57:K61"/>
    <mergeCell ref="O57:O61"/>
    <mergeCell ref="S57:S61"/>
    <mergeCell ref="C52:C56"/>
    <mergeCell ref="G52:G56"/>
    <mergeCell ref="K52:K56"/>
    <mergeCell ref="O52:O56"/>
    <mergeCell ref="S52:S56"/>
    <mergeCell ref="C67:C71"/>
    <mergeCell ref="G67:G71"/>
    <mergeCell ref="K67:K71"/>
    <mergeCell ref="O67:O71"/>
    <mergeCell ref="S67:S71"/>
    <mergeCell ref="C62:C66"/>
    <mergeCell ref="G62:G66"/>
    <mergeCell ref="K62:K66"/>
    <mergeCell ref="O62:O66"/>
    <mergeCell ref="S62:S66"/>
    <mergeCell ref="C82:C86"/>
    <mergeCell ref="C87:C91"/>
    <mergeCell ref="C75:E75"/>
    <mergeCell ref="G75:I75"/>
    <mergeCell ref="D76:E76"/>
    <mergeCell ref="H76:I76"/>
    <mergeCell ref="C77:C81"/>
    <mergeCell ref="G77:G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FFDC-63C8-4128-9A57-20672573F43D}">
  <dimension ref="A1:M450"/>
  <sheetViews>
    <sheetView workbookViewId="0">
      <selection activeCell="K7" sqref="K7"/>
    </sheetView>
  </sheetViews>
  <sheetFormatPr defaultColWidth="8.88671875" defaultRowHeight="14.4" x14ac:dyDescent="0.3"/>
  <cols>
    <col min="1" max="1" width="18.6640625" customWidth="1"/>
  </cols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78</v>
      </c>
      <c r="D2" s="1" t="s">
        <v>1</v>
      </c>
      <c r="E2" s="59" t="s">
        <v>12</v>
      </c>
      <c r="F2" s="60">
        <v>2.8996153846153825</v>
      </c>
      <c r="G2" s="60">
        <v>0.45088624073154854</v>
      </c>
      <c r="H2" s="61">
        <v>3</v>
      </c>
      <c r="I2" s="62">
        <v>3.04</v>
      </c>
      <c r="J2" s="37">
        <v>0.04</v>
      </c>
      <c r="K2" s="37">
        <v>1.35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78</v>
      </c>
      <c r="D3" s="1" t="s">
        <v>1</v>
      </c>
      <c r="E3" s="59" t="s">
        <v>13</v>
      </c>
      <c r="F3" s="60">
        <v>4.2383999999999959</v>
      </c>
      <c r="G3" s="60">
        <v>0.66287741880521744</v>
      </c>
      <c r="H3" s="61">
        <v>4.3899999999999997</v>
      </c>
      <c r="I3" s="62">
        <v>4.01</v>
      </c>
      <c r="J3" s="37">
        <v>-0.38</v>
      </c>
      <c r="K3" s="37">
        <v>-8.69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78</v>
      </c>
      <c r="D4" s="1" t="s">
        <v>1</v>
      </c>
      <c r="E4" s="59" t="s">
        <v>14</v>
      </c>
      <c r="F4" s="60">
        <v>5.0367307692307577</v>
      </c>
      <c r="G4" s="60">
        <v>0.79596803070771771</v>
      </c>
      <c r="H4" s="61">
        <v>5.3</v>
      </c>
      <c r="I4" s="62">
        <v>5.24</v>
      </c>
      <c r="J4" s="37">
        <v>-0.06</v>
      </c>
      <c r="K4" s="37">
        <v>-1.08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78</v>
      </c>
      <c r="D5" s="1" t="s">
        <v>1</v>
      </c>
      <c r="E5" s="59" t="s">
        <v>15</v>
      </c>
      <c r="F5" s="60">
        <v>5.1010628019323656</v>
      </c>
      <c r="G5" s="60">
        <v>1.2207612740703133</v>
      </c>
      <c r="H5" s="61">
        <v>5.46</v>
      </c>
      <c r="I5" s="62">
        <v>5.77</v>
      </c>
      <c r="J5" s="37">
        <v>0.31</v>
      </c>
      <c r="K5" s="37">
        <v>5.61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78</v>
      </c>
      <c r="D6" s="1" t="s">
        <v>1</v>
      </c>
      <c r="E6" s="59" t="s">
        <v>16</v>
      </c>
      <c r="F6" s="60">
        <v>4.0803864734299546</v>
      </c>
      <c r="G6" s="60">
        <v>0.77704996366367296</v>
      </c>
      <c r="H6" s="61">
        <v>4.32</v>
      </c>
      <c r="I6" s="62">
        <v>4.1900000000000004</v>
      </c>
      <c r="J6" s="37">
        <v>-0.13</v>
      </c>
      <c r="K6" s="37">
        <v>-3.07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78</v>
      </c>
      <c r="D7" s="1" t="s">
        <v>1</v>
      </c>
      <c r="E7" s="59" t="s">
        <v>17</v>
      </c>
      <c r="F7" s="60">
        <v>4.5046634615384624</v>
      </c>
      <c r="G7" s="60">
        <v>0.93894373906635575</v>
      </c>
      <c r="H7" s="61">
        <v>4.79</v>
      </c>
      <c r="I7" s="62">
        <v>4.38</v>
      </c>
      <c r="J7" s="37">
        <v>-0.41</v>
      </c>
      <c r="K7" s="37">
        <v>-8.65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78</v>
      </c>
      <c r="D8" s="1" t="s">
        <v>1</v>
      </c>
      <c r="E8" s="59" t="s">
        <v>18</v>
      </c>
      <c r="F8" s="60">
        <v>1.7265686274509802</v>
      </c>
      <c r="G8" s="60">
        <v>0.1927580228306843</v>
      </c>
      <c r="H8" s="61">
        <v>1.75</v>
      </c>
      <c r="I8" s="62">
        <v>1.55</v>
      </c>
      <c r="J8" s="37">
        <v>-0.2</v>
      </c>
      <c r="K8" s="37">
        <v>-11.58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78</v>
      </c>
      <c r="D9" s="1" t="s">
        <v>1</v>
      </c>
      <c r="E9" s="59" t="s">
        <v>19</v>
      </c>
      <c r="F9" s="60">
        <v>2.3231067961165039</v>
      </c>
      <c r="G9" s="60">
        <v>0.39559779803135081</v>
      </c>
      <c r="H9" s="61">
        <v>2.27</v>
      </c>
      <c r="I9" s="62">
        <v>2.41</v>
      </c>
      <c r="J9" s="37">
        <v>0.14000000000000001</v>
      </c>
      <c r="K9" s="37">
        <v>6.08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78</v>
      </c>
      <c r="D10" s="1" t="s">
        <v>1</v>
      </c>
      <c r="E10" s="59" t="s">
        <v>12</v>
      </c>
      <c r="F10" s="60">
        <v>2.8996153846153825</v>
      </c>
      <c r="G10" s="60">
        <v>0.45088624073154854</v>
      </c>
      <c r="H10" s="61">
        <v>3</v>
      </c>
      <c r="I10" s="62">
        <v>2.99</v>
      </c>
      <c r="J10" s="37">
        <v>-0.01</v>
      </c>
      <c r="K10" s="37">
        <v>-0.32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78</v>
      </c>
      <c r="D11" s="1" t="s">
        <v>1</v>
      </c>
      <c r="E11" s="59" t="s">
        <v>13</v>
      </c>
      <c r="F11" s="60">
        <v>4.2383999999999959</v>
      </c>
      <c r="G11" s="60">
        <v>0.66287741880521744</v>
      </c>
      <c r="H11" s="61">
        <v>4.3899999999999997</v>
      </c>
      <c r="I11" s="62">
        <v>4.18</v>
      </c>
      <c r="J11" s="37">
        <v>-0.21</v>
      </c>
      <c r="K11" s="37">
        <v>-4.82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78</v>
      </c>
      <c r="D12" s="1" t="s">
        <v>1</v>
      </c>
      <c r="E12" s="59" t="s">
        <v>14</v>
      </c>
      <c r="F12" s="60">
        <v>5.0367307692307577</v>
      </c>
      <c r="G12" s="60">
        <v>0.79596803070771771</v>
      </c>
      <c r="H12" s="61">
        <v>5.3</v>
      </c>
      <c r="I12" s="62">
        <v>5.28</v>
      </c>
      <c r="J12" s="37">
        <v>-0.02</v>
      </c>
      <c r="K12" s="37">
        <v>-0.33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78</v>
      </c>
      <c r="D13" s="1" t="s">
        <v>1</v>
      </c>
      <c r="E13" s="59" t="s">
        <v>15</v>
      </c>
      <c r="F13" s="60">
        <v>5.1010628019323656</v>
      </c>
      <c r="G13" s="60">
        <v>1.2207612740703133</v>
      </c>
      <c r="H13" s="61">
        <v>5.46</v>
      </c>
      <c r="I13" s="62">
        <v>5.69</v>
      </c>
      <c r="J13" s="37">
        <v>0.23</v>
      </c>
      <c r="K13" s="37">
        <v>4.1500000000000004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78</v>
      </c>
      <c r="D14" s="1" t="s">
        <v>1</v>
      </c>
      <c r="E14" s="59" t="s">
        <v>16</v>
      </c>
      <c r="F14" s="60">
        <v>4.0803864734299546</v>
      </c>
      <c r="G14" s="60">
        <v>0.77704996366367296</v>
      </c>
      <c r="H14" s="61">
        <v>4.32</v>
      </c>
      <c r="I14" s="62">
        <v>4.22</v>
      </c>
      <c r="J14" s="37">
        <v>-0.1</v>
      </c>
      <c r="K14" s="37">
        <v>-2.37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78</v>
      </c>
      <c r="D15" s="1" t="s">
        <v>1</v>
      </c>
      <c r="E15" s="59" t="s">
        <v>17</v>
      </c>
      <c r="F15" s="60">
        <v>4.5046634615384624</v>
      </c>
      <c r="G15" s="60">
        <v>0.93894373906635575</v>
      </c>
      <c r="H15" s="61">
        <v>4.79</v>
      </c>
      <c r="I15" s="62">
        <v>4.3899999999999997</v>
      </c>
      <c r="J15" s="37">
        <v>-0.4</v>
      </c>
      <c r="K15" s="37">
        <v>-8.44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78</v>
      </c>
      <c r="D16" s="1" t="s">
        <v>1</v>
      </c>
      <c r="E16" s="59" t="s">
        <v>18</v>
      </c>
      <c r="F16" s="60">
        <v>1.7265686274509802</v>
      </c>
      <c r="G16" s="60">
        <v>0.1927580228306843</v>
      </c>
      <c r="H16" s="61">
        <v>1.75</v>
      </c>
      <c r="I16" s="62">
        <v>1.62</v>
      </c>
      <c r="J16" s="37">
        <v>-0.13</v>
      </c>
      <c r="K16" s="37">
        <v>-7.59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78</v>
      </c>
      <c r="D17" s="1" t="s">
        <v>1</v>
      </c>
      <c r="E17" s="59" t="s">
        <v>19</v>
      </c>
      <c r="F17" s="60">
        <v>2.3231067961165039</v>
      </c>
      <c r="G17" s="60">
        <v>0.39559779803135081</v>
      </c>
      <c r="H17" s="61">
        <v>2.27</v>
      </c>
      <c r="I17" s="62">
        <v>2.44</v>
      </c>
      <c r="J17" s="37">
        <v>0.17</v>
      </c>
      <c r="K17" s="37">
        <v>7.4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78</v>
      </c>
      <c r="D18" s="1" t="s">
        <v>1</v>
      </c>
      <c r="E18" s="59" t="s">
        <v>12</v>
      </c>
      <c r="F18" s="60">
        <v>2.8996153846153825</v>
      </c>
      <c r="G18" s="60">
        <v>0.45088624073154854</v>
      </c>
      <c r="H18" s="61">
        <v>3</v>
      </c>
      <c r="I18" s="62">
        <v>2.99</v>
      </c>
      <c r="J18" s="37">
        <v>-0.01</v>
      </c>
      <c r="K18" s="37">
        <v>-0.32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78</v>
      </c>
      <c r="D19" s="1" t="s">
        <v>1</v>
      </c>
      <c r="E19" s="59" t="s">
        <v>13</v>
      </c>
      <c r="F19" s="60">
        <v>4.2383999999999959</v>
      </c>
      <c r="G19" s="60">
        <v>0.66287741880521744</v>
      </c>
      <c r="H19" s="61">
        <v>4.3899999999999997</v>
      </c>
      <c r="I19" s="62">
        <v>4.1900000000000004</v>
      </c>
      <c r="J19" s="37">
        <v>-0.2</v>
      </c>
      <c r="K19" s="37">
        <v>-4.59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78</v>
      </c>
      <c r="D20" s="1" t="s">
        <v>1</v>
      </c>
      <c r="E20" s="59" t="s">
        <v>14</v>
      </c>
      <c r="F20" s="60">
        <v>5.0367307692307577</v>
      </c>
      <c r="G20" s="60">
        <v>0.79596803070771771</v>
      </c>
      <c r="H20" s="61">
        <v>5.3</v>
      </c>
      <c r="I20" s="62">
        <v>5.3</v>
      </c>
      <c r="J20" s="37">
        <v>0</v>
      </c>
      <c r="K20" s="37">
        <v>0.05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78</v>
      </c>
      <c r="D21" s="1" t="s">
        <v>1</v>
      </c>
      <c r="E21" s="59" t="s">
        <v>15</v>
      </c>
      <c r="F21" s="60">
        <v>5.1010628019323656</v>
      </c>
      <c r="G21" s="60">
        <v>1.2207612740703133</v>
      </c>
      <c r="H21" s="61">
        <v>5.46</v>
      </c>
      <c r="I21" s="62">
        <v>5.73</v>
      </c>
      <c r="J21" s="37">
        <v>0.27</v>
      </c>
      <c r="K21" s="37">
        <v>4.88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78</v>
      </c>
      <c r="D22" s="1" t="s">
        <v>1</v>
      </c>
      <c r="E22" s="59" t="s">
        <v>16</v>
      </c>
      <c r="F22" s="60">
        <v>4.0803864734299546</v>
      </c>
      <c r="G22" s="60">
        <v>0.77704996366367296</v>
      </c>
      <c r="H22" s="61">
        <v>4.32</v>
      </c>
      <c r="I22" s="62">
        <v>4.24</v>
      </c>
      <c r="J22" s="37">
        <v>-0.08</v>
      </c>
      <c r="K22" s="37">
        <v>-1.91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78</v>
      </c>
      <c r="D23" s="1" t="s">
        <v>1</v>
      </c>
      <c r="E23" s="59" t="s">
        <v>17</v>
      </c>
      <c r="F23" s="60">
        <v>4.5046634615384624</v>
      </c>
      <c r="G23" s="60">
        <v>0.93894373906635575</v>
      </c>
      <c r="H23" s="61">
        <v>4.79</v>
      </c>
      <c r="I23" s="62">
        <v>4.45</v>
      </c>
      <c r="J23" s="37">
        <v>-0.34</v>
      </c>
      <c r="K23" s="37">
        <v>-7.19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78</v>
      </c>
      <c r="D24" s="1" t="s">
        <v>1</v>
      </c>
      <c r="E24" s="59" t="s">
        <v>18</v>
      </c>
      <c r="F24" s="60">
        <v>1.7265686274509802</v>
      </c>
      <c r="G24" s="60">
        <v>0.1927580228306843</v>
      </c>
      <c r="H24" s="61">
        <v>1.75</v>
      </c>
      <c r="I24" s="62">
        <v>1.61</v>
      </c>
      <c r="J24" s="37">
        <v>-0.14000000000000001</v>
      </c>
      <c r="K24" s="37">
        <v>-8.16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78</v>
      </c>
      <c r="D25" s="1" t="s">
        <v>1</v>
      </c>
      <c r="E25" s="59" t="s">
        <v>19</v>
      </c>
      <c r="F25" s="60">
        <v>2.3231067961165039</v>
      </c>
      <c r="G25" s="60">
        <v>0.39559779803135081</v>
      </c>
      <c r="H25" s="61">
        <v>2.27</v>
      </c>
      <c r="I25" s="62">
        <v>2.42</v>
      </c>
      <c r="J25" s="37">
        <v>0.15</v>
      </c>
      <c r="K25" s="37">
        <v>6.52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78</v>
      </c>
      <c r="D27" s="1" t="s">
        <v>1</v>
      </c>
      <c r="E27" s="59" t="s">
        <v>12</v>
      </c>
      <c r="F27" s="60">
        <v>2.95885714285714</v>
      </c>
      <c r="G27" s="60">
        <v>0.32759357597548899</v>
      </c>
      <c r="H27" s="61">
        <v>3</v>
      </c>
      <c r="I27" s="62">
        <v>3.04</v>
      </c>
      <c r="J27" s="37">
        <v>0.04</v>
      </c>
      <c r="K27" s="37">
        <v>1.32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78</v>
      </c>
      <c r="D28" s="1" t="s">
        <v>1</v>
      </c>
      <c r="E28" s="59" t="s">
        <v>13</v>
      </c>
      <c r="F28" s="60">
        <v>4.3125308641975204</v>
      </c>
      <c r="G28" s="60">
        <v>0.42500299451144702</v>
      </c>
      <c r="H28" s="61">
        <v>4.3899999999999997</v>
      </c>
      <c r="I28" s="62">
        <v>4.01</v>
      </c>
      <c r="J28" s="37">
        <v>-0.38</v>
      </c>
      <c r="K28" s="37">
        <v>-8.56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78</v>
      </c>
      <c r="D29" s="1" t="s">
        <v>1</v>
      </c>
      <c r="E29" s="59" t="s">
        <v>14</v>
      </c>
      <c r="F29" s="60">
        <v>5.07419540229884</v>
      </c>
      <c r="G29" s="60">
        <v>0.85627178168896401</v>
      </c>
      <c r="H29" s="61">
        <v>5.28</v>
      </c>
      <c r="I29" s="62">
        <v>5.24</v>
      </c>
      <c r="J29" s="37">
        <v>-0.04</v>
      </c>
      <c r="K29" s="37">
        <v>-0.69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78</v>
      </c>
      <c r="D30" s="1" t="s">
        <v>1</v>
      </c>
      <c r="E30" s="59" t="s">
        <v>15</v>
      </c>
      <c r="F30" s="60">
        <v>5.0943749999999897</v>
      </c>
      <c r="G30" s="60">
        <v>1.24436897857088</v>
      </c>
      <c r="H30" s="61">
        <v>5.46</v>
      </c>
      <c r="I30" s="62">
        <v>5.77</v>
      </c>
      <c r="J30" s="37">
        <v>0.31</v>
      </c>
      <c r="K30" s="37">
        <v>5.72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78</v>
      </c>
      <c r="D31" s="1" t="s">
        <v>1</v>
      </c>
      <c r="E31" s="59" t="s">
        <v>16</v>
      </c>
      <c r="F31" s="60">
        <v>4.2281250000000004</v>
      </c>
      <c r="G31" s="60">
        <v>0.48030459825226801</v>
      </c>
      <c r="H31" s="61">
        <v>4.32</v>
      </c>
      <c r="I31" s="62">
        <v>4.1900000000000004</v>
      </c>
      <c r="J31" s="37">
        <v>-0.13</v>
      </c>
      <c r="K31" s="37">
        <v>-3.08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78</v>
      </c>
      <c r="D32" s="1" t="s">
        <v>1</v>
      </c>
      <c r="E32" s="59" t="s">
        <v>17</v>
      </c>
      <c r="F32" s="60">
        <v>4.4652272727272697</v>
      </c>
      <c r="G32" s="60">
        <v>0.94481055974287897</v>
      </c>
      <c r="H32" s="61">
        <v>4.78</v>
      </c>
      <c r="I32" s="62">
        <v>4.38</v>
      </c>
      <c r="J32" s="37">
        <v>-0.4</v>
      </c>
      <c r="K32" s="37">
        <v>-8.43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78</v>
      </c>
      <c r="D33" s="1" t="s">
        <v>1</v>
      </c>
      <c r="E33" s="59" t="s">
        <v>18</v>
      </c>
      <c r="F33" s="60">
        <v>1.7498850574712601</v>
      </c>
      <c r="G33" s="60">
        <v>2.4658320405627401E-2</v>
      </c>
      <c r="H33" s="61">
        <v>1.75</v>
      </c>
      <c r="I33" s="62">
        <v>1.55</v>
      </c>
      <c r="J33" s="37">
        <v>-0.2</v>
      </c>
      <c r="K33" s="37">
        <v>-11.39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78</v>
      </c>
      <c r="D34" s="1" t="s">
        <v>1</v>
      </c>
      <c r="E34" s="59" t="s">
        <v>19</v>
      </c>
      <c r="F34" s="60">
        <v>2.25602272727272</v>
      </c>
      <c r="G34" s="60">
        <v>0.51525708449261898</v>
      </c>
      <c r="H34" s="61">
        <v>2.2799999999999998</v>
      </c>
      <c r="I34" s="62">
        <v>2.41</v>
      </c>
      <c r="J34" s="37">
        <v>0.13</v>
      </c>
      <c r="K34" s="37">
        <v>5.93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78</v>
      </c>
      <c r="D35" s="1" t="s">
        <v>1</v>
      </c>
      <c r="E35" s="59" t="s">
        <v>12</v>
      </c>
      <c r="F35" s="60">
        <v>2.95885714285714</v>
      </c>
      <c r="G35" s="60">
        <v>0.32759357597548899</v>
      </c>
      <c r="H35" s="61">
        <v>3</v>
      </c>
      <c r="I35" s="62">
        <v>2.99</v>
      </c>
      <c r="J35" s="37">
        <v>-0.01</v>
      </c>
      <c r="K35" s="37">
        <v>-0.34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78</v>
      </c>
      <c r="D36" s="1" t="s">
        <v>1</v>
      </c>
      <c r="E36" s="59" t="s">
        <v>13</v>
      </c>
      <c r="F36" s="60">
        <v>4.3125308641975204</v>
      </c>
      <c r="G36" s="60">
        <v>0.42500299451144702</v>
      </c>
      <c r="H36" s="61">
        <v>4.3899999999999997</v>
      </c>
      <c r="I36" s="62">
        <v>4.18</v>
      </c>
      <c r="J36" s="37">
        <v>-0.21</v>
      </c>
      <c r="K36" s="37">
        <v>-4.68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78</v>
      </c>
      <c r="D37" s="1" t="s">
        <v>1</v>
      </c>
      <c r="E37" s="59" t="s">
        <v>14</v>
      </c>
      <c r="F37" s="60">
        <v>5.07419540229884</v>
      </c>
      <c r="G37" s="60">
        <v>0.85627178168896401</v>
      </c>
      <c r="H37" s="61">
        <v>5.28</v>
      </c>
      <c r="I37" s="62">
        <v>5.28</v>
      </c>
      <c r="J37" s="37">
        <v>0</v>
      </c>
      <c r="K37" s="37">
        <v>0.06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78</v>
      </c>
      <c r="D38" s="1" t="s">
        <v>1</v>
      </c>
      <c r="E38" s="59" t="s">
        <v>15</v>
      </c>
      <c r="F38" s="60">
        <v>5.0943749999999897</v>
      </c>
      <c r="G38" s="60">
        <v>1.24436897857088</v>
      </c>
      <c r="H38" s="61">
        <v>5.46</v>
      </c>
      <c r="I38" s="62">
        <v>5.69</v>
      </c>
      <c r="J38" s="37">
        <v>0.23</v>
      </c>
      <c r="K38" s="37">
        <v>4.25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78</v>
      </c>
      <c r="D39" s="1" t="s">
        <v>1</v>
      </c>
      <c r="E39" s="59" t="s">
        <v>16</v>
      </c>
      <c r="F39" s="60">
        <v>4.2281250000000004</v>
      </c>
      <c r="G39" s="60">
        <v>0.48030459825226801</v>
      </c>
      <c r="H39" s="61">
        <v>4.32</v>
      </c>
      <c r="I39" s="62">
        <v>4.22</v>
      </c>
      <c r="J39" s="37">
        <v>-0.1</v>
      </c>
      <c r="K39" s="37">
        <v>-2.39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78</v>
      </c>
      <c r="D40" s="1" t="s">
        <v>1</v>
      </c>
      <c r="E40" s="59" t="s">
        <v>17</v>
      </c>
      <c r="F40" s="60">
        <v>4.4652272727272697</v>
      </c>
      <c r="G40" s="60">
        <v>0.94481055974287897</v>
      </c>
      <c r="H40" s="61">
        <v>4.78</v>
      </c>
      <c r="I40" s="62">
        <v>4.3899999999999997</v>
      </c>
      <c r="J40" s="37">
        <v>-0.39</v>
      </c>
      <c r="K40" s="37">
        <v>-8.2200000000000006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78</v>
      </c>
      <c r="D41" s="1" t="s">
        <v>1</v>
      </c>
      <c r="E41" s="59" t="s">
        <v>18</v>
      </c>
      <c r="F41" s="60">
        <v>1.7498850574712601</v>
      </c>
      <c r="G41" s="60">
        <v>2.4658320405627401E-2</v>
      </c>
      <c r="H41" s="61">
        <v>1.75</v>
      </c>
      <c r="I41" s="62">
        <v>1.62</v>
      </c>
      <c r="J41" s="37">
        <v>-0.13</v>
      </c>
      <c r="K41" s="37">
        <v>-7.39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78</v>
      </c>
      <c r="D42" s="1" t="s">
        <v>1</v>
      </c>
      <c r="E42" s="59" t="s">
        <v>19</v>
      </c>
      <c r="F42" s="60">
        <v>2.25602272727272</v>
      </c>
      <c r="G42" s="60">
        <v>0.51525708449261898</v>
      </c>
      <c r="H42" s="61">
        <v>2.2799999999999998</v>
      </c>
      <c r="I42" s="62">
        <v>2.44</v>
      </c>
      <c r="J42" s="37">
        <v>0.16</v>
      </c>
      <c r="K42" s="37">
        <v>7.25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78</v>
      </c>
      <c r="D43" s="1" t="s">
        <v>1</v>
      </c>
      <c r="E43" s="59" t="s">
        <v>12</v>
      </c>
      <c r="F43" s="60">
        <v>2.95885714285714</v>
      </c>
      <c r="G43" s="60">
        <v>0.32759357597548899</v>
      </c>
      <c r="H43" s="61">
        <v>3</v>
      </c>
      <c r="I43" s="62">
        <v>2.99</v>
      </c>
      <c r="J43" s="37">
        <v>-0.01</v>
      </c>
      <c r="K43" s="37">
        <v>-0.34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78</v>
      </c>
      <c r="D44" s="1" t="s">
        <v>1</v>
      </c>
      <c r="E44" s="59" t="s">
        <v>13</v>
      </c>
      <c r="F44" s="60">
        <v>4.3125308641975204</v>
      </c>
      <c r="G44" s="60">
        <v>0.42500299451144702</v>
      </c>
      <c r="H44" s="61">
        <v>4.3899999999999997</v>
      </c>
      <c r="I44" s="62">
        <v>4.1900000000000004</v>
      </c>
      <c r="J44" s="37">
        <v>-0.2</v>
      </c>
      <c r="K44" s="37">
        <v>-4.45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78</v>
      </c>
      <c r="D45" s="1" t="s">
        <v>1</v>
      </c>
      <c r="E45" s="59" t="s">
        <v>14</v>
      </c>
      <c r="F45" s="60">
        <v>5.07419540229884</v>
      </c>
      <c r="G45" s="60">
        <v>0.85627178168896401</v>
      </c>
      <c r="H45" s="61">
        <v>5.28</v>
      </c>
      <c r="I45" s="62">
        <v>5.3</v>
      </c>
      <c r="J45" s="37">
        <v>0.02</v>
      </c>
      <c r="K45" s="37">
        <v>0.44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78</v>
      </c>
      <c r="D46" s="1" t="s">
        <v>1</v>
      </c>
      <c r="E46" s="59" t="s">
        <v>15</v>
      </c>
      <c r="F46" s="60">
        <v>5.0943749999999897</v>
      </c>
      <c r="G46" s="60">
        <v>1.24436897857088</v>
      </c>
      <c r="H46" s="61">
        <v>5.46</v>
      </c>
      <c r="I46" s="62">
        <v>5.73</v>
      </c>
      <c r="J46" s="37">
        <v>0.27</v>
      </c>
      <c r="K46" s="37">
        <v>4.99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78</v>
      </c>
      <c r="D47" s="1" t="s">
        <v>1</v>
      </c>
      <c r="E47" s="59" t="s">
        <v>16</v>
      </c>
      <c r="F47" s="60">
        <v>4.2281250000000004</v>
      </c>
      <c r="G47" s="60">
        <v>0.48030459825226801</v>
      </c>
      <c r="H47" s="61">
        <v>4.32</v>
      </c>
      <c r="I47" s="62">
        <v>4.24</v>
      </c>
      <c r="J47" s="37">
        <v>-0.08</v>
      </c>
      <c r="K47" s="37">
        <v>-1.92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78</v>
      </c>
      <c r="D48" s="1" t="s">
        <v>1</v>
      </c>
      <c r="E48" s="59" t="s">
        <v>17</v>
      </c>
      <c r="F48" s="60">
        <v>4.4652272727272697</v>
      </c>
      <c r="G48" s="60">
        <v>0.94481055974287897</v>
      </c>
      <c r="H48" s="61">
        <v>4.78</v>
      </c>
      <c r="I48" s="62">
        <v>4.45</v>
      </c>
      <c r="J48" s="37">
        <v>-0.33</v>
      </c>
      <c r="K48" s="37">
        <v>-6.97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78</v>
      </c>
      <c r="D49" s="1" t="s">
        <v>1</v>
      </c>
      <c r="E49" s="59" t="s">
        <v>18</v>
      </c>
      <c r="F49" s="60">
        <v>1.7498850574712601</v>
      </c>
      <c r="G49" s="60">
        <v>2.4658320405627401E-2</v>
      </c>
      <c r="H49" s="61">
        <v>1.75</v>
      </c>
      <c r="I49" s="62">
        <v>1.61</v>
      </c>
      <c r="J49" s="37">
        <v>-0.14000000000000001</v>
      </c>
      <c r="K49" s="37">
        <v>-7.96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78</v>
      </c>
      <c r="D50" s="1" t="s">
        <v>1</v>
      </c>
      <c r="E50" s="59" t="s">
        <v>19</v>
      </c>
      <c r="F50" s="60">
        <v>2.25602272727272</v>
      </c>
      <c r="G50" s="60">
        <v>0.51525708449261898</v>
      </c>
      <c r="H50" s="61">
        <v>2.2799999999999998</v>
      </c>
      <c r="I50" s="62">
        <v>2.42</v>
      </c>
      <c r="J50" s="37">
        <v>0.14000000000000001</v>
      </c>
      <c r="K50" s="37">
        <v>6.37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78</v>
      </c>
      <c r="D52" s="1" t="s">
        <v>1</v>
      </c>
      <c r="E52" s="59" t="s">
        <v>12</v>
      </c>
      <c r="F52" s="60">
        <v>2.9465294117647001</v>
      </c>
      <c r="G52" s="60">
        <v>0.31924775878287498</v>
      </c>
      <c r="H52" s="61">
        <v>2.9992121212121199</v>
      </c>
      <c r="I52" s="63">
        <v>3.04</v>
      </c>
      <c r="J52" s="58">
        <v>4.078787878788015E-2</v>
      </c>
      <c r="K52" s="58">
        <v>1.3599531190009957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78</v>
      </c>
      <c r="D53" s="1" t="s">
        <v>1</v>
      </c>
      <c r="E53" s="59" t="s">
        <v>13</v>
      </c>
      <c r="F53" s="60">
        <v>4.2850318471337498</v>
      </c>
      <c r="G53" s="60">
        <v>0.49759629123361998</v>
      </c>
      <c r="H53" s="61">
        <v>4.3873333333333298</v>
      </c>
      <c r="I53" s="63">
        <v>4.01</v>
      </c>
      <c r="J53" s="58">
        <v>-0.37733333333332997</v>
      </c>
      <c r="K53" s="58">
        <v>-8.6005166388086227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78</v>
      </c>
      <c r="D54" s="1" t="s">
        <v>1</v>
      </c>
      <c r="E54" s="59" t="s">
        <v>14</v>
      </c>
      <c r="F54" s="60">
        <v>5.1081764705882202</v>
      </c>
      <c r="G54" s="60">
        <v>0.80827024712502005</v>
      </c>
      <c r="H54" s="61">
        <v>5.29199999999999</v>
      </c>
      <c r="I54" s="63">
        <v>5.24</v>
      </c>
      <c r="J54" s="58">
        <v>-5.1999999999989832E-2</v>
      </c>
      <c r="K54" s="58">
        <v>-0.98261526832936386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78</v>
      </c>
      <c r="D55" s="1" t="s">
        <v>1</v>
      </c>
      <c r="E55" s="59" t="s">
        <v>15</v>
      </c>
      <c r="F55" s="60">
        <v>5.1088235294117599</v>
      </c>
      <c r="G55" s="60">
        <v>1.2714608659191999</v>
      </c>
      <c r="H55" s="61">
        <v>5.5046052631578899</v>
      </c>
      <c r="I55" s="63">
        <v>5.77</v>
      </c>
      <c r="J55" s="58">
        <v>0.26539473684210968</v>
      </c>
      <c r="K55" s="58">
        <v>4.8213218596869494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78</v>
      </c>
      <c r="D56" s="1" t="s">
        <v>1</v>
      </c>
      <c r="E56" s="59" t="s">
        <v>16</v>
      </c>
      <c r="F56" s="60">
        <v>4.1863905325443804</v>
      </c>
      <c r="G56" s="60">
        <v>0.56256228175830703</v>
      </c>
      <c r="H56" s="61">
        <v>4.3247770700636901</v>
      </c>
      <c r="I56" s="63">
        <v>4.1900000000000004</v>
      </c>
      <c r="J56" s="58">
        <v>-0.13477707006368966</v>
      </c>
      <c r="K56" s="58">
        <v>-3.1163934667667119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78</v>
      </c>
      <c r="D57" s="1" t="s">
        <v>1</v>
      </c>
      <c r="E57" s="59" t="s">
        <v>17</v>
      </c>
      <c r="F57" s="60">
        <v>4.5047647058823497</v>
      </c>
      <c r="G57" s="60">
        <v>0.89300431653075496</v>
      </c>
      <c r="H57" s="61">
        <v>4.7989999999999897</v>
      </c>
      <c r="I57" s="63">
        <v>4.38</v>
      </c>
      <c r="J57" s="58">
        <v>-0.41899999999998983</v>
      </c>
      <c r="K57" s="58">
        <v>-8.7309856220043898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78</v>
      </c>
      <c r="D58" s="1" t="s">
        <v>1</v>
      </c>
      <c r="E58" s="59" t="s">
        <v>18</v>
      </c>
      <c r="F58" s="60">
        <v>1.7452976190476199</v>
      </c>
      <c r="G58" s="60">
        <v>8.2965322612738798E-2</v>
      </c>
      <c r="H58" s="61">
        <v>1.7510240963855399</v>
      </c>
      <c r="I58" s="63">
        <v>1.55</v>
      </c>
      <c r="J58" s="58">
        <v>-0.20102409638553986</v>
      </c>
      <c r="K58" s="58">
        <v>-11.480372931502963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78</v>
      </c>
      <c r="D59" s="1" t="s">
        <v>1</v>
      </c>
      <c r="E59" s="59" t="s">
        <v>19</v>
      </c>
      <c r="F59" s="60">
        <v>2.2166272189349101</v>
      </c>
      <c r="G59" s="60">
        <v>0.41587561803179901</v>
      </c>
      <c r="H59" s="61">
        <v>2.2564189189189201</v>
      </c>
      <c r="I59" s="63">
        <v>2.41</v>
      </c>
      <c r="J59" s="58">
        <v>0.15358108108108004</v>
      </c>
      <c r="K59" s="58">
        <v>6.8064081449318259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78</v>
      </c>
      <c r="D60" s="1" t="s">
        <v>1</v>
      </c>
      <c r="E60" s="59" t="s">
        <v>12</v>
      </c>
      <c r="F60" s="60">
        <v>2.9465294117647001</v>
      </c>
      <c r="G60" s="60">
        <v>0.31924775878287498</v>
      </c>
      <c r="H60" s="61">
        <v>2.9992121212121199</v>
      </c>
      <c r="I60" s="63">
        <v>2.99</v>
      </c>
      <c r="J60" s="58">
        <v>-9.2121212121196727E-3</v>
      </c>
      <c r="K60" s="58">
        <v>-0.30715137308783047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78</v>
      </c>
      <c r="D61" s="1" t="s">
        <v>1</v>
      </c>
      <c r="E61" s="59" t="s">
        <v>13</v>
      </c>
      <c r="F61" s="60">
        <v>4.2850318471337498</v>
      </c>
      <c r="G61" s="60">
        <v>0.49759629123361998</v>
      </c>
      <c r="H61" s="61">
        <v>4.3873333333333298</v>
      </c>
      <c r="I61" s="63">
        <v>4.18</v>
      </c>
      <c r="J61" s="58">
        <v>-0.20733333333333004</v>
      </c>
      <c r="K61" s="58">
        <v>-4.7257255736209594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78</v>
      </c>
      <c r="D62" s="1" t="s">
        <v>1</v>
      </c>
      <c r="E62" s="59" t="s">
        <v>14</v>
      </c>
      <c r="F62" s="60">
        <v>5.1081764705882202</v>
      </c>
      <c r="G62" s="60">
        <v>0.80827024712502005</v>
      </c>
      <c r="H62" s="61">
        <v>5.29199999999999</v>
      </c>
      <c r="I62" s="63">
        <v>5.28</v>
      </c>
      <c r="J62" s="58">
        <v>-1.1999999999989797E-2</v>
      </c>
      <c r="K62" s="58">
        <v>-0.22675736961432011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78</v>
      </c>
      <c r="D63" s="1" t="s">
        <v>1</v>
      </c>
      <c r="E63" s="59" t="s">
        <v>15</v>
      </c>
      <c r="F63" s="60">
        <v>5.1088235294117599</v>
      </c>
      <c r="G63" s="60">
        <v>1.2714608659191999</v>
      </c>
      <c r="H63" s="61">
        <v>5.5046052631578899</v>
      </c>
      <c r="I63" s="63">
        <v>5.69</v>
      </c>
      <c r="J63" s="58">
        <v>0.1853947368421105</v>
      </c>
      <c r="K63" s="58">
        <v>3.3679933070396579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78</v>
      </c>
      <c r="D64" s="1" t="s">
        <v>1</v>
      </c>
      <c r="E64" s="59" t="s">
        <v>16</v>
      </c>
      <c r="F64" s="60">
        <v>4.1863905325443804</v>
      </c>
      <c r="G64" s="60">
        <v>0.56256228175830703</v>
      </c>
      <c r="H64" s="61">
        <v>4.3247770700636901</v>
      </c>
      <c r="I64" s="63">
        <v>4.22</v>
      </c>
      <c r="J64" s="58">
        <v>-0.1047770700636903</v>
      </c>
      <c r="K64" s="58">
        <v>-2.4227160930204263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78</v>
      </c>
      <c r="D65" s="1" t="s">
        <v>1</v>
      </c>
      <c r="E65" s="59" t="s">
        <v>17</v>
      </c>
      <c r="F65" s="60">
        <v>4.5047647058823497</v>
      </c>
      <c r="G65" s="60">
        <v>0.89300431653075496</v>
      </c>
      <c r="H65" s="61">
        <v>4.7989999999999897</v>
      </c>
      <c r="I65" s="63">
        <v>4.3899999999999997</v>
      </c>
      <c r="J65" s="58">
        <v>-0.40899999999999004</v>
      </c>
      <c r="K65" s="58">
        <v>-8.5226088768491532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78</v>
      </c>
      <c r="D66" s="1" t="s">
        <v>1</v>
      </c>
      <c r="E66" s="59" t="s">
        <v>18</v>
      </c>
      <c r="F66" s="60">
        <v>1.7452976190476199</v>
      </c>
      <c r="G66" s="60">
        <v>8.2965322612738798E-2</v>
      </c>
      <c r="H66" s="61">
        <v>1.7510240963855399</v>
      </c>
      <c r="I66" s="63">
        <v>1.62</v>
      </c>
      <c r="J66" s="58">
        <v>-0.1310240963855398</v>
      </c>
      <c r="K66" s="58">
        <v>-7.4827123542159963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78</v>
      </c>
      <c r="D67" s="1" t="s">
        <v>1</v>
      </c>
      <c r="E67" s="59" t="s">
        <v>19</v>
      </c>
      <c r="F67" s="60">
        <v>2.2166272189349101</v>
      </c>
      <c r="G67" s="60">
        <v>0.41587561803179901</v>
      </c>
      <c r="H67" s="61">
        <v>2.2564189189189201</v>
      </c>
      <c r="I67" s="63">
        <v>2.44</v>
      </c>
      <c r="J67" s="58">
        <v>0.18358108108107984</v>
      </c>
      <c r="K67" s="58">
        <v>8.1359484952836674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78</v>
      </c>
      <c r="D68" s="1" t="s">
        <v>1</v>
      </c>
      <c r="E68" s="59" t="s">
        <v>12</v>
      </c>
      <c r="F68" s="60">
        <v>2.9465294117647001</v>
      </c>
      <c r="G68" s="60">
        <v>0.31924775878287498</v>
      </c>
      <c r="H68" s="61">
        <v>2.9992121212121199</v>
      </c>
      <c r="I68" s="63">
        <v>2.99</v>
      </c>
      <c r="J68" s="58">
        <v>-9.2121212121196727E-3</v>
      </c>
      <c r="K68" s="58">
        <v>-0.30715137308783047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78</v>
      </c>
      <c r="D69" s="1" t="s">
        <v>1</v>
      </c>
      <c r="E69" s="59" t="s">
        <v>13</v>
      </c>
      <c r="F69" s="60">
        <v>4.2850318471337498</v>
      </c>
      <c r="G69" s="60">
        <v>0.49759629123361998</v>
      </c>
      <c r="H69" s="61">
        <v>4.3873333333333298</v>
      </c>
      <c r="I69" s="63">
        <v>4.1900000000000004</v>
      </c>
      <c r="J69" s="58">
        <v>-0.19733333333332936</v>
      </c>
      <c r="K69" s="58">
        <v>-4.4977966874334339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78</v>
      </c>
      <c r="D70" s="1" t="s">
        <v>1</v>
      </c>
      <c r="E70" s="59" t="s">
        <v>14</v>
      </c>
      <c r="F70" s="60">
        <v>5.1081764705882202</v>
      </c>
      <c r="G70" s="60">
        <v>0.80827024712502005</v>
      </c>
      <c r="H70" s="61">
        <v>5.29199999999999</v>
      </c>
      <c r="I70" s="63">
        <v>5.3</v>
      </c>
      <c r="J70" s="58">
        <v>8.0000000000097771E-3</v>
      </c>
      <c r="K70" s="58">
        <v>0.15117157974319334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78</v>
      </c>
      <c r="D71" s="1" t="s">
        <v>1</v>
      </c>
      <c r="E71" s="59" t="s">
        <v>15</v>
      </c>
      <c r="F71" s="60">
        <v>5.1088235294117599</v>
      </c>
      <c r="G71" s="60">
        <v>1.2714608659191999</v>
      </c>
      <c r="H71" s="61">
        <v>5.5046052631578899</v>
      </c>
      <c r="I71" s="63">
        <v>5.73</v>
      </c>
      <c r="J71" s="58">
        <v>0.22539473684211053</v>
      </c>
      <c r="K71" s="58">
        <v>4.0946575833633121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78</v>
      </c>
      <c r="D72" s="1" t="s">
        <v>1</v>
      </c>
      <c r="E72" s="59" t="s">
        <v>16</v>
      </c>
      <c r="F72" s="60">
        <v>4.1863905325443804</v>
      </c>
      <c r="G72" s="60">
        <v>0.56256228175830703</v>
      </c>
      <c r="H72" s="61">
        <v>4.3247770700636901</v>
      </c>
      <c r="I72" s="63">
        <v>4.24</v>
      </c>
      <c r="J72" s="58">
        <v>-8.4777070063689841E-2</v>
      </c>
      <c r="K72" s="58">
        <v>-1.960264510522882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78</v>
      </c>
      <c r="D73" s="1" t="s">
        <v>1</v>
      </c>
      <c r="E73" s="59" t="s">
        <v>17</v>
      </c>
      <c r="F73" s="60">
        <v>4.5047647058823497</v>
      </c>
      <c r="G73" s="60">
        <v>0.89300431653075496</v>
      </c>
      <c r="H73" s="61">
        <v>4.7989999999999897</v>
      </c>
      <c r="I73" s="63">
        <v>4.45</v>
      </c>
      <c r="J73" s="58">
        <v>-0.34899999999998954</v>
      </c>
      <c r="K73" s="58">
        <v>-7.2723484059176977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78</v>
      </c>
      <c r="D74" s="1" t="s">
        <v>1</v>
      </c>
      <c r="E74" s="59" t="s">
        <v>18</v>
      </c>
      <c r="F74" s="60">
        <v>1.7452976190476199</v>
      </c>
      <c r="G74" s="60">
        <v>8.2965322612738798E-2</v>
      </c>
      <c r="H74" s="61">
        <v>1.7510240963855399</v>
      </c>
      <c r="I74" s="63">
        <v>1.61</v>
      </c>
      <c r="J74" s="58">
        <v>-0.14102409638553981</v>
      </c>
      <c r="K74" s="58">
        <v>-8.0538067223998482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78</v>
      </c>
      <c r="D75" s="1" t="s">
        <v>1</v>
      </c>
      <c r="E75" s="59" t="s">
        <v>19</v>
      </c>
      <c r="F75" s="60">
        <v>2.2166272189349101</v>
      </c>
      <c r="G75" s="60">
        <v>0.41587561803179901</v>
      </c>
      <c r="H75" s="61">
        <v>2.2564189189189201</v>
      </c>
      <c r="I75" s="63">
        <v>2.42</v>
      </c>
      <c r="J75" s="58">
        <v>0.16358108108107983</v>
      </c>
      <c r="K75" s="58">
        <v>7.2495882617157665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78</v>
      </c>
      <c r="D77" s="1" t="s">
        <v>1</v>
      </c>
      <c r="E77" s="59" t="s">
        <v>12</v>
      </c>
      <c r="F77" s="60">
        <v>5.3723529411764703</v>
      </c>
      <c r="G77" s="60">
        <v>0.46084678341664298</v>
      </c>
      <c r="H77" s="61">
        <v>5.4692307692307702</v>
      </c>
      <c r="I77" s="62">
        <v>5.47</v>
      </c>
      <c r="J77" s="37">
        <v>7.6923076922952305E-4</v>
      </c>
      <c r="K77" s="37">
        <v>1.406469760897862E-2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78</v>
      </c>
      <c r="D78" s="1" t="s">
        <v>1</v>
      </c>
      <c r="E78" s="59" t="s">
        <v>13</v>
      </c>
      <c r="F78" s="60">
        <v>5.5708823529411697</v>
      </c>
      <c r="G78" s="60">
        <v>0.98035668073068505</v>
      </c>
      <c r="H78" s="61">
        <v>5.8483870967741902</v>
      </c>
      <c r="I78" s="62">
        <v>5.98</v>
      </c>
      <c r="J78" s="37">
        <v>0.13161290322581021</v>
      </c>
      <c r="K78" s="37">
        <v>2.250413678985173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78</v>
      </c>
      <c r="D79" s="1" t="s">
        <v>1</v>
      </c>
      <c r="E79" s="59" t="s">
        <v>14</v>
      </c>
      <c r="F79" s="60">
        <v>2.3058823529411701</v>
      </c>
      <c r="G79" s="60">
        <v>0.51924502686484597</v>
      </c>
      <c r="H79" s="61">
        <v>2.4645161290322499</v>
      </c>
      <c r="I79" s="62">
        <v>2.41</v>
      </c>
      <c r="J79" s="37">
        <v>-5.4516129032249783E-2</v>
      </c>
      <c r="K79" s="37">
        <v>-2.2120418848164252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78</v>
      </c>
      <c r="D80" s="1" t="s">
        <v>1</v>
      </c>
      <c r="E80" s="59" t="s">
        <v>15</v>
      </c>
      <c r="F80" s="60">
        <v>3.6777941176470601</v>
      </c>
      <c r="G80" s="60">
        <v>0.56695742549007899</v>
      </c>
      <c r="H80" s="61">
        <v>3.7959999999999998</v>
      </c>
      <c r="I80" s="62">
        <v>3.91</v>
      </c>
      <c r="J80" s="37">
        <v>0.11400000000000032</v>
      </c>
      <c r="K80" s="37">
        <v>3.0031612223393132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78</v>
      </c>
      <c r="D81" s="1" t="s">
        <v>1</v>
      </c>
      <c r="E81" s="59" t="s">
        <v>16</v>
      </c>
      <c r="F81" s="60">
        <v>4.4222388059701503</v>
      </c>
      <c r="G81" s="60">
        <v>0.82722485328783502</v>
      </c>
      <c r="H81" s="61">
        <v>4.6433870967741901</v>
      </c>
      <c r="I81" s="62">
        <v>4.76</v>
      </c>
      <c r="J81" s="37">
        <v>0.11661290322580964</v>
      </c>
      <c r="K81" s="37">
        <v>2.5113758727292379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78</v>
      </c>
      <c r="D82" s="1" t="s">
        <v>1</v>
      </c>
      <c r="E82" s="59" t="s">
        <v>17</v>
      </c>
      <c r="F82" s="60">
        <v>1.2285294117647001</v>
      </c>
      <c r="G82" s="60">
        <v>0.13925499997235599</v>
      </c>
      <c r="H82" s="61">
        <v>1.2570769230769201</v>
      </c>
      <c r="I82" s="62">
        <v>1.37</v>
      </c>
      <c r="J82" s="37">
        <v>0.11292307692308001</v>
      </c>
      <c r="K82" s="37">
        <v>8.9829886182844429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78</v>
      </c>
      <c r="D83" s="1" t="s">
        <v>1</v>
      </c>
      <c r="E83" s="59" t="s">
        <v>18</v>
      </c>
      <c r="F83" s="60">
        <v>3.72238805970149</v>
      </c>
      <c r="G83" s="60">
        <v>0.85075750188970201</v>
      </c>
      <c r="H83" s="61">
        <v>4.04568965517241</v>
      </c>
      <c r="I83" s="62">
        <v>3.98</v>
      </c>
      <c r="J83" s="37">
        <v>-6.5689655172409989E-2</v>
      </c>
      <c r="K83" s="37">
        <v>-1.6236948646920022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78</v>
      </c>
      <c r="D84" s="1" t="s">
        <v>1</v>
      </c>
      <c r="E84" s="59" t="s">
        <v>19</v>
      </c>
      <c r="F84" s="60"/>
      <c r="G84" s="60"/>
      <c r="H84" s="61"/>
      <c r="I84" s="62"/>
      <c r="J84" s="37"/>
      <c r="K84" s="37"/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78</v>
      </c>
      <c r="D85" s="1" t="s">
        <v>1</v>
      </c>
      <c r="E85" s="59" t="s">
        <v>12</v>
      </c>
      <c r="F85" s="60">
        <v>5.3723529411764703</v>
      </c>
      <c r="G85" s="60">
        <v>0.46084678341664298</v>
      </c>
      <c r="H85" s="61">
        <v>5.4692307692307702</v>
      </c>
      <c r="I85" s="62">
        <v>5.41</v>
      </c>
      <c r="J85" s="37">
        <v>-5.9230769230770086E-2</v>
      </c>
      <c r="K85" s="37">
        <v>-1.0829817158931239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78</v>
      </c>
      <c r="D86" s="1" t="s">
        <v>1</v>
      </c>
      <c r="E86" s="59" t="s">
        <v>13</v>
      </c>
      <c r="F86" s="60">
        <v>5.5708823529411697</v>
      </c>
      <c r="G86" s="60">
        <v>0.98035668073068505</v>
      </c>
      <c r="H86" s="61">
        <v>5.8483870967741902</v>
      </c>
      <c r="I86" s="62">
        <v>5.96</v>
      </c>
      <c r="J86" s="37">
        <v>0.11161290322580975</v>
      </c>
      <c r="K86" s="37">
        <v>1.9084390512962517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78</v>
      </c>
      <c r="D87" s="1" t="s">
        <v>1</v>
      </c>
      <c r="E87" s="59" t="s">
        <v>14</v>
      </c>
      <c r="F87" s="60">
        <v>2.3058823529411701</v>
      </c>
      <c r="G87" s="60">
        <v>0.51924502686484597</v>
      </c>
      <c r="H87" s="61">
        <v>2.4645161290322499</v>
      </c>
      <c r="I87" s="62">
        <v>2.4300000000000002</v>
      </c>
      <c r="J87" s="37">
        <v>-3.4516129032249765E-2</v>
      </c>
      <c r="K87" s="37">
        <v>-1.400523560209092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78</v>
      </c>
      <c r="D88" s="1" t="s">
        <v>1</v>
      </c>
      <c r="E88" s="59" t="s">
        <v>15</v>
      </c>
      <c r="F88" s="60">
        <v>3.6777941176470601</v>
      </c>
      <c r="G88" s="60">
        <v>0.56695742549007899</v>
      </c>
      <c r="H88" s="61">
        <v>3.7959999999999998</v>
      </c>
      <c r="I88" s="62">
        <v>3.89</v>
      </c>
      <c r="J88" s="37">
        <v>9.4000000000000306E-2</v>
      </c>
      <c r="K88" s="37">
        <v>2.4762908324552244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78</v>
      </c>
      <c r="D89" s="1" t="s">
        <v>1</v>
      </c>
      <c r="E89" s="59" t="s">
        <v>16</v>
      </c>
      <c r="F89" s="60">
        <v>4.4222388059701503</v>
      </c>
      <c r="G89" s="60">
        <v>0.82722485328783502</v>
      </c>
      <c r="H89" s="61">
        <v>4.6433870967741901</v>
      </c>
      <c r="I89" s="62">
        <v>4.78</v>
      </c>
      <c r="J89" s="37">
        <v>0.1366129032258101</v>
      </c>
      <c r="K89" s="37">
        <v>2.9420959394213875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78</v>
      </c>
      <c r="D90" s="1" t="s">
        <v>1</v>
      </c>
      <c r="E90" s="59" t="s">
        <v>17</v>
      </c>
      <c r="F90" s="60">
        <v>1.2285294117647001</v>
      </c>
      <c r="G90" s="60">
        <v>0.13925499997235599</v>
      </c>
      <c r="H90" s="61">
        <v>1.2570769230769201</v>
      </c>
      <c r="I90" s="62">
        <v>1.38</v>
      </c>
      <c r="J90" s="37">
        <v>0.1229230769230798</v>
      </c>
      <c r="K90" s="37">
        <v>9.7784848855711726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78</v>
      </c>
      <c r="D91" s="1" t="s">
        <v>1</v>
      </c>
      <c r="E91" s="59" t="s">
        <v>18</v>
      </c>
      <c r="F91" s="60">
        <v>3.72238805970149</v>
      </c>
      <c r="G91" s="60">
        <v>0.85075750188970201</v>
      </c>
      <c r="H91" s="61">
        <v>4.04568965517241</v>
      </c>
      <c r="I91" s="62">
        <v>4.01</v>
      </c>
      <c r="J91" s="37">
        <v>-3.5689655172410184E-2</v>
      </c>
      <c r="K91" s="37">
        <v>-0.88216492648616773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78</v>
      </c>
      <c r="D92" s="1" t="s">
        <v>1</v>
      </c>
      <c r="E92" s="59" t="s">
        <v>19</v>
      </c>
      <c r="F92" s="60"/>
      <c r="G92" s="60"/>
      <c r="H92" s="61"/>
      <c r="I92" s="62"/>
      <c r="J92" s="37"/>
      <c r="K92" s="37"/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78</v>
      </c>
      <c r="D93" s="1" t="s">
        <v>1</v>
      </c>
      <c r="E93" s="59" t="s">
        <v>12</v>
      </c>
      <c r="F93" s="60">
        <v>5.3723529411764703</v>
      </c>
      <c r="G93" s="60">
        <v>0.46084678341664298</v>
      </c>
      <c r="H93" s="61">
        <v>5.4692307692307702</v>
      </c>
      <c r="I93" s="62">
        <v>5.45</v>
      </c>
      <c r="J93" s="37">
        <v>-1.9230769230770051E-2</v>
      </c>
      <c r="K93" s="37">
        <v>-0.35161744022505009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78</v>
      </c>
      <c r="D94" s="1" t="s">
        <v>1</v>
      </c>
      <c r="E94" s="59" t="s">
        <v>13</v>
      </c>
      <c r="F94" s="60">
        <v>5.5708823529411697</v>
      </c>
      <c r="G94" s="60">
        <v>0.98035668073068505</v>
      </c>
      <c r="H94" s="61">
        <v>5.8483870967741902</v>
      </c>
      <c r="I94" s="62">
        <v>6.03</v>
      </c>
      <c r="J94" s="37">
        <v>0.18161290322581003</v>
      </c>
      <c r="K94" s="37">
        <v>3.1053502482074542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78</v>
      </c>
      <c r="D95" s="1" t="s">
        <v>1</v>
      </c>
      <c r="E95" s="59" t="s">
        <v>14</v>
      </c>
      <c r="F95" s="60">
        <v>2.3058823529411701</v>
      </c>
      <c r="G95" s="60">
        <v>0.51924502686484597</v>
      </c>
      <c r="H95" s="61">
        <v>2.4645161290322499</v>
      </c>
      <c r="I95" s="62">
        <v>2.4500000000000002</v>
      </c>
      <c r="J95" s="37">
        <v>-1.4516129032249747E-2</v>
      </c>
      <c r="K95" s="37">
        <v>-0.58900523560175866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78</v>
      </c>
      <c r="D96" s="1" t="s">
        <v>1</v>
      </c>
      <c r="E96" s="59" t="s">
        <v>15</v>
      </c>
      <c r="F96" s="60">
        <v>3.6777941176470601</v>
      </c>
      <c r="G96" s="60">
        <v>0.56695742549007899</v>
      </c>
      <c r="H96" s="61">
        <v>3.7959999999999998</v>
      </c>
      <c r="I96" s="62">
        <v>3.92</v>
      </c>
      <c r="J96" s="37">
        <v>0.12400000000000011</v>
      </c>
      <c r="K96" s="37">
        <v>3.266596417281352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78</v>
      </c>
      <c r="D97" s="1" t="s">
        <v>1</v>
      </c>
      <c r="E97" s="59" t="s">
        <v>16</v>
      </c>
      <c r="F97" s="60">
        <v>4.4222388059701503</v>
      </c>
      <c r="G97" s="60">
        <v>0.82722485328783502</v>
      </c>
      <c r="H97" s="61">
        <v>4.6433870967741901</v>
      </c>
      <c r="I97" s="62">
        <v>4.83</v>
      </c>
      <c r="J97" s="37">
        <v>0.18661290322580992</v>
      </c>
      <c r="K97" s="37">
        <v>4.0188961061517325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78</v>
      </c>
      <c r="D98" s="1" t="s">
        <v>1</v>
      </c>
      <c r="E98" s="59" t="s">
        <v>17</v>
      </c>
      <c r="F98" s="60">
        <v>1.2285294117647001</v>
      </c>
      <c r="G98" s="60">
        <v>0.13925499997235599</v>
      </c>
      <c r="H98" s="61">
        <v>1.2570769230769201</v>
      </c>
      <c r="I98" s="62">
        <v>1.4</v>
      </c>
      <c r="J98" s="37">
        <v>0.14292307692307982</v>
      </c>
      <c r="K98" s="37">
        <v>11.369477420144671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78</v>
      </c>
      <c r="D99" s="1" t="s">
        <v>1</v>
      </c>
      <c r="E99" s="59" t="s">
        <v>18</v>
      </c>
      <c r="F99" s="60">
        <v>3.72238805970149</v>
      </c>
      <c r="G99" s="60">
        <v>0.85075750188970201</v>
      </c>
      <c r="H99" s="61">
        <v>4.04568965517241</v>
      </c>
      <c r="I99" s="62">
        <v>3.97</v>
      </c>
      <c r="J99" s="37">
        <v>-7.5689655172409775E-2</v>
      </c>
      <c r="K99" s="37">
        <v>-1.8708715107606098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78</v>
      </c>
      <c r="D100" s="1" t="s">
        <v>1</v>
      </c>
      <c r="E100" s="59" t="s">
        <v>19</v>
      </c>
      <c r="F100" s="60"/>
      <c r="G100" s="60"/>
      <c r="H100" s="61"/>
      <c r="I100" s="62"/>
      <c r="J100" s="37"/>
      <c r="K100" s="37"/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78</v>
      </c>
      <c r="D102" s="1" t="s">
        <v>1</v>
      </c>
      <c r="E102" s="59" t="s">
        <v>12</v>
      </c>
      <c r="F102" s="60">
        <v>5.1957352941176396</v>
      </c>
      <c r="G102" s="60">
        <v>1.0512881680508599</v>
      </c>
      <c r="H102" s="61">
        <v>5.4669841269841202</v>
      </c>
      <c r="I102" s="62">
        <v>5.47</v>
      </c>
      <c r="J102" s="37">
        <v>3.0158730158795777E-3</v>
      </c>
      <c r="K102" s="37">
        <v>5.5165205272752343E-2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78</v>
      </c>
      <c r="D103" s="1" t="s">
        <v>1</v>
      </c>
      <c r="E103" s="59" t="s">
        <v>13</v>
      </c>
      <c r="F103" s="60">
        <v>5.63279411764705</v>
      </c>
      <c r="G103" s="60">
        <v>0.83582267607893401</v>
      </c>
      <c r="H103" s="61">
        <v>5.8519047619047599</v>
      </c>
      <c r="I103" s="62">
        <v>5.98</v>
      </c>
      <c r="J103" s="37">
        <v>0.12809523809524048</v>
      </c>
      <c r="K103" s="37">
        <v>2.1889494670030523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78</v>
      </c>
      <c r="D104" s="1" t="s">
        <v>1</v>
      </c>
      <c r="E104" s="59" t="s">
        <v>14</v>
      </c>
      <c r="F104" s="60">
        <v>2.3547761194029802</v>
      </c>
      <c r="G104" s="60">
        <v>0.41661521030750598</v>
      </c>
      <c r="H104" s="61">
        <v>2.4608064516128998</v>
      </c>
      <c r="I104" s="62">
        <v>2.41</v>
      </c>
      <c r="J104" s="37">
        <v>-5.080645161289965E-2</v>
      </c>
      <c r="K104" s="37">
        <v>-2.0646260732776973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78</v>
      </c>
      <c r="D105" s="1" t="s">
        <v>1</v>
      </c>
      <c r="E105" s="59" t="s">
        <v>15</v>
      </c>
      <c r="F105" s="60">
        <v>3.5888235294117599</v>
      </c>
      <c r="G105" s="60">
        <v>0.68827903330092799</v>
      </c>
      <c r="H105" s="61">
        <v>3.7935483870967701</v>
      </c>
      <c r="I105" s="62">
        <v>3.91</v>
      </c>
      <c r="J105" s="37">
        <v>0.11645161290323003</v>
      </c>
      <c r="K105" s="37">
        <v>3.0697278911565773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78</v>
      </c>
      <c r="D106" s="1" t="s">
        <v>1</v>
      </c>
      <c r="E106" s="59" t="s">
        <v>16</v>
      </c>
      <c r="F106" s="60">
        <v>4.4177941176470501</v>
      </c>
      <c r="G106" s="60">
        <v>0.80130563602057503</v>
      </c>
      <c r="H106" s="61">
        <v>4.6525806451612803</v>
      </c>
      <c r="I106" s="62">
        <v>4.76</v>
      </c>
      <c r="J106" s="37">
        <v>0.10741935483871945</v>
      </c>
      <c r="K106" s="37">
        <v>2.3088123136658876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78</v>
      </c>
      <c r="D107" s="1" t="s">
        <v>1</v>
      </c>
      <c r="E107" s="59" t="s">
        <v>17</v>
      </c>
      <c r="F107" s="60">
        <v>1.23823529411764</v>
      </c>
      <c r="G107" s="60">
        <v>0.12415527726187101</v>
      </c>
      <c r="H107" s="61">
        <v>1.25833333333333</v>
      </c>
      <c r="I107" s="62">
        <v>1.37</v>
      </c>
      <c r="J107" s="37">
        <v>0.11166666666667013</v>
      </c>
      <c r="K107" s="37">
        <v>8.8741721854307638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78</v>
      </c>
      <c r="D108" s="1" t="s">
        <v>1</v>
      </c>
      <c r="E108" s="59" t="s">
        <v>18</v>
      </c>
      <c r="F108" s="60">
        <v>3.9960606060605999</v>
      </c>
      <c r="G108" s="60">
        <v>0.32969167776501601</v>
      </c>
      <c r="H108" s="61">
        <v>4.0515873015872996</v>
      </c>
      <c r="I108" s="62">
        <v>3.98</v>
      </c>
      <c r="J108" s="37">
        <v>-7.1587301587299645E-2</v>
      </c>
      <c r="K108" s="37">
        <v>-1.7668952007834984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78</v>
      </c>
      <c r="D109" s="1" t="s">
        <v>1</v>
      </c>
      <c r="E109" s="59" t="s">
        <v>19</v>
      </c>
      <c r="F109" s="60"/>
      <c r="G109" s="60"/>
      <c r="H109" s="61"/>
      <c r="I109" s="62"/>
      <c r="J109" s="37"/>
      <c r="K109" s="37"/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78</v>
      </c>
      <c r="D110" s="1" t="s">
        <v>1</v>
      </c>
      <c r="E110" s="59" t="s">
        <v>12</v>
      </c>
      <c r="F110" s="60">
        <v>5.1957352941176396</v>
      </c>
      <c r="G110" s="60">
        <v>1.0512881680508599</v>
      </c>
      <c r="H110" s="61">
        <v>5.4669841269841202</v>
      </c>
      <c r="I110" s="62">
        <v>5.41</v>
      </c>
      <c r="J110" s="37">
        <v>-5.6984126984120032E-2</v>
      </c>
      <c r="K110" s="37">
        <v>-1.0423320364669781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78</v>
      </c>
      <c r="D111" s="1" t="s">
        <v>1</v>
      </c>
      <c r="E111" s="59" t="s">
        <v>13</v>
      </c>
      <c r="F111" s="60">
        <v>5.63279411764705</v>
      </c>
      <c r="G111" s="60">
        <v>0.83582267607893401</v>
      </c>
      <c r="H111" s="61">
        <v>5.8519047619047599</v>
      </c>
      <c r="I111" s="62">
        <v>5.96</v>
      </c>
      <c r="J111" s="37">
        <v>0.10809523809524002</v>
      </c>
      <c r="K111" s="37">
        <v>1.8471804052404925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78</v>
      </c>
      <c r="D112" s="1" t="s">
        <v>1</v>
      </c>
      <c r="E112" s="59" t="s">
        <v>14</v>
      </c>
      <c r="F112" s="60">
        <v>2.3547761194029802</v>
      </c>
      <c r="G112" s="60">
        <v>0.41661521030750598</v>
      </c>
      <c r="H112" s="61">
        <v>2.4608064516128998</v>
      </c>
      <c r="I112" s="62">
        <v>2.4300000000000002</v>
      </c>
      <c r="J112" s="37">
        <v>-3.0806451612899632E-2</v>
      </c>
      <c r="K112" s="37">
        <v>-1.2518843809397522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78</v>
      </c>
      <c r="D113" s="1" t="s">
        <v>1</v>
      </c>
      <c r="E113" s="59" t="s">
        <v>15</v>
      </c>
      <c r="F113" s="60">
        <v>3.5888235294117599</v>
      </c>
      <c r="G113" s="60">
        <v>0.68827903330092799</v>
      </c>
      <c r="H113" s="61">
        <v>3.7935483870967701</v>
      </c>
      <c r="I113" s="62">
        <v>3.89</v>
      </c>
      <c r="J113" s="37">
        <v>9.6451612903230011E-2</v>
      </c>
      <c r="K113" s="37">
        <v>2.5425170068028349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78</v>
      </c>
      <c r="D114" s="1" t="s">
        <v>1</v>
      </c>
      <c r="E114" s="59" t="s">
        <v>16</v>
      </c>
      <c r="F114" s="60">
        <v>4.4177941176470501</v>
      </c>
      <c r="G114" s="60">
        <v>0.80130563602057503</v>
      </c>
      <c r="H114" s="61">
        <v>4.6525806451612803</v>
      </c>
      <c r="I114" s="62">
        <v>4.78</v>
      </c>
      <c r="J114" s="37">
        <v>0.12741935483871991</v>
      </c>
      <c r="K114" s="37">
        <v>2.7386812729670149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78</v>
      </c>
      <c r="D115" s="1" t="s">
        <v>1</v>
      </c>
      <c r="E115" s="59" t="s">
        <v>17</v>
      </c>
      <c r="F115" s="60">
        <v>1.23823529411764</v>
      </c>
      <c r="G115" s="60">
        <v>0.12415527726187101</v>
      </c>
      <c r="H115" s="61">
        <v>1.25833333333333</v>
      </c>
      <c r="I115" s="62">
        <v>1.38</v>
      </c>
      <c r="J115" s="37">
        <v>0.12166666666666992</v>
      </c>
      <c r="K115" s="37">
        <v>9.6688741721857152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78</v>
      </c>
      <c r="D116" s="1" t="s">
        <v>1</v>
      </c>
      <c r="E116" s="59" t="s">
        <v>18</v>
      </c>
      <c r="F116" s="60">
        <v>3.9960606060605999</v>
      </c>
      <c r="G116" s="60">
        <v>0.32969167776501601</v>
      </c>
      <c r="H116" s="61">
        <v>4.0515873015872996</v>
      </c>
      <c r="I116" s="62">
        <v>4.01</v>
      </c>
      <c r="J116" s="37">
        <v>-4.1587301587299841E-2</v>
      </c>
      <c r="K116" s="37">
        <v>-1.0264446620959418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78</v>
      </c>
      <c r="D117" s="1" t="s">
        <v>1</v>
      </c>
      <c r="E117" s="59" t="s">
        <v>19</v>
      </c>
      <c r="F117" s="60"/>
      <c r="G117" s="60"/>
      <c r="H117" s="61"/>
      <c r="I117" s="62"/>
      <c r="J117" s="37"/>
      <c r="K117" s="37"/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78</v>
      </c>
      <c r="D118" s="1" t="s">
        <v>1</v>
      </c>
      <c r="E118" s="59" t="s">
        <v>12</v>
      </c>
      <c r="F118" s="60">
        <v>5.1957352941176396</v>
      </c>
      <c r="G118" s="60">
        <v>1.0512881680508599</v>
      </c>
      <c r="H118" s="61">
        <v>5.4669841269841202</v>
      </c>
      <c r="I118" s="62">
        <v>5.45</v>
      </c>
      <c r="J118" s="37">
        <v>-1.6984126984119996E-2</v>
      </c>
      <c r="K118" s="37">
        <v>-0.31066720864048575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78</v>
      </c>
      <c r="D119" s="1" t="s">
        <v>1</v>
      </c>
      <c r="E119" s="59" t="s">
        <v>13</v>
      </c>
      <c r="F119" s="60">
        <v>5.63279411764705</v>
      </c>
      <c r="G119" s="60">
        <v>0.83582267607893401</v>
      </c>
      <c r="H119" s="61">
        <v>5.8519047619047599</v>
      </c>
      <c r="I119" s="62">
        <v>6.03</v>
      </c>
      <c r="J119" s="37">
        <v>0.1780952380952403</v>
      </c>
      <c r="K119" s="37">
        <v>3.0433721214094289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78</v>
      </c>
      <c r="D120" s="1" t="s">
        <v>1</v>
      </c>
      <c r="E120" s="59" t="s">
        <v>14</v>
      </c>
      <c r="F120" s="60">
        <v>2.3547761194029802</v>
      </c>
      <c r="G120" s="60">
        <v>0.41661521030750598</v>
      </c>
      <c r="H120" s="61">
        <v>2.4608064516128998</v>
      </c>
      <c r="I120" s="62">
        <v>2.4500000000000002</v>
      </c>
      <c r="J120" s="37">
        <v>-1.0806451612899615E-2</v>
      </c>
      <c r="K120" s="37">
        <v>-0.43914268860180711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78</v>
      </c>
      <c r="D121" s="1" t="s">
        <v>1</v>
      </c>
      <c r="E121" s="59" t="s">
        <v>15</v>
      </c>
      <c r="F121" s="60">
        <v>3.5888235294117599</v>
      </c>
      <c r="G121" s="60">
        <v>0.68827903330092799</v>
      </c>
      <c r="H121" s="61">
        <v>3.7935483870967701</v>
      </c>
      <c r="I121" s="62">
        <v>3.92</v>
      </c>
      <c r="J121" s="37">
        <v>0.12645161290322982</v>
      </c>
      <c r="K121" s="37">
        <v>3.3333333333334427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78</v>
      </c>
      <c r="D122" s="1" t="s">
        <v>1</v>
      </c>
      <c r="E122" s="59" t="s">
        <v>16</v>
      </c>
      <c r="F122" s="60">
        <v>4.4177941176470501</v>
      </c>
      <c r="G122" s="60">
        <v>0.80130563602057503</v>
      </c>
      <c r="H122" s="61">
        <v>4.6525806451612803</v>
      </c>
      <c r="I122" s="62">
        <v>4.83</v>
      </c>
      <c r="J122" s="37">
        <v>0.17741935483871973</v>
      </c>
      <c r="K122" s="37">
        <v>3.813353671219804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78</v>
      </c>
      <c r="D123" s="1" t="s">
        <v>1</v>
      </c>
      <c r="E123" s="59" t="s">
        <v>17</v>
      </c>
      <c r="F123" s="60">
        <v>1.23823529411764</v>
      </c>
      <c r="G123" s="60">
        <v>0.12415527726187101</v>
      </c>
      <c r="H123" s="61">
        <v>1.25833333333333</v>
      </c>
      <c r="I123" s="62">
        <v>1.4</v>
      </c>
      <c r="J123" s="37">
        <v>0.14166666666666994</v>
      </c>
      <c r="K123" s="37">
        <v>11.258278145695655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78</v>
      </c>
      <c r="D124" s="1" t="s">
        <v>1</v>
      </c>
      <c r="E124" s="59" t="s">
        <v>18</v>
      </c>
      <c r="F124" s="60">
        <v>3.9960606060605999</v>
      </c>
      <c r="G124" s="60">
        <v>0.32969167776501601</v>
      </c>
      <c r="H124" s="61">
        <v>4.0515873015872996</v>
      </c>
      <c r="I124" s="62">
        <v>3.97</v>
      </c>
      <c r="J124" s="37">
        <v>-8.1587301587299432E-2</v>
      </c>
      <c r="K124" s="37">
        <v>-2.0137120470126804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78</v>
      </c>
      <c r="D125" s="1" t="s">
        <v>1</v>
      </c>
      <c r="E125" s="59" t="s">
        <v>19</v>
      </c>
      <c r="F125" s="60"/>
      <c r="G125" s="60"/>
      <c r="H125" s="61"/>
      <c r="I125" s="62"/>
      <c r="J125" s="37"/>
      <c r="K125" s="37"/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78</v>
      </c>
      <c r="D127" s="1" t="s">
        <v>1</v>
      </c>
      <c r="E127" s="59" t="s">
        <v>12</v>
      </c>
      <c r="F127" s="60">
        <v>5.2705970149253698</v>
      </c>
      <c r="G127" s="60">
        <v>0.841505191223893</v>
      </c>
      <c r="H127" s="61">
        <v>5.4695238095238103</v>
      </c>
      <c r="I127" s="63">
        <v>5.47</v>
      </c>
      <c r="J127" s="58">
        <v>4.7619047618940868E-4</v>
      </c>
      <c r="K127" s="58">
        <v>8.7062510882618665E-3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78</v>
      </c>
      <c r="D128" s="1" t="s">
        <v>1</v>
      </c>
      <c r="E128" s="59" t="s">
        <v>13</v>
      </c>
      <c r="F128" s="60">
        <v>5.4204477611940298</v>
      </c>
      <c r="G128" s="60">
        <v>1.2898668597680201</v>
      </c>
      <c r="H128" s="61">
        <v>5.8369999999999997</v>
      </c>
      <c r="I128" s="63">
        <v>5.98</v>
      </c>
      <c r="J128" s="58">
        <v>0.14300000000000068</v>
      </c>
      <c r="K128" s="58">
        <v>2.4498886414254013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78</v>
      </c>
      <c r="D129" s="1" t="s">
        <v>1</v>
      </c>
      <c r="E129" s="59" t="s">
        <v>14</v>
      </c>
      <c r="F129" s="60">
        <v>2.3871641791044702</v>
      </c>
      <c r="G129" s="60">
        <v>0.30507550310941101</v>
      </c>
      <c r="H129" s="61">
        <v>2.4568253968253901</v>
      </c>
      <c r="I129" s="63">
        <v>2.41</v>
      </c>
      <c r="J129" s="58">
        <v>-4.6825396825389998E-2</v>
      </c>
      <c r="K129" s="58">
        <v>-1.9059309988367863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78</v>
      </c>
      <c r="D130" s="1" t="s">
        <v>1</v>
      </c>
      <c r="E130" s="59" t="s">
        <v>15</v>
      </c>
      <c r="F130" s="60">
        <v>3.5516417910447702</v>
      </c>
      <c r="G130" s="60">
        <v>0.717871224919164</v>
      </c>
      <c r="H130" s="61">
        <v>3.7886666666666602</v>
      </c>
      <c r="I130" s="63">
        <v>3.91</v>
      </c>
      <c r="J130" s="58">
        <v>0.12133333333333995</v>
      </c>
      <c r="K130" s="58">
        <v>3.2025338729546058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78</v>
      </c>
      <c r="D131" s="1" t="s">
        <v>1</v>
      </c>
      <c r="E131" s="59" t="s">
        <v>16</v>
      </c>
      <c r="F131" s="60">
        <v>4.4780597014925299</v>
      </c>
      <c r="G131" s="60">
        <v>0.79542392490817604</v>
      </c>
      <c r="H131" s="61">
        <v>4.64578124999999</v>
      </c>
      <c r="I131" s="63">
        <v>4.76</v>
      </c>
      <c r="J131" s="58">
        <v>0.11421875000000981</v>
      </c>
      <c r="K131" s="58">
        <v>2.458547741566826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78</v>
      </c>
      <c r="D132" s="1" t="s">
        <v>1</v>
      </c>
      <c r="E132" s="59" t="s">
        <v>17</v>
      </c>
      <c r="F132" s="60">
        <v>1.2419402985074599</v>
      </c>
      <c r="G132" s="60">
        <v>0.122318873782801</v>
      </c>
      <c r="H132" s="61">
        <v>1.25938461538461</v>
      </c>
      <c r="I132" s="63">
        <v>1.37</v>
      </c>
      <c r="J132" s="58">
        <v>0.11061538461539011</v>
      </c>
      <c r="K132" s="58">
        <v>8.7832885414126416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78</v>
      </c>
      <c r="D133" s="1" t="s">
        <v>1</v>
      </c>
      <c r="E133" s="59" t="s">
        <v>18</v>
      </c>
      <c r="F133" s="60">
        <v>3.9082089552238801</v>
      </c>
      <c r="G133" s="60">
        <v>0.62866103951682095</v>
      </c>
      <c r="H133" s="61">
        <v>4.0633333333333299</v>
      </c>
      <c r="I133" s="63">
        <v>3.98</v>
      </c>
      <c r="J133" s="58">
        <v>-8.3333333333329929E-2</v>
      </c>
      <c r="K133" s="58">
        <v>-2.0508613617718621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78</v>
      </c>
      <c r="D134" s="1" t="s">
        <v>1</v>
      </c>
      <c r="E134" s="59" t="s">
        <v>19</v>
      </c>
      <c r="F134" s="60"/>
      <c r="G134" s="60"/>
      <c r="H134" s="61"/>
      <c r="I134" s="63"/>
      <c r="J134" s="58"/>
      <c r="K134" s="58"/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78</v>
      </c>
      <c r="D135" s="1" t="s">
        <v>1</v>
      </c>
      <c r="E135" s="59" t="s">
        <v>12</v>
      </c>
      <c r="F135" s="60">
        <v>5.2705970149253698</v>
      </c>
      <c r="G135" s="60">
        <v>0.841505191223893</v>
      </c>
      <c r="H135" s="61">
        <v>5.4695238095238103</v>
      </c>
      <c r="I135" s="63">
        <v>5.41</v>
      </c>
      <c r="J135" s="58">
        <v>-5.9523809523810201E-2</v>
      </c>
      <c r="K135" s="58">
        <v>-1.0882813860351854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78</v>
      </c>
      <c r="D136" s="1" t="s">
        <v>1</v>
      </c>
      <c r="E136" s="59" t="s">
        <v>13</v>
      </c>
      <c r="F136" s="60">
        <v>5.4204477611940298</v>
      </c>
      <c r="G136" s="60">
        <v>1.2898668597680201</v>
      </c>
      <c r="H136" s="61">
        <v>5.8369999999999997</v>
      </c>
      <c r="I136" s="63">
        <v>5.96</v>
      </c>
      <c r="J136" s="58">
        <v>0.12300000000000022</v>
      </c>
      <c r="K136" s="58">
        <v>2.1072468733938705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78</v>
      </c>
      <c r="D137" s="1" t="s">
        <v>1</v>
      </c>
      <c r="E137" s="59" t="s">
        <v>14</v>
      </c>
      <c r="F137" s="60">
        <v>2.3871641791044702</v>
      </c>
      <c r="G137" s="60">
        <v>0.30507550310941101</v>
      </c>
      <c r="H137" s="61">
        <v>2.4568253968253901</v>
      </c>
      <c r="I137" s="63">
        <v>2.4300000000000002</v>
      </c>
      <c r="J137" s="58">
        <v>-2.682539682538998E-2</v>
      </c>
      <c r="K137" s="58">
        <v>-1.0918723349267174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78</v>
      </c>
      <c r="D138" s="1" t="s">
        <v>1</v>
      </c>
      <c r="E138" s="59" t="s">
        <v>15</v>
      </c>
      <c r="F138" s="60">
        <v>3.5516417910447702</v>
      </c>
      <c r="G138" s="60">
        <v>0.717871224919164</v>
      </c>
      <c r="H138" s="61">
        <v>3.7886666666666602</v>
      </c>
      <c r="I138" s="63">
        <v>3.89</v>
      </c>
      <c r="J138" s="58">
        <v>0.10133333333333994</v>
      </c>
      <c r="K138" s="58">
        <v>2.6746436741159627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78</v>
      </c>
      <c r="D139" s="1" t="s">
        <v>1</v>
      </c>
      <c r="E139" s="59" t="s">
        <v>16</v>
      </c>
      <c r="F139" s="60">
        <v>4.4780597014925299</v>
      </c>
      <c r="G139" s="60">
        <v>0.79542392490817604</v>
      </c>
      <c r="H139" s="61">
        <v>4.64578124999999</v>
      </c>
      <c r="I139" s="63">
        <v>4.78</v>
      </c>
      <c r="J139" s="58">
        <v>0.13421875000001027</v>
      </c>
      <c r="K139" s="58">
        <v>2.8890458413213183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78</v>
      </c>
      <c r="D140" s="1" t="s">
        <v>1</v>
      </c>
      <c r="E140" s="59" t="s">
        <v>17</v>
      </c>
      <c r="F140" s="60">
        <v>1.2419402985074599</v>
      </c>
      <c r="G140" s="60">
        <v>0.122318873782801</v>
      </c>
      <c r="H140" s="61">
        <v>1.25938461538461</v>
      </c>
      <c r="I140" s="63">
        <v>1.38</v>
      </c>
      <c r="J140" s="58">
        <v>0.1206153846153899</v>
      </c>
      <c r="K140" s="58">
        <v>9.5773271439046876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78</v>
      </c>
      <c r="D141" s="1" t="s">
        <v>1</v>
      </c>
      <c r="E141" s="59" t="s">
        <v>18</v>
      </c>
      <c r="F141" s="60">
        <v>3.9082089552238801</v>
      </c>
      <c r="G141" s="60">
        <v>0.62866103951682095</v>
      </c>
      <c r="H141" s="61">
        <v>4.0633333333333299</v>
      </c>
      <c r="I141" s="63">
        <v>4.01</v>
      </c>
      <c r="J141" s="58">
        <v>-5.3333333333330124E-2</v>
      </c>
      <c r="K141" s="58">
        <v>-1.3125512715339664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78</v>
      </c>
      <c r="D142" s="1" t="s">
        <v>1</v>
      </c>
      <c r="E142" s="59" t="s">
        <v>19</v>
      </c>
      <c r="F142" s="60"/>
      <c r="G142" s="60"/>
      <c r="H142" s="61"/>
      <c r="I142" s="63"/>
      <c r="J142" s="58"/>
      <c r="K142" s="58"/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78</v>
      </c>
      <c r="D143" s="1" t="s">
        <v>1</v>
      </c>
      <c r="E143" s="59" t="s">
        <v>12</v>
      </c>
      <c r="F143" s="60">
        <v>5.2705970149253698</v>
      </c>
      <c r="G143" s="60">
        <v>0.841505191223893</v>
      </c>
      <c r="H143" s="61">
        <v>5.4695238095238103</v>
      </c>
      <c r="I143" s="63">
        <v>5.45</v>
      </c>
      <c r="J143" s="58">
        <v>-1.9523809523810165E-2</v>
      </c>
      <c r="K143" s="58">
        <v>-0.35695629461954848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78</v>
      </c>
      <c r="D144" s="1" t="s">
        <v>1</v>
      </c>
      <c r="E144" s="59" t="s">
        <v>13</v>
      </c>
      <c r="F144" s="60">
        <v>5.4204477611940298</v>
      </c>
      <c r="G144" s="60">
        <v>1.2898668597680201</v>
      </c>
      <c r="H144" s="61">
        <v>5.8369999999999997</v>
      </c>
      <c r="I144" s="63">
        <v>6.03</v>
      </c>
      <c r="J144" s="58">
        <v>0.1930000000000005</v>
      </c>
      <c r="K144" s="58">
        <v>3.3064930615042059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78</v>
      </c>
      <c r="D145" s="1" t="s">
        <v>1</v>
      </c>
      <c r="E145" s="59" t="s">
        <v>14</v>
      </c>
      <c r="F145" s="60">
        <v>2.3871641791044702</v>
      </c>
      <c r="G145" s="60">
        <v>0.30507550310941101</v>
      </c>
      <c r="H145" s="61">
        <v>2.4568253968253901</v>
      </c>
      <c r="I145" s="63">
        <v>2.4500000000000002</v>
      </c>
      <c r="J145" s="58">
        <v>-6.8253968253899622E-3</v>
      </c>
      <c r="K145" s="58">
        <v>-0.27781367101664867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78</v>
      </c>
      <c r="D146" s="1" t="s">
        <v>1</v>
      </c>
      <c r="E146" s="59" t="s">
        <v>15</v>
      </c>
      <c r="F146" s="60">
        <v>3.5516417910447702</v>
      </c>
      <c r="G146" s="60">
        <v>0.717871224919164</v>
      </c>
      <c r="H146" s="61">
        <v>3.7886666666666602</v>
      </c>
      <c r="I146" s="63">
        <v>3.92</v>
      </c>
      <c r="J146" s="58">
        <v>0.13133333333333974</v>
      </c>
      <c r="K146" s="58">
        <v>3.4664789723739218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78</v>
      </c>
      <c r="D147" s="1" t="s">
        <v>1</v>
      </c>
      <c r="E147" s="59" t="s">
        <v>16</v>
      </c>
      <c r="F147" s="60">
        <v>4.4780597014925299</v>
      </c>
      <c r="G147" s="60">
        <v>0.79542392490817604</v>
      </c>
      <c r="H147" s="61">
        <v>4.64578124999999</v>
      </c>
      <c r="I147" s="63">
        <v>4.83</v>
      </c>
      <c r="J147" s="58">
        <v>0.18421875000001009</v>
      </c>
      <c r="K147" s="58">
        <v>3.9652910907075207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78</v>
      </c>
      <c r="D148" s="1" t="s">
        <v>1</v>
      </c>
      <c r="E148" s="59" t="s">
        <v>17</v>
      </c>
      <c r="F148" s="60">
        <v>1.2419402985074599</v>
      </c>
      <c r="G148" s="60">
        <v>0.122318873782801</v>
      </c>
      <c r="H148" s="61">
        <v>1.25938461538461</v>
      </c>
      <c r="I148" s="63">
        <v>1.4</v>
      </c>
      <c r="J148" s="58">
        <v>0.14061538461538992</v>
      </c>
      <c r="K148" s="58">
        <v>11.165404348888815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78</v>
      </c>
      <c r="D149" s="1" t="s">
        <v>1</v>
      </c>
      <c r="E149" s="59" t="s">
        <v>18</v>
      </c>
      <c r="F149" s="60">
        <v>3.9082089552238801</v>
      </c>
      <c r="G149" s="60">
        <v>0.62866103951682095</v>
      </c>
      <c r="H149" s="61">
        <v>4.0633333333333299</v>
      </c>
      <c r="I149" s="63">
        <v>3.97</v>
      </c>
      <c r="J149" s="58">
        <v>-9.3333333333329715E-2</v>
      </c>
      <c r="K149" s="58">
        <v>-2.2969647251844907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78</v>
      </c>
      <c r="D150" s="1" t="s">
        <v>1</v>
      </c>
      <c r="E150" s="59" t="s">
        <v>19</v>
      </c>
      <c r="F150" s="60"/>
      <c r="G150" s="60"/>
      <c r="H150" s="61"/>
      <c r="I150" s="63"/>
      <c r="J150" s="58"/>
      <c r="K150" s="58"/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78</v>
      </c>
      <c r="D152" s="1" t="s">
        <v>1</v>
      </c>
      <c r="E152" s="59" t="s">
        <v>12</v>
      </c>
      <c r="F152" s="60">
        <v>5.8142192691030097</v>
      </c>
      <c r="G152" s="60">
        <v>0.74015474167369599</v>
      </c>
      <c r="H152" s="61">
        <v>5.9599652777778003</v>
      </c>
      <c r="I152" s="62">
        <v>5.36</v>
      </c>
      <c r="J152" s="37">
        <v>-0.59996527777779995</v>
      </c>
      <c r="K152" s="37">
        <v>-10.066590153046993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78</v>
      </c>
      <c r="D153" s="1" t="s">
        <v>1</v>
      </c>
      <c r="E153" s="59" t="s">
        <v>13</v>
      </c>
      <c r="F153" s="60">
        <v>2.7094407894736698</v>
      </c>
      <c r="G153" s="60">
        <v>0.36784849630106498</v>
      </c>
      <c r="H153" s="61">
        <v>2.7900347222222099</v>
      </c>
      <c r="I153" s="62">
        <v>2.94</v>
      </c>
      <c r="J153" s="37">
        <v>0.14996527777779001</v>
      </c>
      <c r="K153" s="37">
        <v>5.3750326683513636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78</v>
      </c>
      <c r="D154" s="1" t="s">
        <v>1</v>
      </c>
      <c r="E154" s="59" t="s">
        <v>14</v>
      </c>
      <c r="F154" s="60">
        <v>4.2557894736842199</v>
      </c>
      <c r="G154" s="60">
        <v>0.76310827878640797</v>
      </c>
      <c r="H154" s="61">
        <v>4.4500355871886201</v>
      </c>
      <c r="I154" s="62">
        <v>4.8</v>
      </c>
      <c r="J154" s="37">
        <v>0.34996441281137969</v>
      </c>
      <c r="K154" s="37">
        <v>7.864305935415568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78</v>
      </c>
      <c r="D155" s="1" t="s">
        <v>1</v>
      </c>
      <c r="E155" s="59" t="s">
        <v>15</v>
      </c>
      <c r="F155" s="60">
        <v>3.4129276315789498</v>
      </c>
      <c r="G155" s="60">
        <v>0.61457916283778302</v>
      </c>
      <c r="H155" s="61">
        <v>3.5764768683274002</v>
      </c>
      <c r="I155" s="62">
        <v>3.73</v>
      </c>
      <c r="J155" s="37">
        <v>0.15352313167259979</v>
      </c>
      <c r="K155" s="37">
        <v>4.2925800256719535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78</v>
      </c>
      <c r="D156" s="1" t="s">
        <v>1</v>
      </c>
      <c r="E156" s="59" t="s">
        <v>16</v>
      </c>
      <c r="F156" s="60">
        <v>1.6192281879194499</v>
      </c>
      <c r="G156" s="60">
        <v>0.171790047480914</v>
      </c>
      <c r="H156" s="61">
        <v>1.6398634812286601</v>
      </c>
      <c r="I156" s="62">
        <v>1.71</v>
      </c>
      <c r="J156" s="37">
        <v>7.0136518771339862E-2</v>
      </c>
      <c r="K156" s="37">
        <v>4.2769730269735868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78</v>
      </c>
      <c r="D157" s="1" t="s">
        <v>1</v>
      </c>
      <c r="E157" s="59" t="s">
        <v>17</v>
      </c>
      <c r="F157" s="60">
        <v>5.2665131578947504</v>
      </c>
      <c r="G157" s="60">
        <v>0.67248484611024595</v>
      </c>
      <c r="H157" s="61">
        <v>5.4065397923875498</v>
      </c>
      <c r="I157" s="62">
        <v>5.0599999999999996</v>
      </c>
      <c r="J157" s="37">
        <v>-0.34653979238755017</v>
      </c>
      <c r="K157" s="37">
        <v>-6.4096410217026598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78</v>
      </c>
      <c r="D158" s="1" t="s">
        <v>1</v>
      </c>
      <c r="E158" s="59" t="s">
        <v>18</v>
      </c>
      <c r="F158" s="60">
        <v>1.8520723684210501</v>
      </c>
      <c r="G158" s="60">
        <v>0.31195792146187201</v>
      </c>
      <c r="H158" s="61">
        <v>1.9279225352112599</v>
      </c>
      <c r="I158" s="62">
        <v>1.69</v>
      </c>
      <c r="J158" s="37">
        <v>-0.23792253521125994</v>
      </c>
      <c r="K158" s="37">
        <v>-12.340876299015232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78</v>
      </c>
      <c r="D159" s="1" t="s">
        <v>1</v>
      </c>
      <c r="E159" s="59" t="s">
        <v>19</v>
      </c>
      <c r="F159" s="60">
        <v>1.6223684210526299</v>
      </c>
      <c r="G159" s="60">
        <v>0.12874003202141601</v>
      </c>
      <c r="H159" s="61">
        <v>1.63709030100334</v>
      </c>
      <c r="I159" s="62">
        <v>1.68</v>
      </c>
      <c r="J159" s="37">
        <v>4.2909698996659973E-2</v>
      </c>
      <c r="K159" s="37">
        <v>2.6210954258516757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78</v>
      </c>
      <c r="D160" s="1" t="s">
        <v>1</v>
      </c>
      <c r="E160" s="59" t="s">
        <v>12</v>
      </c>
      <c r="F160" s="60">
        <v>5.8142192691030097</v>
      </c>
      <c r="G160" s="60">
        <v>0.74015474167369599</v>
      </c>
      <c r="H160" s="61">
        <v>5.9599652777778003</v>
      </c>
      <c r="I160" s="62">
        <v>5.32</v>
      </c>
      <c r="J160" s="37">
        <v>-0.63996527777779999</v>
      </c>
      <c r="K160" s="37">
        <v>-10.737735002651121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78</v>
      </c>
      <c r="D161" s="1" t="s">
        <v>1</v>
      </c>
      <c r="E161" s="59" t="s">
        <v>13</v>
      </c>
      <c r="F161" s="60">
        <v>2.7094407894736698</v>
      </c>
      <c r="G161" s="60">
        <v>0.36784849630106498</v>
      </c>
      <c r="H161" s="61">
        <v>2.7900347222222099</v>
      </c>
      <c r="I161" s="62">
        <v>2.95</v>
      </c>
      <c r="J161" s="37">
        <v>0.15996527777779024</v>
      </c>
      <c r="K161" s="37">
        <v>5.7334511468151526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78</v>
      </c>
      <c r="D162" s="1" t="s">
        <v>1</v>
      </c>
      <c r="E162" s="59" t="s">
        <v>14</v>
      </c>
      <c r="F162" s="60">
        <v>4.2557894736842199</v>
      </c>
      <c r="G162" s="60">
        <v>0.76310827878640797</v>
      </c>
      <c r="H162" s="61">
        <v>4.4500355871886201</v>
      </c>
      <c r="I162" s="62">
        <v>4.8099999999999996</v>
      </c>
      <c r="J162" s="37">
        <v>0.35996441281137947</v>
      </c>
      <c r="K162" s="37">
        <v>8.0890232394476786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78</v>
      </c>
      <c r="D163" s="1" t="s">
        <v>1</v>
      </c>
      <c r="E163" s="59" t="s">
        <v>15</v>
      </c>
      <c r="F163" s="60">
        <v>3.4129276315789498</v>
      </c>
      <c r="G163" s="60">
        <v>0.61457916283778302</v>
      </c>
      <c r="H163" s="61">
        <v>3.5764768683274002</v>
      </c>
      <c r="I163" s="62">
        <v>3.68</v>
      </c>
      <c r="J163" s="37">
        <v>0.10352313167259997</v>
      </c>
      <c r="K163" s="37">
        <v>2.894556164738018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78</v>
      </c>
      <c r="D164" s="1" t="s">
        <v>1</v>
      </c>
      <c r="E164" s="59" t="s">
        <v>16</v>
      </c>
      <c r="F164" s="60">
        <v>1.6192281879194499</v>
      </c>
      <c r="G164" s="60">
        <v>0.171790047480914</v>
      </c>
      <c r="H164" s="61">
        <v>1.6398634812286601</v>
      </c>
      <c r="I164" s="62">
        <v>1.73</v>
      </c>
      <c r="J164" s="37">
        <v>9.013651877133988E-2</v>
      </c>
      <c r="K164" s="37">
        <v>5.4965867465873144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78</v>
      </c>
      <c r="D165" s="1" t="s">
        <v>1</v>
      </c>
      <c r="E165" s="59" t="s">
        <v>17</v>
      </c>
      <c r="F165" s="60">
        <v>5.2665131578947504</v>
      </c>
      <c r="G165" s="60">
        <v>0.67248484611024595</v>
      </c>
      <c r="H165" s="61">
        <v>5.4065397923875498</v>
      </c>
      <c r="I165" s="62">
        <v>5.0599999999999996</v>
      </c>
      <c r="J165" s="37">
        <v>-0.34653979238755017</v>
      </c>
      <c r="K165" s="37">
        <v>-6.4096410217026598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78</v>
      </c>
      <c r="D166" s="1" t="s">
        <v>1</v>
      </c>
      <c r="E166" s="59" t="s">
        <v>18</v>
      </c>
      <c r="F166" s="60">
        <v>1.8520723684210501</v>
      </c>
      <c r="G166" s="60">
        <v>0.31195792146187201</v>
      </c>
      <c r="H166" s="61">
        <v>1.9279225352112599</v>
      </c>
      <c r="I166" s="62">
        <v>1.74</v>
      </c>
      <c r="J166" s="37">
        <v>-0.1879225352112599</v>
      </c>
      <c r="K166" s="37">
        <v>-9.7474111007612407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78</v>
      </c>
      <c r="D167" s="1" t="s">
        <v>1</v>
      </c>
      <c r="E167" s="59" t="s">
        <v>19</v>
      </c>
      <c r="F167" s="60">
        <v>1.6223684210526299</v>
      </c>
      <c r="G167" s="60">
        <v>0.12874003202141601</v>
      </c>
      <c r="H167" s="61">
        <v>1.63709030100334</v>
      </c>
      <c r="I167" s="62">
        <v>1.74</v>
      </c>
      <c r="J167" s="37">
        <v>0.10290969899666003</v>
      </c>
      <c r="K167" s="37">
        <v>6.286134548203524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78</v>
      </c>
      <c r="D168" s="1" t="s">
        <v>1</v>
      </c>
      <c r="E168" s="59" t="s">
        <v>12</v>
      </c>
      <c r="F168" s="60">
        <v>5.8142192691030097</v>
      </c>
      <c r="G168" s="60">
        <v>0.74015474167369599</v>
      </c>
      <c r="H168" s="61">
        <v>5.9599652777778003</v>
      </c>
      <c r="I168" s="62">
        <v>5.28</v>
      </c>
      <c r="J168" s="37">
        <v>-0.67996527777780003</v>
      </c>
      <c r="K168" s="37">
        <v>-11.40887985225525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78</v>
      </c>
      <c r="D169" s="1" t="s">
        <v>1</v>
      </c>
      <c r="E169" s="59" t="s">
        <v>13</v>
      </c>
      <c r="F169" s="60">
        <v>2.7094407894736698</v>
      </c>
      <c r="G169" s="60">
        <v>0.36784849630106498</v>
      </c>
      <c r="H169" s="61">
        <v>2.7900347222222099</v>
      </c>
      <c r="I169" s="62">
        <v>2.98</v>
      </c>
      <c r="J169" s="37">
        <v>0.18996527777779004</v>
      </c>
      <c r="K169" s="37">
        <v>6.8087065822064847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78</v>
      </c>
      <c r="D170" s="1" t="s">
        <v>1</v>
      </c>
      <c r="E170" s="59" t="s">
        <v>14</v>
      </c>
      <c r="F170" s="60">
        <v>4.2557894736842199</v>
      </c>
      <c r="G170" s="60">
        <v>0.76310827878640797</v>
      </c>
      <c r="H170" s="61">
        <v>4.4500355871886201</v>
      </c>
      <c r="I170" s="62">
        <v>4.83</v>
      </c>
      <c r="J170" s="37">
        <v>0.37996441281137994</v>
      </c>
      <c r="K170" s="37">
        <v>8.5384578475119213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78</v>
      </c>
      <c r="D171" s="1" t="s">
        <v>1</v>
      </c>
      <c r="E171" s="59" t="s">
        <v>15</v>
      </c>
      <c r="F171" s="60">
        <v>3.4129276315789498</v>
      </c>
      <c r="G171" s="60">
        <v>0.61457916283778302</v>
      </c>
      <c r="H171" s="61">
        <v>3.5764768683274002</v>
      </c>
      <c r="I171" s="62">
        <v>3.71</v>
      </c>
      <c r="J171" s="37">
        <v>0.13352313167259977</v>
      </c>
      <c r="K171" s="37">
        <v>3.7333704812983766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78</v>
      </c>
      <c r="D172" s="1" t="s">
        <v>1</v>
      </c>
      <c r="E172" s="59" t="s">
        <v>16</v>
      </c>
      <c r="F172" s="60">
        <v>1.6192281879194499</v>
      </c>
      <c r="G172" s="60">
        <v>0.171790047480914</v>
      </c>
      <c r="H172" s="61">
        <v>1.6398634812286601</v>
      </c>
      <c r="I172" s="62">
        <v>1.74</v>
      </c>
      <c r="J172" s="37">
        <v>0.10013651877133989</v>
      </c>
      <c r="K172" s="37">
        <v>6.1063936063941773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78</v>
      </c>
      <c r="D173" s="1" t="s">
        <v>1</v>
      </c>
      <c r="E173" s="59" t="s">
        <v>17</v>
      </c>
      <c r="F173" s="60">
        <v>5.2665131578947504</v>
      </c>
      <c r="G173" s="60">
        <v>0.67248484611024595</v>
      </c>
      <c r="H173" s="61">
        <v>5.4065397923875498</v>
      </c>
      <c r="I173" s="62">
        <v>5.14</v>
      </c>
      <c r="J173" s="37">
        <v>-0.2665397923875501</v>
      </c>
      <c r="K173" s="37">
        <v>-4.9299515516900518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78</v>
      </c>
      <c r="D174" s="1" t="s">
        <v>1</v>
      </c>
      <c r="E174" s="59" t="s">
        <v>18</v>
      </c>
      <c r="F174" s="60">
        <v>1.8520723684210501</v>
      </c>
      <c r="G174" s="60">
        <v>0.31195792146187201</v>
      </c>
      <c r="H174" s="61">
        <v>1.9279225352112599</v>
      </c>
      <c r="I174" s="62">
        <v>1.7</v>
      </c>
      <c r="J174" s="37">
        <v>-0.22792253521125994</v>
      </c>
      <c r="K174" s="37">
        <v>-11.822183259364433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78</v>
      </c>
      <c r="D175" s="1" t="s">
        <v>1</v>
      </c>
      <c r="E175" s="59" t="s">
        <v>19</v>
      </c>
      <c r="F175" s="60">
        <v>1.6223684210526299</v>
      </c>
      <c r="G175" s="60">
        <v>0.12874003202141601</v>
      </c>
      <c r="H175" s="61">
        <v>1.63709030100334</v>
      </c>
      <c r="I175" s="62">
        <v>1.73</v>
      </c>
      <c r="J175" s="37">
        <v>9.2909698996660017E-2</v>
      </c>
      <c r="K175" s="37">
        <v>5.6752946944782163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78</v>
      </c>
      <c r="D177" s="1" t="s">
        <v>1</v>
      </c>
      <c r="E177" s="59" t="s">
        <v>12</v>
      </c>
      <c r="F177" s="60">
        <v>5.7245846153846403</v>
      </c>
      <c r="G177" s="60">
        <v>0.90540100579896299</v>
      </c>
      <c r="H177" s="61">
        <v>5.9487828947368699</v>
      </c>
      <c r="I177" s="62">
        <v>5.36</v>
      </c>
      <c r="J177" s="37">
        <v>-0.58878289473686962</v>
      </c>
      <c r="K177" s="37">
        <v>-9.8975354312861175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78</v>
      </c>
      <c r="D178" s="1" t="s">
        <v>1</v>
      </c>
      <c r="E178" s="59" t="s">
        <v>13</v>
      </c>
      <c r="F178" s="60">
        <v>2.7270769230769099</v>
      </c>
      <c r="G178" s="60">
        <v>0.35900770541087001</v>
      </c>
      <c r="H178" s="61">
        <v>2.7944051446945202</v>
      </c>
      <c r="I178" s="62">
        <v>2.94</v>
      </c>
      <c r="J178" s="37">
        <v>0.14559485530547978</v>
      </c>
      <c r="K178" s="37">
        <v>5.2102271419699937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78</v>
      </c>
      <c r="D179" s="1" t="s">
        <v>1</v>
      </c>
      <c r="E179" s="59" t="s">
        <v>14</v>
      </c>
      <c r="F179" s="60">
        <v>4.1896923076923196</v>
      </c>
      <c r="G179" s="60">
        <v>0.90282116677202295</v>
      </c>
      <c r="H179" s="61">
        <v>4.4475420875421001</v>
      </c>
      <c r="I179" s="62">
        <v>4.8</v>
      </c>
      <c r="J179" s="37">
        <v>0.3524579124578997</v>
      </c>
      <c r="K179" s="37">
        <v>7.9247796989973587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78</v>
      </c>
      <c r="D180" s="1" t="s">
        <v>1</v>
      </c>
      <c r="E180" s="59" t="s">
        <v>15</v>
      </c>
      <c r="F180" s="60">
        <v>3.4144923076923002</v>
      </c>
      <c r="G180" s="60">
        <v>0.61334703749375596</v>
      </c>
      <c r="H180" s="61">
        <v>3.5765780730897001</v>
      </c>
      <c r="I180" s="62">
        <v>3.73</v>
      </c>
      <c r="J180" s="37">
        <v>0.15342192691029988</v>
      </c>
      <c r="K180" s="37">
        <v>4.2896289071571472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78</v>
      </c>
      <c r="D181" s="1" t="s">
        <v>1</v>
      </c>
      <c r="E181" s="59" t="s">
        <v>16</v>
      </c>
      <c r="F181" s="60">
        <v>1.6068944099378799</v>
      </c>
      <c r="G181" s="60">
        <v>0.18546813700613701</v>
      </c>
      <c r="H181" s="61">
        <v>1.63893548387096</v>
      </c>
      <c r="I181" s="62">
        <v>1.71</v>
      </c>
      <c r="J181" s="37">
        <v>7.1064516129039967E-2</v>
      </c>
      <c r="K181" s="37">
        <v>4.336016690613989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78</v>
      </c>
      <c r="D182" s="1" t="s">
        <v>1</v>
      </c>
      <c r="E182" s="59" t="s">
        <v>17</v>
      </c>
      <c r="F182" s="60">
        <v>5.1953230769230903</v>
      </c>
      <c r="G182" s="60">
        <v>0.85586643651901795</v>
      </c>
      <c r="H182" s="61">
        <v>5.3978032786885404</v>
      </c>
      <c r="I182" s="62">
        <v>5.0599999999999996</v>
      </c>
      <c r="J182" s="37">
        <v>-0.33780327868854076</v>
      </c>
      <c r="K182" s="37">
        <v>-6.258162093869676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78</v>
      </c>
      <c r="D183" s="1" t="s">
        <v>1</v>
      </c>
      <c r="E183" s="59" t="s">
        <v>18</v>
      </c>
      <c r="F183" s="60">
        <v>1.8784000000000001</v>
      </c>
      <c r="G183" s="60">
        <v>0.26287972096057</v>
      </c>
      <c r="H183" s="61">
        <v>1.9346278317152099</v>
      </c>
      <c r="I183" s="62">
        <v>1.69</v>
      </c>
      <c r="J183" s="37">
        <v>-0.24462783171520996</v>
      </c>
      <c r="K183" s="37">
        <v>-12.644697223151539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78</v>
      </c>
      <c r="D184" s="1" t="s">
        <v>1</v>
      </c>
      <c r="E184" s="59" t="s">
        <v>19</v>
      </c>
      <c r="F184" s="60">
        <v>1.61304615384615</v>
      </c>
      <c r="G184" s="60">
        <v>0.174980300497313</v>
      </c>
      <c r="H184" s="61">
        <v>1.6409841269841201</v>
      </c>
      <c r="I184" s="62">
        <v>1.68</v>
      </c>
      <c r="J184" s="37">
        <v>3.9015873015879832E-2</v>
      </c>
      <c r="K184" s="37">
        <v>2.3775899092689632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78</v>
      </c>
      <c r="D185" s="1" t="s">
        <v>1</v>
      </c>
      <c r="E185" s="59" t="s">
        <v>12</v>
      </c>
      <c r="F185" s="60">
        <v>5.7245846153846403</v>
      </c>
      <c r="G185" s="60">
        <v>0.90540100579896299</v>
      </c>
      <c r="H185" s="61">
        <v>5.9487828947368699</v>
      </c>
      <c r="I185" s="62">
        <v>5.32</v>
      </c>
      <c r="J185" s="37">
        <v>-0.62878289473686966</v>
      </c>
      <c r="K185" s="37">
        <v>-10.569941883291445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78</v>
      </c>
      <c r="D186" s="1" t="s">
        <v>1</v>
      </c>
      <c r="E186" s="59" t="s">
        <v>13</v>
      </c>
      <c r="F186" s="60">
        <v>2.7270769230769099</v>
      </c>
      <c r="G186" s="60">
        <v>0.35900770541087001</v>
      </c>
      <c r="H186" s="61">
        <v>2.7944051446945202</v>
      </c>
      <c r="I186" s="62">
        <v>2.95</v>
      </c>
      <c r="J186" s="37">
        <v>0.15559485530548001</v>
      </c>
      <c r="K186" s="37">
        <v>5.5680850574188794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78</v>
      </c>
      <c r="D187" s="1" t="s">
        <v>1</v>
      </c>
      <c r="E187" s="59" t="s">
        <v>14</v>
      </c>
      <c r="F187" s="60">
        <v>4.1896923076923196</v>
      </c>
      <c r="G187" s="60">
        <v>0.90282116677202295</v>
      </c>
      <c r="H187" s="61">
        <v>4.4475420875421001</v>
      </c>
      <c r="I187" s="62">
        <v>4.8099999999999996</v>
      </c>
      <c r="J187" s="37">
        <v>0.36245791245789949</v>
      </c>
      <c r="K187" s="37">
        <v>8.1496229900369332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78</v>
      </c>
      <c r="D188" s="1" t="s">
        <v>1</v>
      </c>
      <c r="E188" s="59" t="s">
        <v>15</v>
      </c>
      <c r="F188" s="60">
        <v>3.4144923076923002</v>
      </c>
      <c r="G188" s="60">
        <v>0.61334703749375596</v>
      </c>
      <c r="H188" s="61">
        <v>3.5765780730897001</v>
      </c>
      <c r="I188" s="62">
        <v>3.68</v>
      </c>
      <c r="J188" s="37">
        <v>0.10342192691030005</v>
      </c>
      <c r="K188" s="37">
        <v>2.8916446054526332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78</v>
      </c>
      <c r="D189" s="1" t="s">
        <v>1</v>
      </c>
      <c r="E189" s="59" t="s">
        <v>16</v>
      </c>
      <c r="F189" s="60">
        <v>1.6068944099378799</v>
      </c>
      <c r="G189" s="60">
        <v>0.18546813700613701</v>
      </c>
      <c r="H189" s="61">
        <v>1.63893548387096</v>
      </c>
      <c r="I189" s="62">
        <v>1.73</v>
      </c>
      <c r="J189" s="37">
        <v>9.1064516129039985E-2</v>
      </c>
      <c r="K189" s="37">
        <v>5.5563209793931012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78</v>
      </c>
      <c r="D190" s="1" t="s">
        <v>1</v>
      </c>
      <c r="E190" s="59" t="s">
        <v>17</v>
      </c>
      <c r="F190" s="60">
        <v>5.1953230769230903</v>
      </c>
      <c r="G190" s="60">
        <v>0.85586643651901795</v>
      </c>
      <c r="H190" s="61">
        <v>5.3978032786885404</v>
      </c>
      <c r="I190" s="62">
        <v>5.0599999999999996</v>
      </c>
      <c r="J190" s="37">
        <v>-0.33780327868854076</v>
      </c>
      <c r="K190" s="37">
        <v>-6.258162093869676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78</v>
      </c>
      <c r="D191" s="1" t="s">
        <v>1</v>
      </c>
      <c r="E191" s="59" t="s">
        <v>18</v>
      </c>
      <c r="F191" s="60">
        <v>1.8784000000000001</v>
      </c>
      <c r="G191" s="60">
        <v>0.26287972096057</v>
      </c>
      <c r="H191" s="61">
        <v>1.9346278317152099</v>
      </c>
      <c r="I191" s="62">
        <v>1.74</v>
      </c>
      <c r="J191" s="37">
        <v>-0.19462783171520992</v>
      </c>
      <c r="K191" s="37">
        <v>-10.060220809635309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78</v>
      </c>
      <c r="D192" s="1" t="s">
        <v>1</v>
      </c>
      <c r="E192" s="59" t="s">
        <v>19</v>
      </c>
      <c r="F192" s="60">
        <v>1.61304615384615</v>
      </c>
      <c r="G192" s="60">
        <v>0.174980300497313</v>
      </c>
      <c r="H192" s="61">
        <v>1.6409841269841201</v>
      </c>
      <c r="I192" s="62">
        <v>1.74</v>
      </c>
      <c r="J192" s="37">
        <v>9.9015873015879885E-2</v>
      </c>
      <c r="K192" s="37">
        <v>6.0339324060285726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78</v>
      </c>
      <c r="D193" s="1" t="s">
        <v>1</v>
      </c>
      <c r="E193" s="59" t="s">
        <v>12</v>
      </c>
      <c r="F193" s="60">
        <v>5.7245846153846403</v>
      </c>
      <c r="G193" s="60">
        <v>0.90540100579896299</v>
      </c>
      <c r="H193" s="61">
        <v>5.9487828947368699</v>
      </c>
      <c r="I193" s="62">
        <v>5.28</v>
      </c>
      <c r="J193" s="37">
        <v>-0.66878289473686969</v>
      </c>
      <c r="K193" s="37">
        <v>-11.242348335296773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78</v>
      </c>
      <c r="D194" s="1" t="s">
        <v>1</v>
      </c>
      <c r="E194" s="59" t="s">
        <v>13</v>
      </c>
      <c r="F194" s="60">
        <v>2.7270769230769099</v>
      </c>
      <c r="G194" s="60">
        <v>0.35900770541087001</v>
      </c>
      <c r="H194" s="61">
        <v>2.7944051446945202</v>
      </c>
      <c r="I194" s="62">
        <v>2.98</v>
      </c>
      <c r="J194" s="37">
        <v>0.18559485530547981</v>
      </c>
      <c r="K194" s="37">
        <v>6.6416588037655062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78</v>
      </c>
      <c r="D195" s="1" t="s">
        <v>1</v>
      </c>
      <c r="E195" s="59" t="s">
        <v>14</v>
      </c>
      <c r="F195" s="60">
        <v>4.1896923076923196</v>
      </c>
      <c r="G195" s="60">
        <v>0.90282116677202295</v>
      </c>
      <c r="H195" s="61">
        <v>4.4475420875421001</v>
      </c>
      <c r="I195" s="62">
        <v>4.83</v>
      </c>
      <c r="J195" s="37">
        <v>0.38245791245789995</v>
      </c>
      <c r="K195" s="37">
        <v>8.5993095721160984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78</v>
      </c>
      <c r="D196" s="1" t="s">
        <v>1</v>
      </c>
      <c r="E196" s="59" t="s">
        <v>15</v>
      </c>
      <c r="F196" s="60">
        <v>3.4144923076923002</v>
      </c>
      <c r="G196" s="60">
        <v>0.61334703749375596</v>
      </c>
      <c r="H196" s="61">
        <v>3.5765780730897001</v>
      </c>
      <c r="I196" s="62">
        <v>3.71</v>
      </c>
      <c r="J196" s="37">
        <v>0.13342192691029986</v>
      </c>
      <c r="K196" s="37">
        <v>3.7304351864753391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78</v>
      </c>
      <c r="D197" s="1" t="s">
        <v>1</v>
      </c>
      <c r="E197" s="59" t="s">
        <v>16</v>
      </c>
      <c r="F197" s="60">
        <v>1.6068944099378799</v>
      </c>
      <c r="G197" s="60">
        <v>0.18546813700613701</v>
      </c>
      <c r="H197" s="61">
        <v>1.63893548387096</v>
      </c>
      <c r="I197" s="62">
        <v>1.74</v>
      </c>
      <c r="J197" s="37">
        <v>0.10106451612903999</v>
      </c>
      <c r="K197" s="37">
        <v>6.1664731237826569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78</v>
      </c>
      <c r="D198" s="1" t="s">
        <v>1</v>
      </c>
      <c r="E198" s="59" t="s">
        <v>17</v>
      </c>
      <c r="F198" s="60">
        <v>5.1953230769230903</v>
      </c>
      <c r="G198" s="60">
        <v>0.85586643651901795</v>
      </c>
      <c r="H198" s="61">
        <v>5.3978032786885404</v>
      </c>
      <c r="I198" s="62">
        <v>5.14</v>
      </c>
      <c r="J198" s="37">
        <v>-0.25780327868854069</v>
      </c>
      <c r="K198" s="37">
        <v>-4.7760777000968622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78</v>
      </c>
      <c r="D199" s="1" t="s">
        <v>1</v>
      </c>
      <c r="E199" s="59" t="s">
        <v>18</v>
      </c>
      <c r="F199" s="60">
        <v>1.8784000000000001</v>
      </c>
      <c r="G199" s="60">
        <v>0.26287972096057</v>
      </c>
      <c r="H199" s="61">
        <v>1.9346278317152099</v>
      </c>
      <c r="I199" s="62">
        <v>1.7</v>
      </c>
      <c r="J199" s="37">
        <v>-0.23462783171520996</v>
      </c>
      <c r="K199" s="37">
        <v>-12.127801940448292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78</v>
      </c>
      <c r="D200" s="1" t="s">
        <v>1</v>
      </c>
      <c r="E200" s="59" t="s">
        <v>19</v>
      </c>
      <c r="F200" s="60">
        <v>1.61304615384615</v>
      </c>
      <c r="G200" s="60">
        <v>0.174980300497313</v>
      </c>
      <c r="H200" s="61">
        <v>1.6409841269841201</v>
      </c>
      <c r="I200" s="62">
        <v>1.73</v>
      </c>
      <c r="J200" s="37">
        <v>8.9015873015879876E-2</v>
      </c>
      <c r="K200" s="37">
        <v>5.4245419899019707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78</v>
      </c>
      <c r="D202" s="1" t="s">
        <v>1</v>
      </c>
      <c r="E202" s="59" t="s">
        <v>12</v>
      </c>
      <c r="F202" s="60">
        <v>5.6958385093167898</v>
      </c>
      <c r="G202" s="60">
        <v>0.94777186172151695</v>
      </c>
      <c r="H202" s="61">
        <v>5.9151815181518401</v>
      </c>
      <c r="I202" s="63">
        <v>5.36</v>
      </c>
      <c r="J202" s="58">
        <v>-0.5551815181518398</v>
      </c>
      <c r="K202" s="58">
        <v>-9.385705518049809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78</v>
      </c>
      <c r="D203" s="1" t="s">
        <v>1</v>
      </c>
      <c r="E203" s="59" t="s">
        <v>13</v>
      </c>
      <c r="F203" s="60">
        <v>2.7060061919504501</v>
      </c>
      <c r="G203" s="60">
        <v>0.40728561565206001</v>
      </c>
      <c r="H203" s="61">
        <v>2.7930718954248199</v>
      </c>
      <c r="I203" s="63">
        <v>2.94</v>
      </c>
      <c r="J203" s="58">
        <v>0.14692810457518002</v>
      </c>
      <c r="K203" s="58">
        <v>5.260448354940487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78</v>
      </c>
      <c r="D204" s="1" t="s">
        <v>1</v>
      </c>
      <c r="E204" s="59" t="s">
        <v>14</v>
      </c>
      <c r="F204" s="60">
        <v>4.23965944272447</v>
      </c>
      <c r="G204" s="60">
        <v>0.796957571071919</v>
      </c>
      <c r="H204" s="61">
        <v>4.45488215488216</v>
      </c>
      <c r="I204" s="63">
        <v>4.8</v>
      </c>
      <c r="J204" s="58">
        <v>0.34511784511783983</v>
      </c>
      <c r="K204" s="58">
        <v>7.7469579018969323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78</v>
      </c>
      <c r="D205" s="1" t="s">
        <v>1</v>
      </c>
      <c r="E205" s="59" t="s">
        <v>15</v>
      </c>
      <c r="F205" s="60">
        <v>3.4677708978328101</v>
      </c>
      <c r="G205" s="60">
        <v>0.54840719275022698</v>
      </c>
      <c r="H205" s="61">
        <v>3.58676470588235</v>
      </c>
      <c r="I205" s="63">
        <v>3.73</v>
      </c>
      <c r="J205" s="58">
        <v>0.14323529411765001</v>
      </c>
      <c r="K205" s="58">
        <v>3.9934399343994293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78</v>
      </c>
      <c r="D206" s="1" t="s">
        <v>1</v>
      </c>
      <c r="E206" s="59" t="s">
        <v>16</v>
      </c>
      <c r="F206" s="60">
        <v>1.58744548286604</v>
      </c>
      <c r="G206" s="60">
        <v>0.24785751921541599</v>
      </c>
      <c r="H206" s="61">
        <v>1.6368506493506401</v>
      </c>
      <c r="I206" s="63">
        <v>1.71</v>
      </c>
      <c r="J206" s="58">
        <v>7.3149350649359901E-2</v>
      </c>
      <c r="K206" s="58">
        <v>4.4689080630770563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78</v>
      </c>
      <c r="D207" s="1" t="s">
        <v>1</v>
      </c>
      <c r="E207" s="59" t="s">
        <v>17</v>
      </c>
      <c r="F207" s="60">
        <v>5.2916770186335498</v>
      </c>
      <c r="G207" s="60">
        <v>0.62367298727932596</v>
      </c>
      <c r="H207" s="61">
        <v>5.4112377850162998</v>
      </c>
      <c r="I207" s="63">
        <v>5.0599999999999996</v>
      </c>
      <c r="J207" s="58">
        <v>-0.35123778501630021</v>
      </c>
      <c r="K207" s="58">
        <v>-6.4908954100830041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78</v>
      </c>
      <c r="D208" s="1" t="s">
        <v>1</v>
      </c>
      <c r="E208" s="59" t="s">
        <v>18</v>
      </c>
      <c r="F208" s="60">
        <v>1.8865217391304301</v>
      </c>
      <c r="G208" s="60">
        <v>0.25139427564196098</v>
      </c>
      <c r="H208" s="61">
        <v>1.94266447368421</v>
      </c>
      <c r="I208" s="63">
        <v>1.69</v>
      </c>
      <c r="J208" s="58">
        <v>-0.25266447368421008</v>
      </c>
      <c r="K208" s="58">
        <v>-13.006078872953228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78</v>
      </c>
      <c r="D209" s="1" t="s">
        <v>1</v>
      </c>
      <c r="E209" s="59" t="s">
        <v>19</v>
      </c>
      <c r="F209" s="60">
        <v>1.6117337461300301</v>
      </c>
      <c r="G209" s="60">
        <v>0.18711289536112799</v>
      </c>
      <c r="H209" s="61">
        <v>1.6449679487179401</v>
      </c>
      <c r="I209" s="63">
        <v>1.68</v>
      </c>
      <c r="J209" s="58">
        <v>3.5032051282059884E-2</v>
      </c>
      <c r="K209" s="58">
        <v>2.1296494748948307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78</v>
      </c>
      <c r="D210" s="1" t="s">
        <v>1</v>
      </c>
      <c r="E210" s="59" t="s">
        <v>12</v>
      </c>
      <c r="F210" s="60">
        <v>5.6958385093167898</v>
      </c>
      <c r="G210" s="60">
        <v>0.94777186172151695</v>
      </c>
      <c r="H210" s="61">
        <v>5.9151815181518401</v>
      </c>
      <c r="I210" s="63">
        <v>5.32</v>
      </c>
      <c r="J210" s="58">
        <v>-0.59518151815183984</v>
      </c>
      <c r="K210" s="58">
        <v>-10.06193159627332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78</v>
      </c>
      <c r="D211" s="1" t="s">
        <v>1</v>
      </c>
      <c r="E211" s="59" t="s">
        <v>13</v>
      </c>
      <c r="F211" s="60">
        <v>2.7060061919504501</v>
      </c>
      <c r="G211" s="60">
        <v>0.40728561565206001</v>
      </c>
      <c r="H211" s="61">
        <v>2.7930718954248199</v>
      </c>
      <c r="I211" s="63">
        <v>2.95</v>
      </c>
      <c r="J211" s="58">
        <v>0.15692810457518025</v>
      </c>
      <c r="K211" s="58">
        <v>5.6184770908416528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78</v>
      </c>
      <c r="D212" s="1" t="s">
        <v>1</v>
      </c>
      <c r="E212" s="59" t="s">
        <v>14</v>
      </c>
      <c r="F212" s="60">
        <v>4.23965944272447</v>
      </c>
      <c r="G212" s="60">
        <v>0.796957571071919</v>
      </c>
      <c r="H212" s="61">
        <v>4.45488215488216</v>
      </c>
      <c r="I212" s="63">
        <v>4.8099999999999996</v>
      </c>
      <c r="J212" s="58">
        <v>0.35511784511783961</v>
      </c>
      <c r="K212" s="58">
        <v>7.9714307308592121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78</v>
      </c>
      <c r="D213" s="1" t="s">
        <v>1</v>
      </c>
      <c r="E213" s="59" t="s">
        <v>15</v>
      </c>
      <c r="F213" s="60">
        <v>3.4677708978328101</v>
      </c>
      <c r="G213" s="60">
        <v>0.54840719275022698</v>
      </c>
      <c r="H213" s="61">
        <v>3.58676470588235</v>
      </c>
      <c r="I213" s="63">
        <v>3.68</v>
      </c>
      <c r="J213" s="58">
        <v>9.3235294117650191E-2</v>
      </c>
      <c r="K213" s="58">
        <v>2.5994259942600317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78</v>
      </c>
      <c r="D214" s="1" t="s">
        <v>1</v>
      </c>
      <c r="E214" s="59" t="s">
        <v>16</v>
      </c>
      <c r="F214" s="60">
        <v>1.58744548286604</v>
      </c>
      <c r="G214" s="60">
        <v>0.24785751921541599</v>
      </c>
      <c r="H214" s="61">
        <v>1.6368506493506401</v>
      </c>
      <c r="I214" s="63">
        <v>1.73</v>
      </c>
      <c r="J214" s="58">
        <v>9.3149350649359919E-2</v>
      </c>
      <c r="K214" s="58">
        <v>5.6907666369142156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78</v>
      </c>
      <c r="D215" s="1" t="s">
        <v>1</v>
      </c>
      <c r="E215" s="59" t="s">
        <v>17</v>
      </c>
      <c r="F215" s="60">
        <v>5.2916770186335498</v>
      </c>
      <c r="G215" s="60">
        <v>0.62367298727932596</v>
      </c>
      <c r="H215" s="61">
        <v>5.4112377850162998</v>
      </c>
      <c r="I215" s="63">
        <v>5.0599999999999996</v>
      </c>
      <c r="J215" s="58">
        <v>-0.35123778501630021</v>
      </c>
      <c r="K215" s="58">
        <v>-6.4908954100830041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78</v>
      </c>
      <c r="D216" s="1" t="s">
        <v>1</v>
      </c>
      <c r="E216" s="59" t="s">
        <v>18</v>
      </c>
      <c r="F216" s="60">
        <v>1.8865217391304301</v>
      </c>
      <c r="G216" s="60">
        <v>0.25139427564196098</v>
      </c>
      <c r="H216" s="61">
        <v>1.94266447368421</v>
      </c>
      <c r="I216" s="63">
        <v>1.74</v>
      </c>
      <c r="J216" s="58">
        <v>-0.20266447368421003</v>
      </c>
      <c r="K216" s="58">
        <v>-10.432294224224032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78</v>
      </c>
      <c r="D217" s="1" t="s">
        <v>1</v>
      </c>
      <c r="E217" s="59" t="s">
        <v>19</v>
      </c>
      <c r="F217" s="60">
        <v>1.6117337461300301</v>
      </c>
      <c r="G217" s="60">
        <v>0.18711289536112799</v>
      </c>
      <c r="H217" s="61">
        <v>1.6449679487179401</v>
      </c>
      <c r="I217" s="63">
        <v>1.74</v>
      </c>
      <c r="J217" s="58">
        <v>9.5032051282059937E-2</v>
      </c>
      <c r="K217" s="58">
        <v>5.7771369561410779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78</v>
      </c>
      <c r="D218" s="1" t="s">
        <v>1</v>
      </c>
      <c r="E218" s="59" t="s">
        <v>12</v>
      </c>
      <c r="F218" s="60">
        <v>5.6958385093167898</v>
      </c>
      <c r="G218" s="60">
        <v>0.94777186172151695</v>
      </c>
      <c r="H218" s="61">
        <v>5.9151815181518401</v>
      </c>
      <c r="I218" s="63">
        <v>5.28</v>
      </c>
      <c r="J218" s="58">
        <v>-0.63518151815183987</v>
      </c>
      <c r="K218" s="58">
        <v>-10.738157674496829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78</v>
      </c>
      <c r="D219" s="1" t="s">
        <v>1</v>
      </c>
      <c r="E219" s="59" t="s">
        <v>13</v>
      </c>
      <c r="F219" s="60">
        <v>2.7060061919504501</v>
      </c>
      <c r="G219" s="60">
        <v>0.40728561565206001</v>
      </c>
      <c r="H219" s="61">
        <v>2.7930718954248199</v>
      </c>
      <c r="I219" s="63">
        <v>2.98</v>
      </c>
      <c r="J219" s="58">
        <v>0.18692810457518005</v>
      </c>
      <c r="K219" s="58">
        <v>6.6925632985451209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78</v>
      </c>
      <c r="D220" s="1" t="s">
        <v>1</v>
      </c>
      <c r="E220" s="59" t="s">
        <v>14</v>
      </c>
      <c r="F220" s="60">
        <v>4.23965944272447</v>
      </c>
      <c r="G220" s="60">
        <v>0.796957571071919</v>
      </c>
      <c r="H220" s="61">
        <v>4.45488215488216</v>
      </c>
      <c r="I220" s="63">
        <v>4.83</v>
      </c>
      <c r="J220" s="58">
        <v>0.37511784511784008</v>
      </c>
      <c r="K220" s="58">
        <v>8.4203763887837937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78</v>
      </c>
      <c r="D221" s="1" t="s">
        <v>1</v>
      </c>
      <c r="E221" s="59" t="s">
        <v>15</v>
      </c>
      <c r="F221" s="60">
        <v>3.4677708978328101</v>
      </c>
      <c r="G221" s="60">
        <v>0.54840719275022698</v>
      </c>
      <c r="H221" s="61">
        <v>3.58676470588235</v>
      </c>
      <c r="I221" s="63">
        <v>3.71</v>
      </c>
      <c r="J221" s="58">
        <v>0.12323529411765</v>
      </c>
      <c r="K221" s="58">
        <v>3.4358343583436679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78</v>
      </c>
      <c r="D222" s="1" t="s">
        <v>1</v>
      </c>
      <c r="E222" s="59" t="s">
        <v>16</v>
      </c>
      <c r="F222" s="60">
        <v>1.58744548286604</v>
      </c>
      <c r="G222" s="60">
        <v>0.24785751921541599</v>
      </c>
      <c r="H222" s="61">
        <v>1.6368506493506401</v>
      </c>
      <c r="I222" s="63">
        <v>1.74</v>
      </c>
      <c r="J222" s="58">
        <v>0.10314935064935993</v>
      </c>
      <c r="K222" s="58">
        <v>6.3016959238327956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78</v>
      </c>
      <c r="D223" s="1" t="s">
        <v>1</v>
      </c>
      <c r="E223" s="59" t="s">
        <v>17</v>
      </c>
      <c r="F223" s="60">
        <v>5.2916770186335498</v>
      </c>
      <c r="G223" s="60">
        <v>0.62367298727932596</v>
      </c>
      <c r="H223" s="61">
        <v>5.4112377850162998</v>
      </c>
      <c r="I223" s="63">
        <v>5.14</v>
      </c>
      <c r="J223" s="58">
        <v>-0.27123778501630014</v>
      </c>
      <c r="K223" s="58">
        <v>-5.0124905944321414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78</v>
      </c>
      <c r="D224" s="1" t="s">
        <v>1</v>
      </c>
      <c r="E224" s="59" t="s">
        <v>18</v>
      </c>
      <c r="F224" s="60">
        <v>1.8865217391304301</v>
      </c>
      <c r="G224" s="60">
        <v>0.25139427564196098</v>
      </c>
      <c r="H224" s="61">
        <v>1.94266447368421</v>
      </c>
      <c r="I224" s="63">
        <v>1.7</v>
      </c>
      <c r="J224" s="58">
        <v>-0.24266447368421007</v>
      </c>
      <c r="K224" s="58">
        <v>-12.491321943207389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78</v>
      </c>
      <c r="D225" s="1" t="s">
        <v>1</v>
      </c>
      <c r="E225" s="59" t="s">
        <v>19</v>
      </c>
      <c r="F225" s="60">
        <v>1.6117337461300301</v>
      </c>
      <c r="G225" s="60">
        <v>0.18711289536112799</v>
      </c>
      <c r="H225" s="61">
        <v>1.6449679487179401</v>
      </c>
      <c r="I225" s="63">
        <v>1.73</v>
      </c>
      <c r="J225" s="58">
        <v>8.5032051282059928E-2</v>
      </c>
      <c r="K225" s="58">
        <v>5.1692223759333702</v>
      </c>
      <c r="L225" s="1" t="s">
        <v>69</v>
      </c>
      <c r="M225" s="1">
        <v>3</v>
      </c>
    </row>
    <row r="227" spans="1:13" x14ac:dyDescent="0.3">
      <c r="A227">
        <v>6</v>
      </c>
      <c r="B227">
        <v>1</v>
      </c>
      <c r="C227" t="s">
        <v>78</v>
      </c>
      <c r="D227" s="1" t="s">
        <v>1</v>
      </c>
      <c r="E227" s="59" t="s">
        <v>12</v>
      </c>
      <c r="F227" s="60">
        <v>1.94691489361702</v>
      </c>
      <c r="G227" s="60">
        <v>0.22321169512821201</v>
      </c>
      <c r="H227" s="61">
        <v>1.9856043956043901</v>
      </c>
      <c r="I227" s="62">
        <v>1.95</v>
      </c>
      <c r="J227" s="37">
        <v>-3.5604395604390104E-2</v>
      </c>
      <c r="K227" s="37">
        <v>-1.7931263489952454</v>
      </c>
      <c r="L227" s="1" t="s">
        <v>23</v>
      </c>
      <c r="M227" s="1">
        <v>1</v>
      </c>
    </row>
    <row r="228" spans="1:13" x14ac:dyDescent="0.3">
      <c r="A228">
        <v>6</v>
      </c>
      <c r="B228">
        <v>1</v>
      </c>
      <c r="C228" t="s">
        <v>78</v>
      </c>
      <c r="D228" s="1" t="s">
        <v>1</v>
      </c>
      <c r="E228" s="59" t="s">
        <v>13</v>
      </c>
      <c r="F228" s="60">
        <v>3.4197500000000001</v>
      </c>
      <c r="G228" s="60">
        <v>0.62355227326985097</v>
      </c>
      <c r="H228" s="61">
        <v>3.5418181818181802</v>
      </c>
      <c r="I228" s="62">
        <v>3.4</v>
      </c>
      <c r="J228" s="37">
        <v>-0.14181818181818029</v>
      </c>
      <c r="K228" s="37">
        <v>-4.0041067761806568</v>
      </c>
      <c r="L228" s="1" t="s">
        <v>23</v>
      </c>
      <c r="M228" s="1">
        <v>1</v>
      </c>
    </row>
    <row r="229" spans="1:13" x14ac:dyDescent="0.3">
      <c r="A229">
        <v>6</v>
      </c>
      <c r="B229">
        <v>1</v>
      </c>
      <c r="C229" t="s">
        <v>78</v>
      </c>
      <c r="D229" s="1" t="s">
        <v>1</v>
      </c>
      <c r="E229" s="59" t="s">
        <v>14</v>
      </c>
      <c r="F229" s="60">
        <v>4.6675531914893602</v>
      </c>
      <c r="G229" s="60">
        <v>0.58931746703954002</v>
      </c>
      <c r="H229" s="61">
        <v>4.7834831460674101</v>
      </c>
      <c r="I229" s="62">
        <v>4.83</v>
      </c>
      <c r="J229" s="37">
        <v>4.6516853932589974E-2</v>
      </c>
      <c r="K229" s="37">
        <v>0.97244732576997461</v>
      </c>
      <c r="L229" s="1" t="s">
        <v>23</v>
      </c>
      <c r="M229" s="1">
        <v>1</v>
      </c>
    </row>
    <row r="230" spans="1:13" x14ac:dyDescent="0.3">
      <c r="A230">
        <v>6</v>
      </c>
      <c r="B230">
        <v>1</v>
      </c>
      <c r="C230" t="s">
        <v>78</v>
      </c>
      <c r="D230" s="1" t="s">
        <v>1</v>
      </c>
      <c r="E230" s="59" t="s">
        <v>15</v>
      </c>
      <c r="F230" s="60">
        <v>5.0451063829787204</v>
      </c>
      <c r="G230" s="60">
        <v>0.98264487284545898</v>
      </c>
      <c r="H230" s="61">
        <v>5.3578571428571404</v>
      </c>
      <c r="I230" s="62">
        <v>5.42</v>
      </c>
      <c r="J230" s="37">
        <v>6.2142857142859498E-2</v>
      </c>
      <c r="K230" s="37">
        <v>1.1598453539528508</v>
      </c>
      <c r="L230" s="1" t="s">
        <v>23</v>
      </c>
      <c r="M230" s="1">
        <v>1</v>
      </c>
    </row>
    <row r="231" spans="1:13" x14ac:dyDescent="0.3">
      <c r="A231">
        <v>6</v>
      </c>
      <c r="B231">
        <v>1</v>
      </c>
      <c r="C231" t="s">
        <v>78</v>
      </c>
      <c r="D231" s="1" t="s">
        <v>1</v>
      </c>
      <c r="E231" s="59" t="s">
        <v>16</v>
      </c>
      <c r="F231" s="60">
        <v>3.89787234042553</v>
      </c>
      <c r="G231" s="60">
        <v>0.27880395133050201</v>
      </c>
      <c r="H231" s="61">
        <v>3.9439560439560402</v>
      </c>
      <c r="I231" s="62">
        <v>3.92</v>
      </c>
      <c r="J231" s="37">
        <v>-2.3956043956040229E-2</v>
      </c>
      <c r="K231" s="37">
        <v>-0.60741153524649283</v>
      </c>
      <c r="L231" s="1" t="s">
        <v>23</v>
      </c>
      <c r="M231" s="1">
        <v>1</v>
      </c>
    </row>
    <row r="232" spans="1:13" x14ac:dyDescent="0.3">
      <c r="A232">
        <v>6</v>
      </c>
      <c r="B232">
        <v>1</v>
      </c>
      <c r="C232" t="s">
        <v>78</v>
      </c>
      <c r="D232" s="1" t="s">
        <v>1</v>
      </c>
      <c r="E232" s="59" t="s">
        <v>17</v>
      </c>
      <c r="F232" s="60">
        <v>4.0546236559139803</v>
      </c>
      <c r="G232" s="60">
        <v>0.51958742760412102</v>
      </c>
      <c r="H232" s="61">
        <v>4.17724137931034</v>
      </c>
      <c r="I232" s="62">
        <v>4.3499999999999996</v>
      </c>
      <c r="J232" s="37">
        <v>0.17275862068965964</v>
      </c>
      <c r="K232" s="37">
        <v>4.135710747895109</v>
      </c>
      <c r="L232" s="1" t="s">
        <v>23</v>
      </c>
      <c r="M232" s="1">
        <v>1</v>
      </c>
    </row>
    <row r="233" spans="1:13" x14ac:dyDescent="0.3">
      <c r="A233">
        <v>6</v>
      </c>
      <c r="B233">
        <v>1</v>
      </c>
      <c r="C233" t="s">
        <v>78</v>
      </c>
      <c r="D233" s="1" t="s">
        <v>1</v>
      </c>
      <c r="E233" s="59" t="s">
        <v>18</v>
      </c>
      <c r="F233" s="60">
        <v>1.8399999999999901</v>
      </c>
      <c r="G233" s="60">
        <v>3.9855508257473499E-2</v>
      </c>
      <c r="H233" s="61">
        <v>1.8382051282051199</v>
      </c>
      <c r="I233" s="62">
        <v>1.86</v>
      </c>
      <c r="J233" s="37">
        <v>2.1794871794880155E-2</v>
      </c>
      <c r="K233" s="37">
        <v>1.1856604826340214</v>
      </c>
      <c r="L233" s="1" t="s">
        <v>23</v>
      </c>
      <c r="M233" s="1">
        <v>1</v>
      </c>
    </row>
    <row r="234" spans="1:13" x14ac:dyDescent="0.3">
      <c r="A234">
        <v>6</v>
      </c>
      <c r="B234">
        <v>1</v>
      </c>
      <c r="C234" t="s">
        <v>78</v>
      </c>
      <c r="D234" s="1" t="s">
        <v>1</v>
      </c>
      <c r="E234" s="59" t="s">
        <v>19</v>
      </c>
      <c r="F234" s="60">
        <v>2.5541489361702099</v>
      </c>
      <c r="G234" s="60">
        <v>0.42188132236263098</v>
      </c>
      <c r="H234" s="61">
        <v>2.6538636363636301</v>
      </c>
      <c r="I234" s="62">
        <v>2.73</v>
      </c>
      <c r="J234" s="37">
        <v>7.6136363636369886E-2</v>
      </c>
      <c r="K234" s="37">
        <v>2.8688875567357055</v>
      </c>
      <c r="L234" s="1" t="s">
        <v>23</v>
      </c>
      <c r="M234" s="1">
        <v>1</v>
      </c>
    </row>
    <row r="235" spans="1:13" x14ac:dyDescent="0.3">
      <c r="A235">
        <v>6</v>
      </c>
      <c r="B235">
        <v>1</v>
      </c>
      <c r="C235" t="s">
        <v>78</v>
      </c>
      <c r="D235" s="1" t="s">
        <v>1</v>
      </c>
      <c r="E235" s="59" t="s">
        <v>12</v>
      </c>
      <c r="F235" s="60">
        <v>1.94691489361702</v>
      </c>
      <c r="G235" s="60">
        <v>0.22321169512821201</v>
      </c>
      <c r="H235" s="61">
        <v>1.9856043956043901</v>
      </c>
      <c r="I235" s="62">
        <v>1.94</v>
      </c>
      <c r="J235" s="37">
        <v>-4.5604395604390113E-2</v>
      </c>
      <c r="K235" s="37">
        <v>-2.2967513420773211</v>
      </c>
      <c r="L235" s="1" t="s">
        <v>68</v>
      </c>
      <c r="M235" s="1">
        <v>1</v>
      </c>
    </row>
    <row r="236" spans="1:13" x14ac:dyDescent="0.3">
      <c r="A236">
        <v>6</v>
      </c>
      <c r="B236">
        <v>1</v>
      </c>
      <c r="C236" t="s">
        <v>78</v>
      </c>
      <c r="D236" s="1" t="s">
        <v>1</v>
      </c>
      <c r="E236" s="59" t="s">
        <v>13</v>
      </c>
      <c r="F236" s="60">
        <v>3.4197500000000001</v>
      </c>
      <c r="G236" s="60">
        <v>0.62355227326985097</v>
      </c>
      <c r="H236" s="61">
        <v>3.5418181818181802</v>
      </c>
      <c r="I236" s="62">
        <v>3.45</v>
      </c>
      <c r="J236" s="37">
        <v>-9.1818181818180022E-2</v>
      </c>
      <c r="K236" s="37">
        <v>-2.5924024640656591</v>
      </c>
      <c r="L236" s="1" t="s">
        <v>68</v>
      </c>
      <c r="M236" s="1">
        <v>1</v>
      </c>
    </row>
    <row r="237" spans="1:13" x14ac:dyDescent="0.3">
      <c r="A237">
        <v>6</v>
      </c>
      <c r="B237">
        <v>1</v>
      </c>
      <c r="C237" t="s">
        <v>78</v>
      </c>
      <c r="D237" s="1" t="s">
        <v>1</v>
      </c>
      <c r="E237" s="59" t="s">
        <v>14</v>
      </c>
      <c r="F237" s="60">
        <v>4.6675531914893602</v>
      </c>
      <c r="G237" s="60">
        <v>0.58931746703954002</v>
      </c>
      <c r="H237" s="61">
        <v>4.7834831460674101</v>
      </c>
      <c r="I237" s="62">
        <v>4.8499999999999996</v>
      </c>
      <c r="J237" s="37">
        <v>6.6516853932589548E-2</v>
      </c>
      <c r="K237" s="37">
        <v>1.3905526977193237</v>
      </c>
      <c r="L237" s="1" t="s">
        <v>68</v>
      </c>
      <c r="M237" s="1">
        <v>1</v>
      </c>
    </row>
    <row r="238" spans="1:13" x14ac:dyDescent="0.3">
      <c r="A238">
        <v>6</v>
      </c>
      <c r="B238">
        <v>1</v>
      </c>
      <c r="C238" t="s">
        <v>78</v>
      </c>
      <c r="D238" s="1" t="s">
        <v>1</v>
      </c>
      <c r="E238" s="59" t="s">
        <v>15</v>
      </c>
      <c r="F238" s="60">
        <v>5.0451063829787204</v>
      </c>
      <c r="G238" s="60">
        <v>0.98264487284545898</v>
      </c>
      <c r="H238" s="61">
        <v>5.3578571428571404</v>
      </c>
      <c r="I238" s="62">
        <v>5.37</v>
      </c>
      <c r="J238" s="37">
        <v>1.2142857142859675E-2</v>
      </c>
      <c r="K238" s="37">
        <v>0.22663644847358425</v>
      </c>
      <c r="L238" s="1" t="s">
        <v>68</v>
      </c>
      <c r="M238" s="1">
        <v>1</v>
      </c>
    </row>
    <row r="239" spans="1:13" x14ac:dyDescent="0.3">
      <c r="A239">
        <v>6</v>
      </c>
      <c r="B239">
        <v>1</v>
      </c>
      <c r="C239" t="s">
        <v>78</v>
      </c>
      <c r="D239" s="1" t="s">
        <v>1</v>
      </c>
      <c r="E239" s="59" t="s">
        <v>16</v>
      </c>
      <c r="F239" s="60">
        <v>3.89787234042553</v>
      </c>
      <c r="G239" s="60">
        <v>0.27880395133050201</v>
      </c>
      <c r="H239" s="61">
        <v>3.9439560439560402</v>
      </c>
      <c r="I239" s="62">
        <v>3.93</v>
      </c>
      <c r="J239" s="37">
        <v>-1.3956043956039998E-2</v>
      </c>
      <c r="K239" s="37">
        <v>-0.35385901365272809</v>
      </c>
      <c r="L239" s="1" t="s">
        <v>68</v>
      </c>
      <c r="M239" s="1">
        <v>1</v>
      </c>
    </row>
    <row r="240" spans="1:13" x14ac:dyDescent="0.3">
      <c r="A240">
        <v>6</v>
      </c>
      <c r="B240">
        <v>1</v>
      </c>
      <c r="C240" t="s">
        <v>78</v>
      </c>
      <c r="D240" s="1" t="s">
        <v>1</v>
      </c>
      <c r="E240" s="59" t="s">
        <v>17</v>
      </c>
      <c r="F240" s="60">
        <v>4.0546236559139803</v>
      </c>
      <c r="G240" s="60">
        <v>0.51958742760412102</v>
      </c>
      <c r="H240" s="61">
        <v>4.17724137931034</v>
      </c>
      <c r="I240" s="62">
        <v>4.3499999999999996</v>
      </c>
      <c r="J240" s="37">
        <v>0.17275862068965964</v>
      </c>
      <c r="K240" s="37">
        <v>4.135710747895109</v>
      </c>
      <c r="L240" s="1" t="s">
        <v>68</v>
      </c>
      <c r="M240" s="1">
        <v>1</v>
      </c>
    </row>
    <row r="241" spans="1:13" x14ac:dyDescent="0.3">
      <c r="A241">
        <v>6</v>
      </c>
      <c r="B241">
        <v>1</v>
      </c>
      <c r="C241" t="s">
        <v>78</v>
      </c>
      <c r="D241" s="1" t="s">
        <v>1</v>
      </c>
      <c r="E241" s="59" t="s">
        <v>18</v>
      </c>
      <c r="F241" s="60">
        <v>1.8399999999999901</v>
      </c>
      <c r="G241" s="60">
        <v>3.9855508257473499E-2</v>
      </c>
      <c r="H241" s="61">
        <v>1.8382051282051199</v>
      </c>
      <c r="I241" s="62">
        <v>1.76</v>
      </c>
      <c r="J241" s="37">
        <v>-7.8205128205119934E-2</v>
      </c>
      <c r="K241" s="37">
        <v>-4.2544287906258766</v>
      </c>
      <c r="L241" s="1" t="s">
        <v>68</v>
      </c>
      <c r="M241" s="1">
        <v>1</v>
      </c>
    </row>
    <row r="242" spans="1:13" x14ac:dyDescent="0.3">
      <c r="A242">
        <v>6</v>
      </c>
      <c r="B242">
        <v>1</v>
      </c>
      <c r="C242" t="s">
        <v>78</v>
      </c>
      <c r="D242" s="1" t="s">
        <v>1</v>
      </c>
      <c r="E242" s="59" t="s">
        <v>19</v>
      </c>
      <c r="F242" s="60">
        <v>2.5541489361702099</v>
      </c>
      <c r="G242" s="60">
        <v>0.42188132236263098</v>
      </c>
      <c r="H242" s="61">
        <v>2.6538636363636301</v>
      </c>
      <c r="I242" s="62">
        <v>2.64</v>
      </c>
      <c r="J242" s="37">
        <v>-1.3863636363629972E-2</v>
      </c>
      <c r="K242" s="37">
        <v>-0.52239445062920287</v>
      </c>
      <c r="L242" s="1" t="s">
        <v>68</v>
      </c>
      <c r="M242" s="1">
        <v>1</v>
      </c>
    </row>
    <row r="243" spans="1:13" x14ac:dyDescent="0.3">
      <c r="A243">
        <v>6</v>
      </c>
      <c r="B243">
        <v>1</v>
      </c>
      <c r="C243" t="s">
        <v>78</v>
      </c>
      <c r="D243" s="1" t="s">
        <v>1</v>
      </c>
      <c r="E243" s="59" t="s">
        <v>12</v>
      </c>
      <c r="F243" s="60">
        <v>1.94691489361702</v>
      </c>
      <c r="G243" s="60">
        <v>0.22321169512821201</v>
      </c>
      <c r="H243" s="61">
        <v>1.9856043956043901</v>
      </c>
      <c r="I243" s="62">
        <v>1.87</v>
      </c>
      <c r="J243" s="37">
        <v>-0.11560439560438995</v>
      </c>
      <c r="K243" s="37">
        <v>-5.8221262936518432</v>
      </c>
      <c r="L243" s="1" t="s">
        <v>69</v>
      </c>
      <c r="M243" s="1">
        <v>1</v>
      </c>
    </row>
    <row r="244" spans="1:13" x14ac:dyDescent="0.3">
      <c r="A244">
        <v>6</v>
      </c>
      <c r="B244">
        <v>1</v>
      </c>
      <c r="C244" t="s">
        <v>78</v>
      </c>
      <c r="D244" s="1" t="s">
        <v>1</v>
      </c>
      <c r="E244" s="59" t="s">
        <v>13</v>
      </c>
      <c r="F244" s="60">
        <v>3.4197500000000001</v>
      </c>
      <c r="G244" s="60">
        <v>0.62355227326985097</v>
      </c>
      <c r="H244" s="61">
        <v>3.5418181818181802</v>
      </c>
      <c r="I244" s="62">
        <v>3.49</v>
      </c>
      <c r="J244" s="37">
        <v>-5.1818181818179987E-2</v>
      </c>
      <c r="K244" s="37">
        <v>-1.4630390143736656</v>
      </c>
      <c r="L244" s="1" t="s">
        <v>69</v>
      </c>
      <c r="M244" s="1">
        <v>1</v>
      </c>
    </row>
    <row r="245" spans="1:13" x14ac:dyDescent="0.3">
      <c r="A245">
        <v>6</v>
      </c>
      <c r="B245">
        <v>1</v>
      </c>
      <c r="C245" t="s">
        <v>78</v>
      </c>
      <c r="D245" s="1" t="s">
        <v>1</v>
      </c>
      <c r="E245" s="59" t="s">
        <v>14</v>
      </c>
      <c r="F245" s="60">
        <v>4.6675531914893602</v>
      </c>
      <c r="G245" s="60">
        <v>0.58931746703954002</v>
      </c>
      <c r="H245" s="61">
        <v>4.7834831460674101</v>
      </c>
      <c r="I245" s="62">
        <v>4.88</v>
      </c>
      <c r="J245" s="37">
        <v>9.6516853932589797E-2</v>
      </c>
      <c r="K245" s="37">
        <v>2.0177107556433658</v>
      </c>
      <c r="L245" s="1" t="s">
        <v>69</v>
      </c>
      <c r="M245" s="1">
        <v>1</v>
      </c>
    </row>
    <row r="246" spans="1:13" x14ac:dyDescent="0.3">
      <c r="A246">
        <v>6</v>
      </c>
      <c r="B246">
        <v>1</v>
      </c>
      <c r="C246" t="s">
        <v>78</v>
      </c>
      <c r="D246" s="1" t="s">
        <v>1</v>
      </c>
      <c r="E246" s="59" t="s">
        <v>15</v>
      </c>
      <c r="F246" s="60">
        <v>5.0451063829787204</v>
      </c>
      <c r="G246" s="60">
        <v>0.98264487284545898</v>
      </c>
      <c r="H246" s="61">
        <v>5.3578571428571404</v>
      </c>
      <c r="I246" s="62">
        <v>5.41</v>
      </c>
      <c r="J246" s="37">
        <v>5.2142857142859711E-2</v>
      </c>
      <c r="K246" s="37">
        <v>0.97320357285700076</v>
      </c>
      <c r="L246" s="1" t="s">
        <v>69</v>
      </c>
      <c r="M246" s="1">
        <v>1</v>
      </c>
    </row>
    <row r="247" spans="1:13" x14ac:dyDescent="0.3">
      <c r="A247">
        <v>6</v>
      </c>
      <c r="B247">
        <v>1</v>
      </c>
      <c r="C247" t="s">
        <v>78</v>
      </c>
      <c r="D247" s="1" t="s">
        <v>1</v>
      </c>
      <c r="E247" s="59" t="s">
        <v>16</v>
      </c>
      <c r="F247" s="60">
        <v>3.89787234042553</v>
      </c>
      <c r="G247" s="60">
        <v>0.27880395133050201</v>
      </c>
      <c r="H247" s="61">
        <v>3.9439560439560402</v>
      </c>
      <c r="I247" s="62">
        <v>3.97</v>
      </c>
      <c r="J247" s="37">
        <v>2.6043956043960037E-2</v>
      </c>
      <c r="K247" s="37">
        <v>0.66035107272230864</v>
      </c>
      <c r="L247" s="1" t="s">
        <v>69</v>
      </c>
      <c r="M247" s="1">
        <v>1</v>
      </c>
    </row>
    <row r="248" spans="1:13" x14ac:dyDescent="0.3">
      <c r="A248">
        <v>6</v>
      </c>
      <c r="B248">
        <v>1</v>
      </c>
      <c r="C248" t="s">
        <v>78</v>
      </c>
      <c r="D248" s="1" t="s">
        <v>1</v>
      </c>
      <c r="E248" s="59" t="s">
        <v>17</v>
      </c>
      <c r="F248" s="60">
        <v>4.0546236559139803</v>
      </c>
      <c r="G248" s="60">
        <v>0.51958742760412102</v>
      </c>
      <c r="H248" s="61">
        <v>4.17724137931034</v>
      </c>
      <c r="I248" s="62">
        <v>4.4000000000000004</v>
      </c>
      <c r="J248" s="37">
        <v>0.22275862068966035</v>
      </c>
      <c r="K248" s="37">
        <v>5.332672940399668</v>
      </c>
      <c r="L248" s="1" t="s">
        <v>69</v>
      </c>
      <c r="M248" s="1">
        <v>1</v>
      </c>
    </row>
    <row r="249" spans="1:13" x14ac:dyDescent="0.3">
      <c r="A249">
        <v>6</v>
      </c>
      <c r="B249">
        <v>1</v>
      </c>
      <c r="C249" t="s">
        <v>78</v>
      </c>
      <c r="D249" s="1" t="s">
        <v>1</v>
      </c>
      <c r="E249" s="59" t="s">
        <v>18</v>
      </c>
      <c r="F249" s="60">
        <v>1.8399999999999901</v>
      </c>
      <c r="G249" s="60">
        <v>3.9855508257473499E-2</v>
      </c>
      <c r="H249" s="61">
        <v>1.8382051282051199</v>
      </c>
      <c r="I249" s="62">
        <v>1.76</v>
      </c>
      <c r="J249" s="37">
        <v>-7.8205128205119934E-2</v>
      </c>
      <c r="K249" s="37">
        <v>-4.2544287906258766</v>
      </c>
      <c r="L249" s="1" t="s">
        <v>69</v>
      </c>
      <c r="M249" s="1">
        <v>1</v>
      </c>
    </row>
    <row r="250" spans="1:13" x14ac:dyDescent="0.3">
      <c r="A250">
        <v>6</v>
      </c>
      <c r="B250">
        <v>1</v>
      </c>
      <c r="C250" t="s">
        <v>78</v>
      </c>
      <c r="D250" s="1" t="s">
        <v>1</v>
      </c>
      <c r="E250" s="59" t="s">
        <v>19</v>
      </c>
      <c r="F250" s="60">
        <v>2.5541489361702099</v>
      </c>
      <c r="G250" s="60">
        <v>0.42188132236263098</v>
      </c>
      <c r="H250" s="61">
        <v>2.6538636363636301</v>
      </c>
      <c r="I250" s="62">
        <v>2.66</v>
      </c>
      <c r="J250" s="37">
        <v>6.1363636363700458E-3</v>
      </c>
      <c r="K250" s="37">
        <v>0.23122377322966742</v>
      </c>
      <c r="L250" s="1" t="s">
        <v>69</v>
      </c>
      <c r="M250" s="1">
        <v>1</v>
      </c>
    </row>
    <row r="252" spans="1:13" x14ac:dyDescent="0.3">
      <c r="A252">
        <v>6</v>
      </c>
      <c r="B252">
        <v>1</v>
      </c>
      <c r="C252" t="s">
        <v>78</v>
      </c>
      <c r="D252" s="1" t="s">
        <v>1</v>
      </c>
      <c r="E252" s="59" t="s">
        <v>12</v>
      </c>
      <c r="F252" s="60">
        <v>2.00070588235294</v>
      </c>
      <c r="G252" s="60">
        <v>2.3950352339008E-2</v>
      </c>
      <c r="H252" s="61">
        <v>1.9984482758620601</v>
      </c>
      <c r="I252" s="62">
        <v>1.95</v>
      </c>
      <c r="J252" s="37">
        <v>-4.8448275862060131E-2</v>
      </c>
      <c r="K252" s="37">
        <v>-2.4242947114135971</v>
      </c>
      <c r="L252" s="1" t="s">
        <v>23</v>
      </c>
      <c r="M252" s="1">
        <v>2</v>
      </c>
    </row>
    <row r="253" spans="1:13" x14ac:dyDescent="0.3">
      <c r="A253">
        <v>6</v>
      </c>
      <c r="B253">
        <v>1</v>
      </c>
      <c r="C253" t="s">
        <v>78</v>
      </c>
      <c r="D253" s="1" t="s">
        <v>1</v>
      </c>
      <c r="E253" s="59" t="s">
        <v>13</v>
      </c>
      <c r="F253" s="60">
        <v>3.46397058823529</v>
      </c>
      <c r="G253" s="60">
        <v>0.49130420582807899</v>
      </c>
      <c r="H253" s="61">
        <v>3.5474242424242401</v>
      </c>
      <c r="I253" s="62">
        <v>3.4</v>
      </c>
      <c r="J253" s="37">
        <v>-0.14742424242424024</v>
      </c>
      <c r="K253" s="37">
        <v>-4.1558108743005429</v>
      </c>
      <c r="L253" s="1" t="s">
        <v>23</v>
      </c>
      <c r="M253" s="1">
        <v>2</v>
      </c>
    </row>
    <row r="254" spans="1:13" x14ac:dyDescent="0.3">
      <c r="A254">
        <v>6</v>
      </c>
      <c r="B254">
        <v>1</v>
      </c>
      <c r="C254" t="s">
        <v>78</v>
      </c>
      <c r="D254" s="1" t="s">
        <v>1</v>
      </c>
      <c r="E254" s="59" t="s">
        <v>14</v>
      </c>
      <c r="F254" s="60">
        <v>4.4804761904761898</v>
      </c>
      <c r="G254" s="60">
        <v>0.89246702588400895</v>
      </c>
      <c r="H254" s="61">
        <v>4.7757333333333296</v>
      </c>
      <c r="I254" s="62">
        <v>4.83</v>
      </c>
      <c r="J254" s="37">
        <v>5.426666666667046E-2</v>
      </c>
      <c r="K254" s="37">
        <v>1.1363001842649751</v>
      </c>
      <c r="L254" s="1" t="s">
        <v>23</v>
      </c>
      <c r="M254" s="1">
        <v>2</v>
      </c>
    </row>
    <row r="255" spans="1:13" x14ac:dyDescent="0.3">
      <c r="A255">
        <v>6</v>
      </c>
      <c r="B255">
        <v>1</v>
      </c>
      <c r="C255" t="s">
        <v>78</v>
      </c>
      <c r="D255" s="1" t="s">
        <v>1</v>
      </c>
      <c r="E255" s="59" t="s">
        <v>15</v>
      </c>
      <c r="F255" s="60">
        <v>5.1072941176470597</v>
      </c>
      <c r="G255" s="60">
        <v>0.91647456013637496</v>
      </c>
      <c r="H255" s="61">
        <v>5.3637179487179498</v>
      </c>
      <c r="I255" s="62">
        <v>5.42</v>
      </c>
      <c r="J255" s="37">
        <v>5.6282051282050105E-2</v>
      </c>
      <c r="K255" s="37">
        <v>1.0493104190070768</v>
      </c>
      <c r="L255" s="1" t="s">
        <v>23</v>
      </c>
      <c r="M255" s="1">
        <v>2</v>
      </c>
    </row>
    <row r="256" spans="1:13" x14ac:dyDescent="0.3">
      <c r="A256">
        <v>6</v>
      </c>
      <c r="B256">
        <v>1</v>
      </c>
      <c r="C256" t="s">
        <v>78</v>
      </c>
      <c r="D256" s="1" t="s">
        <v>1</v>
      </c>
      <c r="E256" s="59" t="s">
        <v>16</v>
      </c>
      <c r="F256" s="60">
        <v>3.7230487804878001</v>
      </c>
      <c r="G256" s="60">
        <v>0.79079720354377703</v>
      </c>
      <c r="H256" s="61">
        <v>3.9398684210526298</v>
      </c>
      <c r="I256" s="62">
        <v>3.92</v>
      </c>
      <c r="J256" s="37">
        <v>-1.986842105262987E-2</v>
      </c>
      <c r="K256" s="37">
        <v>-0.50429148715889216</v>
      </c>
      <c r="L256" s="1" t="s">
        <v>23</v>
      </c>
      <c r="M256" s="1">
        <v>2</v>
      </c>
    </row>
    <row r="257" spans="1:13" x14ac:dyDescent="0.3">
      <c r="A257">
        <v>6</v>
      </c>
      <c r="B257">
        <v>1</v>
      </c>
      <c r="C257" t="s">
        <v>78</v>
      </c>
      <c r="D257" s="1" t="s">
        <v>1</v>
      </c>
      <c r="E257" s="59" t="s">
        <v>17</v>
      </c>
      <c r="F257" s="60">
        <v>3.8916470588235201</v>
      </c>
      <c r="G257" s="60">
        <v>0.91660222568920702</v>
      </c>
      <c r="H257" s="61">
        <v>4.1560256410256304</v>
      </c>
      <c r="I257" s="62">
        <v>4.3499999999999996</v>
      </c>
      <c r="J257" s="37">
        <v>0.19397435897436921</v>
      </c>
      <c r="K257" s="37">
        <v>4.6673041922450675</v>
      </c>
      <c r="L257" s="1" t="s">
        <v>23</v>
      </c>
      <c r="M257" s="1">
        <v>2</v>
      </c>
    </row>
    <row r="258" spans="1:13" x14ac:dyDescent="0.3">
      <c r="A258">
        <v>6</v>
      </c>
      <c r="B258">
        <v>1</v>
      </c>
      <c r="C258" t="s">
        <v>78</v>
      </c>
      <c r="D258" s="1" t="s">
        <v>1</v>
      </c>
      <c r="E258" s="59" t="s">
        <v>18</v>
      </c>
      <c r="F258" s="60">
        <v>1.78857142857142</v>
      </c>
      <c r="G258" s="60">
        <v>0.27445679188579902</v>
      </c>
      <c r="H258" s="61">
        <v>1.83121951219512</v>
      </c>
      <c r="I258" s="62">
        <v>1.86</v>
      </c>
      <c r="J258" s="37">
        <v>2.8780487804880073E-2</v>
      </c>
      <c r="K258" s="37">
        <v>1.5716568993075177</v>
      </c>
      <c r="L258" s="1" t="s">
        <v>23</v>
      </c>
      <c r="M258" s="1">
        <v>2</v>
      </c>
    </row>
    <row r="259" spans="1:13" x14ac:dyDescent="0.3">
      <c r="A259">
        <v>6</v>
      </c>
      <c r="B259">
        <v>1</v>
      </c>
      <c r="C259" t="s">
        <v>78</v>
      </c>
      <c r="D259" s="1" t="s">
        <v>1</v>
      </c>
      <c r="E259" s="59" t="s">
        <v>19</v>
      </c>
      <c r="F259" s="60">
        <v>2.6191764705882301</v>
      </c>
      <c r="G259" s="60">
        <v>0.22587977939710399</v>
      </c>
      <c r="H259" s="61">
        <v>2.6538554216867398</v>
      </c>
      <c r="I259" s="62">
        <v>2.73</v>
      </c>
      <c r="J259" s="37">
        <v>7.6144578313260158E-2</v>
      </c>
      <c r="K259" s="37">
        <v>2.8692059744861353</v>
      </c>
      <c r="L259" s="1" t="s">
        <v>23</v>
      </c>
      <c r="M259" s="1">
        <v>2</v>
      </c>
    </row>
    <row r="260" spans="1:13" x14ac:dyDescent="0.3">
      <c r="A260">
        <v>6</v>
      </c>
      <c r="B260">
        <v>1</v>
      </c>
      <c r="C260" t="s">
        <v>78</v>
      </c>
      <c r="D260" s="1" t="s">
        <v>1</v>
      </c>
      <c r="E260" s="59" t="s">
        <v>12</v>
      </c>
      <c r="F260" s="60">
        <v>2.00070588235294</v>
      </c>
      <c r="G260" s="60">
        <v>2.3950352339008E-2</v>
      </c>
      <c r="H260" s="61">
        <v>1.9984482758620601</v>
      </c>
      <c r="I260" s="62">
        <v>1.94</v>
      </c>
      <c r="J260" s="37">
        <v>-5.8448275862060139E-2</v>
      </c>
      <c r="K260" s="37">
        <v>-2.9246829436627584</v>
      </c>
      <c r="L260" s="1" t="s">
        <v>68</v>
      </c>
      <c r="M260" s="1">
        <v>2</v>
      </c>
    </row>
    <row r="261" spans="1:13" x14ac:dyDescent="0.3">
      <c r="A261">
        <v>6</v>
      </c>
      <c r="B261">
        <v>1</v>
      </c>
      <c r="C261" t="s">
        <v>78</v>
      </c>
      <c r="D261" s="1" t="s">
        <v>1</v>
      </c>
      <c r="E261" s="59" t="s">
        <v>13</v>
      </c>
      <c r="F261" s="60">
        <v>3.46397058823529</v>
      </c>
      <c r="G261" s="60">
        <v>0.49130420582807899</v>
      </c>
      <c r="H261" s="61">
        <v>3.5474242424242401</v>
      </c>
      <c r="I261" s="62">
        <v>3.45</v>
      </c>
      <c r="J261" s="37">
        <v>-9.7424242424239971E-2</v>
      </c>
      <c r="K261" s="37">
        <v>-2.7463375048049556</v>
      </c>
      <c r="L261" s="1" t="s">
        <v>68</v>
      </c>
      <c r="M261" s="1">
        <v>2</v>
      </c>
    </row>
    <row r="262" spans="1:13" x14ac:dyDescent="0.3">
      <c r="A262">
        <v>6</v>
      </c>
      <c r="B262">
        <v>1</v>
      </c>
      <c r="C262" t="s">
        <v>78</v>
      </c>
      <c r="D262" s="1" t="s">
        <v>1</v>
      </c>
      <c r="E262" s="59" t="s">
        <v>14</v>
      </c>
      <c r="F262" s="60">
        <v>4.4804761904761898</v>
      </c>
      <c r="G262" s="60">
        <v>0.89246702588400895</v>
      </c>
      <c r="H262" s="61">
        <v>4.7757333333333296</v>
      </c>
      <c r="I262" s="62">
        <v>4.8499999999999996</v>
      </c>
      <c r="J262" s="37">
        <v>7.4266666666670034E-2</v>
      </c>
      <c r="K262" s="37">
        <v>1.5550840359596452</v>
      </c>
      <c r="L262" s="1" t="s">
        <v>68</v>
      </c>
      <c r="M262" s="1">
        <v>2</v>
      </c>
    </row>
    <row r="263" spans="1:13" x14ac:dyDescent="0.3">
      <c r="A263">
        <v>6</v>
      </c>
      <c r="B263">
        <v>1</v>
      </c>
      <c r="C263" t="s">
        <v>78</v>
      </c>
      <c r="D263" s="1" t="s">
        <v>1</v>
      </c>
      <c r="E263" s="59" t="s">
        <v>15</v>
      </c>
      <c r="F263" s="60">
        <v>5.1072941176470597</v>
      </c>
      <c r="G263" s="60">
        <v>0.91647456013637496</v>
      </c>
      <c r="H263" s="61">
        <v>5.3637179487179498</v>
      </c>
      <c r="I263" s="62">
        <v>5.37</v>
      </c>
      <c r="J263" s="37">
        <v>6.2820512820502827E-3</v>
      </c>
      <c r="K263" s="37">
        <v>0.11712120849963477</v>
      </c>
      <c r="L263" s="1" t="s">
        <v>68</v>
      </c>
      <c r="M263" s="1">
        <v>2</v>
      </c>
    </row>
    <row r="264" spans="1:13" x14ac:dyDescent="0.3">
      <c r="A264">
        <v>6</v>
      </c>
      <c r="B264">
        <v>1</v>
      </c>
      <c r="C264" t="s">
        <v>78</v>
      </c>
      <c r="D264" s="1" t="s">
        <v>1</v>
      </c>
      <c r="E264" s="59" t="s">
        <v>16</v>
      </c>
      <c r="F264" s="60">
        <v>3.7230487804878001</v>
      </c>
      <c r="G264" s="60">
        <v>0.79079720354377703</v>
      </c>
      <c r="H264" s="61">
        <v>3.9398684210526298</v>
      </c>
      <c r="I264" s="62">
        <v>3.93</v>
      </c>
      <c r="J264" s="37">
        <v>-9.868421052629639E-3</v>
      </c>
      <c r="K264" s="37">
        <v>-0.25047590421796506</v>
      </c>
      <c r="L264" s="1" t="s">
        <v>68</v>
      </c>
      <c r="M264" s="1">
        <v>2</v>
      </c>
    </row>
    <row r="265" spans="1:13" x14ac:dyDescent="0.3">
      <c r="A265">
        <v>6</v>
      </c>
      <c r="B265">
        <v>1</v>
      </c>
      <c r="C265" t="s">
        <v>78</v>
      </c>
      <c r="D265" s="1" t="s">
        <v>1</v>
      </c>
      <c r="E265" s="59" t="s">
        <v>17</v>
      </c>
      <c r="F265" s="60">
        <v>3.8916470588235201</v>
      </c>
      <c r="G265" s="60">
        <v>0.91660222568920702</v>
      </c>
      <c r="H265" s="61">
        <v>4.1560256410256304</v>
      </c>
      <c r="I265" s="62">
        <v>4.3499999999999996</v>
      </c>
      <c r="J265" s="37">
        <v>0.19397435897436921</v>
      </c>
      <c r="K265" s="37">
        <v>4.6673041922450675</v>
      </c>
      <c r="L265" s="1" t="s">
        <v>68</v>
      </c>
      <c r="M265" s="1">
        <v>2</v>
      </c>
    </row>
    <row r="266" spans="1:13" x14ac:dyDescent="0.3">
      <c r="A266">
        <v>6</v>
      </c>
      <c r="B266">
        <v>1</v>
      </c>
      <c r="C266" t="s">
        <v>78</v>
      </c>
      <c r="D266" s="1" t="s">
        <v>1</v>
      </c>
      <c r="E266" s="59" t="s">
        <v>18</v>
      </c>
      <c r="F266" s="60">
        <v>1.78857142857142</v>
      </c>
      <c r="G266" s="60">
        <v>0.27445679188579902</v>
      </c>
      <c r="H266" s="61">
        <v>1.83121951219512</v>
      </c>
      <c r="I266" s="62">
        <v>1.76</v>
      </c>
      <c r="J266" s="37">
        <v>-7.1219512195120016E-2</v>
      </c>
      <c r="K266" s="37">
        <v>-3.8891848694724609</v>
      </c>
      <c r="L266" s="1" t="s">
        <v>68</v>
      </c>
      <c r="M266" s="1">
        <v>2</v>
      </c>
    </row>
    <row r="267" spans="1:13" x14ac:dyDescent="0.3">
      <c r="A267">
        <v>6</v>
      </c>
      <c r="B267">
        <v>1</v>
      </c>
      <c r="C267" t="s">
        <v>78</v>
      </c>
      <c r="D267" s="1" t="s">
        <v>1</v>
      </c>
      <c r="E267" s="59" t="s">
        <v>19</v>
      </c>
      <c r="F267" s="60">
        <v>2.6191764705882301</v>
      </c>
      <c r="G267" s="60">
        <v>0.22587977939710399</v>
      </c>
      <c r="H267" s="61">
        <v>2.6538554216867398</v>
      </c>
      <c r="I267" s="62">
        <v>2.64</v>
      </c>
      <c r="J267" s="37">
        <v>-1.38554216867397E-2</v>
      </c>
      <c r="K267" s="37">
        <v>-0.52208653016724849</v>
      </c>
      <c r="L267" s="1" t="s">
        <v>68</v>
      </c>
      <c r="M267" s="1">
        <v>2</v>
      </c>
    </row>
    <row r="268" spans="1:13" x14ac:dyDescent="0.3">
      <c r="A268">
        <v>6</v>
      </c>
      <c r="B268">
        <v>1</v>
      </c>
      <c r="C268" t="s">
        <v>78</v>
      </c>
      <c r="D268" s="1" t="s">
        <v>1</v>
      </c>
      <c r="E268" s="59" t="s">
        <v>12</v>
      </c>
      <c r="F268" s="60">
        <v>2.00070588235294</v>
      </c>
      <c r="G268" s="60">
        <v>2.3950352339008E-2</v>
      </c>
      <c r="H268" s="61">
        <v>1.9984482758620601</v>
      </c>
      <c r="I268" s="62">
        <v>1.87</v>
      </c>
      <c r="J268" s="37">
        <v>-0.12844827586205998</v>
      </c>
      <c r="K268" s="37">
        <v>-6.4274005694068785</v>
      </c>
      <c r="L268" s="1" t="s">
        <v>69</v>
      </c>
      <c r="M268" s="1">
        <v>2</v>
      </c>
    </row>
    <row r="269" spans="1:13" x14ac:dyDescent="0.3">
      <c r="A269">
        <v>6</v>
      </c>
      <c r="B269">
        <v>1</v>
      </c>
      <c r="C269" t="s">
        <v>78</v>
      </c>
      <c r="D269" s="1" t="s">
        <v>1</v>
      </c>
      <c r="E269" s="59" t="s">
        <v>13</v>
      </c>
      <c r="F269" s="60">
        <v>3.46397058823529</v>
      </c>
      <c r="G269" s="60">
        <v>0.49130420582807899</v>
      </c>
      <c r="H269" s="61">
        <v>3.5474242424242401</v>
      </c>
      <c r="I269" s="62">
        <v>3.49</v>
      </c>
      <c r="J269" s="37">
        <v>-5.7424242424239935E-2</v>
      </c>
      <c r="K269" s="37">
        <v>-1.6187588092084901</v>
      </c>
      <c r="L269" s="1" t="s">
        <v>69</v>
      </c>
      <c r="M269" s="1">
        <v>2</v>
      </c>
    </row>
    <row r="270" spans="1:13" x14ac:dyDescent="0.3">
      <c r="A270">
        <v>6</v>
      </c>
      <c r="B270">
        <v>1</v>
      </c>
      <c r="C270" t="s">
        <v>78</v>
      </c>
      <c r="D270" s="1" t="s">
        <v>1</v>
      </c>
      <c r="E270" s="59" t="s">
        <v>14</v>
      </c>
      <c r="F270" s="60">
        <v>4.4804761904761898</v>
      </c>
      <c r="G270" s="60">
        <v>0.89246702588400895</v>
      </c>
      <c r="H270" s="61">
        <v>4.7757333333333296</v>
      </c>
      <c r="I270" s="62">
        <v>4.88</v>
      </c>
      <c r="J270" s="37">
        <v>0.10426666666667028</v>
      </c>
      <c r="K270" s="37">
        <v>2.1832598135016688</v>
      </c>
      <c r="L270" s="1" t="s">
        <v>69</v>
      </c>
      <c r="M270" s="1">
        <v>2</v>
      </c>
    </row>
    <row r="271" spans="1:13" x14ac:dyDescent="0.3">
      <c r="A271">
        <v>6</v>
      </c>
      <c r="B271">
        <v>1</v>
      </c>
      <c r="C271" t="s">
        <v>78</v>
      </c>
      <c r="D271" s="1" t="s">
        <v>1</v>
      </c>
      <c r="E271" s="59" t="s">
        <v>15</v>
      </c>
      <c r="F271" s="60">
        <v>5.1072941176470597</v>
      </c>
      <c r="G271" s="60">
        <v>0.91647456013637496</v>
      </c>
      <c r="H271" s="61">
        <v>5.3637179487179498</v>
      </c>
      <c r="I271" s="62">
        <v>5.41</v>
      </c>
      <c r="J271" s="37">
        <v>4.6282051282050318E-2</v>
      </c>
      <c r="K271" s="37">
        <v>0.8628725769055916</v>
      </c>
      <c r="L271" s="1" t="s">
        <v>69</v>
      </c>
      <c r="M271" s="1">
        <v>2</v>
      </c>
    </row>
    <row r="272" spans="1:13" x14ac:dyDescent="0.3">
      <c r="A272">
        <v>6</v>
      </c>
      <c r="B272">
        <v>1</v>
      </c>
      <c r="C272" t="s">
        <v>78</v>
      </c>
      <c r="D272" s="1" t="s">
        <v>1</v>
      </c>
      <c r="E272" s="59" t="s">
        <v>16</v>
      </c>
      <c r="F272" s="60">
        <v>3.7230487804878001</v>
      </c>
      <c r="G272" s="60">
        <v>0.79079720354377703</v>
      </c>
      <c r="H272" s="61">
        <v>3.9398684210526298</v>
      </c>
      <c r="I272" s="62">
        <v>3.97</v>
      </c>
      <c r="J272" s="37">
        <v>3.0131578947370397E-2</v>
      </c>
      <c r="K272" s="37">
        <v>0.76478642754572057</v>
      </c>
      <c r="L272" s="1" t="s">
        <v>69</v>
      </c>
      <c r="M272" s="1">
        <v>2</v>
      </c>
    </row>
    <row r="273" spans="1:13" x14ac:dyDescent="0.3">
      <c r="A273">
        <v>6</v>
      </c>
      <c r="B273">
        <v>1</v>
      </c>
      <c r="C273" t="s">
        <v>78</v>
      </c>
      <c r="D273" s="1" t="s">
        <v>1</v>
      </c>
      <c r="E273" s="59" t="s">
        <v>17</v>
      </c>
      <c r="F273" s="60">
        <v>3.8916470588235201</v>
      </c>
      <c r="G273" s="60">
        <v>0.91660222568920702</v>
      </c>
      <c r="H273" s="61">
        <v>4.1560256410256304</v>
      </c>
      <c r="I273" s="62">
        <v>4.4000000000000004</v>
      </c>
      <c r="J273" s="37">
        <v>0.24397435897436992</v>
      </c>
      <c r="K273" s="37">
        <v>5.8703766542249136</v>
      </c>
      <c r="L273" s="1" t="s">
        <v>69</v>
      </c>
      <c r="M273" s="1">
        <v>2</v>
      </c>
    </row>
    <row r="274" spans="1:13" x14ac:dyDescent="0.3">
      <c r="A274">
        <v>6</v>
      </c>
      <c r="B274">
        <v>1</v>
      </c>
      <c r="C274" t="s">
        <v>78</v>
      </c>
      <c r="D274" s="1" t="s">
        <v>1</v>
      </c>
      <c r="E274" s="59" t="s">
        <v>18</v>
      </c>
      <c r="F274" s="60">
        <v>1.78857142857142</v>
      </c>
      <c r="G274" s="60">
        <v>0.27445679188579902</v>
      </c>
      <c r="H274" s="61">
        <v>1.83121951219512</v>
      </c>
      <c r="I274" s="62">
        <v>1.76</v>
      </c>
      <c r="J274" s="37">
        <v>-7.1219512195120016E-2</v>
      </c>
      <c r="K274" s="37">
        <v>-3.8891848694724609</v>
      </c>
      <c r="L274" s="1" t="s">
        <v>69</v>
      </c>
      <c r="M274" s="1">
        <v>2</v>
      </c>
    </row>
    <row r="275" spans="1:13" x14ac:dyDescent="0.3">
      <c r="A275">
        <v>6</v>
      </c>
      <c r="B275">
        <v>1</v>
      </c>
      <c r="C275" t="s">
        <v>78</v>
      </c>
      <c r="D275" s="1" t="s">
        <v>1</v>
      </c>
      <c r="E275" s="59" t="s">
        <v>19</v>
      </c>
      <c r="F275" s="60">
        <v>2.6191764705882301</v>
      </c>
      <c r="G275" s="60">
        <v>0.22587977939710399</v>
      </c>
      <c r="H275" s="61">
        <v>2.6538554216867398</v>
      </c>
      <c r="I275" s="62">
        <v>2.66</v>
      </c>
      <c r="J275" s="37">
        <v>6.1445783132603182E-3</v>
      </c>
      <c r="K275" s="37">
        <v>0.23153402642239426</v>
      </c>
      <c r="L275" s="1" t="s">
        <v>69</v>
      </c>
      <c r="M275" s="1">
        <v>2</v>
      </c>
    </row>
    <row r="277" spans="1:13" x14ac:dyDescent="0.3">
      <c r="A277">
        <v>6</v>
      </c>
      <c r="B277">
        <v>1</v>
      </c>
      <c r="C277" t="s">
        <v>78</v>
      </c>
      <c r="D277" s="1" t="s">
        <v>1</v>
      </c>
      <c r="E277" s="59" t="s">
        <v>12</v>
      </c>
      <c r="F277" s="60">
        <v>2.00043010752688</v>
      </c>
      <c r="G277" s="60">
        <v>2.3321685810007198E-2</v>
      </c>
      <c r="H277" s="61">
        <v>1.99999999999999</v>
      </c>
      <c r="I277" s="62">
        <v>1.95</v>
      </c>
      <c r="J277" s="37">
        <v>-4.9999999999990052E-2</v>
      </c>
      <c r="K277" s="37">
        <v>-2.4999999999995151</v>
      </c>
      <c r="L277" s="1" t="s">
        <v>23</v>
      </c>
      <c r="M277" s="1">
        <v>3</v>
      </c>
    </row>
    <row r="278" spans="1:13" x14ac:dyDescent="0.3">
      <c r="A278">
        <v>6</v>
      </c>
      <c r="B278">
        <v>1</v>
      </c>
      <c r="C278" t="s">
        <v>78</v>
      </c>
      <c r="D278" s="1" t="s">
        <v>1</v>
      </c>
      <c r="E278" s="59" t="s">
        <v>13</v>
      </c>
      <c r="F278" s="60">
        <v>3.3699999999999899</v>
      </c>
      <c r="G278" s="60">
        <v>0.58500527248151202</v>
      </c>
      <c r="H278" s="61">
        <v>3.5389999999999899</v>
      </c>
      <c r="I278" s="62">
        <v>3.4</v>
      </c>
      <c r="J278" s="37">
        <v>-0.13899999999999002</v>
      </c>
      <c r="K278" s="37">
        <v>-3.9276631816894718</v>
      </c>
      <c r="L278" s="1" t="s">
        <v>23</v>
      </c>
      <c r="M278" s="1">
        <v>3</v>
      </c>
    </row>
    <row r="279" spans="1:13" x14ac:dyDescent="0.3">
      <c r="A279">
        <v>6</v>
      </c>
      <c r="B279">
        <v>1</v>
      </c>
      <c r="C279" t="s">
        <v>78</v>
      </c>
      <c r="D279" s="1" t="s">
        <v>1</v>
      </c>
      <c r="E279" s="59" t="s">
        <v>14</v>
      </c>
      <c r="F279" s="60">
        <v>4.6583146067415697</v>
      </c>
      <c r="G279" s="60">
        <v>0.59181350682904699</v>
      </c>
      <c r="H279" s="61">
        <v>4.7879761904761899</v>
      </c>
      <c r="I279" s="62">
        <v>4.83</v>
      </c>
      <c r="J279" s="37">
        <v>4.2023809523810129E-2</v>
      </c>
      <c r="K279" s="37">
        <v>0.87769462194486469</v>
      </c>
      <c r="L279" s="1" t="s">
        <v>23</v>
      </c>
      <c r="M279" s="1">
        <v>3</v>
      </c>
    </row>
    <row r="280" spans="1:13" x14ac:dyDescent="0.3">
      <c r="A280">
        <v>6</v>
      </c>
      <c r="B280">
        <v>1</v>
      </c>
      <c r="C280" t="s">
        <v>78</v>
      </c>
      <c r="D280" s="1" t="s">
        <v>1</v>
      </c>
      <c r="E280" s="59" t="s">
        <v>15</v>
      </c>
      <c r="F280" s="60">
        <v>5.0324731182795599</v>
      </c>
      <c r="G280" s="60">
        <v>0.99195544462243002</v>
      </c>
      <c r="H280" s="61">
        <v>5.3104705882352903</v>
      </c>
      <c r="I280" s="62">
        <v>5.42</v>
      </c>
      <c r="J280" s="37">
        <v>0.10952941176470965</v>
      </c>
      <c r="K280" s="37">
        <v>2.062517999955765</v>
      </c>
      <c r="L280" s="1" t="s">
        <v>23</v>
      </c>
      <c r="M280" s="1">
        <v>3</v>
      </c>
    </row>
    <row r="281" spans="1:13" x14ac:dyDescent="0.3">
      <c r="A281">
        <v>6</v>
      </c>
      <c r="B281">
        <v>1</v>
      </c>
      <c r="C281" t="s">
        <v>78</v>
      </c>
      <c r="D281" s="1" t="s">
        <v>1</v>
      </c>
      <c r="E281" s="59" t="s">
        <v>16</v>
      </c>
      <c r="F281" s="60">
        <v>3.8498888888888798</v>
      </c>
      <c r="G281" s="60">
        <v>0.48099779265939402</v>
      </c>
      <c r="H281" s="61">
        <v>3.9424418604651099</v>
      </c>
      <c r="I281" s="62">
        <v>3.92</v>
      </c>
      <c r="J281" s="37">
        <v>-2.2441860465109986E-2</v>
      </c>
      <c r="K281" s="37">
        <v>-0.5692375755786645</v>
      </c>
      <c r="L281" s="1" t="s">
        <v>23</v>
      </c>
      <c r="M281" s="1">
        <v>3</v>
      </c>
    </row>
    <row r="282" spans="1:13" x14ac:dyDescent="0.3">
      <c r="A282">
        <v>6</v>
      </c>
      <c r="B282">
        <v>1</v>
      </c>
      <c r="C282" t="s">
        <v>78</v>
      </c>
      <c r="D282" s="1" t="s">
        <v>1</v>
      </c>
      <c r="E282" s="59" t="s">
        <v>17</v>
      </c>
      <c r="F282" s="60">
        <v>4.0342391304347798</v>
      </c>
      <c r="G282" s="60">
        <v>0.56962274643084398</v>
      </c>
      <c r="H282" s="61">
        <v>4.1844705882352899</v>
      </c>
      <c r="I282" s="62">
        <v>4.3499999999999996</v>
      </c>
      <c r="J282" s="37">
        <v>0.1655294117647097</v>
      </c>
      <c r="K282" s="37">
        <v>3.9558029689609588</v>
      </c>
      <c r="L282" s="1" t="s">
        <v>23</v>
      </c>
      <c r="M282" s="1">
        <v>3</v>
      </c>
    </row>
    <row r="283" spans="1:13" x14ac:dyDescent="0.3">
      <c r="A283">
        <v>6</v>
      </c>
      <c r="B283">
        <v>1</v>
      </c>
      <c r="C283" t="s">
        <v>78</v>
      </c>
      <c r="D283" s="1" t="s">
        <v>1</v>
      </c>
      <c r="E283" s="59" t="s">
        <v>18</v>
      </c>
      <c r="F283" s="60">
        <v>1.8174545454545401</v>
      </c>
      <c r="G283" s="60">
        <v>2.5528464100662999E-2</v>
      </c>
      <c r="H283" s="61">
        <v>1.8178378378378299</v>
      </c>
      <c r="I283" s="62">
        <v>1.86</v>
      </c>
      <c r="J283" s="37">
        <v>4.2162162162170169E-2</v>
      </c>
      <c r="K283" s="37">
        <v>2.3193577163251606</v>
      </c>
      <c r="L283" s="1" t="s">
        <v>23</v>
      </c>
      <c r="M283" s="1">
        <v>3</v>
      </c>
    </row>
    <row r="284" spans="1:13" x14ac:dyDescent="0.3">
      <c r="A284">
        <v>6</v>
      </c>
      <c r="B284">
        <v>1</v>
      </c>
      <c r="C284" t="s">
        <v>78</v>
      </c>
      <c r="D284" s="1" t="s">
        <v>1</v>
      </c>
      <c r="E284" s="59" t="s">
        <v>19</v>
      </c>
      <c r="F284" s="60">
        <v>2.5699999999999901</v>
      </c>
      <c r="G284" s="60">
        <v>0.340233295919393</v>
      </c>
      <c r="H284" s="61">
        <v>2.6511627906976698</v>
      </c>
      <c r="I284" s="62">
        <v>2.73</v>
      </c>
      <c r="J284" s="37">
        <v>7.883720930233018E-2</v>
      </c>
      <c r="K284" s="37">
        <v>2.9736842105264945</v>
      </c>
      <c r="L284" s="1" t="s">
        <v>23</v>
      </c>
      <c r="M284" s="1">
        <v>3</v>
      </c>
    </row>
    <row r="285" spans="1:13" x14ac:dyDescent="0.3">
      <c r="A285">
        <v>6</v>
      </c>
      <c r="B285">
        <v>1</v>
      </c>
      <c r="C285" t="s">
        <v>78</v>
      </c>
      <c r="D285" s="1" t="s">
        <v>1</v>
      </c>
      <c r="E285" s="59" t="s">
        <v>12</v>
      </c>
      <c r="F285" s="60">
        <v>2.00043010752688</v>
      </c>
      <c r="G285" s="60">
        <v>2.3321685810007198E-2</v>
      </c>
      <c r="H285" s="61">
        <v>1.99999999999999</v>
      </c>
      <c r="I285" s="62">
        <v>1.94</v>
      </c>
      <c r="J285" s="37">
        <v>-5.9999999999990061E-2</v>
      </c>
      <c r="K285" s="37">
        <v>-2.9999999999995182</v>
      </c>
      <c r="L285" s="1" t="s">
        <v>68</v>
      </c>
      <c r="M285" s="1">
        <v>3</v>
      </c>
    </row>
    <row r="286" spans="1:13" x14ac:dyDescent="0.3">
      <c r="A286">
        <v>6</v>
      </c>
      <c r="B286">
        <v>1</v>
      </c>
      <c r="C286" t="s">
        <v>78</v>
      </c>
      <c r="D286" s="1" t="s">
        <v>1</v>
      </c>
      <c r="E286" s="59" t="s">
        <v>13</v>
      </c>
      <c r="F286" s="60">
        <v>3.3699999999999899</v>
      </c>
      <c r="G286" s="60">
        <v>0.58500527248151202</v>
      </c>
      <c r="H286" s="61">
        <v>3.5389999999999899</v>
      </c>
      <c r="I286" s="62">
        <v>3.45</v>
      </c>
      <c r="J286" s="37">
        <v>-8.8999999999989754E-2</v>
      </c>
      <c r="K286" s="37">
        <v>-2.5148346990672508</v>
      </c>
      <c r="L286" s="1" t="s">
        <v>68</v>
      </c>
      <c r="M286" s="1">
        <v>3</v>
      </c>
    </row>
    <row r="287" spans="1:13" x14ac:dyDescent="0.3">
      <c r="A287">
        <v>6</v>
      </c>
      <c r="B287">
        <v>1</v>
      </c>
      <c r="C287" t="s">
        <v>78</v>
      </c>
      <c r="D287" s="1" t="s">
        <v>1</v>
      </c>
      <c r="E287" s="59" t="s">
        <v>14</v>
      </c>
      <c r="F287" s="60">
        <v>4.6583146067415697</v>
      </c>
      <c r="G287" s="60">
        <v>0.59181350682904699</v>
      </c>
      <c r="H287" s="61">
        <v>4.7879761904761899</v>
      </c>
      <c r="I287" s="62">
        <v>4.8499999999999996</v>
      </c>
      <c r="J287" s="37">
        <v>6.2023809523809703E-2</v>
      </c>
      <c r="K287" s="37">
        <v>1.2954076431537371</v>
      </c>
      <c r="L287" s="1" t="s">
        <v>68</v>
      </c>
      <c r="M287" s="1">
        <v>3</v>
      </c>
    </row>
    <row r="288" spans="1:13" x14ac:dyDescent="0.3">
      <c r="A288">
        <v>6</v>
      </c>
      <c r="B288">
        <v>1</v>
      </c>
      <c r="C288" t="s">
        <v>78</v>
      </c>
      <c r="D288" s="1" t="s">
        <v>1</v>
      </c>
      <c r="E288" s="59" t="s">
        <v>15</v>
      </c>
      <c r="F288" s="60">
        <v>5.0324731182795599</v>
      </c>
      <c r="G288" s="60">
        <v>0.99195544462243002</v>
      </c>
      <c r="H288" s="61">
        <v>5.3104705882352903</v>
      </c>
      <c r="I288" s="62">
        <v>5.37</v>
      </c>
      <c r="J288" s="37">
        <v>5.9529411764709828E-2</v>
      </c>
      <c r="K288" s="37">
        <v>1.1209818560447371</v>
      </c>
      <c r="L288" s="1" t="s">
        <v>68</v>
      </c>
      <c r="M288" s="1">
        <v>3</v>
      </c>
    </row>
    <row r="289" spans="1:13" x14ac:dyDescent="0.3">
      <c r="A289">
        <v>6</v>
      </c>
      <c r="B289">
        <v>1</v>
      </c>
      <c r="C289" t="s">
        <v>78</v>
      </c>
      <c r="D289" s="1" t="s">
        <v>1</v>
      </c>
      <c r="E289" s="59" t="s">
        <v>16</v>
      </c>
      <c r="F289" s="60">
        <v>3.8498888888888798</v>
      </c>
      <c r="G289" s="60">
        <v>0.48099779265939402</v>
      </c>
      <c r="H289" s="61">
        <v>3.9424418604651099</v>
      </c>
      <c r="I289" s="62">
        <v>3.93</v>
      </c>
      <c r="J289" s="37">
        <v>-1.2441860465109755E-2</v>
      </c>
      <c r="K289" s="37">
        <v>-0.31558767143472666</v>
      </c>
      <c r="L289" s="1" t="s">
        <v>68</v>
      </c>
      <c r="M289" s="1">
        <v>3</v>
      </c>
    </row>
    <row r="290" spans="1:13" x14ac:dyDescent="0.3">
      <c r="A290">
        <v>6</v>
      </c>
      <c r="B290">
        <v>1</v>
      </c>
      <c r="C290" t="s">
        <v>78</v>
      </c>
      <c r="D290" s="1" t="s">
        <v>1</v>
      </c>
      <c r="E290" s="59" t="s">
        <v>17</v>
      </c>
      <c r="F290" s="60">
        <v>4.0342391304347798</v>
      </c>
      <c r="G290" s="60">
        <v>0.56962274643084398</v>
      </c>
      <c r="H290" s="61">
        <v>4.1844705882352899</v>
      </c>
      <c r="I290" s="62">
        <v>4.3499999999999996</v>
      </c>
      <c r="J290" s="37">
        <v>0.1655294117647097</v>
      </c>
      <c r="K290" s="37">
        <v>3.9558029689609588</v>
      </c>
      <c r="L290" s="1" t="s">
        <v>68</v>
      </c>
      <c r="M290" s="1">
        <v>3</v>
      </c>
    </row>
    <row r="291" spans="1:13" x14ac:dyDescent="0.3">
      <c r="A291">
        <v>6</v>
      </c>
      <c r="B291">
        <v>1</v>
      </c>
      <c r="C291" t="s">
        <v>78</v>
      </c>
      <c r="D291" s="1" t="s">
        <v>1</v>
      </c>
      <c r="E291" s="59" t="s">
        <v>18</v>
      </c>
      <c r="F291" s="60">
        <v>1.8174545454545401</v>
      </c>
      <c r="G291" s="60">
        <v>2.5528464100662999E-2</v>
      </c>
      <c r="H291" s="61">
        <v>1.8178378378378299</v>
      </c>
      <c r="I291" s="62">
        <v>1.76</v>
      </c>
      <c r="J291" s="37">
        <v>-5.783783783782992E-2</v>
      </c>
      <c r="K291" s="37">
        <v>-3.1816830211116809</v>
      </c>
      <c r="L291" s="1" t="s">
        <v>68</v>
      </c>
      <c r="M291" s="1">
        <v>3</v>
      </c>
    </row>
    <row r="292" spans="1:13" x14ac:dyDescent="0.3">
      <c r="A292">
        <v>6</v>
      </c>
      <c r="B292">
        <v>1</v>
      </c>
      <c r="C292" t="s">
        <v>78</v>
      </c>
      <c r="D292" s="1" t="s">
        <v>1</v>
      </c>
      <c r="E292" s="59" t="s">
        <v>19</v>
      </c>
      <c r="F292" s="60">
        <v>2.5699999999999901</v>
      </c>
      <c r="G292" s="60">
        <v>0.340233295919393</v>
      </c>
      <c r="H292" s="61">
        <v>2.6511627906976698</v>
      </c>
      <c r="I292" s="62">
        <v>2.64</v>
      </c>
      <c r="J292" s="37">
        <v>-1.1162790697669678E-2</v>
      </c>
      <c r="K292" s="37">
        <v>-0.42105263157876927</v>
      </c>
      <c r="L292" s="1" t="s">
        <v>68</v>
      </c>
      <c r="M292" s="1">
        <v>3</v>
      </c>
    </row>
    <row r="293" spans="1:13" x14ac:dyDescent="0.3">
      <c r="A293">
        <v>6</v>
      </c>
      <c r="B293">
        <v>1</v>
      </c>
      <c r="C293" t="s">
        <v>78</v>
      </c>
      <c r="D293" s="1" t="s">
        <v>1</v>
      </c>
      <c r="E293" s="59" t="s">
        <v>12</v>
      </c>
      <c r="F293" s="60">
        <v>2.00043010752688</v>
      </c>
      <c r="G293" s="60">
        <v>2.3321685810007198E-2</v>
      </c>
      <c r="H293" s="61">
        <v>1.99999999999999</v>
      </c>
      <c r="I293" s="62">
        <v>1.87</v>
      </c>
      <c r="J293" s="37">
        <v>-0.1299999999999899</v>
      </c>
      <c r="K293" s="37">
        <v>-6.4999999999995266</v>
      </c>
      <c r="L293" s="1" t="s">
        <v>69</v>
      </c>
      <c r="M293" s="1">
        <v>3</v>
      </c>
    </row>
    <row r="294" spans="1:13" x14ac:dyDescent="0.3">
      <c r="A294">
        <v>6</v>
      </c>
      <c r="B294">
        <v>1</v>
      </c>
      <c r="C294" t="s">
        <v>78</v>
      </c>
      <c r="D294" s="1" t="s">
        <v>1</v>
      </c>
      <c r="E294" s="59" t="s">
        <v>13</v>
      </c>
      <c r="F294" s="60">
        <v>3.3699999999999899</v>
      </c>
      <c r="G294" s="60">
        <v>0.58500527248151202</v>
      </c>
      <c r="H294" s="61">
        <v>3.5389999999999899</v>
      </c>
      <c r="I294" s="62">
        <v>3.49</v>
      </c>
      <c r="J294" s="37">
        <v>-4.8999999999989718E-2</v>
      </c>
      <c r="K294" s="37">
        <v>-1.3845719129694789</v>
      </c>
      <c r="L294" s="1" t="s">
        <v>69</v>
      </c>
      <c r="M294" s="1">
        <v>3</v>
      </c>
    </row>
    <row r="295" spans="1:13" x14ac:dyDescent="0.3">
      <c r="A295">
        <v>6</v>
      </c>
      <c r="B295">
        <v>1</v>
      </c>
      <c r="C295" t="s">
        <v>78</v>
      </c>
      <c r="D295" s="1" t="s">
        <v>1</v>
      </c>
      <c r="E295" s="59" t="s">
        <v>14</v>
      </c>
      <c r="F295" s="60">
        <v>4.6583146067415697</v>
      </c>
      <c r="G295" s="60">
        <v>0.59181350682904699</v>
      </c>
      <c r="H295" s="61">
        <v>4.7879761904761899</v>
      </c>
      <c r="I295" s="62">
        <v>4.88</v>
      </c>
      <c r="J295" s="37">
        <v>9.2023809523809952E-2</v>
      </c>
      <c r="K295" s="37">
        <v>1.9219771749670644</v>
      </c>
      <c r="L295" s="1" t="s">
        <v>69</v>
      </c>
      <c r="M295" s="1">
        <v>3</v>
      </c>
    </row>
    <row r="296" spans="1:13" x14ac:dyDescent="0.3">
      <c r="A296">
        <v>6</v>
      </c>
      <c r="B296">
        <v>1</v>
      </c>
      <c r="C296" t="s">
        <v>78</v>
      </c>
      <c r="D296" s="1" t="s">
        <v>1</v>
      </c>
      <c r="E296" s="59" t="s">
        <v>15</v>
      </c>
      <c r="F296" s="60">
        <v>5.0324731182795599</v>
      </c>
      <c r="G296" s="60">
        <v>0.99195544462243002</v>
      </c>
      <c r="H296" s="61">
        <v>5.3104705882352903</v>
      </c>
      <c r="I296" s="62">
        <v>5.41</v>
      </c>
      <c r="J296" s="37">
        <v>9.9529411764709863E-2</v>
      </c>
      <c r="K296" s="37">
        <v>1.8742107711735627</v>
      </c>
      <c r="L296" s="1" t="s">
        <v>69</v>
      </c>
      <c r="M296" s="1">
        <v>3</v>
      </c>
    </row>
    <row r="297" spans="1:13" x14ac:dyDescent="0.3">
      <c r="A297">
        <v>6</v>
      </c>
      <c r="B297">
        <v>1</v>
      </c>
      <c r="C297" t="s">
        <v>78</v>
      </c>
      <c r="D297" s="1" t="s">
        <v>1</v>
      </c>
      <c r="E297" s="59" t="s">
        <v>16</v>
      </c>
      <c r="F297" s="60">
        <v>3.8498888888888798</v>
      </c>
      <c r="G297" s="60">
        <v>0.48099779265939402</v>
      </c>
      <c r="H297" s="61">
        <v>3.9424418604651099</v>
      </c>
      <c r="I297" s="62">
        <v>3.97</v>
      </c>
      <c r="J297" s="37">
        <v>2.755813953489028E-2</v>
      </c>
      <c r="K297" s="37">
        <v>0.69901194514100218</v>
      </c>
      <c r="L297" s="1" t="s">
        <v>69</v>
      </c>
      <c r="M297" s="1">
        <v>3</v>
      </c>
    </row>
    <row r="298" spans="1:13" x14ac:dyDescent="0.3">
      <c r="A298">
        <v>6</v>
      </c>
      <c r="B298">
        <v>1</v>
      </c>
      <c r="C298" t="s">
        <v>78</v>
      </c>
      <c r="D298" s="1" t="s">
        <v>1</v>
      </c>
      <c r="E298" s="59" t="s">
        <v>17</v>
      </c>
      <c r="F298" s="60">
        <v>4.0342391304347798</v>
      </c>
      <c r="G298" s="60">
        <v>0.56962274643084398</v>
      </c>
      <c r="H298" s="61">
        <v>4.1844705882352899</v>
      </c>
      <c r="I298" s="62">
        <v>4.4000000000000004</v>
      </c>
      <c r="J298" s="37">
        <v>0.21552941176471041</v>
      </c>
      <c r="K298" s="37">
        <v>5.1506972559605266</v>
      </c>
      <c r="L298" s="1" t="s">
        <v>69</v>
      </c>
      <c r="M298" s="1">
        <v>3</v>
      </c>
    </row>
    <row r="299" spans="1:13" x14ac:dyDescent="0.3">
      <c r="A299">
        <v>6</v>
      </c>
      <c r="B299">
        <v>1</v>
      </c>
      <c r="C299" t="s">
        <v>78</v>
      </c>
      <c r="D299" s="1" t="s">
        <v>1</v>
      </c>
      <c r="E299" s="59" t="s">
        <v>18</v>
      </c>
      <c r="F299" s="60">
        <v>1.8174545454545401</v>
      </c>
      <c r="G299" s="60">
        <v>2.5528464100662999E-2</v>
      </c>
      <c r="H299" s="61">
        <v>1.8178378378378299</v>
      </c>
      <c r="I299" s="62">
        <v>1.76</v>
      </c>
      <c r="J299" s="37">
        <v>-5.783783783782992E-2</v>
      </c>
      <c r="K299" s="37">
        <v>-3.1816830211116809</v>
      </c>
      <c r="L299" s="1" t="s">
        <v>69</v>
      </c>
      <c r="M299" s="1">
        <v>3</v>
      </c>
    </row>
    <row r="300" spans="1:13" x14ac:dyDescent="0.3">
      <c r="A300">
        <v>6</v>
      </c>
      <c r="B300">
        <v>1</v>
      </c>
      <c r="C300" t="s">
        <v>78</v>
      </c>
      <c r="D300" s="1" t="s">
        <v>1</v>
      </c>
      <c r="E300" s="59" t="s">
        <v>19</v>
      </c>
      <c r="F300" s="60">
        <v>2.5699999999999901</v>
      </c>
      <c r="G300" s="60">
        <v>0.340233295919393</v>
      </c>
      <c r="H300" s="61">
        <v>2.6511627906976698</v>
      </c>
      <c r="I300" s="62">
        <v>2.66</v>
      </c>
      <c r="J300" s="37">
        <v>8.83720930233034E-3</v>
      </c>
      <c r="K300" s="37">
        <v>0.33333333333351339</v>
      </c>
      <c r="L300" s="1" t="s">
        <v>69</v>
      </c>
      <c r="M300" s="1">
        <v>3</v>
      </c>
    </row>
    <row r="302" spans="1:13" x14ac:dyDescent="0.3">
      <c r="A302">
        <v>8</v>
      </c>
      <c r="B302">
        <v>1</v>
      </c>
      <c r="C302" t="s">
        <v>78</v>
      </c>
      <c r="D302" s="1" t="s">
        <v>1</v>
      </c>
      <c r="E302" s="59" t="s">
        <v>12</v>
      </c>
      <c r="F302" s="60">
        <v>4.9797368421052601</v>
      </c>
      <c r="G302" s="60">
        <v>0.449107224578914</v>
      </c>
      <c r="H302" s="61">
        <v>5.0769444444444396</v>
      </c>
      <c r="I302" s="62">
        <v>5.07</v>
      </c>
      <c r="J302" s="37">
        <v>-6.9444444444393127E-3</v>
      </c>
      <c r="K302" s="37">
        <v>-0.13678393609444411</v>
      </c>
      <c r="L302" s="1" t="s">
        <v>23</v>
      </c>
      <c r="M302" s="1">
        <v>1</v>
      </c>
    </row>
    <row r="303" spans="1:13" x14ac:dyDescent="0.3">
      <c r="A303">
        <v>8</v>
      </c>
      <c r="B303">
        <v>1</v>
      </c>
      <c r="C303" t="s">
        <v>78</v>
      </c>
      <c r="D303" s="1" t="s">
        <v>1</v>
      </c>
      <c r="E303" s="59" t="s">
        <v>13</v>
      </c>
      <c r="F303" s="60">
        <v>5.2063963963963902</v>
      </c>
      <c r="G303" s="60">
        <v>1.04879836242819</v>
      </c>
      <c r="H303" s="61">
        <v>5.4893137254901898</v>
      </c>
      <c r="I303" s="62">
        <v>5.65</v>
      </c>
      <c r="J303" s="37">
        <v>0.16068627450981054</v>
      </c>
      <c r="K303" s="37">
        <v>2.9272561661696872</v>
      </c>
      <c r="L303" s="1" t="s">
        <v>23</v>
      </c>
      <c r="M303" s="1">
        <v>1</v>
      </c>
    </row>
    <row r="304" spans="1:13" x14ac:dyDescent="0.3">
      <c r="A304">
        <v>8</v>
      </c>
      <c r="B304">
        <v>1</v>
      </c>
      <c r="C304" t="s">
        <v>78</v>
      </c>
      <c r="D304" s="1" t="s">
        <v>1</v>
      </c>
      <c r="E304" s="59" t="s">
        <v>14</v>
      </c>
      <c r="F304" s="60">
        <v>1.35035087719298</v>
      </c>
      <c r="G304" s="60">
        <v>0.10677020598086</v>
      </c>
      <c r="H304" s="61">
        <v>1.36781818181818</v>
      </c>
      <c r="I304" s="62">
        <v>1.37</v>
      </c>
      <c r="J304" s="37">
        <v>2.181818181820061E-3</v>
      </c>
      <c r="K304" s="37">
        <v>0.15951083344424236</v>
      </c>
      <c r="L304" s="1" t="s">
        <v>23</v>
      </c>
      <c r="M304" s="1">
        <v>1</v>
      </c>
    </row>
    <row r="305" spans="1:13" x14ac:dyDescent="0.3">
      <c r="A305">
        <v>8</v>
      </c>
      <c r="B305">
        <v>1</v>
      </c>
      <c r="C305" t="s">
        <v>78</v>
      </c>
      <c r="D305" s="1" t="s">
        <v>1</v>
      </c>
      <c r="E305" s="59" t="s">
        <v>15</v>
      </c>
      <c r="F305" s="60">
        <v>3.2609009009009</v>
      </c>
      <c r="G305" s="60">
        <v>0.48146838005229298</v>
      </c>
      <c r="H305" s="61">
        <v>3.36075471698113</v>
      </c>
      <c r="I305" s="62">
        <v>3.57</v>
      </c>
      <c r="J305" s="37">
        <v>0.2092452830188698</v>
      </c>
      <c r="K305" s="37">
        <v>6.2261396811139154</v>
      </c>
      <c r="L305" s="1" t="s">
        <v>23</v>
      </c>
      <c r="M305" s="1">
        <v>1</v>
      </c>
    </row>
    <row r="306" spans="1:13" x14ac:dyDescent="0.3">
      <c r="A306">
        <v>8</v>
      </c>
      <c r="B306">
        <v>1</v>
      </c>
      <c r="C306" t="s">
        <v>78</v>
      </c>
      <c r="D306" s="1" t="s">
        <v>1</v>
      </c>
      <c r="E306" s="59" t="s">
        <v>16</v>
      </c>
      <c r="F306" s="60">
        <v>4.4779545454545397</v>
      </c>
      <c r="G306" s="60">
        <v>0.27672253534948599</v>
      </c>
      <c r="H306" s="61">
        <v>4.5274117647058798</v>
      </c>
      <c r="I306" s="62">
        <v>4.6500000000000004</v>
      </c>
      <c r="J306" s="37">
        <v>0.12258823529412055</v>
      </c>
      <c r="K306" s="37">
        <v>2.7076891094769775</v>
      </c>
      <c r="L306" s="1" t="s">
        <v>23</v>
      </c>
      <c r="M306" s="1">
        <v>1</v>
      </c>
    </row>
    <row r="307" spans="1:13" x14ac:dyDescent="0.3">
      <c r="A307">
        <v>8</v>
      </c>
      <c r="B307">
        <v>1</v>
      </c>
      <c r="C307" t="s">
        <v>78</v>
      </c>
      <c r="D307" s="1" t="s">
        <v>1</v>
      </c>
      <c r="E307" s="59" t="s">
        <v>17</v>
      </c>
      <c r="F307" s="60">
        <v>1.04508771929824</v>
      </c>
      <c r="G307" s="60">
        <v>0.124338570140656</v>
      </c>
      <c r="H307" s="61">
        <v>1.06486486486486</v>
      </c>
      <c r="I307" s="62">
        <v>1.3</v>
      </c>
      <c r="J307" s="37">
        <v>0.23513513513514006</v>
      </c>
      <c r="K307" s="37">
        <v>22.081218274112238</v>
      </c>
      <c r="L307" s="1" t="s">
        <v>23</v>
      </c>
      <c r="M307" s="1">
        <v>1</v>
      </c>
    </row>
    <row r="308" spans="1:13" x14ac:dyDescent="0.3">
      <c r="A308">
        <v>8</v>
      </c>
      <c r="B308">
        <v>1</v>
      </c>
      <c r="C308" t="s">
        <v>78</v>
      </c>
      <c r="D308" s="1" t="s">
        <v>1</v>
      </c>
      <c r="E308" s="59" t="s">
        <v>18</v>
      </c>
      <c r="F308" s="60">
        <v>4.0486842105263099</v>
      </c>
      <c r="G308" s="60">
        <v>0.188570398031744</v>
      </c>
      <c r="H308" s="61">
        <v>4.0750450450450399</v>
      </c>
      <c r="I308" s="62">
        <v>4.17</v>
      </c>
      <c r="J308" s="37">
        <v>9.495495495495998E-2</v>
      </c>
      <c r="K308" s="37">
        <v>2.3301571861253003</v>
      </c>
      <c r="L308" s="1" t="s">
        <v>23</v>
      </c>
      <c r="M308" s="1">
        <v>1</v>
      </c>
    </row>
    <row r="309" spans="1:13" x14ac:dyDescent="0.3">
      <c r="A309">
        <v>8</v>
      </c>
      <c r="B309">
        <v>1</v>
      </c>
      <c r="C309" t="s">
        <v>78</v>
      </c>
      <c r="D309" s="1" t="s">
        <v>1</v>
      </c>
      <c r="E309" s="59" t="s">
        <v>19</v>
      </c>
      <c r="F309" s="60">
        <v>2.8575581395348801</v>
      </c>
      <c r="G309" s="60">
        <v>0.35619088182351399</v>
      </c>
      <c r="H309" s="61">
        <v>2.91047619047619</v>
      </c>
      <c r="I309" s="62">
        <v>2.82</v>
      </c>
      <c r="J309" s="37">
        <v>-9.0476190476190155E-2</v>
      </c>
      <c r="K309" s="37">
        <v>-3.108638743455487</v>
      </c>
      <c r="L309" s="1" t="s">
        <v>23</v>
      </c>
      <c r="M309" s="1">
        <v>1</v>
      </c>
    </row>
    <row r="310" spans="1:13" x14ac:dyDescent="0.3">
      <c r="A310">
        <v>8</v>
      </c>
      <c r="B310">
        <v>1</v>
      </c>
      <c r="C310" t="s">
        <v>78</v>
      </c>
      <c r="D310" s="1" t="s">
        <v>1</v>
      </c>
      <c r="E310" s="59" t="s">
        <v>12</v>
      </c>
      <c r="F310" s="60">
        <v>4.9797368421052601</v>
      </c>
      <c r="G310" s="60">
        <v>0.449107224578914</v>
      </c>
      <c r="H310" s="61">
        <v>5.0769444444444396</v>
      </c>
      <c r="I310" s="62">
        <v>4.95</v>
      </c>
      <c r="J310" s="37">
        <v>-0.12694444444443942</v>
      </c>
      <c r="K310" s="37">
        <v>-2.500410351808187</v>
      </c>
      <c r="L310" s="1" t="s">
        <v>68</v>
      </c>
      <c r="M310" s="1">
        <v>1</v>
      </c>
    </row>
    <row r="311" spans="1:13" x14ac:dyDescent="0.3">
      <c r="A311">
        <v>8</v>
      </c>
      <c r="B311">
        <v>1</v>
      </c>
      <c r="C311" t="s">
        <v>78</v>
      </c>
      <c r="D311" s="1" t="s">
        <v>1</v>
      </c>
      <c r="E311" s="59" t="s">
        <v>13</v>
      </c>
      <c r="F311" s="60">
        <v>5.2063963963963902</v>
      </c>
      <c r="G311" s="60">
        <v>1.04879836242819</v>
      </c>
      <c r="H311" s="61">
        <v>5.4893137254901898</v>
      </c>
      <c r="I311" s="62">
        <v>5.51</v>
      </c>
      <c r="J311" s="37">
        <v>2.0686274509809977E-2</v>
      </c>
      <c r="K311" s="37">
        <v>0.37684627886635708</v>
      </c>
      <c r="L311" s="1" t="s">
        <v>68</v>
      </c>
      <c r="M311" s="1">
        <v>1</v>
      </c>
    </row>
    <row r="312" spans="1:13" x14ac:dyDescent="0.3">
      <c r="A312">
        <v>8</v>
      </c>
      <c r="B312">
        <v>1</v>
      </c>
      <c r="C312" t="s">
        <v>78</v>
      </c>
      <c r="D312" s="1" t="s">
        <v>1</v>
      </c>
      <c r="E312" s="59" t="s">
        <v>14</v>
      </c>
      <c r="F312" s="60">
        <v>1.35035087719298</v>
      </c>
      <c r="G312" s="60">
        <v>0.10677020598086</v>
      </c>
      <c r="H312" s="61">
        <v>1.36781818181818</v>
      </c>
      <c r="I312" s="62">
        <v>1.27</v>
      </c>
      <c r="J312" s="37">
        <v>-9.7818181818180028E-2</v>
      </c>
      <c r="K312" s="37">
        <v>-7.1514023660772406</v>
      </c>
      <c r="L312" s="1" t="s">
        <v>68</v>
      </c>
      <c r="M312" s="1">
        <v>1</v>
      </c>
    </row>
    <row r="313" spans="1:13" x14ac:dyDescent="0.3">
      <c r="A313">
        <v>8</v>
      </c>
      <c r="B313">
        <v>1</v>
      </c>
      <c r="C313" t="s">
        <v>78</v>
      </c>
      <c r="D313" s="1" t="s">
        <v>1</v>
      </c>
      <c r="E313" s="59" t="s">
        <v>15</v>
      </c>
      <c r="F313" s="60">
        <v>3.2609009009009</v>
      </c>
      <c r="G313" s="60">
        <v>0.48146838005229298</v>
      </c>
      <c r="H313" s="61">
        <v>3.36075471698113</v>
      </c>
      <c r="I313" s="62">
        <v>3.39</v>
      </c>
      <c r="J313" s="37">
        <v>2.9245283018870083E-2</v>
      </c>
      <c r="K313" s="37">
        <v>0.87019986525944049</v>
      </c>
      <c r="L313" s="1" t="s">
        <v>68</v>
      </c>
      <c r="M313" s="1">
        <v>1</v>
      </c>
    </row>
    <row r="314" spans="1:13" x14ac:dyDescent="0.3">
      <c r="A314">
        <v>8</v>
      </c>
      <c r="B314">
        <v>1</v>
      </c>
      <c r="C314" t="s">
        <v>78</v>
      </c>
      <c r="D314" s="1" t="s">
        <v>1</v>
      </c>
      <c r="E314" s="59" t="s">
        <v>16</v>
      </c>
      <c r="F314" s="60">
        <v>4.4779545454545397</v>
      </c>
      <c r="G314" s="60">
        <v>0.27672253534948599</v>
      </c>
      <c r="H314" s="61">
        <v>4.5274117647058798</v>
      </c>
      <c r="I314" s="62">
        <v>4.53</v>
      </c>
      <c r="J314" s="37">
        <v>2.5882352941204445E-3</v>
      </c>
      <c r="K314" s="37">
        <v>5.7168100200150174E-2</v>
      </c>
      <c r="L314" s="1" t="s">
        <v>68</v>
      </c>
      <c r="M314" s="1">
        <v>1</v>
      </c>
    </row>
    <row r="315" spans="1:13" x14ac:dyDescent="0.3">
      <c r="A315">
        <v>8</v>
      </c>
      <c r="B315">
        <v>1</v>
      </c>
      <c r="C315" t="s">
        <v>78</v>
      </c>
      <c r="D315" s="1" t="s">
        <v>1</v>
      </c>
      <c r="E315" s="59" t="s">
        <v>17</v>
      </c>
      <c r="F315" s="60">
        <v>1.04508771929824</v>
      </c>
      <c r="G315" s="60">
        <v>0.124338570140656</v>
      </c>
      <c r="H315" s="61">
        <v>1.06486486486486</v>
      </c>
      <c r="I315" s="62">
        <v>1.21</v>
      </c>
      <c r="J315" s="37">
        <v>0.14513513513513998</v>
      </c>
      <c r="K315" s="37">
        <v>13.629441624366001</v>
      </c>
      <c r="L315" s="1" t="s">
        <v>68</v>
      </c>
      <c r="M315" s="1">
        <v>1</v>
      </c>
    </row>
    <row r="316" spans="1:13" x14ac:dyDescent="0.3">
      <c r="A316">
        <v>8</v>
      </c>
      <c r="B316">
        <v>1</v>
      </c>
      <c r="C316" t="s">
        <v>78</v>
      </c>
      <c r="D316" s="1" t="s">
        <v>1</v>
      </c>
      <c r="E316" s="59" t="s">
        <v>18</v>
      </c>
      <c r="F316" s="60">
        <v>4.0486842105263099</v>
      </c>
      <c r="G316" s="60">
        <v>0.188570398031744</v>
      </c>
      <c r="H316" s="61">
        <v>4.0750450450450399</v>
      </c>
      <c r="I316" s="62">
        <v>4.07</v>
      </c>
      <c r="J316" s="37">
        <v>-5.0450450450396644E-3</v>
      </c>
      <c r="K316" s="37">
        <v>-0.12380341785851114</v>
      </c>
      <c r="L316" s="1" t="s">
        <v>68</v>
      </c>
      <c r="M316" s="1">
        <v>1</v>
      </c>
    </row>
    <row r="317" spans="1:13" x14ac:dyDescent="0.3">
      <c r="A317">
        <v>8</v>
      </c>
      <c r="B317">
        <v>1</v>
      </c>
      <c r="C317" t="s">
        <v>78</v>
      </c>
      <c r="D317" s="1" t="s">
        <v>1</v>
      </c>
      <c r="E317" s="59" t="s">
        <v>19</v>
      </c>
      <c r="F317" s="60">
        <v>2.8575581395348801</v>
      </c>
      <c r="G317" s="60">
        <v>0.35619088182351399</v>
      </c>
      <c r="H317" s="61">
        <v>2.91047619047619</v>
      </c>
      <c r="I317" s="62">
        <v>2.74</v>
      </c>
      <c r="J317" s="37">
        <v>-0.17047619047618978</v>
      </c>
      <c r="K317" s="37">
        <v>-5.8573298429319145</v>
      </c>
      <c r="L317" s="1" t="s">
        <v>68</v>
      </c>
      <c r="M317" s="1">
        <v>1</v>
      </c>
    </row>
    <row r="318" spans="1:13" x14ac:dyDescent="0.3">
      <c r="A318">
        <v>8</v>
      </c>
      <c r="B318">
        <v>1</v>
      </c>
      <c r="C318" t="s">
        <v>78</v>
      </c>
      <c r="D318" s="1" t="s">
        <v>1</v>
      </c>
      <c r="E318" s="59" t="s">
        <v>12</v>
      </c>
      <c r="F318" s="60">
        <v>4.9797368421052601</v>
      </c>
      <c r="G318" s="60">
        <v>0.449107224578914</v>
      </c>
      <c r="H318" s="61">
        <v>5.0769444444444396</v>
      </c>
      <c r="I318" s="62">
        <v>4.93</v>
      </c>
      <c r="J318" s="37">
        <v>-0.14694444444443988</v>
      </c>
      <c r="K318" s="37">
        <v>-2.8943480877604864</v>
      </c>
      <c r="L318" s="1" t="s">
        <v>69</v>
      </c>
      <c r="M318" s="1">
        <v>1</v>
      </c>
    </row>
    <row r="319" spans="1:13" x14ac:dyDescent="0.3">
      <c r="A319">
        <v>8</v>
      </c>
      <c r="B319">
        <v>1</v>
      </c>
      <c r="C319" t="s">
        <v>78</v>
      </c>
      <c r="D319" s="1" t="s">
        <v>1</v>
      </c>
      <c r="E319" s="59" t="s">
        <v>13</v>
      </c>
      <c r="F319" s="60">
        <v>5.2063963963963902</v>
      </c>
      <c r="G319" s="60">
        <v>1.04879836242819</v>
      </c>
      <c r="H319" s="61">
        <v>5.4893137254901898</v>
      </c>
      <c r="I319" s="62">
        <v>5.56</v>
      </c>
      <c r="J319" s="37">
        <v>7.0686274509809799E-2</v>
      </c>
      <c r="K319" s="37">
        <v>1.2877069529032537</v>
      </c>
      <c r="L319" s="1" t="s">
        <v>69</v>
      </c>
      <c r="M319" s="1">
        <v>1</v>
      </c>
    </row>
    <row r="320" spans="1:13" x14ac:dyDescent="0.3">
      <c r="A320">
        <v>8</v>
      </c>
      <c r="B320">
        <v>1</v>
      </c>
      <c r="C320" t="s">
        <v>78</v>
      </c>
      <c r="D320" s="1" t="s">
        <v>1</v>
      </c>
      <c r="E320" s="59" t="s">
        <v>14</v>
      </c>
      <c r="F320" s="60">
        <v>1.35035087719298</v>
      </c>
      <c r="G320" s="60">
        <v>0.10677020598086</v>
      </c>
      <c r="H320" s="61">
        <v>1.36781818181818</v>
      </c>
      <c r="I320" s="62">
        <v>1.32</v>
      </c>
      <c r="J320" s="37">
        <v>-4.7818181818179983E-2</v>
      </c>
      <c r="K320" s="37">
        <v>-3.4959457663164994</v>
      </c>
      <c r="L320" s="1" t="s">
        <v>69</v>
      </c>
      <c r="M320" s="1">
        <v>1</v>
      </c>
    </row>
    <row r="321" spans="1:13" x14ac:dyDescent="0.3">
      <c r="A321">
        <v>8</v>
      </c>
      <c r="B321">
        <v>1</v>
      </c>
      <c r="C321" t="s">
        <v>78</v>
      </c>
      <c r="D321" s="1" t="s">
        <v>1</v>
      </c>
      <c r="E321" s="59" t="s">
        <v>15</v>
      </c>
      <c r="F321" s="60">
        <v>3.2609009009009</v>
      </c>
      <c r="G321" s="60">
        <v>0.48146838005229298</v>
      </c>
      <c r="H321" s="61">
        <v>3.36075471698113</v>
      </c>
      <c r="I321" s="62">
        <v>3.44</v>
      </c>
      <c r="J321" s="37">
        <v>7.9245283018869905E-2</v>
      </c>
      <c r="K321" s="37">
        <v>2.3579609252190137</v>
      </c>
      <c r="L321" s="1" t="s">
        <v>69</v>
      </c>
      <c r="M321" s="1">
        <v>1</v>
      </c>
    </row>
    <row r="322" spans="1:13" x14ac:dyDescent="0.3">
      <c r="A322">
        <v>8</v>
      </c>
      <c r="B322">
        <v>1</v>
      </c>
      <c r="C322" t="s">
        <v>78</v>
      </c>
      <c r="D322" s="1" t="s">
        <v>1</v>
      </c>
      <c r="E322" s="59" t="s">
        <v>16</v>
      </c>
      <c r="F322" s="60">
        <v>4.4779545454545397</v>
      </c>
      <c r="G322" s="60">
        <v>0.27672253534948599</v>
      </c>
      <c r="H322" s="61">
        <v>4.5274117647058798</v>
      </c>
      <c r="I322" s="62">
        <v>4.59</v>
      </c>
      <c r="J322" s="37">
        <v>6.2588235294120054E-2</v>
      </c>
      <c r="K322" s="37">
        <v>1.3824286048385541</v>
      </c>
      <c r="L322" s="1" t="s">
        <v>69</v>
      </c>
      <c r="M322" s="1">
        <v>1</v>
      </c>
    </row>
    <row r="323" spans="1:13" x14ac:dyDescent="0.3">
      <c r="A323">
        <v>8</v>
      </c>
      <c r="B323">
        <v>1</v>
      </c>
      <c r="C323" t="s">
        <v>78</v>
      </c>
      <c r="D323" s="1" t="s">
        <v>1</v>
      </c>
      <c r="E323" s="59" t="s">
        <v>17</v>
      </c>
      <c r="F323" s="60">
        <v>1.04508771929824</v>
      </c>
      <c r="G323" s="60">
        <v>0.124338570140656</v>
      </c>
      <c r="H323" s="61">
        <v>1.06486486486486</v>
      </c>
      <c r="I323" s="62">
        <v>1.25</v>
      </c>
      <c r="J323" s="37">
        <v>0.18513513513514002</v>
      </c>
      <c r="K323" s="37">
        <v>17.385786802030996</v>
      </c>
      <c r="L323" s="1" t="s">
        <v>69</v>
      </c>
      <c r="M323" s="1">
        <v>1</v>
      </c>
    </row>
    <row r="324" spans="1:13" x14ac:dyDescent="0.3">
      <c r="A324">
        <v>8</v>
      </c>
      <c r="B324">
        <v>1</v>
      </c>
      <c r="C324" t="s">
        <v>78</v>
      </c>
      <c r="D324" s="1" t="s">
        <v>1</v>
      </c>
      <c r="E324" s="59" t="s">
        <v>18</v>
      </c>
      <c r="F324" s="60">
        <v>4.0486842105263099</v>
      </c>
      <c r="G324" s="60">
        <v>0.188570398031744</v>
      </c>
      <c r="H324" s="61">
        <v>4.0750450450450399</v>
      </c>
      <c r="I324" s="62">
        <v>4.05</v>
      </c>
      <c r="J324" s="37">
        <v>-2.5045045045040126E-2</v>
      </c>
      <c r="K324" s="37">
        <v>-0.61459553865528649</v>
      </c>
      <c r="L324" s="1" t="s">
        <v>69</v>
      </c>
      <c r="M324" s="1">
        <v>1</v>
      </c>
    </row>
    <row r="325" spans="1:13" x14ac:dyDescent="0.3">
      <c r="A325">
        <v>8</v>
      </c>
      <c r="B325">
        <v>1</v>
      </c>
      <c r="C325" t="s">
        <v>78</v>
      </c>
      <c r="D325" s="1" t="s">
        <v>1</v>
      </c>
      <c r="E325" s="59" t="s">
        <v>19</v>
      </c>
      <c r="F325" s="60">
        <v>2.8575581395348801</v>
      </c>
      <c r="G325" s="60">
        <v>0.35619088182351399</v>
      </c>
      <c r="H325" s="61">
        <v>2.91047619047619</v>
      </c>
      <c r="I325" s="62">
        <v>2.72</v>
      </c>
      <c r="J325" s="37">
        <v>-0.1904761904761898</v>
      </c>
      <c r="K325" s="37">
        <v>-6.544502617801025</v>
      </c>
      <c r="L325" s="1" t="s">
        <v>69</v>
      </c>
      <c r="M325" s="1">
        <v>1</v>
      </c>
    </row>
    <row r="327" spans="1:13" x14ac:dyDescent="0.3">
      <c r="A327">
        <v>8</v>
      </c>
      <c r="B327">
        <v>1</v>
      </c>
      <c r="C327" t="s">
        <v>78</v>
      </c>
      <c r="D327" s="1" t="s">
        <v>1</v>
      </c>
      <c r="E327" s="59" t="s">
        <v>12</v>
      </c>
      <c r="F327" s="60">
        <v>4.7513333333333296</v>
      </c>
      <c r="G327" s="60">
        <v>1.0225077172060999</v>
      </c>
      <c r="H327" s="61">
        <v>5.0601052631578902</v>
      </c>
      <c r="I327" s="62">
        <v>5.07</v>
      </c>
      <c r="J327" s="37">
        <v>9.8947368421100634E-3</v>
      </c>
      <c r="K327" s="37">
        <v>0.19554409103211021</v>
      </c>
      <c r="L327" s="1" t="s">
        <v>23</v>
      </c>
      <c r="M327" s="1">
        <v>2</v>
      </c>
    </row>
    <row r="328" spans="1:13" x14ac:dyDescent="0.3">
      <c r="A328">
        <v>8</v>
      </c>
      <c r="B328">
        <v>1</v>
      </c>
      <c r="C328" t="s">
        <v>78</v>
      </c>
      <c r="D328" s="1" t="s">
        <v>1</v>
      </c>
      <c r="E328" s="59" t="s">
        <v>13</v>
      </c>
      <c r="F328" s="60">
        <v>5.2291262135922301</v>
      </c>
      <c r="G328" s="60">
        <v>1.0231932755915401</v>
      </c>
      <c r="H328" s="61">
        <v>5.5002105263157803</v>
      </c>
      <c r="I328" s="62">
        <v>5.65</v>
      </c>
      <c r="J328" s="37">
        <v>0.14978947368422002</v>
      </c>
      <c r="K328" s="37">
        <v>2.723340733369235</v>
      </c>
      <c r="L328" s="1" t="s">
        <v>23</v>
      </c>
      <c r="M328" s="1">
        <v>2</v>
      </c>
    </row>
    <row r="329" spans="1:13" x14ac:dyDescent="0.3">
      <c r="A329">
        <v>8</v>
      </c>
      <c r="B329">
        <v>1</v>
      </c>
      <c r="C329" t="s">
        <v>78</v>
      </c>
      <c r="D329" s="1" t="s">
        <v>1</v>
      </c>
      <c r="E329" s="59" t="s">
        <v>14</v>
      </c>
      <c r="F329" s="60">
        <v>1.3313333333333299</v>
      </c>
      <c r="G329" s="60">
        <v>0.17860873261148</v>
      </c>
      <c r="H329" s="61">
        <v>1.3639603960396001</v>
      </c>
      <c r="I329" s="62">
        <v>1.37</v>
      </c>
      <c r="J329" s="37">
        <v>6.0396039604000418E-3</v>
      </c>
      <c r="K329" s="37">
        <v>0.44279907084814596</v>
      </c>
      <c r="L329" s="1" t="s">
        <v>23</v>
      </c>
      <c r="M329" s="1">
        <v>2</v>
      </c>
    </row>
    <row r="330" spans="1:13" x14ac:dyDescent="0.3">
      <c r="A330">
        <v>8</v>
      </c>
      <c r="B330">
        <v>1</v>
      </c>
      <c r="C330" t="s">
        <v>78</v>
      </c>
      <c r="D330" s="1" t="s">
        <v>1</v>
      </c>
      <c r="E330" s="59" t="s">
        <v>15</v>
      </c>
      <c r="F330" s="60">
        <v>3.2196039603960398</v>
      </c>
      <c r="G330" s="60">
        <v>0.52171636160322998</v>
      </c>
      <c r="H330" s="61">
        <v>3.3652173913043502</v>
      </c>
      <c r="I330" s="62">
        <v>3.57</v>
      </c>
      <c r="J330" s="37">
        <v>0.20478260869564968</v>
      </c>
      <c r="K330" s="37">
        <v>6.0852713178293794</v>
      </c>
      <c r="L330" s="1" t="s">
        <v>23</v>
      </c>
      <c r="M330" s="1">
        <v>2</v>
      </c>
    </row>
    <row r="331" spans="1:13" x14ac:dyDescent="0.3">
      <c r="A331">
        <v>8</v>
      </c>
      <c r="B331">
        <v>1</v>
      </c>
      <c r="C331" t="s">
        <v>78</v>
      </c>
      <c r="D331" s="1" t="s">
        <v>1</v>
      </c>
      <c r="E331" s="59" t="s">
        <v>16</v>
      </c>
      <c r="F331" s="60">
        <v>4.4234177215189803</v>
      </c>
      <c r="G331" s="60">
        <v>0.54049879934280198</v>
      </c>
      <c r="H331" s="61">
        <v>4.5382666666666598</v>
      </c>
      <c r="I331" s="62">
        <v>4.6500000000000004</v>
      </c>
      <c r="J331" s="37">
        <v>0.11173333333334057</v>
      </c>
      <c r="K331" s="37">
        <v>2.4620266180922394</v>
      </c>
      <c r="L331" s="1" t="s">
        <v>23</v>
      </c>
      <c r="M331" s="1">
        <v>2</v>
      </c>
    </row>
    <row r="332" spans="1:13" x14ac:dyDescent="0.3">
      <c r="A332">
        <v>8</v>
      </c>
      <c r="B332">
        <v>1</v>
      </c>
      <c r="C332" t="s">
        <v>78</v>
      </c>
      <c r="D332" s="1" t="s">
        <v>1</v>
      </c>
      <c r="E332" s="59" t="s">
        <v>17</v>
      </c>
      <c r="F332" s="60">
        <v>1.06638095238095</v>
      </c>
      <c r="G332" s="60">
        <v>2.7399124404633601E-2</v>
      </c>
      <c r="H332" s="61">
        <v>1.0667948717948701</v>
      </c>
      <c r="I332" s="62">
        <v>1.3</v>
      </c>
      <c r="J332" s="37">
        <v>0.23320512820512995</v>
      </c>
      <c r="K332" s="37">
        <v>21.860353322918115</v>
      </c>
      <c r="L332" s="1" t="s">
        <v>23</v>
      </c>
      <c r="M332" s="1">
        <v>2</v>
      </c>
    </row>
    <row r="333" spans="1:13" x14ac:dyDescent="0.3">
      <c r="A333">
        <v>8</v>
      </c>
      <c r="B333">
        <v>1</v>
      </c>
      <c r="C333" t="s">
        <v>78</v>
      </c>
      <c r="D333" s="1" t="s">
        <v>1</v>
      </c>
      <c r="E333" s="59" t="s">
        <v>18</v>
      </c>
      <c r="F333" s="60">
        <v>3.87619047619047</v>
      </c>
      <c r="G333" s="60">
        <v>0.72564766598356201</v>
      </c>
      <c r="H333" s="61">
        <v>4.0685567010309196</v>
      </c>
      <c r="I333" s="62">
        <v>4.17</v>
      </c>
      <c r="J333" s="37">
        <v>0.10144329896908033</v>
      </c>
      <c r="K333" s="37">
        <v>2.4933485366782748</v>
      </c>
      <c r="L333" s="1" t="s">
        <v>23</v>
      </c>
      <c r="M333" s="1">
        <v>2</v>
      </c>
    </row>
    <row r="334" spans="1:13" x14ac:dyDescent="0.3">
      <c r="A334">
        <v>8</v>
      </c>
      <c r="B334">
        <v>1</v>
      </c>
      <c r="C334" t="s">
        <v>78</v>
      </c>
      <c r="D334" s="1" t="s">
        <v>1</v>
      </c>
      <c r="E334" s="59" t="s">
        <v>19</v>
      </c>
      <c r="F334" s="60">
        <v>2.7946835443037901</v>
      </c>
      <c r="G334" s="60">
        <v>0.47811559283185501</v>
      </c>
      <c r="H334" s="61">
        <v>2.9026666666666601</v>
      </c>
      <c r="I334" s="62">
        <v>2.82</v>
      </c>
      <c r="J334" s="37">
        <v>-8.2666666666660227E-2</v>
      </c>
      <c r="K334" s="37">
        <v>-2.8479559026180667</v>
      </c>
      <c r="L334" s="1" t="s">
        <v>23</v>
      </c>
      <c r="M334" s="1">
        <v>2</v>
      </c>
    </row>
    <row r="335" spans="1:13" x14ac:dyDescent="0.3">
      <c r="A335">
        <v>8</v>
      </c>
      <c r="B335">
        <v>1</v>
      </c>
      <c r="C335" t="s">
        <v>78</v>
      </c>
      <c r="D335" s="1" t="s">
        <v>1</v>
      </c>
      <c r="E335" s="59" t="s">
        <v>12</v>
      </c>
      <c r="F335" s="60">
        <v>4.7513333333333296</v>
      </c>
      <c r="G335" s="60">
        <v>1.0225077172060999</v>
      </c>
      <c r="H335" s="61">
        <v>5.0601052631578902</v>
      </c>
      <c r="I335" s="62">
        <v>4.95</v>
      </c>
      <c r="J335" s="37">
        <v>-0.11010526315789004</v>
      </c>
      <c r="K335" s="37">
        <v>-2.1759480768029715</v>
      </c>
      <c r="L335" s="1" t="s">
        <v>68</v>
      </c>
      <c r="M335" s="1">
        <v>2</v>
      </c>
    </row>
    <row r="336" spans="1:13" x14ac:dyDescent="0.3">
      <c r="A336">
        <v>8</v>
      </c>
      <c r="B336">
        <v>1</v>
      </c>
      <c r="C336" t="s">
        <v>78</v>
      </c>
      <c r="D336" s="1" t="s">
        <v>1</v>
      </c>
      <c r="E336" s="59" t="s">
        <v>13</v>
      </c>
      <c r="F336" s="60">
        <v>5.2291262135922301</v>
      </c>
      <c r="G336" s="60">
        <v>1.0231932755915401</v>
      </c>
      <c r="H336" s="61">
        <v>5.5002105263157803</v>
      </c>
      <c r="I336" s="62">
        <v>5.51</v>
      </c>
      <c r="J336" s="37">
        <v>9.7894736842194519E-3</v>
      </c>
      <c r="K336" s="37">
        <v>0.17798361785211081</v>
      </c>
      <c r="L336" s="1" t="s">
        <v>68</v>
      </c>
      <c r="M336" s="1">
        <v>2</v>
      </c>
    </row>
    <row r="337" spans="1:13" x14ac:dyDescent="0.3">
      <c r="A337">
        <v>8</v>
      </c>
      <c r="B337">
        <v>1</v>
      </c>
      <c r="C337" t="s">
        <v>78</v>
      </c>
      <c r="D337" s="1" t="s">
        <v>1</v>
      </c>
      <c r="E337" s="59" t="s">
        <v>14</v>
      </c>
      <c r="F337" s="60">
        <v>1.3313333333333299</v>
      </c>
      <c r="G337" s="60">
        <v>0.17860873261148</v>
      </c>
      <c r="H337" s="61">
        <v>1.3639603960396001</v>
      </c>
      <c r="I337" s="62">
        <v>1.27</v>
      </c>
      <c r="J337" s="37">
        <v>-9.3960396039600047E-2</v>
      </c>
      <c r="K337" s="37">
        <v>-6.8887921022064686</v>
      </c>
      <c r="L337" s="1" t="s">
        <v>68</v>
      </c>
      <c r="M337" s="1">
        <v>2</v>
      </c>
    </row>
    <row r="338" spans="1:13" x14ac:dyDescent="0.3">
      <c r="A338">
        <v>8</v>
      </c>
      <c r="B338">
        <v>1</v>
      </c>
      <c r="C338" t="s">
        <v>78</v>
      </c>
      <c r="D338" s="1" t="s">
        <v>1</v>
      </c>
      <c r="E338" s="59" t="s">
        <v>15</v>
      </c>
      <c r="F338" s="60">
        <v>3.2196039603960398</v>
      </c>
      <c r="G338" s="60">
        <v>0.52171636160322998</v>
      </c>
      <c r="H338" s="61">
        <v>3.3652173913043502</v>
      </c>
      <c r="I338" s="62">
        <v>3.39</v>
      </c>
      <c r="J338" s="37">
        <v>2.4782608695649966E-2</v>
      </c>
      <c r="K338" s="37">
        <v>0.7364341085270657</v>
      </c>
      <c r="L338" s="1" t="s">
        <v>68</v>
      </c>
      <c r="M338" s="1">
        <v>2</v>
      </c>
    </row>
    <row r="339" spans="1:13" x14ac:dyDescent="0.3">
      <c r="A339">
        <v>8</v>
      </c>
      <c r="B339">
        <v>1</v>
      </c>
      <c r="C339" t="s">
        <v>78</v>
      </c>
      <c r="D339" s="1" t="s">
        <v>1</v>
      </c>
      <c r="E339" s="59" t="s">
        <v>16</v>
      </c>
      <c r="F339" s="60">
        <v>4.4234177215189803</v>
      </c>
      <c r="G339" s="60">
        <v>0.54049879934280198</v>
      </c>
      <c r="H339" s="61">
        <v>4.5382666666666598</v>
      </c>
      <c r="I339" s="62">
        <v>4.53</v>
      </c>
      <c r="J339" s="37">
        <v>-8.266666666659539E-3</v>
      </c>
      <c r="K339" s="37">
        <v>-0.18215471398756247</v>
      </c>
      <c r="L339" s="1" t="s">
        <v>68</v>
      </c>
      <c r="M339" s="1">
        <v>2</v>
      </c>
    </row>
    <row r="340" spans="1:13" x14ac:dyDescent="0.3">
      <c r="A340">
        <v>8</v>
      </c>
      <c r="B340">
        <v>1</v>
      </c>
      <c r="C340" t="s">
        <v>78</v>
      </c>
      <c r="D340" s="1" t="s">
        <v>1</v>
      </c>
      <c r="E340" s="59" t="s">
        <v>17</v>
      </c>
      <c r="F340" s="60">
        <v>1.06638095238095</v>
      </c>
      <c r="G340" s="60">
        <v>2.7399124404633601E-2</v>
      </c>
      <c r="H340" s="61">
        <v>1.0667948717948701</v>
      </c>
      <c r="I340" s="62">
        <v>1.21</v>
      </c>
      <c r="J340" s="37">
        <v>0.14320512820512987</v>
      </c>
      <c r="K340" s="37">
        <v>13.423867323639163</v>
      </c>
      <c r="L340" s="1" t="s">
        <v>68</v>
      </c>
      <c r="M340" s="1">
        <v>2</v>
      </c>
    </row>
    <row r="341" spans="1:13" x14ac:dyDescent="0.3">
      <c r="A341">
        <v>8</v>
      </c>
      <c r="B341">
        <v>1</v>
      </c>
      <c r="C341" t="s">
        <v>78</v>
      </c>
      <c r="D341" s="1" t="s">
        <v>1</v>
      </c>
      <c r="E341" s="59" t="s">
        <v>18</v>
      </c>
      <c r="F341" s="60">
        <v>3.87619047619047</v>
      </c>
      <c r="G341" s="60">
        <v>0.72564766598356201</v>
      </c>
      <c r="H341" s="61">
        <v>4.0685567010309196</v>
      </c>
      <c r="I341" s="62">
        <v>4.07</v>
      </c>
      <c r="J341" s="37">
        <v>1.4432989690806863E-3</v>
      </c>
      <c r="K341" s="37">
        <v>3.5474471050507245E-2</v>
      </c>
      <c r="L341" s="1" t="s">
        <v>68</v>
      </c>
      <c r="M341" s="1">
        <v>2</v>
      </c>
    </row>
    <row r="342" spans="1:13" x14ac:dyDescent="0.3">
      <c r="A342">
        <v>8</v>
      </c>
      <c r="B342">
        <v>1</v>
      </c>
      <c r="C342" t="s">
        <v>78</v>
      </c>
      <c r="D342" s="1" t="s">
        <v>1</v>
      </c>
      <c r="E342" s="59" t="s">
        <v>19</v>
      </c>
      <c r="F342" s="60">
        <v>2.7946835443037901</v>
      </c>
      <c r="G342" s="60">
        <v>0.47811559283185501</v>
      </c>
      <c r="H342" s="61">
        <v>2.9026666666666601</v>
      </c>
      <c r="I342" s="62">
        <v>2.74</v>
      </c>
      <c r="J342" s="37">
        <v>-0.16266666666665985</v>
      </c>
      <c r="K342" s="37">
        <v>-5.6040422599905906</v>
      </c>
      <c r="L342" s="1" t="s">
        <v>68</v>
      </c>
      <c r="M342" s="1">
        <v>2</v>
      </c>
    </row>
    <row r="343" spans="1:13" x14ac:dyDescent="0.3">
      <c r="A343">
        <v>8</v>
      </c>
      <c r="B343">
        <v>1</v>
      </c>
      <c r="C343" t="s">
        <v>78</v>
      </c>
      <c r="D343" s="1" t="s">
        <v>1</v>
      </c>
      <c r="E343" s="59" t="s">
        <v>12</v>
      </c>
      <c r="F343" s="60">
        <v>4.7513333333333296</v>
      </c>
      <c r="G343" s="60">
        <v>1.0225077172060999</v>
      </c>
      <c r="H343" s="61">
        <v>5.0601052631578902</v>
      </c>
      <c r="I343" s="62">
        <v>4.93</v>
      </c>
      <c r="J343" s="37">
        <v>-0.1301052631578905</v>
      </c>
      <c r="K343" s="37">
        <v>-2.5711967714421604</v>
      </c>
      <c r="L343" s="1" t="s">
        <v>69</v>
      </c>
      <c r="M343" s="1">
        <v>2</v>
      </c>
    </row>
    <row r="344" spans="1:13" x14ac:dyDescent="0.3">
      <c r="A344">
        <v>8</v>
      </c>
      <c r="B344">
        <v>1</v>
      </c>
      <c r="C344" t="s">
        <v>78</v>
      </c>
      <c r="D344" s="1" t="s">
        <v>1</v>
      </c>
      <c r="E344" s="59" t="s">
        <v>13</v>
      </c>
      <c r="F344" s="60">
        <v>5.2291262135922301</v>
      </c>
      <c r="G344" s="60">
        <v>1.0231932755915401</v>
      </c>
      <c r="H344" s="61">
        <v>5.5002105263157803</v>
      </c>
      <c r="I344" s="62">
        <v>5.56</v>
      </c>
      <c r="J344" s="37">
        <v>5.9789473684219274E-2</v>
      </c>
      <c r="K344" s="37">
        <v>1.0870397305367909</v>
      </c>
      <c r="L344" s="1" t="s">
        <v>69</v>
      </c>
      <c r="M344" s="1">
        <v>2</v>
      </c>
    </row>
    <row r="345" spans="1:13" x14ac:dyDescent="0.3">
      <c r="A345">
        <v>8</v>
      </c>
      <c r="B345">
        <v>1</v>
      </c>
      <c r="C345" t="s">
        <v>78</v>
      </c>
      <c r="D345" s="1" t="s">
        <v>1</v>
      </c>
      <c r="E345" s="59" t="s">
        <v>14</v>
      </c>
      <c r="F345" s="60">
        <v>1.3313333333333299</v>
      </c>
      <c r="G345" s="60">
        <v>0.17860873261148</v>
      </c>
      <c r="H345" s="61">
        <v>1.3639603960396001</v>
      </c>
      <c r="I345" s="62">
        <v>1.32</v>
      </c>
      <c r="J345" s="37">
        <v>-4.3960396039600003E-2</v>
      </c>
      <c r="K345" s="37">
        <v>-3.2229965156791613</v>
      </c>
      <c r="L345" s="1" t="s">
        <v>69</v>
      </c>
      <c r="M345" s="1">
        <v>2</v>
      </c>
    </row>
    <row r="346" spans="1:13" x14ac:dyDescent="0.3">
      <c r="A346">
        <v>8</v>
      </c>
      <c r="B346">
        <v>1</v>
      </c>
      <c r="C346" t="s">
        <v>78</v>
      </c>
      <c r="D346" s="1" t="s">
        <v>1</v>
      </c>
      <c r="E346" s="59" t="s">
        <v>15</v>
      </c>
      <c r="F346" s="60">
        <v>3.2196039603960398</v>
      </c>
      <c r="G346" s="60">
        <v>0.52171636160322998</v>
      </c>
      <c r="H346" s="61">
        <v>3.3652173913043502</v>
      </c>
      <c r="I346" s="62">
        <v>3.44</v>
      </c>
      <c r="J346" s="37">
        <v>7.4782608695649788E-2</v>
      </c>
      <c r="K346" s="37">
        <v>2.2222222222221499</v>
      </c>
      <c r="L346" s="1" t="s">
        <v>69</v>
      </c>
      <c r="M346" s="1">
        <v>2</v>
      </c>
    </row>
    <row r="347" spans="1:13" x14ac:dyDescent="0.3">
      <c r="A347">
        <v>8</v>
      </c>
      <c r="B347">
        <v>1</v>
      </c>
      <c r="C347" t="s">
        <v>78</v>
      </c>
      <c r="D347" s="1" t="s">
        <v>1</v>
      </c>
      <c r="E347" s="59" t="s">
        <v>16</v>
      </c>
      <c r="F347" s="60">
        <v>4.4234177215189803</v>
      </c>
      <c r="G347" s="60">
        <v>0.54049879934280198</v>
      </c>
      <c r="H347" s="61">
        <v>4.5382666666666598</v>
      </c>
      <c r="I347" s="62">
        <v>4.59</v>
      </c>
      <c r="J347" s="37">
        <v>5.173333333334007E-2</v>
      </c>
      <c r="K347" s="37">
        <v>1.1399359520523287</v>
      </c>
      <c r="L347" s="1" t="s">
        <v>69</v>
      </c>
      <c r="M347" s="1">
        <v>2</v>
      </c>
    </row>
    <row r="348" spans="1:13" x14ac:dyDescent="0.3">
      <c r="A348">
        <v>8</v>
      </c>
      <c r="B348">
        <v>1</v>
      </c>
      <c r="C348" t="s">
        <v>78</v>
      </c>
      <c r="D348" s="1" t="s">
        <v>1</v>
      </c>
      <c r="E348" s="59" t="s">
        <v>17</v>
      </c>
      <c r="F348" s="60">
        <v>1.06638095238095</v>
      </c>
      <c r="G348" s="60">
        <v>2.7399124404633601E-2</v>
      </c>
      <c r="H348" s="61">
        <v>1.0667948717948701</v>
      </c>
      <c r="I348" s="62">
        <v>1.25</v>
      </c>
      <c r="J348" s="37">
        <v>0.18320512820512991</v>
      </c>
      <c r="K348" s="37">
        <v>17.173416656652034</v>
      </c>
      <c r="L348" s="1" t="s">
        <v>69</v>
      </c>
      <c r="M348" s="1">
        <v>2</v>
      </c>
    </row>
    <row r="349" spans="1:13" x14ac:dyDescent="0.3">
      <c r="A349">
        <v>8</v>
      </c>
      <c r="B349">
        <v>1</v>
      </c>
      <c r="C349" t="s">
        <v>78</v>
      </c>
      <c r="D349" s="1" t="s">
        <v>1</v>
      </c>
      <c r="E349" s="59" t="s">
        <v>18</v>
      </c>
      <c r="F349" s="60">
        <v>3.87619047619047</v>
      </c>
      <c r="G349" s="60">
        <v>0.72564766598356201</v>
      </c>
      <c r="H349" s="61">
        <v>4.0685567010309196</v>
      </c>
      <c r="I349" s="62">
        <v>4.05</v>
      </c>
      <c r="J349" s="37">
        <v>-1.8556701030919776E-2</v>
      </c>
      <c r="K349" s="37">
        <v>-0.4561003420750594</v>
      </c>
      <c r="L349" s="1" t="s">
        <v>69</v>
      </c>
      <c r="M349" s="1">
        <v>2</v>
      </c>
    </row>
    <row r="350" spans="1:13" x14ac:dyDescent="0.3">
      <c r="A350">
        <v>8</v>
      </c>
      <c r="B350">
        <v>1</v>
      </c>
      <c r="C350" t="s">
        <v>78</v>
      </c>
      <c r="D350" s="1" t="s">
        <v>1</v>
      </c>
      <c r="E350" s="59" t="s">
        <v>19</v>
      </c>
      <c r="F350" s="60">
        <v>2.7946835443037901</v>
      </c>
      <c r="G350" s="60">
        <v>0.47811559283185501</v>
      </c>
      <c r="H350" s="61">
        <v>2.9026666666666601</v>
      </c>
      <c r="I350" s="62">
        <v>2.72</v>
      </c>
      <c r="J350" s="37">
        <v>-0.18266666666665987</v>
      </c>
      <c r="K350" s="37">
        <v>-6.2930638493337261</v>
      </c>
      <c r="L350" s="1" t="s">
        <v>69</v>
      </c>
      <c r="M350" s="1">
        <v>2</v>
      </c>
    </row>
    <row r="352" spans="1:13" x14ac:dyDescent="0.3">
      <c r="A352">
        <v>8</v>
      </c>
      <c r="B352">
        <v>1</v>
      </c>
      <c r="C352" t="s">
        <v>78</v>
      </c>
      <c r="D352" s="1" t="s">
        <v>1</v>
      </c>
      <c r="E352" s="59" t="s">
        <v>12</v>
      </c>
      <c r="F352" s="60">
        <v>4.8828440366972403</v>
      </c>
      <c r="G352" s="60">
        <v>0.79490359665120702</v>
      </c>
      <c r="H352" s="61">
        <v>5.0685436893203804</v>
      </c>
      <c r="I352" s="63">
        <v>5.07</v>
      </c>
      <c r="J352" s="58">
        <v>1.4563106796199321E-3</v>
      </c>
      <c r="K352" s="58">
        <v>2.8732329617448808E-2</v>
      </c>
      <c r="L352" s="1" t="s">
        <v>23</v>
      </c>
      <c r="M352" s="1">
        <v>3</v>
      </c>
    </row>
    <row r="353" spans="1:13" x14ac:dyDescent="0.3">
      <c r="A353">
        <v>8</v>
      </c>
      <c r="B353">
        <v>1</v>
      </c>
      <c r="C353" t="s">
        <v>78</v>
      </c>
      <c r="D353" s="1" t="s">
        <v>1</v>
      </c>
      <c r="E353" s="59" t="s">
        <v>13</v>
      </c>
      <c r="F353" s="60">
        <v>5.3088073394495403</v>
      </c>
      <c r="G353" s="60">
        <v>0.87251689583876302</v>
      </c>
      <c r="H353" s="61">
        <v>5.4906730769230698</v>
      </c>
      <c r="I353" s="63">
        <v>5.65</v>
      </c>
      <c r="J353" s="58">
        <v>0.15932692307693053</v>
      </c>
      <c r="K353" s="58">
        <v>2.9017739873563206</v>
      </c>
      <c r="L353" s="1" t="s">
        <v>23</v>
      </c>
      <c r="M353" s="1">
        <v>3</v>
      </c>
    </row>
    <row r="354" spans="1:13" x14ac:dyDescent="0.3">
      <c r="A354">
        <v>8</v>
      </c>
      <c r="B354">
        <v>1</v>
      </c>
      <c r="C354" t="s">
        <v>78</v>
      </c>
      <c r="D354" s="1" t="s">
        <v>1</v>
      </c>
      <c r="E354" s="59" t="s">
        <v>14</v>
      </c>
      <c r="F354" s="60">
        <v>1.36871559633027</v>
      </c>
      <c r="G354" s="60">
        <v>2.5272856579545099E-2</v>
      </c>
      <c r="H354" s="61">
        <v>1.3671621621621599</v>
      </c>
      <c r="I354" s="63">
        <v>1.37</v>
      </c>
      <c r="J354" s="58">
        <v>2.8378378378401958E-3</v>
      </c>
      <c r="K354" s="58">
        <v>0.20757141445109703</v>
      </c>
      <c r="L354" s="1" t="s">
        <v>23</v>
      </c>
      <c r="M354" s="1">
        <v>3</v>
      </c>
    </row>
    <row r="355" spans="1:13" x14ac:dyDescent="0.3">
      <c r="A355">
        <v>8</v>
      </c>
      <c r="B355">
        <v>1</v>
      </c>
      <c r="C355" t="s">
        <v>78</v>
      </c>
      <c r="D355" s="1" t="s">
        <v>1</v>
      </c>
      <c r="E355" s="59" t="s">
        <v>15</v>
      </c>
      <c r="F355" s="60">
        <v>3.2097247706421999</v>
      </c>
      <c r="G355" s="60">
        <v>0.56979387664617698</v>
      </c>
      <c r="H355" s="61">
        <v>3.3687</v>
      </c>
      <c r="I355" s="63">
        <v>3.57</v>
      </c>
      <c r="J355" s="58">
        <v>0.20129999999999981</v>
      </c>
      <c r="K355" s="58">
        <v>5.975598895716443</v>
      </c>
      <c r="L355" s="1" t="s">
        <v>23</v>
      </c>
      <c r="M355" s="1">
        <v>3</v>
      </c>
    </row>
    <row r="356" spans="1:13" x14ac:dyDescent="0.3">
      <c r="A356">
        <v>8</v>
      </c>
      <c r="B356">
        <v>1</v>
      </c>
      <c r="C356" t="s">
        <v>78</v>
      </c>
      <c r="D356" s="1" t="s">
        <v>1</v>
      </c>
      <c r="E356" s="59" t="s">
        <v>16</v>
      </c>
      <c r="F356" s="60">
        <v>4.3034999999999997</v>
      </c>
      <c r="G356" s="60">
        <v>0.76914904277389495</v>
      </c>
      <c r="H356" s="61">
        <v>4.5316438356164301</v>
      </c>
      <c r="I356" s="63">
        <v>4.6500000000000004</v>
      </c>
      <c r="J356" s="58">
        <v>0.11835616438357022</v>
      </c>
      <c r="K356" s="58">
        <v>2.6117711072823195</v>
      </c>
      <c r="L356" s="1" t="s">
        <v>23</v>
      </c>
      <c r="M356" s="1">
        <v>3</v>
      </c>
    </row>
    <row r="357" spans="1:13" x14ac:dyDescent="0.3">
      <c r="A357">
        <v>8</v>
      </c>
      <c r="B357">
        <v>1</v>
      </c>
      <c r="C357" t="s">
        <v>78</v>
      </c>
      <c r="D357" s="1" t="s">
        <v>1</v>
      </c>
      <c r="E357" s="59" t="s">
        <v>17</v>
      </c>
      <c r="F357" s="60">
        <v>1.0419266055045799</v>
      </c>
      <c r="G357" s="60">
        <v>0.132329010766015</v>
      </c>
      <c r="H357" s="61">
        <v>1.06330188679245</v>
      </c>
      <c r="I357" s="63">
        <v>1.3</v>
      </c>
      <c r="J357" s="58">
        <v>0.23669811320755008</v>
      </c>
      <c r="K357" s="58">
        <v>22.260668973472075</v>
      </c>
      <c r="L357" s="1" t="s">
        <v>23</v>
      </c>
      <c r="M357" s="1">
        <v>3</v>
      </c>
    </row>
    <row r="358" spans="1:13" x14ac:dyDescent="0.3">
      <c r="A358">
        <v>8</v>
      </c>
      <c r="B358">
        <v>1</v>
      </c>
      <c r="C358" t="s">
        <v>78</v>
      </c>
      <c r="D358" s="1" t="s">
        <v>1</v>
      </c>
      <c r="E358" s="59" t="s">
        <v>18</v>
      </c>
      <c r="F358" s="60">
        <v>3.8604587155963199</v>
      </c>
      <c r="G358" s="60">
        <v>0.751299040526205</v>
      </c>
      <c r="H358" s="61">
        <v>4.0722999999999896</v>
      </c>
      <c r="I358" s="63">
        <v>4.17</v>
      </c>
      <c r="J358" s="58">
        <v>9.7700000000010334E-2</v>
      </c>
      <c r="K358" s="58">
        <v>2.399135623603629</v>
      </c>
      <c r="L358" s="1" t="s">
        <v>23</v>
      </c>
      <c r="M358" s="1">
        <v>3</v>
      </c>
    </row>
    <row r="359" spans="1:13" x14ac:dyDescent="0.3">
      <c r="A359">
        <v>8</v>
      </c>
      <c r="B359">
        <v>1</v>
      </c>
      <c r="C359" t="s">
        <v>78</v>
      </c>
      <c r="D359" s="1" t="s">
        <v>1</v>
      </c>
      <c r="E359" s="59" t="s">
        <v>19</v>
      </c>
      <c r="F359" s="60">
        <v>2.85942528735632</v>
      </c>
      <c r="G359" s="60">
        <v>0.32494864783279997</v>
      </c>
      <c r="H359" s="61">
        <v>2.9079999999999999</v>
      </c>
      <c r="I359" s="63">
        <v>2.82</v>
      </c>
      <c r="J359" s="58">
        <v>-8.8000000000000078E-2</v>
      </c>
      <c r="K359" s="58">
        <v>-3.0261348005502091</v>
      </c>
      <c r="L359" s="1" t="s">
        <v>23</v>
      </c>
      <c r="M359" s="1">
        <v>3</v>
      </c>
    </row>
    <row r="360" spans="1:13" x14ac:dyDescent="0.3">
      <c r="A360">
        <v>8</v>
      </c>
      <c r="B360">
        <v>1</v>
      </c>
      <c r="C360" t="s">
        <v>78</v>
      </c>
      <c r="D360" s="1" t="s">
        <v>1</v>
      </c>
      <c r="E360" s="59" t="s">
        <v>12</v>
      </c>
      <c r="F360" s="60">
        <v>4.8828440366972403</v>
      </c>
      <c r="G360" s="60">
        <v>0.79490359665120702</v>
      </c>
      <c r="H360" s="61">
        <v>5.0685436893203804</v>
      </c>
      <c r="I360" s="63">
        <v>4.95</v>
      </c>
      <c r="J360" s="58">
        <v>-0.11854368932038017</v>
      </c>
      <c r="K360" s="58">
        <v>-2.3388116308468718</v>
      </c>
      <c r="L360" s="1" t="s">
        <v>68</v>
      </c>
      <c r="M360" s="1">
        <v>3</v>
      </c>
    </row>
    <row r="361" spans="1:13" x14ac:dyDescent="0.3">
      <c r="A361">
        <v>8</v>
      </c>
      <c r="B361">
        <v>1</v>
      </c>
      <c r="C361" t="s">
        <v>78</v>
      </c>
      <c r="D361" s="1" t="s">
        <v>1</v>
      </c>
      <c r="E361" s="59" t="s">
        <v>13</v>
      </c>
      <c r="F361" s="60">
        <v>5.3088073394495403</v>
      </c>
      <c r="G361" s="60">
        <v>0.87251689583876302</v>
      </c>
      <c r="H361" s="61">
        <v>5.4906730769230698</v>
      </c>
      <c r="I361" s="63">
        <v>5.51</v>
      </c>
      <c r="J361" s="58">
        <v>1.9326923076929958E-2</v>
      </c>
      <c r="K361" s="58">
        <v>0.35199551687314473</v>
      </c>
      <c r="L361" s="1" t="s">
        <v>68</v>
      </c>
      <c r="M361" s="1">
        <v>3</v>
      </c>
    </row>
    <row r="362" spans="1:13" x14ac:dyDescent="0.3">
      <c r="A362">
        <v>8</v>
      </c>
      <c r="B362">
        <v>1</v>
      </c>
      <c r="C362" t="s">
        <v>78</v>
      </c>
      <c r="D362" s="1" t="s">
        <v>1</v>
      </c>
      <c r="E362" s="59" t="s">
        <v>14</v>
      </c>
      <c r="F362" s="60">
        <v>1.36871559633027</v>
      </c>
      <c r="G362" s="60">
        <v>2.5272856579545099E-2</v>
      </c>
      <c r="H362" s="61">
        <v>1.3671621621621599</v>
      </c>
      <c r="I362" s="63">
        <v>1.27</v>
      </c>
      <c r="J362" s="58">
        <v>-9.7162162162159893E-2</v>
      </c>
      <c r="K362" s="58">
        <v>-7.1068498566767264</v>
      </c>
      <c r="L362" s="1" t="s">
        <v>68</v>
      </c>
      <c r="M362" s="1">
        <v>3</v>
      </c>
    </row>
    <row r="363" spans="1:13" x14ac:dyDescent="0.3">
      <c r="A363">
        <v>8</v>
      </c>
      <c r="B363">
        <v>1</v>
      </c>
      <c r="C363" t="s">
        <v>78</v>
      </c>
      <c r="D363" s="1" t="s">
        <v>1</v>
      </c>
      <c r="E363" s="59" t="s">
        <v>15</v>
      </c>
      <c r="F363" s="60">
        <v>3.2097247706421999</v>
      </c>
      <c r="G363" s="60">
        <v>0.56979387664617698</v>
      </c>
      <c r="H363" s="61">
        <v>3.3687</v>
      </c>
      <c r="I363" s="63">
        <v>3.39</v>
      </c>
      <c r="J363" s="58">
        <v>2.1300000000000097E-2</v>
      </c>
      <c r="K363" s="58">
        <v>0.63229138836940346</v>
      </c>
      <c r="L363" s="1" t="s">
        <v>68</v>
      </c>
      <c r="M363" s="1">
        <v>3</v>
      </c>
    </row>
    <row r="364" spans="1:13" x14ac:dyDescent="0.3">
      <c r="A364">
        <v>8</v>
      </c>
      <c r="B364">
        <v>1</v>
      </c>
      <c r="C364" t="s">
        <v>78</v>
      </c>
      <c r="D364" s="1" t="s">
        <v>1</v>
      </c>
      <c r="E364" s="59" t="s">
        <v>16</v>
      </c>
      <c r="F364" s="60">
        <v>4.3034999999999997</v>
      </c>
      <c r="G364" s="60">
        <v>0.76914904277389495</v>
      </c>
      <c r="H364" s="61">
        <v>4.5316438356164301</v>
      </c>
      <c r="I364" s="63">
        <v>4.53</v>
      </c>
      <c r="J364" s="58">
        <v>-1.6438356164298895E-3</v>
      </c>
      <c r="K364" s="58">
        <v>-3.6274598712064982E-2</v>
      </c>
      <c r="L364" s="1" t="s">
        <v>68</v>
      </c>
      <c r="M364" s="1">
        <v>3</v>
      </c>
    </row>
    <row r="365" spans="1:13" x14ac:dyDescent="0.3">
      <c r="A365">
        <v>8</v>
      </c>
      <c r="B365">
        <v>1</v>
      </c>
      <c r="C365" t="s">
        <v>78</v>
      </c>
      <c r="D365" s="1" t="s">
        <v>1</v>
      </c>
      <c r="E365" s="59" t="s">
        <v>17</v>
      </c>
      <c r="F365" s="60">
        <v>1.0419266055045799</v>
      </c>
      <c r="G365" s="60">
        <v>0.132329010766015</v>
      </c>
      <c r="H365" s="61">
        <v>1.06330188679245</v>
      </c>
      <c r="I365" s="63">
        <v>1.21</v>
      </c>
      <c r="J365" s="58">
        <v>0.14669811320755</v>
      </c>
      <c r="K365" s="58">
        <v>13.796468813770154</v>
      </c>
      <c r="L365" s="1" t="s">
        <v>68</v>
      </c>
      <c r="M365" s="1">
        <v>3</v>
      </c>
    </row>
    <row r="366" spans="1:13" x14ac:dyDescent="0.3">
      <c r="A366">
        <v>8</v>
      </c>
      <c r="B366">
        <v>1</v>
      </c>
      <c r="C366" t="s">
        <v>78</v>
      </c>
      <c r="D366" s="1" t="s">
        <v>1</v>
      </c>
      <c r="E366" s="59" t="s">
        <v>18</v>
      </c>
      <c r="F366" s="60">
        <v>3.8604587155963199</v>
      </c>
      <c r="G366" s="60">
        <v>0.751299040526205</v>
      </c>
      <c r="H366" s="61">
        <v>4.0722999999999896</v>
      </c>
      <c r="I366" s="63">
        <v>4.07</v>
      </c>
      <c r="J366" s="58">
        <v>-2.2999999999893106E-3</v>
      </c>
      <c r="K366" s="58">
        <v>-5.6479139552324649E-2</v>
      </c>
      <c r="L366" s="1" t="s">
        <v>68</v>
      </c>
      <c r="M366" s="1">
        <v>3</v>
      </c>
    </row>
    <row r="367" spans="1:13" x14ac:dyDescent="0.3">
      <c r="A367">
        <v>8</v>
      </c>
      <c r="B367">
        <v>1</v>
      </c>
      <c r="C367" t="s">
        <v>78</v>
      </c>
      <c r="D367" s="1" t="s">
        <v>1</v>
      </c>
      <c r="E367" s="59" t="s">
        <v>19</v>
      </c>
      <c r="F367" s="60">
        <v>2.85942528735632</v>
      </c>
      <c r="G367" s="60">
        <v>0.32494864783279997</v>
      </c>
      <c r="H367" s="61">
        <v>2.9079999999999999</v>
      </c>
      <c r="I367" s="63">
        <v>2.74</v>
      </c>
      <c r="J367" s="58">
        <v>-0.16799999999999971</v>
      </c>
      <c r="K367" s="58">
        <v>-5.7771664374140208</v>
      </c>
      <c r="L367" s="1" t="s">
        <v>68</v>
      </c>
      <c r="M367" s="1">
        <v>3</v>
      </c>
    </row>
    <row r="368" spans="1:13" x14ac:dyDescent="0.3">
      <c r="A368">
        <v>8</v>
      </c>
      <c r="B368">
        <v>1</v>
      </c>
      <c r="C368" t="s">
        <v>78</v>
      </c>
      <c r="D368" s="1" t="s">
        <v>1</v>
      </c>
      <c r="E368" s="59" t="s">
        <v>12</v>
      </c>
      <c r="F368" s="60">
        <v>4.8828440366972403</v>
      </c>
      <c r="G368" s="60">
        <v>0.79490359665120702</v>
      </c>
      <c r="H368" s="61">
        <v>5.0685436893203804</v>
      </c>
      <c r="I368" s="63">
        <v>4.93</v>
      </c>
      <c r="J368" s="58">
        <v>-0.13854368932038064</v>
      </c>
      <c r="K368" s="58">
        <v>-2.7334022909242672</v>
      </c>
      <c r="L368" s="1" t="s">
        <v>69</v>
      </c>
      <c r="M368" s="1">
        <v>3</v>
      </c>
    </row>
    <row r="369" spans="1:13" x14ac:dyDescent="0.3">
      <c r="A369">
        <v>8</v>
      </c>
      <c r="B369">
        <v>1</v>
      </c>
      <c r="C369" t="s">
        <v>78</v>
      </c>
      <c r="D369" s="1" t="s">
        <v>1</v>
      </c>
      <c r="E369" s="59" t="s">
        <v>13</v>
      </c>
      <c r="F369" s="60">
        <v>5.3088073394495403</v>
      </c>
      <c r="G369" s="60">
        <v>0.87251689583876302</v>
      </c>
      <c r="H369" s="61">
        <v>5.4906730769230698</v>
      </c>
      <c r="I369" s="63">
        <v>5.56</v>
      </c>
      <c r="J369" s="58">
        <v>6.9326923076929781E-2</v>
      </c>
      <c r="K369" s="58">
        <v>1.2626306849028432</v>
      </c>
      <c r="L369" s="1" t="s">
        <v>69</v>
      </c>
      <c r="M369" s="1">
        <v>3</v>
      </c>
    </row>
    <row r="370" spans="1:13" x14ac:dyDescent="0.3">
      <c r="A370">
        <v>8</v>
      </c>
      <c r="B370">
        <v>1</v>
      </c>
      <c r="C370" t="s">
        <v>78</v>
      </c>
      <c r="D370" s="1" t="s">
        <v>1</v>
      </c>
      <c r="E370" s="59" t="s">
        <v>14</v>
      </c>
      <c r="F370" s="60">
        <v>1.36871559633027</v>
      </c>
      <c r="G370" s="60">
        <v>2.5272856579545099E-2</v>
      </c>
      <c r="H370" s="61">
        <v>1.3671621621621599</v>
      </c>
      <c r="I370" s="63">
        <v>1.32</v>
      </c>
      <c r="J370" s="58">
        <v>-4.7162162162159849E-2</v>
      </c>
      <c r="K370" s="58">
        <v>-3.4496392211128142</v>
      </c>
      <c r="L370" s="1" t="s">
        <v>69</v>
      </c>
      <c r="M370" s="1">
        <v>3</v>
      </c>
    </row>
    <row r="371" spans="1:13" x14ac:dyDescent="0.3">
      <c r="A371">
        <v>8</v>
      </c>
      <c r="B371">
        <v>1</v>
      </c>
      <c r="C371" t="s">
        <v>78</v>
      </c>
      <c r="D371" s="1" t="s">
        <v>1</v>
      </c>
      <c r="E371" s="59" t="s">
        <v>15</v>
      </c>
      <c r="F371" s="60">
        <v>3.2097247706421999</v>
      </c>
      <c r="G371" s="60">
        <v>0.56979387664617698</v>
      </c>
      <c r="H371" s="61">
        <v>3.3687</v>
      </c>
      <c r="I371" s="63">
        <v>3.44</v>
      </c>
      <c r="J371" s="58">
        <v>7.1299999999999919E-2</v>
      </c>
      <c r="K371" s="58">
        <v>2.1165434737435782</v>
      </c>
      <c r="L371" s="1" t="s">
        <v>69</v>
      </c>
      <c r="M371" s="1">
        <v>3</v>
      </c>
    </row>
    <row r="372" spans="1:13" x14ac:dyDescent="0.3">
      <c r="A372">
        <v>8</v>
      </c>
      <c r="B372">
        <v>1</v>
      </c>
      <c r="C372" t="s">
        <v>78</v>
      </c>
      <c r="D372" s="1" t="s">
        <v>1</v>
      </c>
      <c r="E372" s="59" t="s">
        <v>16</v>
      </c>
      <c r="F372" s="60">
        <v>4.3034999999999997</v>
      </c>
      <c r="G372" s="60">
        <v>0.76914904277389495</v>
      </c>
      <c r="H372" s="61">
        <v>4.5316438356164301</v>
      </c>
      <c r="I372" s="63">
        <v>4.59</v>
      </c>
      <c r="J372" s="58">
        <v>5.835616438356972E-2</v>
      </c>
      <c r="K372" s="58">
        <v>1.2877482542851175</v>
      </c>
      <c r="L372" s="1" t="s">
        <v>69</v>
      </c>
      <c r="M372" s="1">
        <v>3</v>
      </c>
    </row>
    <row r="373" spans="1:13" x14ac:dyDescent="0.3">
      <c r="A373">
        <v>8</v>
      </c>
      <c r="B373">
        <v>1</v>
      </c>
      <c r="C373" t="s">
        <v>78</v>
      </c>
      <c r="D373" s="1" t="s">
        <v>1</v>
      </c>
      <c r="E373" s="59" t="s">
        <v>17</v>
      </c>
      <c r="F373" s="60">
        <v>1.0419266055045799</v>
      </c>
      <c r="G373" s="60">
        <v>0.132329010766015</v>
      </c>
      <c r="H373" s="61">
        <v>1.06330188679245</v>
      </c>
      <c r="I373" s="63">
        <v>1.25</v>
      </c>
      <c r="J373" s="58">
        <v>0.18669811320755003</v>
      </c>
      <c r="K373" s="58">
        <v>17.558335551415453</v>
      </c>
      <c r="L373" s="1" t="s">
        <v>69</v>
      </c>
      <c r="M373" s="1">
        <v>3</v>
      </c>
    </row>
    <row r="374" spans="1:13" x14ac:dyDescent="0.3">
      <c r="A374">
        <v>8</v>
      </c>
      <c r="B374">
        <v>1</v>
      </c>
      <c r="C374" t="s">
        <v>78</v>
      </c>
      <c r="D374" s="1" t="s">
        <v>1</v>
      </c>
      <c r="E374" s="59" t="s">
        <v>18</v>
      </c>
      <c r="F374" s="60">
        <v>3.8604587155963199</v>
      </c>
      <c r="G374" s="60">
        <v>0.751299040526205</v>
      </c>
      <c r="H374" s="61">
        <v>4.0722999999999896</v>
      </c>
      <c r="I374" s="63">
        <v>4.05</v>
      </c>
      <c r="J374" s="58">
        <v>-2.2299999999989772E-2</v>
      </c>
      <c r="K374" s="58">
        <v>-0.5476020921835284</v>
      </c>
      <c r="L374" s="1" t="s">
        <v>69</v>
      </c>
      <c r="M374" s="1">
        <v>3</v>
      </c>
    </row>
    <row r="375" spans="1:13" x14ac:dyDescent="0.3">
      <c r="A375">
        <v>8</v>
      </c>
      <c r="B375">
        <v>1</v>
      </c>
      <c r="C375" t="s">
        <v>78</v>
      </c>
      <c r="D375" s="1" t="s">
        <v>1</v>
      </c>
      <c r="E375" s="59" t="s">
        <v>19</v>
      </c>
      <c r="F375" s="60">
        <v>2.85942528735632</v>
      </c>
      <c r="G375" s="60">
        <v>0.32494864783279997</v>
      </c>
      <c r="H375" s="61">
        <v>2.9079999999999999</v>
      </c>
      <c r="I375" s="63">
        <v>2.72</v>
      </c>
      <c r="J375" s="58">
        <v>-0.18799999999999972</v>
      </c>
      <c r="K375" s="58">
        <v>-6.4649243466299771</v>
      </c>
      <c r="L375" s="1" t="s">
        <v>69</v>
      </c>
      <c r="M375" s="1">
        <v>3</v>
      </c>
    </row>
    <row r="377" spans="1:13" x14ac:dyDescent="0.3">
      <c r="A377">
        <v>10</v>
      </c>
      <c r="B377">
        <v>1</v>
      </c>
      <c r="C377" t="s">
        <v>78</v>
      </c>
      <c r="D377" s="1" t="s">
        <v>1</v>
      </c>
      <c r="E377" s="59" t="s">
        <v>12</v>
      </c>
      <c r="F377" s="60"/>
      <c r="G377" s="60"/>
      <c r="H377" s="61"/>
      <c r="I377" s="62"/>
      <c r="J377" s="37"/>
      <c r="K377" s="37"/>
      <c r="L377" s="1" t="s">
        <v>23</v>
      </c>
      <c r="M377" s="1">
        <v>1</v>
      </c>
    </row>
    <row r="378" spans="1:13" x14ac:dyDescent="0.3">
      <c r="A378">
        <v>10</v>
      </c>
      <c r="B378">
        <v>1</v>
      </c>
      <c r="C378" t="s">
        <v>78</v>
      </c>
      <c r="D378" s="1" t="s">
        <v>1</v>
      </c>
      <c r="E378" s="59" t="s">
        <v>13</v>
      </c>
      <c r="F378" s="60">
        <v>2.27470588235294</v>
      </c>
      <c r="G378" s="60">
        <v>0.22984950695563999</v>
      </c>
      <c r="H378" s="61">
        <v>2.3124242424242398</v>
      </c>
      <c r="I378" s="62">
        <v>2.5</v>
      </c>
      <c r="J378" s="37">
        <v>0.18757575757576017</v>
      </c>
      <c r="K378" s="37">
        <v>8.1116498492990345</v>
      </c>
      <c r="L378" s="1" t="s">
        <v>23</v>
      </c>
      <c r="M378" s="1">
        <v>1</v>
      </c>
    </row>
    <row r="379" spans="1:13" x14ac:dyDescent="0.3">
      <c r="A379">
        <v>10</v>
      </c>
      <c r="B379">
        <v>1</v>
      </c>
      <c r="C379" t="s">
        <v>78</v>
      </c>
      <c r="D379" s="1" t="s">
        <v>1</v>
      </c>
      <c r="E379" s="59" t="s">
        <v>14</v>
      </c>
      <c r="F379" s="60">
        <v>3.8360294117647</v>
      </c>
      <c r="G379" s="60">
        <v>0.54817381235034601</v>
      </c>
      <c r="H379" s="61">
        <v>3.9606249999999901</v>
      </c>
      <c r="I379" s="62">
        <v>4.05</v>
      </c>
      <c r="J379" s="37">
        <v>8.9375000000009752E-2</v>
      </c>
      <c r="K379" s="37">
        <v>2.2565882909896793</v>
      </c>
      <c r="L379" s="1" t="s">
        <v>23</v>
      </c>
      <c r="M379" s="1">
        <v>1</v>
      </c>
    </row>
    <row r="380" spans="1:13" x14ac:dyDescent="0.3">
      <c r="A380">
        <v>10</v>
      </c>
      <c r="B380">
        <v>1</v>
      </c>
      <c r="C380" t="s">
        <v>78</v>
      </c>
      <c r="D380" s="1" t="s">
        <v>1</v>
      </c>
      <c r="E380" s="59" t="s">
        <v>15</v>
      </c>
      <c r="F380" s="60">
        <v>3.5927941176470499</v>
      </c>
      <c r="G380" s="60">
        <v>0.57146829871479798</v>
      </c>
      <c r="H380" s="61">
        <v>3.7293749999999899</v>
      </c>
      <c r="I380" s="62">
        <v>3.84</v>
      </c>
      <c r="J380" s="37">
        <v>0.11062500000000997</v>
      </c>
      <c r="K380" s="37">
        <v>2.9663147310208888</v>
      </c>
      <c r="L380" s="1" t="s">
        <v>23</v>
      </c>
      <c r="M380" s="1">
        <v>1</v>
      </c>
    </row>
    <row r="381" spans="1:13" x14ac:dyDescent="0.3">
      <c r="A381">
        <v>10</v>
      </c>
      <c r="B381">
        <v>1</v>
      </c>
      <c r="C381" t="s">
        <v>78</v>
      </c>
      <c r="D381" s="1" t="s">
        <v>1</v>
      </c>
      <c r="E381" s="59" t="s">
        <v>16</v>
      </c>
      <c r="F381" s="60">
        <v>2.1010447761194002</v>
      </c>
      <c r="G381" s="60">
        <v>2.3634930408140398E-2</v>
      </c>
      <c r="H381" s="61">
        <v>2.10234042553191</v>
      </c>
      <c r="I381" s="62">
        <v>2.25</v>
      </c>
      <c r="J381" s="37">
        <v>0.14765957446808997</v>
      </c>
      <c r="K381" s="37">
        <v>7.0235806092503239</v>
      </c>
      <c r="L381" s="1" t="s">
        <v>23</v>
      </c>
      <c r="M381" s="1">
        <v>1</v>
      </c>
    </row>
    <row r="382" spans="1:13" x14ac:dyDescent="0.3">
      <c r="A382">
        <v>10</v>
      </c>
      <c r="B382">
        <v>1</v>
      </c>
      <c r="C382" t="s">
        <v>78</v>
      </c>
      <c r="D382" s="1" t="s">
        <v>1</v>
      </c>
      <c r="E382" s="59" t="s">
        <v>17</v>
      </c>
      <c r="F382" s="60">
        <v>4.1032812500000002</v>
      </c>
      <c r="G382" s="60">
        <v>0.622788724928797</v>
      </c>
      <c r="H382" s="61">
        <v>4.2122580645161198</v>
      </c>
      <c r="I382" s="62">
        <v>4.26</v>
      </c>
      <c r="J382" s="37">
        <v>4.7741935483879949E-2</v>
      </c>
      <c r="K382" s="37">
        <v>1.1334048093125149</v>
      </c>
      <c r="L382" s="1" t="s">
        <v>23</v>
      </c>
      <c r="M382" s="1">
        <v>1</v>
      </c>
    </row>
    <row r="383" spans="1:13" x14ac:dyDescent="0.3">
      <c r="A383">
        <v>10</v>
      </c>
      <c r="B383">
        <v>1</v>
      </c>
      <c r="C383" t="s">
        <v>78</v>
      </c>
      <c r="D383" s="1" t="s">
        <v>1</v>
      </c>
      <c r="E383" s="59" t="s">
        <v>18</v>
      </c>
      <c r="F383" s="60">
        <v>0.92764705882352805</v>
      </c>
      <c r="G383" s="60">
        <v>9.1877758414914898E-2</v>
      </c>
      <c r="H383" s="61">
        <v>0.93865671641791004</v>
      </c>
      <c r="I383" s="62">
        <v>1.27</v>
      </c>
      <c r="J383" s="37">
        <v>0.33134328358208998</v>
      </c>
      <c r="K383" s="37">
        <v>35.299729686754709</v>
      </c>
      <c r="L383" s="1" t="s">
        <v>23</v>
      </c>
      <c r="M383" s="1">
        <v>1</v>
      </c>
    </row>
    <row r="384" spans="1:13" x14ac:dyDescent="0.3">
      <c r="A384">
        <v>10</v>
      </c>
      <c r="B384">
        <v>1</v>
      </c>
      <c r="C384" t="s">
        <v>78</v>
      </c>
      <c r="D384" s="1" t="s">
        <v>1</v>
      </c>
      <c r="E384" s="59" t="s">
        <v>19</v>
      </c>
      <c r="F384" s="60">
        <v>1.34147058823529</v>
      </c>
      <c r="G384" s="60">
        <v>0.104138831344372</v>
      </c>
      <c r="H384" s="61">
        <v>1.3632307692307599</v>
      </c>
      <c r="I384" s="62">
        <v>1.64</v>
      </c>
      <c r="J384" s="37">
        <v>0.27676923076923998</v>
      </c>
      <c r="K384" s="37">
        <v>20.302448933529764</v>
      </c>
      <c r="L384" s="1" t="s">
        <v>23</v>
      </c>
      <c r="M384" s="1">
        <v>1</v>
      </c>
    </row>
    <row r="385" spans="1:13" x14ac:dyDescent="0.3">
      <c r="A385">
        <v>10</v>
      </c>
      <c r="B385">
        <v>1</v>
      </c>
      <c r="C385" t="s">
        <v>78</v>
      </c>
      <c r="D385" s="1" t="s">
        <v>1</v>
      </c>
      <c r="E385" s="59" t="s">
        <v>12</v>
      </c>
      <c r="F385" s="60"/>
      <c r="G385" s="60"/>
      <c r="H385" s="61"/>
      <c r="I385" s="62"/>
      <c r="J385" s="37"/>
      <c r="K385" s="37"/>
      <c r="L385" s="1" t="s">
        <v>68</v>
      </c>
      <c r="M385" s="1">
        <v>1</v>
      </c>
    </row>
    <row r="386" spans="1:13" x14ac:dyDescent="0.3">
      <c r="A386">
        <v>10</v>
      </c>
      <c r="B386">
        <v>1</v>
      </c>
      <c r="C386" t="s">
        <v>78</v>
      </c>
      <c r="D386" s="1" t="s">
        <v>1</v>
      </c>
      <c r="E386" s="59" t="s">
        <v>13</v>
      </c>
      <c r="F386" s="60">
        <v>2.27470588235294</v>
      </c>
      <c r="G386" s="60">
        <v>0.22984950695563999</v>
      </c>
      <c r="H386" s="61">
        <v>2.3124242424242398</v>
      </c>
      <c r="I386" s="62">
        <v>2.38</v>
      </c>
      <c r="J386" s="37">
        <v>6.7575757575760065E-2</v>
      </c>
      <c r="K386" s="37">
        <v>2.9222906565326756</v>
      </c>
      <c r="L386" s="1" t="s">
        <v>68</v>
      </c>
      <c r="M386" s="1">
        <v>1</v>
      </c>
    </row>
    <row r="387" spans="1:13" x14ac:dyDescent="0.3">
      <c r="A387">
        <v>10</v>
      </c>
      <c r="B387">
        <v>1</v>
      </c>
      <c r="C387" t="s">
        <v>78</v>
      </c>
      <c r="D387" s="1" t="s">
        <v>1</v>
      </c>
      <c r="E387" s="59" t="s">
        <v>14</v>
      </c>
      <c r="F387" s="60">
        <v>3.8360294117647</v>
      </c>
      <c r="G387" s="60">
        <v>0.54817381235034601</v>
      </c>
      <c r="H387" s="61">
        <v>3.9606249999999901</v>
      </c>
      <c r="I387" s="62">
        <v>3.96</v>
      </c>
      <c r="J387" s="37">
        <v>-6.2499999999010569E-4</v>
      </c>
      <c r="K387" s="37">
        <v>-1.5780337698976986E-2</v>
      </c>
      <c r="L387" s="1" t="s">
        <v>68</v>
      </c>
      <c r="M387" s="1">
        <v>1</v>
      </c>
    </row>
    <row r="388" spans="1:13" x14ac:dyDescent="0.3">
      <c r="A388">
        <v>10</v>
      </c>
      <c r="B388">
        <v>1</v>
      </c>
      <c r="C388" t="s">
        <v>78</v>
      </c>
      <c r="D388" s="1" t="s">
        <v>1</v>
      </c>
      <c r="E388" s="59" t="s">
        <v>15</v>
      </c>
      <c r="F388" s="60">
        <v>3.5927941176470499</v>
      </c>
      <c r="G388" s="60">
        <v>0.57146829871479798</v>
      </c>
      <c r="H388" s="61">
        <v>3.7293749999999899</v>
      </c>
      <c r="I388" s="62">
        <v>3.68</v>
      </c>
      <c r="J388" s="37">
        <v>-4.9374999999989733E-2</v>
      </c>
      <c r="K388" s="37">
        <v>-1.3239483827716403</v>
      </c>
      <c r="L388" s="1" t="s">
        <v>68</v>
      </c>
      <c r="M388" s="1">
        <v>1</v>
      </c>
    </row>
    <row r="389" spans="1:13" x14ac:dyDescent="0.3">
      <c r="A389">
        <v>10</v>
      </c>
      <c r="B389">
        <v>1</v>
      </c>
      <c r="C389" t="s">
        <v>78</v>
      </c>
      <c r="D389" s="1" t="s">
        <v>1</v>
      </c>
      <c r="E389" s="59" t="s">
        <v>16</v>
      </c>
      <c r="F389" s="60">
        <v>2.1010447761194002</v>
      </c>
      <c r="G389" s="60">
        <v>2.3634930408140398E-2</v>
      </c>
      <c r="H389" s="61">
        <v>2.10234042553191</v>
      </c>
      <c r="I389" s="62">
        <v>2.14</v>
      </c>
      <c r="J389" s="37">
        <v>3.7659574468090096E-2</v>
      </c>
      <c r="K389" s="37">
        <v>1.7913166683536468</v>
      </c>
      <c r="L389" s="1" t="s">
        <v>68</v>
      </c>
      <c r="M389" s="1">
        <v>1</v>
      </c>
    </row>
    <row r="390" spans="1:13" x14ac:dyDescent="0.3">
      <c r="A390">
        <v>10</v>
      </c>
      <c r="B390">
        <v>1</v>
      </c>
      <c r="C390" t="s">
        <v>78</v>
      </c>
      <c r="D390" s="1" t="s">
        <v>1</v>
      </c>
      <c r="E390" s="59" t="s">
        <v>17</v>
      </c>
      <c r="F390" s="60">
        <v>4.1032812500000002</v>
      </c>
      <c r="G390" s="60">
        <v>0.622788724928797</v>
      </c>
      <c r="H390" s="61">
        <v>4.2122580645161198</v>
      </c>
      <c r="I390" s="62">
        <v>4.1100000000000003</v>
      </c>
      <c r="J390" s="37">
        <v>-0.10225806451611952</v>
      </c>
      <c r="K390" s="37">
        <v>-2.4276305712970685</v>
      </c>
      <c r="L390" s="1" t="s">
        <v>68</v>
      </c>
      <c r="M390" s="1">
        <v>1</v>
      </c>
    </row>
    <row r="391" spans="1:13" x14ac:dyDescent="0.3">
      <c r="A391">
        <v>10</v>
      </c>
      <c r="B391">
        <v>1</v>
      </c>
      <c r="C391" t="s">
        <v>78</v>
      </c>
      <c r="D391" s="1" t="s">
        <v>1</v>
      </c>
      <c r="E391" s="59" t="s">
        <v>18</v>
      </c>
      <c r="F391" s="60">
        <v>0.92764705882352805</v>
      </c>
      <c r="G391" s="60">
        <v>9.1877758414914898E-2</v>
      </c>
      <c r="H391" s="61">
        <v>0.93865671641791004</v>
      </c>
      <c r="I391" s="62">
        <v>1.1399999999999999</v>
      </c>
      <c r="J391" s="37">
        <v>0.20134328358208986</v>
      </c>
      <c r="K391" s="37">
        <v>21.450151057401857</v>
      </c>
      <c r="L391" s="1" t="s">
        <v>68</v>
      </c>
      <c r="M391" s="1">
        <v>1</v>
      </c>
    </row>
    <row r="392" spans="1:13" x14ac:dyDescent="0.3">
      <c r="A392">
        <v>10</v>
      </c>
      <c r="B392">
        <v>1</v>
      </c>
      <c r="C392" t="s">
        <v>78</v>
      </c>
      <c r="D392" s="1" t="s">
        <v>1</v>
      </c>
      <c r="E392" s="59" t="s">
        <v>19</v>
      </c>
      <c r="F392" s="60">
        <v>1.34147058823529</v>
      </c>
      <c r="G392" s="60">
        <v>0.104138831344372</v>
      </c>
      <c r="H392" s="61">
        <v>1.3632307692307599</v>
      </c>
      <c r="I392" s="62">
        <v>1.5</v>
      </c>
      <c r="J392" s="37">
        <v>0.13676923076924008</v>
      </c>
      <c r="K392" s="37">
        <v>10.032727683106495</v>
      </c>
      <c r="L392" s="1" t="s">
        <v>68</v>
      </c>
      <c r="M392" s="1">
        <v>1</v>
      </c>
    </row>
    <row r="393" spans="1:13" x14ac:dyDescent="0.3">
      <c r="A393">
        <v>10</v>
      </c>
      <c r="B393">
        <v>1</v>
      </c>
      <c r="C393" t="s">
        <v>78</v>
      </c>
      <c r="D393" s="1" t="s">
        <v>1</v>
      </c>
      <c r="E393" s="59" t="s">
        <v>12</v>
      </c>
      <c r="F393" s="60"/>
      <c r="G393" s="60"/>
      <c r="H393" s="61"/>
      <c r="I393" s="62"/>
      <c r="J393" s="37"/>
      <c r="K393" s="37"/>
      <c r="L393" s="1" t="s">
        <v>69</v>
      </c>
      <c r="M393" s="1">
        <v>1</v>
      </c>
    </row>
    <row r="394" spans="1:13" x14ac:dyDescent="0.3">
      <c r="A394">
        <v>10</v>
      </c>
      <c r="B394">
        <v>1</v>
      </c>
      <c r="C394" t="s">
        <v>78</v>
      </c>
      <c r="D394" s="1" t="s">
        <v>1</v>
      </c>
      <c r="E394" s="59" t="s">
        <v>13</v>
      </c>
      <c r="F394" s="60">
        <v>2.27470588235294</v>
      </c>
      <c r="G394" s="60">
        <v>0.22984950695563999</v>
      </c>
      <c r="H394" s="61">
        <v>2.3124242424242398</v>
      </c>
      <c r="I394" s="62">
        <v>2.44</v>
      </c>
      <c r="J394" s="37">
        <v>0.12757575757576012</v>
      </c>
      <c r="K394" s="37">
        <v>5.5169702529158542</v>
      </c>
      <c r="L394" s="1" t="s">
        <v>69</v>
      </c>
      <c r="M394" s="1">
        <v>1</v>
      </c>
    </row>
    <row r="395" spans="1:13" x14ac:dyDescent="0.3">
      <c r="A395">
        <v>10</v>
      </c>
      <c r="B395">
        <v>1</v>
      </c>
      <c r="C395" t="s">
        <v>78</v>
      </c>
      <c r="D395" s="1" t="s">
        <v>1</v>
      </c>
      <c r="E395" s="59" t="s">
        <v>14</v>
      </c>
      <c r="F395" s="60">
        <v>3.8360294117647</v>
      </c>
      <c r="G395" s="60">
        <v>0.54817381235034601</v>
      </c>
      <c r="H395" s="61">
        <v>3.9606249999999901</v>
      </c>
      <c r="I395" s="62">
        <v>3.99</v>
      </c>
      <c r="J395" s="37">
        <v>2.9375000000010143E-2</v>
      </c>
      <c r="K395" s="37">
        <v>0.74167587186391581</v>
      </c>
      <c r="L395" s="1" t="s">
        <v>69</v>
      </c>
      <c r="M395" s="1">
        <v>1</v>
      </c>
    </row>
    <row r="396" spans="1:13" x14ac:dyDescent="0.3">
      <c r="A396">
        <v>10</v>
      </c>
      <c r="B396">
        <v>1</v>
      </c>
      <c r="C396" t="s">
        <v>78</v>
      </c>
      <c r="D396" s="1" t="s">
        <v>1</v>
      </c>
      <c r="E396" s="59" t="s">
        <v>15</v>
      </c>
      <c r="F396" s="60">
        <v>3.5927941176470499</v>
      </c>
      <c r="G396" s="60">
        <v>0.57146829871479798</v>
      </c>
      <c r="H396" s="61">
        <v>3.7293749999999899</v>
      </c>
      <c r="I396" s="62">
        <v>3.75</v>
      </c>
      <c r="J396" s="37">
        <v>2.0625000000010107E-2</v>
      </c>
      <c r="K396" s="37">
        <v>0.55304172951259034</v>
      </c>
      <c r="L396" s="1" t="s">
        <v>69</v>
      </c>
      <c r="M396" s="1">
        <v>1</v>
      </c>
    </row>
    <row r="397" spans="1:13" x14ac:dyDescent="0.3">
      <c r="A397">
        <v>10</v>
      </c>
      <c r="B397">
        <v>1</v>
      </c>
      <c r="C397" t="s">
        <v>78</v>
      </c>
      <c r="D397" s="1" t="s">
        <v>1</v>
      </c>
      <c r="E397" s="59" t="s">
        <v>16</v>
      </c>
      <c r="F397" s="60">
        <v>2.1010447761194002</v>
      </c>
      <c r="G397" s="60">
        <v>2.3634930408140398E-2</v>
      </c>
      <c r="H397" s="61">
        <v>2.10234042553191</v>
      </c>
      <c r="I397" s="62">
        <v>2.2000000000000002</v>
      </c>
      <c r="J397" s="37">
        <v>9.7659574468090149E-2</v>
      </c>
      <c r="K397" s="37">
        <v>4.6452788179336579</v>
      </c>
      <c r="L397" s="1" t="s">
        <v>69</v>
      </c>
      <c r="M397" s="1">
        <v>1</v>
      </c>
    </row>
    <row r="398" spans="1:13" x14ac:dyDescent="0.3">
      <c r="A398">
        <v>10</v>
      </c>
      <c r="B398">
        <v>1</v>
      </c>
      <c r="C398" t="s">
        <v>78</v>
      </c>
      <c r="D398" s="1" t="s">
        <v>1</v>
      </c>
      <c r="E398" s="59" t="s">
        <v>17</v>
      </c>
      <c r="F398" s="60">
        <v>4.1032812500000002</v>
      </c>
      <c r="G398" s="60">
        <v>0.622788724928797</v>
      </c>
      <c r="H398" s="61">
        <v>4.2122580645161198</v>
      </c>
      <c r="I398" s="62">
        <v>4.25</v>
      </c>
      <c r="J398" s="37">
        <v>3.7741935483880162E-2</v>
      </c>
      <c r="K398" s="37">
        <v>0.89600245060521333</v>
      </c>
      <c r="L398" s="1" t="s">
        <v>69</v>
      </c>
      <c r="M398" s="1">
        <v>1</v>
      </c>
    </row>
    <row r="399" spans="1:13" x14ac:dyDescent="0.3">
      <c r="A399">
        <v>10</v>
      </c>
      <c r="B399">
        <v>1</v>
      </c>
      <c r="C399" t="s">
        <v>78</v>
      </c>
      <c r="D399" s="1" t="s">
        <v>1</v>
      </c>
      <c r="E399" s="59" t="s">
        <v>18</v>
      </c>
      <c r="F399" s="60">
        <v>0.92764705882352805</v>
      </c>
      <c r="G399" s="60">
        <v>9.1877758414914898E-2</v>
      </c>
      <c r="H399" s="61">
        <v>0.93865671641791004</v>
      </c>
      <c r="I399" s="62">
        <v>1.1599999999999999</v>
      </c>
      <c r="J399" s="37">
        <v>0.22134328358208988</v>
      </c>
      <c r="K399" s="37">
        <v>23.580855461917679</v>
      </c>
      <c r="L399" s="1" t="s">
        <v>69</v>
      </c>
      <c r="M399" s="1">
        <v>1</v>
      </c>
    </row>
    <row r="400" spans="1:13" x14ac:dyDescent="0.3">
      <c r="A400">
        <v>10</v>
      </c>
      <c r="B400">
        <v>1</v>
      </c>
      <c r="C400" t="s">
        <v>78</v>
      </c>
      <c r="D400" s="1" t="s">
        <v>1</v>
      </c>
      <c r="E400" s="59" t="s">
        <v>19</v>
      </c>
      <c r="F400" s="60">
        <v>1.34147058823529</v>
      </c>
      <c r="G400" s="60">
        <v>0.104138831344372</v>
      </c>
      <c r="H400" s="61">
        <v>1.3632307692307599</v>
      </c>
      <c r="I400" s="62">
        <v>1.51</v>
      </c>
      <c r="J400" s="37">
        <v>0.14676923076924009</v>
      </c>
      <c r="K400" s="37">
        <v>10.766279200993873</v>
      </c>
      <c r="L400" s="1" t="s">
        <v>69</v>
      </c>
      <c r="M400" s="1">
        <v>1</v>
      </c>
    </row>
    <row r="401" spans="1:13" x14ac:dyDescent="0.3">
      <c r="D401" s="1"/>
      <c r="E401" s="59"/>
      <c r="F401" s="60"/>
      <c r="G401" s="60"/>
      <c r="H401" s="61"/>
      <c r="I401" s="62"/>
      <c r="J401" s="37"/>
      <c r="K401" s="37"/>
      <c r="L401" s="1"/>
      <c r="M401" s="1"/>
    </row>
    <row r="402" spans="1:13" x14ac:dyDescent="0.3">
      <c r="A402">
        <v>10</v>
      </c>
      <c r="B402">
        <v>1</v>
      </c>
      <c r="C402" t="s">
        <v>78</v>
      </c>
      <c r="D402" s="1" t="s">
        <v>1</v>
      </c>
      <c r="E402" s="59" t="s">
        <v>12</v>
      </c>
      <c r="F402" s="60"/>
      <c r="G402" s="60"/>
      <c r="H402" s="61"/>
      <c r="I402" s="62"/>
      <c r="J402" s="37"/>
      <c r="K402" s="37"/>
      <c r="L402" s="1" t="s">
        <v>23</v>
      </c>
      <c r="M402" s="1">
        <v>2</v>
      </c>
    </row>
    <row r="403" spans="1:13" x14ac:dyDescent="0.3">
      <c r="A403">
        <v>10</v>
      </c>
      <c r="B403">
        <v>1</v>
      </c>
      <c r="C403" t="s">
        <v>78</v>
      </c>
      <c r="D403" s="1" t="s">
        <v>1</v>
      </c>
      <c r="E403" s="59" t="s">
        <v>13</v>
      </c>
      <c r="F403" s="60">
        <v>2.2467164179104402</v>
      </c>
      <c r="G403" s="60">
        <v>0.32761639408117299</v>
      </c>
      <c r="H403" s="61">
        <v>2.3109374999999899</v>
      </c>
      <c r="I403" s="62">
        <v>2.5</v>
      </c>
      <c r="J403" s="37">
        <v>0.18906250000001013</v>
      </c>
      <c r="K403" s="37">
        <v>8.1812035158895888</v>
      </c>
      <c r="L403" s="1" t="s">
        <v>23</v>
      </c>
      <c r="M403" s="1">
        <v>2</v>
      </c>
    </row>
    <row r="404" spans="1:13" x14ac:dyDescent="0.3">
      <c r="A404">
        <v>10</v>
      </c>
      <c r="B404">
        <v>1</v>
      </c>
      <c r="C404" t="s">
        <v>78</v>
      </c>
      <c r="D404" s="1" t="s">
        <v>1</v>
      </c>
      <c r="E404" s="59" t="s">
        <v>14</v>
      </c>
      <c r="F404" s="60">
        <v>3.7841791044775999</v>
      </c>
      <c r="G404" s="60">
        <v>0.652920303823879</v>
      </c>
      <c r="H404" s="61">
        <v>3.9634426229508102</v>
      </c>
      <c r="I404" s="62">
        <v>4.05</v>
      </c>
      <c r="J404" s="37">
        <v>8.6557377049189643E-2</v>
      </c>
      <c r="K404" s="37">
        <v>2.1838937833480503</v>
      </c>
      <c r="L404" s="1" t="s">
        <v>23</v>
      </c>
      <c r="M404" s="1">
        <v>2</v>
      </c>
    </row>
    <row r="405" spans="1:13" x14ac:dyDescent="0.3">
      <c r="A405">
        <v>10</v>
      </c>
      <c r="B405">
        <v>1</v>
      </c>
      <c r="C405" t="s">
        <v>78</v>
      </c>
      <c r="D405" s="1" t="s">
        <v>1</v>
      </c>
      <c r="E405" s="59" t="s">
        <v>15</v>
      </c>
      <c r="F405" s="60">
        <v>3.63</v>
      </c>
      <c r="G405" s="60">
        <v>0.51372082974032696</v>
      </c>
      <c r="H405" s="61">
        <v>3.7376190476190398</v>
      </c>
      <c r="I405" s="62">
        <v>3.84</v>
      </c>
      <c r="J405" s="37">
        <v>0.10238095238096001</v>
      </c>
      <c r="K405" s="37">
        <v>2.7392024461716966</v>
      </c>
      <c r="L405" s="1" t="s">
        <v>23</v>
      </c>
      <c r="M405" s="1">
        <v>2</v>
      </c>
    </row>
    <row r="406" spans="1:13" x14ac:dyDescent="0.3">
      <c r="A406">
        <v>10</v>
      </c>
      <c r="B406">
        <v>1</v>
      </c>
      <c r="C406" t="s">
        <v>78</v>
      </c>
      <c r="D406" s="1" t="s">
        <v>1</v>
      </c>
      <c r="E406" s="59" t="s">
        <v>16</v>
      </c>
      <c r="F406" s="60">
        <v>2.1012121212121202</v>
      </c>
      <c r="G406" s="60">
        <v>2.5732608219989801E-2</v>
      </c>
      <c r="H406" s="61">
        <v>2.1034693877551001</v>
      </c>
      <c r="I406" s="62">
        <v>2.25</v>
      </c>
      <c r="J406" s="37">
        <v>0.14653061224489994</v>
      </c>
      <c r="K406" s="37">
        <v>6.9661395168333211</v>
      </c>
      <c r="L406" s="1" t="s">
        <v>23</v>
      </c>
      <c r="M406" s="1">
        <v>2</v>
      </c>
    </row>
    <row r="407" spans="1:13" x14ac:dyDescent="0.3">
      <c r="A407">
        <v>10</v>
      </c>
      <c r="B407">
        <v>1</v>
      </c>
      <c r="C407" t="s">
        <v>78</v>
      </c>
      <c r="D407" s="1" t="s">
        <v>1</v>
      </c>
      <c r="E407" s="59" t="s">
        <v>17</v>
      </c>
      <c r="F407" s="60">
        <v>3.97183333333333</v>
      </c>
      <c r="G407" s="60">
        <v>0.813536501264011</v>
      </c>
      <c r="H407" s="61">
        <v>4.20672727272727</v>
      </c>
      <c r="I407" s="62">
        <v>4.26</v>
      </c>
      <c r="J407" s="37">
        <v>5.3272727272729803E-2</v>
      </c>
      <c r="K407" s="37">
        <v>1.2663698837360682</v>
      </c>
      <c r="L407" s="1" t="s">
        <v>23</v>
      </c>
      <c r="M407" s="1">
        <v>2</v>
      </c>
    </row>
    <row r="408" spans="1:13" x14ac:dyDescent="0.3">
      <c r="A408">
        <v>10</v>
      </c>
      <c r="B408">
        <v>1</v>
      </c>
      <c r="C408" t="s">
        <v>78</v>
      </c>
      <c r="D408" s="1" t="s">
        <v>1</v>
      </c>
      <c r="E408" s="59" t="s">
        <v>18</v>
      </c>
      <c r="F408" s="60">
        <v>0.94880597014925305</v>
      </c>
      <c r="G408" s="60">
        <v>1.9663010812387301E-2</v>
      </c>
      <c r="H408" s="61">
        <v>0.94499999999999995</v>
      </c>
      <c r="I408" s="62">
        <v>1.27</v>
      </c>
      <c r="J408" s="37">
        <v>0.32500000000000007</v>
      </c>
      <c r="K408" s="37">
        <v>34.3915343915344</v>
      </c>
      <c r="L408" s="1" t="s">
        <v>23</v>
      </c>
      <c r="M408" s="1">
        <v>2</v>
      </c>
    </row>
    <row r="409" spans="1:13" x14ac:dyDescent="0.3">
      <c r="A409">
        <v>10</v>
      </c>
      <c r="B409">
        <v>1</v>
      </c>
      <c r="C409" t="s">
        <v>78</v>
      </c>
      <c r="D409" s="1" t="s">
        <v>1</v>
      </c>
      <c r="E409" s="59" t="s">
        <v>19</v>
      </c>
      <c r="F409" s="60">
        <v>1.3286567164179099</v>
      </c>
      <c r="G409" s="60">
        <v>0.172530728583739</v>
      </c>
      <c r="H409" s="61">
        <v>1.3653124999999999</v>
      </c>
      <c r="I409" s="62">
        <v>1.64</v>
      </c>
      <c r="J409" s="37">
        <v>0.27468749999999997</v>
      </c>
      <c r="K409" s="37">
        <v>20.119020370794232</v>
      </c>
      <c r="L409" s="1" t="s">
        <v>23</v>
      </c>
      <c r="M409" s="1">
        <v>2</v>
      </c>
    </row>
    <row r="410" spans="1:13" x14ac:dyDescent="0.3">
      <c r="A410">
        <v>10</v>
      </c>
      <c r="B410">
        <v>1</v>
      </c>
      <c r="C410" t="s">
        <v>78</v>
      </c>
      <c r="D410" s="1" t="s">
        <v>1</v>
      </c>
      <c r="E410" s="59" t="s">
        <v>12</v>
      </c>
      <c r="F410" s="60"/>
      <c r="G410" s="60"/>
      <c r="H410" s="61"/>
      <c r="I410" s="62"/>
      <c r="J410" s="37"/>
      <c r="K410" s="37"/>
      <c r="L410" s="1" t="s">
        <v>68</v>
      </c>
      <c r="M410" s="1">
        <v>2</v>
      </c>
    </row>
    <row r="411" spans="1:13" x14ac:dyDescent="0.3">
      <c r="A411">
        <v>10</v>
      </c>
      <c r="B411">
        <v>1</v>
      </c>
      <c r="C411" t="s">
        <v>78</v>
      </c>
      <c r="D411" s="1" t="s">
        <v>1</v>
      </c>
      <c r="E411" s="59" t="s">
        <v>13</v>
      </c>
      <c r="F411" s="60">
        <v>2.2467164179104402</v>
      </c>
      <c r="G411" s="60">
        <v>0.32761639408117299</v>
      </c>
      <c r="H411" s="61">
        <v>2.3109374999999899</v>
      </c>
      <c r="I411" s="62">
        <v>2.38</v>
      </c>
      <c r="J411" s="37">
        <v>6.9062500000010019E-2</v>
      </c>
      <c r="K411" s="37">
        <v>2.9885057471268834</v>
      </c>
      <c r="L411" s="1" t="s">
        <v>68</v>
      </c>
      <c r="M411" s="1">
        <v>2</v>
      </c>
    </row>
    <row r="412" spans="1:13" x14ac:dyDescent="0.3">
      <c r="A412">
        <v>10</v>
      </c>
      <c r="B412">
        <v>1</v>
      </c>
      <c r="C412" t="s">
        <v>78</v>
      </c>
      <c r="D412" s="1" t="s">
        <v>1</v>
      </c>
      <c r="E412" s="59" t="s">
        <v>14</v>
      </c>
      <c r="F412" s="60">
        <v>3.7841791044775999</v>
      </c>
      <c r="G412" s="60">
        <v>0.652920303823879</v>
      </c>
      <c r="H412" s="61">
        <v>3.9634426229508102</v>
      </c>
      <c r="I412" s="62">
        <v>3.96</v>
      </c>
      <c r="J412" s="37">
        <v>-3.4426229508102146E-3</v>
      </c>
      <c r="K412" s="37">
        <v>-8.6859411837458572E-2</v>
      </c>
      <c r="L412" s="1" t="s">
        <v>68</v>
      </c>
      <c r="M412" s="1">
        <v>2</v>
      </c>
    </row>
    <row r="413" spans="1:13" x14ac:dyDescent="0.3">
      <c r="A413">
        <v>10</v>
      </c>
      <c r="B413">
        <v>1</v>
      </c>
      <c r="C413" t="s">
        <v>78</v>
      </c>
      <c r="D413" s="1" t="s">
        <v>1</v>
      </c>
      <c r="E413" s="59" t="s">
        <v>15</v>
      </c>
      <c r="F413" s="60">
        <v>3.63</v>
      </c>
      <c r="G413" s="60">
        <v>0.51372082974032696</v>
      </c>
      <c r="H413" s="61">
        <v>3.7376190476190398</v>
      </c>
      <c r="I413" s="62">
        <v>3.68</v>
      </c>
      <c r="J413" s="37">
        <v>-5.7619047619039687E-2</v>
      </c>
      <c r="K413" s="37">
        <v>-1.541597655752116</v>
      </c>
      <c r="L413" s="1" t="s">
        <v>68</v>
      </c>
      <c r="M413" s="1">
        <v>2</v>
      </c>
    </row>
    <row r="414" spans="1:13" x14ac:dyDescent="0.3">
      <c r="A414">
        <v>10</v>
      </c>
      <c r="B414">
        <v>1</v>
      </c>
      <c r="C414" t="s">
        <v>78</v>
      </c>
      <c r="D414" s="1" t="s">
        <v>1</v>
      </c>
      <c r="E414" s="59" t="s">
        <v>16</v>
      </c>
      <c r="F414" s="60">
        <v>2.1012121212121202</v>
      </c>
      <c r="G414" s="60">
        <v>2.5732608219989801E-2</v>
      </c>
      <c r="H414" s="61">
        <v>2.1034693877551001</v>
      </c>
      <c r="I414" s="62">
        <v>2.14</v>
      </c>
      <c r="J414" s="37">
        <v>3.6530612244900063E-2</v>
      </c>
      <c r="K414" s="37">
        <v>1.7366838071214756</v>
      </c>
      <c r="L414" s="1" t="s">
        <v>68</v>
      </c>
      <c r="M414" s="1">
        <v>2</v>
      </c>
    </row>
    <row r="415" spans="1:13" x14ac:dyDescent="0.3">
      <c r="A415">
        <v>10</v>
      </c>
      <c r="B415">
        <v>1</v>
      </c>
      <c r="C415" t="s">
        <v>78</v>
      </c>
      <c r="D415" s="1" t="s">
        <v>1</v>
      </c>
      <c r="E415" s="59" t="s">
        <v>17</v>
      </c>
      <c r="F415" s="60">
        <v>3.97183333333333</v>
      </c>
      <c r="G415" s="60">
        <v>0.813536501264011</v>
      </c>
      <c r="H415" s="61">
        <v>4.20672727272727</v>
      </c>
      <c r="I415" s="62">
        <v>4.1100000000000003</v>
      </c>
      <c r="J415" s="37">
        <v>-9.6727272727269664E-2</v>
      </c>
      <c r="K415" s="37">
        <v>-2.2993473656912453</v>
      </c>
      <c r="L415" s="1" t="s">
        <v>68</v>
      </c>
      <c r="M415" s="1">
        <v>2</v>
      </c>
    </row>
    <row r="416" spans="1:13" x14ac:dyDescent="0.3">
      <c r="A416">
        <v>10</v>
      </c>
      <c r="B416">
        <v>1</v>
      </c>
      <c r="C416" t="s">
        <v>78</v>
      </c>
      <c r="D416" s="1" t="s">
        <v>1</v>
      </c>
      <c r="E416" s="59" t="s">
        <v>18</v>
      </c>
      <c r="F416" s="60">
        <v>0.94880597014925305</v>
      </c>
      <c r="G416" s="60">
        <v>1.9663010812387301E-2</v>
      </c>
      <c r="H416" s="61">
        <v>0.94499999999999995</v>
      </c>
      <c r="I416" s="62">
        <v>1.1399999999999999</v>
      </c>
      <c r="J416" s="37">
        <v>0.19499999999999995</v>
      </c>
      <c r="K416" s="37">
        <v>20.634920634920633</v>
      </c>
      <c r="L416" s="1" t="s">
        <v>68</v>
      </c>
      <c r="M416" s="1">
        <v>2</v>
      </c>
    </row>
    <row r="417" spans="1:13" x14ac:dyDescent="0.3">
      <c r="A417">
        <v>10</v>
      </c>
      <c r="B417">
        <v>1</v>
      </c>
      <c r="C417" t="s">
        <v>78</v>
      </c>
      <c r="D417" s="1" t="s">
        <v>1</v>
      </c>
      <c r="E417" s="59" t="s">
        <v>19</v>
      </c>
      <c r="F417" s="60">
        <v>1.3286567164179099</v>
      </c>
      <c r="G417" s="60">
        <v>0.172530728583739</v>
      </c>
      <c r="H417" s="61">
        <v>1.3653124999999999</v>
      </c>
      <c r="I417" s="62">
        <v>1.5</v>
      </c>
      <c r="J417" s="37">
        <v>0.13468750000000007</v>
      </c>
      <c r="K417" s="37">
        <v>9.8649576562142425</v>
      </c>
      <c r="L417" s="1" t="s">
        <v>68</v>
      </c>
      <c r="M417" s="1">
        <v>2</v>
      </c>
    </row>
    <row r="418" spans="1:13" x14ac:dyDescent="0.3">
      <c r="A418">
        <v>10</v>
      </c>
      <c r="B418">
        <v>1</v>
      </c>
      <c r="C418" t="s">
        <v>78</v>
      </c>
      <c r="D418" s="1" t="s">
        <v>1</v>
      </c>
      <c r="E418" s="59" t="s">
        <v>12</v>
      </c>
      <c r="F418" s="60"/>
      <c r="G418" s="60"/>
      <c r="H418" s="61"/>
      <c r="I418" s="62"/>
      <c r="J418" s="37"/>
      <c r="K418" s="37"/>
      <c r="L418" s="1" t="s">
        <v>69</v>
      </c>
      <c r="M418" s="1">
        <v>2</v>
      </c>
    </row>
    <row r="419" spans="1:13" x14ac:dyDescent="0.3">
      <c r="A419">
        <v>10</v>
      </c>
      <c r="B419">
        <v>1</v>
      </c>
      <c r="C419" t="s">
        <v>78</v>
      </c>
      <c r="D419" s="1" t="s">
        <v>1</v>
      </c>
      <c r="E419" s="59" t="s">
        <v>13</v>
      </c>
      <c r="F419" s="60">
        <v>2.2467164179104402</v>
      </c>
      <c r="G419" s="60">
        <v>0.32761639408117299</v>
      </c>
      <c r="H419" s="61">
        <v>2.3109374999999899</v>
      </c>
      <c r="I419" s="62">
        <v>2.44</v>
      </c>
      <c r="J419" s="37">
        <v>0.12906250000001007</v>
      </c>
      <c r="K419" s="37">
        <v>5.5848546315082359</v>
      </c>
      <c r="L419" s="1" t="s">
        <v>69</v>
      </c>
      <c r="M419" s="1">
        <v>2</v>
      </c>
    </row>
    <row r="420" spans="1:13" x14ac:dyDescent="0.3">
      <c r="A420">
        <v>10</v>
      </c>
      <c r="B420">
        <v>1</v>
      </c>
      <c r="C420" t="s">
        <v>78</v>
      </c>
      <c r="D420" s="1" t="s">
        <v>1</v>
      </c>
      <c r="E420" s="59" t="s">
        <v>14</v>
      </c>
      <c r="F420" s="60">
        <v>3.7841791044775999</v>
      </c>
      <c r="G420" s="60">
        <v>0.652920303823879</v>
      </c>
      <c r="H420" s="61">
        <v>3.9634426229508102</v>
      </c>
      <c r="I420" s="62">
        <v>3.99</v>
      </c>
      <c r="J420" s="37">
        <v>2.6557377049190034E-2</v>
      </c>
      <c r="K420" s="37">
        <v>0.6700583198910518</v>
      </c>
      <c r="L420" s="1" t="s">
        <v>69</v>
      </c>
      <c r="M420" s="1">
        <v>2</v>
      </c>
    </row>
    <row r="421" spans="1:13" x14ac:dyDescent="0.3">
      <c r="A421">
        <v>10</v>
      </c>
      <c r="B421">
        <v>1</v>
      </c>
      <c r="C421" t="s">
        <v>78</v>
      </c>
      <c r="D421" s="1" t="s">
        <v>1</v>
      </c>
      <c r="E421" s="59" t="s">
        <v>15</v>
      </c>
      <c r="F421" s="60">
        <v>3.63</v>
      </c>
      <c r="G421" s="60">
        <v>0.51372082974032696</v>
      </c>
      <c r="H421" s="61">
        <v>3.7376190476190398</v>
      </c>
      <c r="I421" s="62">
        <v>3.75</v>
      </c>
      <c r="J421" s="37">
        <v>1.2380952380960153E-2</v>
      </c>
      <c r="K421" s="37">
        <v>0.33125238883955122</v>
      </c>
      <c r="L421" s="1" t="s">
        <v>69</v>
      </c>
      <c r="M421" s="1">
        <v>2</v>
      </c>
    </row>
    <row r="422" spans="1:13" x14ac:dyDescent="0.3">
      <c r="A422">
        <v>10</v>
      </c>
      <c r="B422">
        <v>1</v>
      </c>
      <c r="C422" t="s">
        <v>78</v>
      </c>
      <c r="D422" s="1" t="s">
        <v>1</v>
      </c>
      <c r="E422" s="59" t="s">
        <v>16</v>
      </c>
      <c r="F422" s="60">
        <v>2.1012121212121202</v>
      </c>
      <c r="G422" s="60">
        <v>2.5732608219989801E-2</v>
      </c>
      <c r="H422" s="61">
        <v>2.1034693877551001</v>
      </c>
      <c r="I422" s="62">
        <v>2.2000000000000002</v>
      </c>
      <c r="J422" s="37">
        <v>9.6530612244900116E-2</v>
      </c>
      <c r="K422" s="37">
        <v>4.589114194237033</v>
      </c>
      <c r="L422" s="1" t="s">
        <v>69</v>
      </c>
      <c r="M422" s="1">
        <v>2</v>
      </c>
    </row>
    <row r="423" spans="1:13" x14ac:dyDescent="0.3">
      <c r="A423">
        <v>10</v>
      </c>
      <c r="B423">
        <v>1</v>
      </c>
      <c r="C423" t="s">
        <v>78</v>
      </c>
      <c r="D423" s="1" t="s">
        <v>1</v>
      </c>
      <c r="E423" s="59" t="s">
        <v>17</v>
      </c>
      <c r="F423" s="60">
        <v>3.97183333333333</v>
      </c>
      <c r="G423" s="60">
        <v>0.813536501264011</v>
      </c>
      <c r="H423" s="61">
        <v>4.20672727272727</v>
      </c>
      <c r="I423" s="62">
        <v>4.25</v>
      </c>
      <c r="J423" s="37">
        <v>4.3272727272730016E-2</v>
      </c>
      <c r="K423" s="37">
        <v>1.0286554004409181</v>
      </c>
      <c r="L423" s="1" t="s">
        <v>69</v>
      </c>
      <c r="M423" s="1">
        <v>2</v>
      </c>
    </row>
    <row r="424" spans="1:13" x14ac:dyDescent="0.3">
      <c r="A424">
        <v>10</v>
      </c>
      <c r="B424">
        <v>1</v>
      </c>
      <c r="C424" t="s">
        <v>78</v>
      </c>
      <c r="D424" s="1" t="s">
        <v>1</v>
      </c>
      <c r="E424" s="59" t="s">
        <v>18</v>
      </c>
      <c r="F424" s="60">
        <v>0.94880597014925305</v>
      </c>
      <c r="G424" s="60">
        <v>1.9663010812387301E-2</v>
      </c>
      <c r="H424" s="61">
        <v>0.94499999999999995</v>
      </c>
      <c r="I424" s="62">
        <v>1.1599999999999999</v>
      </c>
      <c r="J424" s="37">
        <v>0.21499999999999997</v>
      </c>
      <c r="K424" s="37">
        <v>22.75132275132275</v>
      </c>
      <c r="L424" s="1" t="s">
        <v>69</v>
      </c>
      <c r="M424" s="1">
        <v>2</v>
      </c>
    </row>
    <row r="425" spans="1:13" x14ac:dyDescent="0.3">
      <c r="A425">
        <v>10</v>
      </c>
      <c r="B425">
        <v>1</v>
      </c>
      <c r="C425" t="s">
        <v>78</v>
      </c>
      <c r="D425" s="1" t="s">
        <v>1</v>
      </c>
      <c r="E425" s="59" t="s">
        <v>19</v>
      </c>
      <c r="F425" s="60">
        <v>1.3286567164179099</v>
      </c>
      <c r="G425" s="60">
        <v>0.172530728583739</v>
      </c>
      <c r="H425" s="61">
        <v>1.3653124999999999</v>
      </c>
      <c r="I425" s="62">
        <v>1.51</v>
      </c>
      <c r="J425" s="37">
        <v>0.14468750000000008</v>
      </c>
      <c r="K425" s="37">
        <v>10.597390707255672</v>
      </c>
      <c r="L425" s="1" t="s">
        <v>69</v>
      </c>
      <c r="M425" s="1">
        <v>2</v>
      </c>
    </row>
    <row r="426" spans="1:13" x14ac:dyDescent="0.3">
      <c r="D426" s="1"/>
      <c r="E426" s="59"/>
      <c r="F426" s="60"/>
      <c r="G426" s="60"/>
      <c r="H426" s="61"/>
      <c r="I426" s="62"/>
      <c r="J426" s="37"/>
      <c r="K426" s="37"/>
      <c r="L426" s="1"/>
      <c r="M426" s="1"/>
    </row>
    <row r="427" spans="1:13" x14ac:dyDescent="0.3">
      <c r="A427">
        <v>10</v>
      </c>
      <c r="B427">
        <v>1</v>
      </c>
      <c r="C427" t="s">
        <v>78</v>
      </c>
      <c r="D427" s="1" t="s">
        <v>1</v>
      </c>
      <c r="E427" s="59" t="s">
        <v>12</v>
      </c>
      <c r="F427" s="60"/>
      <c r="G427" s="60"/>
      <c r="H427" s="61"/>
      <c r="I427" s="63"/>
      <c r="J427" s="58"/>
      <c r="K427" s="58"/>
      <c r="L427" s="1" t="s">
        <v>23</v>
      </c>
      <c r="M427" s="1">
        <v>3</v>
      </c>
    </row>
    <row r="428" spans="1:13" x14ac:dyDescent="0.3">
      <c r="A428">
        <v>10</v>
      </c>
      <c r="B428">
        <v>1</v>
      </c>
      <c r="C428" t="s">
        <v>78</v>
      </c>
      <c r="D428" s="1" t="s">
        <v>1</v>
      </c>
      <c r="E428" s="59" t="s">
        <v>13</v>
      </c>
      <c r="F428" s="60">
        <v>2.27132352941176</v>
      </c>
      <c r="G428" s="60">
        <v>0.25393899459472202</v>
      </c>
      <c r="H428" s="61">
        <v>2.31424242424242</v>
      </c>
      <c r="I428" s="63">
        <v>2.5</v>
      </c>
      <c r="J428" s="58">
        <v>0.18575757575758001</v>
      </c>
      <c r="K428" s="58">
        <v>8.0267120597095083</v>
      </c>
      <c r="L428" s="1" t="s">
        <v>23</v>
      </c>
      <c r="M428" s="1">
        <v>3</v>
      </c>
    </row>
    <row r="429" spans="1:13" x14ac:dyDescent="0.3">
      <c r="A429">
        <v>10</v>
      </c>
      <c r="B429">
        <v>1</v>
      </c>
      <c r="C429" t="s">
        <v>78</v>
      </c>
      <c r="D429" s="1" t="s">
        <v>1</v>
      </c>
      <c r="E429" s="59" t="s">
        <v>14</v>
      </c>
      <c r="F429" s="60">
        <v>3.91455882352941</v>
      </c>
      <c r="G429" s="60">
        <v>0.32794562777247999</v>
      </c>
      <c r="H429" s="61">
        <v>3.97384615384615</v>
      </c>
      <c r="I429" s="63">
        <v>4.05</v>
      </c>
      <c r="J429" s="58">
        <v>7.6153846153849791E-2</v>
      </c>
      <c r="K429" s="58">
        <v>1.9163763066203026</v>
      </c>
      <c r="L429" s="1" t="s">
        <v>23</v>
      </c>
      <c r="M429" s="1">
        <v>3</v>
      </c>
    </row>
    <row r="430" spans="1:13" x14ac:dyDescent="0.3">
      <c r="A430">
        <v>10</v>
      </c>
      <c r="B430">
        <v>1</v>
      </c>
      <c r="C430" t="s">
        <v>78</v>
      </c>
      <c r="D430" s="1" t="s">
        <v>1</v>
      </c>
      <c r="E430" s="59" t="s">
        <v>15</v>
      </c>
      <c r="F430" s="60">
        <v>3.6765671641791</v>
      </c>
      <c r="G430" s="60">
        <v>0.41439959170874602</v>
      </c>
      <c r="H430" s="61">
        <v>3.74</v>
      </c>
      <c r="I430" s="63">
        <v>3.84</v>
      </c>
      <c r="J430" s="58">
        <v>9.9999999999999645E-2</v>
      </c>
      <c r="K430" s="58">
        <v>2.6737967914438405</v>
      </c>
      <c r="L430" s="1" t="s">
        <v>23</v>
      </c>
      <c r="M430" s="1">
        <v>3</v>
      </c>
    </row>
    <row r="431" spans="1:13" x14ac:dyDescent="0.3">
      <c r="A431">
        <v>10</v>
      </c>
      <c r="B431">
        <v>1</v>
      </c>
      <c r="C431" t="s">
        <v>78</v>
      </c>
      <c r="D431" s="1" t="s">
        <v>1</v>
      </c>
      <c r="E431" s="59" t="s">
        <v>16</v>
      </c>
      <c r="F431" s="60">
        <v>2.0735820895522301</v>
      </c>
      <c r="G431" s="60">
        <v>0.19108255223533099</v>
      </c>
      <c r="H431" s="61">
        <v>2.09696969696969</v>
      </c>
      <c r="I431" s="63">
        <v>2.25</v>
      </c>
      <c r="J431" s="58">
        <v>0.15303030303030996</v>
      </c>
      <c r="K431" s="58">
        <v>7.2976878612720304</v>
      </c>
      <c r="L431" s="1" t="s">
        <v>23</v>
      </c>
      <c r="M431" s="1">
        <v>3</v>
      </c>
    </row>
    <row r="432" spans="1:13" x14ac:dyDescent="0.3">
      <c r="A432">
        <v>10</v>
      </c>
      <c r="B432">
        <v>1</v>
      </c>
      <c r="C432" t="s">
        <v>78</v>
      </c>
      <c r="D432" s="1" t="s">
        <v>1</v>
      </c>
      <c r="E432" s="59" t="s">
        <v>17</v>
      </c>
      <c r="F432" s="60">
        <v>4.1518032786885204</v>
      </c>
      <c r="G432" s="60">
        <v>0.56011564437285299</v>
      </c>
      <c r="H432" s="61">
        <v>4.2391525423728798</v>
      </c>
      <c r="I432" s="63">
        <v>4.26</v>
      </c>
      <c r="J432" s="58">
        <v>2.0847457627120036E-2</v>
      </c>
      <c r="K432" s="58">
        <v>0.49178361520934089</v>
      </c>
      <c r="L432" s="1" t="s">
        <v>23</v>
      </c>
      <c r="M432" s="1">
        <v>3</v>
      </c>
    </row>
    <row r="433" spans="1:13" x14ac:dyDescent="0.3">
      <c r="A433">
        <v>10</v>
      </c>
      <c r="B433">
        <v>1</v>
      </c>
      <c r="C433" t="s">
        <v>78</v>
      </c>
      <c r="D433" s="1" t="s">
        <v>1</v>
      </c>
      <c r="E433" s="59" t="s">
        <v>18</v>
      </c>
      <c r="F433" s="60">
        <v>0.92411764705882304</v>
      </c>
      <c r="G433" s="60">
        <v>0.11694940200684099</v>
      </c>
      <c r="H433" s="61">
        <v>0.94799999999999995</v>
      </c>
      <c r="I433" s="63">
        <v>1.27</v>
      </c>
      <c r="J433" s="58">
        <v>0.32200000000000006</v>
      </c>
      <c r="K433" s="58">
        <v>33.966244725738406</v>
      </c>
      <c r="L433" s="1" t="s">
        <v>23</v>
      </c>
      <c r="M433" s="1">
        <v>3</v>
      </c>
    </row>
    <row r="434" spans="1:13" x14ac:dyDescent="0.3">
      <c r="A434">
        <v>10</v>
      </c>
      <c r="B434">
        <v>1</v>
      </c>
      <c r="C434" t="s">
        <v>78</v>
      </c>
      <c r="D434" s="1" t="s">
        <v>1</v>
      </c>
      <c r="E434" s="59" t="s">
        <v>19</v>
      </c>
      <c r="F434" s="60">
        <v>1.3292647058823499</v>
      </c>
      <c r="G434" s="60">
        <v>0.194083943152491</v>
      </c>
      <c r="H434" s="61">
        <v>1.36287878787878</v>
      </c>
      <c r="I434" s="63">
        <v>1.64</v>
      </c>
      <c r="J434" s="58">
        <v>0.27712121212121987</v>
      </c>
      <c r="K434" s="58">
        <v>20.333518621457049</v>
      </c>
      <c r="L434" s="1" t="s">
        <v>23</v>
      </c>
      <c r="M434" s="1">
        <v>3</v>
      </c>
    </row>
    <row r="435" spans="1:13" x14ac:dyDescent="0.3">
      <c r="A435">
        <v>10</v>
      </c>
      <c r="B435">
        <v>1</v>
      </c>
      <c r="C435" t="s">
        <v>78</v>
      </c>
      <c r="D435" s="1" t="s">
        <v>1</v>
      </c>
      <c r="E435" s="59" t="s">
        <v>12</v>
      </c>
      <c r="F435" s="60"/>
      <c r="G435" s="60"/>
      <c r="H435" s="61"/>
      <c r="I435" s="63"/>
      <c r="J435" s="58"/>
      <c r="K435" s="58"/>
      <c r="L435" s="1" t="s">
        <v>68</v>
      </c>
      <c r="M435" s="1">
        <v>3</v>
      </c>
    </row>
    <row r="436" spans="1:13" x14ac:dyDescent="0.3">
      <c r="A436">
        <v>10</v>
      </c>
      <c r="B436">
        <v>1</v>
      </c>
      <c r="C436" t="s">
        <v>78</v>
      </c>
      <c r="D436" s="1" t="s">
        <v>1</v>
      </c>
      <c r="E436" s="59" t="s">
        <v>13</v>
      </c>
      <c r="F436" s="60">
        <v>2.27132352941176</v>
      </c>
      <c r="G436" s="60">
        <v>0.25393899459472202</v>
      </c>
      <c r="H436" s="61">
        <v>2.31424242424242</v>
      </c>
      <c r="I436" s="63">
        <v>2.38</v>
      </c>
      <c r="J436" s="58">
        <v>6.57575757575799E-2</v>
      </c>
      <c r="K436" s="58">
        <v>2.8414298808434473</v>
      </c>
      <c r="L436" s="1" t="s">
        <v>68</v>
      </c>
      <c r="M436" s="1">
        <v>3</v>
      </c>
    </row>
    <row r="437" spans="1:13" x14ac:dyDescent="0.3">
      <c r="A437">
        <v>10</v>
      </c>
      <c r="B437">
        <v>1</v>
      </c>
      <c r="C437" t="s">
        <v>78</v>
      </c>
      <c r="D437" s="1" t="s">
        <v>1</v>
      </c>
      <c r="E437" s="59" t="s">
        <v>14</v>
      </c>
      <c r="F437" s="60">
        <v>3.91455882352941</v>
      </c>
      <c r="G437" s="60">
        <v>0.32794562777247999</v>
      </c>
      <c r="H437" s="61">
        <v>3.97384615384615</v>
      </c>
      <c r="I437" s="63">
        <v>3.96</v>
      </c>
      <c r="J437" s="58">
        <v>-1.3846153846150067E-2</v>
      </c>
      <c r="K437" s="58">
        <v>-0.34843205574903419</v>
      </c>
      <c r="L437" s="1" t="s">
        <v>68</v>
      </c>
      <c r="M437" s="1">
        <v>3</v>
      </c>
    </row>
    <row r="438" spans="1:13" x14ac:dyDescent="0.3">
      <c r="A438">
        <v>10</v>
      </c>
      <c r="B438">
        <v>1</v>
      </c>
      <c r="C438" t="s">
        <v>78</v>
      </c>
      <c r="D438" s="1" t="s">
        <v>1</v>
      </c>
      <c r="E438" s="59" t="s">
        <v>15</v>
      </c>
      <c r="F438" s="60">
        <v>3.6765671641791</v>
      </c>
      <c r="G438" s="60">
        <v>0.41439959170874602</v>
      </c>
      <c r="H438" s="61">
        <v>3.74</v>
      </c>
      <c r="I438" s="63">
        <v>3.68</v>
      </c>
      <c r="J438" s="58">
        <v>-6.0000000000000053E-2</v>
      </c>
      <c r="K438" s="58">
        <v>-1.6042780748663115</v>
      </c>
      <c r="L438" s="1" t="s">
        <v>68</v>
      </c>
      <c r="M438" s="1">
        <v>3</v>
      </c>
    </row>
    <row r="439" spans="1:13" x14ac:dyDescent="0.3">
      <c r="A439">
        <v>10</v>
      </c>
      <c r="B439">
        <v>1</v>
      </c>
      <c r="C439" t="s">
        <v>78</v>
      </c>
      <c r="D439" s="1" t="s">
        <v>1</v>
      </c>
      <c r="E439" s="59" t="s">
        <v>16</v>
      </c>
      <c r="F439" s="60">
        <v>2.0735820895522301</v>
      </c>
      <c r="G439" s="60">
        <v>0.19108255223533099</v>
      </c>
      <c r="H439" s="61">
        <v>2.09696969696969</v>
      </c>
      <c r="I439" s="63">
        <v>2.14</v>
      </c>
      <c r="J439" s="58">
        <v>4.303030303031008E-2</v>
      </c>
      <c r="K439" s="58">
        <v>2.0520231213876259</v>
      </c>
      <c r="L439" s="1" t="s">
        <v>68</v>
      </c>
      <c r="M439" s="1">
        <v>3</v>
      </c>
    </row>
    <row r="440" spans="1:13" x14ac:dyDescent="0.3">
      <c r="A440">
        <v>10</v>
      </c>
      <c r="B440">
        <v>1</v>
      </c>
      <c r="C440" t="s">
        <v>78</v>
      </c>
      <c r="D440" s="1" t="s">
        <v>1</v>
      </c>
      <c r="E440" s="59" t="s">
        <v>17</v>
      </c>
      <c r="F440" s="60">
        <v>4.1518032786885204</v>
      </c>
      <c r="G440" s="60">
        <v>0.56011564437285299</v>
      </c>
      <c r="H440" s="61">
        <v>4.2391525423728798</v>
      </c>
      <c r="I440" s="63">
        <v>4.1100000000000003</v>
      </c>
      <c r="J440" s="58">
        <v>-0.12915254237287943</v>
      </c>
      <c r="K440" s="58">
        <v>-3.0466594698332292</v>
      </c>
      <c r="L440" s="1" t="s">
        <v>68</v>
      </c>
      <c r="M440" s="1">
        <v>3</v>
      </c>
    </row>
    <row r="441" spans="1:13" x14ac:dyDescent="0.3">
      <c r="A441">
        <v>10</v>
      </c>
      <c r="B441">
        <v>1</v>
      </c>
      <c r="C441" t="s">
        <v>78</v>
      </c>
      <c r="D441" s="1" t="s">
        <v>1</v>
      </c>
      <c r="E441" s="59" t="s">
        <v>18</v>
      </c>
      <c r="F441" s="60">
        <v>0.92411764705882304</v>
      </c>
      <c r="G441" s="60">
        <v>0.11694940200684099</v>
      </c>
      <c r="H441" s="61">
        <v>0.94799999999999995</v>
      </c>
      <c r="I441" s="63">
        <v>1.1399999999999999</v>
      </c>
      <c r="J441" s="58">
        <v>0.19199999999999995</v>
      </c>
      <c r="K441" s="58">
        <v>20.253164556962023</v>
      </c>
      <c r="L441" s="1" t="s">
        <v>68</v>
      </c>
      <c r="M441" s="1">
        <v>3</v>
      </c>
    </row>
    <row r="442" spans="1:13" x14ac:dyDescent="0.3">
      <c r="A442">
        <v>10</v>
      </c>
      <c r="B442">
        <v>1</v>
      </c>
      <c r="C442" t="s">
        <v>78</v>
      </c>
      <c r="D442" s="1" t="s">
        <v>1</v>
      </c>
      <c r="E442" s="59" t="s">
        <v>19</v>
      </c>
      <c r="F442" s="60">
        <v>1.3292647058823499</v>
      </c>
      <c r="G442" s="60">
        <v>0.194083943152491</v>
      </c>
      <c r="H442" s="61">
        <v>1.36287878787878</v>
      </c>
      <c r="I442" s="63">
        <v>1.5</v>
      </c>
      <c r="J442" s="58">
        <v>0.13712121212121997</v>
      </c>
      <c r="K442" s="58">
        <v>10.061145080600967</v>
      </c>
      <c r="L442" s="1" t="s">
        <v>68</v>
      </c>
      <c r="M442" s="1">
        <v>3</v>
      </c>
    </row>
    <row r="443" spans="1:13" x14ac:dyDescent="0.3">
      <c r="A443">
        <v>10</v>
      </c>
      <c r="B443">
        <v>1</v>
      </c>
      <c r="C443" t="s">
        <v>78</v>
      </c>
      <c r="D443" s="1" t="s">
        <v>1</v>
      </c>
      <c r="E443" s="59" t="s">
        <v>12</v>
      </c>
      <c r="F443" s="60"/>
      <c r="G443" s="60"/>
      <c r="H443" s="61"/>
      <c r="I443" s="63"/>
      <c r="J443" s="58"/>
      <c r="K443" s="58"/>
      <c r="L443" s="1" t="s">
        <v>69</v>
      </c>
      <c r="M443" s="1">
        <v>3</v>
      </c>
    </row>
    <row r="444" spans="1:13" x14ac:dyDescent="0.3">
      <c r="A444">
        <v>10</v>
      </c>
      <c r="B444">
        <v>1</v>
      </c>
      <c r="C444" t="s">
        <v>78</v>
      </c>
      <c r="D444" s="1" t="s">
        <v>1</v>
      </c>
      <c r="E444" s="59" t="s">
        <v>13</v>
      </c>
      <c r="F444" s="60">
        <v>2.27132352941176</v>
      </c>
      <c r="G444" s="60">
        <v>0.25393899459472202</v>
      </c>
      <c r="H444" s="61">
        <v>2.31424242424242</v>
      </c>
      <c r="I444" s="63">
        <v>2.44</v>
      </c>
      <c r="J444" s="58">
        <v>0.12575757575757995</v>
      </c>
      <c r="K444" s="58">
        <v>5.434070970276478</v>
      </c>
      <c r="L444" s="1" t="s">
        <v>69</v>
      </c>
      <c r="M444" s="1">
        <v>3</v>
      </c>
    </row>
    <row r="445" spans="1:13" x14ac:dyDescent="0.3">
      <c r="A445">
        <v>10</v>
      </c>
      <c r="B445">
        <v>1</v>
      </c>
      <c r="C445" t="s">
        <v>78</v>
      </c>
      <c r="D445" s="1" t="s">
        <v>1</v>
      </c>
      <c r="E445" s="59" t="s">
        <v>14</v>
      </c>
      <c r="F445" s="60">
        <v>3.91455882352941</v>
      </c>
      <c r="G445" s="60">
        <v>0.32794562777247999</v>
      </c>
      <c r="H445" s="61">
        <v>3.97384615384615</v>
      </c>
      <c r="I445" s="63">
        <v>3.99</v>
      </c>
      <c r="J445" s="58">
        <v>1.6153846153850182E-2</v>
      </c>
      <c r="K445" s="58">
        <v>0.4065040650407522</v>
      </c>
      <c r="L445" s="1" t="s">
        <v>69</v>
      </c>
      <c r="M445" s="1">
        <v>3</v>
      </c>
    </row>
    <row r="446" spans="1:13" x14ac:dyDescent="0.3">
      <c r="A446">
        <v>10</v>
      </c>
      <c r="B446">
        <v>1</v>
      </c>
      <c r="C446" t="s">
        <v>78</v>
      </c>
      <c r="D446" s="1" t="s">
        <v>1</v>
      </c>
      <c r="E446" s="59" t="s">
        <v>15</v>
      </c>
      <c r="F446" s="60">
        <v>3.6765671641791</v>
      </c>
      <c r="G446" s="60">
        <v>0.41439959170874602</v>
      </c>
      <c r="H446" s="61">
        <v>3.74</v>
      </c>
      <c r="I446" s="63">
        <v>3.75</v>
      </c>
      <c r="J446" s="58">
        <v>9.9999999999997868E-3</v>
      </c>
      <c r="K446" s="58">
        <v>0.26737967914437932</v>
      </c>
      <c r="L446" s="1" t="s">
        <v>69</v>
      </c>
      <c r="M446" s="1">
        <v>3</v>
      </c>
    </row>
    <row r="447" spans="1:13" x14ac:dyDescent="0.3">
      <c r="A447">
        <v>10</v>
      </c>
      <c r="B447">
        <v>1</v>
      </c>
      <c r="C447" t="s">
        <v>78</v>
      </c>
      <c r="D447" s="1" t="s">
        <v>1</v>
      </c>
      <c r="E447" s="59" t="s">
        <v>16</v>
      </c>
      <c r="F447" s="60">
        <v>2.0735820895522301</v>
      </c>
      <c r="G447" s="60">
        <v>0.19108255223533099</v>
      </c>
      <c r="H447" s="61">
        <v>2.09696969696969</v>
      </c>
      <c r="I447" s="63">
        <v>2.2000000000000002</v>
      </c>
      <c r="J447" s="58">
        <v>0.10303030303031013</v>
      </c>
      <c r="K447" s="58">
        <v>4.9132947976882164</v>
      </c>
      <c r="L447" s="1" t="s">
        <v>69</v>
      </c>
      <c r="M447" s="1">
        <v>3</v>
      </c>
    </row>
    <row r="448" spans="1:13" x14ac:dyDescent="0.3">
      <c r="A448">
        <v>10</v>
      </c>
      <c r="B448">
        <v>1</v>
      </c>
      <c r="C448" t="s">
        <v>78</v>
      </c>
      <c r="D448" s="1" t="s">
        <v>1</v>
      </c>
      <c r="E448" s="59" t="s">
        <v>17</v>
      </c>
      <c r="F448" s="60">
        <v>4.1518032786885204</v>
      </c>
      <c r="G448" s="60">
        <v>0.56011564437285299</v>
      </c>
      <c r="H448" s="61">
        <v>4.2391525423728798</v>
      </c>
      <c r="I448" s="63">
        <v>4.25</v>
      </c>
      <c r="J448" s="58">
        <v>1.0847457627120249E-2</v>
      </c>
      <c r="K448" s="58">
        <v>0.25588740953984046</v>
      </c>
      <c r="L448" s="1" t="s">
        <v>69</v>
      </c>
      <c r="M448" s="1">
        <v>3</v>
      </c>
    </row>
    <row r="449" spans="1:13" x14ac:dyDescent="0.3">
      <c r="A449">
        <v>10</v>
      </c>
      <c r="B449">
        <v>1</v>
      </c>
      <c r="C449" t="s">
        <v>78</v>
      </c>
      <c r="D449" s="1" t="s">
        <v>1</v>
      </c>
      <c r="E449" s="59" t="s">
        <v>18</v>
      </c>
      <c r="F449" s="60">
        <v>0.92411764705882304</v>
      </c>
      <c r="G449" s="60">
        <v>0.11694940200684099</v>
      </c>
      <c r="H449" s="61">
        <v>0.94799999999999995</v>
      </c>
      <c r="I449" s="63">
        <v>1.1599999999999999</v>
      </c>
      <c r="J449" s="58">
        <v>0.21199999999999997</v>
      </c>
      <c r="K449" s="58">
        <v>22.362869198312236</v>
      </c>
      <c r="L449" s="1" t="s">
        <v>69</v>
      </c>
      <c r="M449" s="1">
        <v>3</v>
      </c>
    </row>
    <row r="450" spans="1:13" x14ac:dyDescent="0.3">
      <c r="A450">
        <v>10</v>
      </c>
      <c r="B450">
        <v>1</v>
      </c>
      <c r="C450" t="s">
        <v>78</v>
      </c>
      <c r="D450" s="1" t="s">
        <v>1</v>
      </c>
      <c r="E450" s="59" t="s">
        <v>19</v>
      </c>
      <c r="F450" s="60">
        <v>1.3292647058823499</v>
      </c>
      <c r="G450" s="60">
        <v>0.194083943152491</v>
      </c>
      <c r="H450" s="61">
        <v>1.36287878787878</v>
      </c>
      <c r="I450" s="63">
        <v>1.51</v>
      </c>
      <c r="J450" s="58">
        <v>0.14712121212121998</v>
      </c>
      <c r="K450" s="58">
        <v>10.794886047804974</v>
      </c>
      <c r="L450" s="1" t="s">
        <v>69</v>
      </c>
      <c r="M450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7297-2774-46C3-8AB4-1B16A0DA4F4F}">
  <dimension ref="A1:M225"/>
  <sheetViews>
    <sheetView workbookViewId="0">
      <selection activeCell="H227" sqref="H227"/>
    </sheetView>
  </sheetViews>
  <sheetFormatPr defaultColWidth="8.88671875" defaultRowHeight="14.4" x14ac:dyDescent="0.3"/>
  <cols>
    <col min="1" max="1" width="18.6640625" customWidth="1"/>
  </cols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78</v>
      </c>
      <c r="D2" s="1" t="s">
        <v>1</v>
      </c>
      <c r="E2" s="59" t="s">
        <v>12</v>
      </c>
      <c r="F2" s="60">
        <v>2.8996153846153825</v>
      </c>
      <c r="G2" s="60">
        <v>0.45088624073154854</v>
      </c>
      <c r="H2" s="61">
        <v>3</v>
      </c>
      <c r="I2" s="62">
        <v>3.04</v>
      </c>
      <c r="J2" s="37">
        <v>0.04</v>
      </c>
      <c r="K2" s="37">
        <v>1.35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78</v>
      </c>
      <c r="D3" s="1" t="s">
        <v>1</v>
      </c>
      <c r="E3" s="59" t="s">
        <v>13</v>
      </c>
      <c r="F3" s="60">
        <v>4.2383999999999959</v>
      </c>
      <c r="G3" s="60">
        <v>0.66287741880521744</v>
      </c>
      <c r="H3" s="61">
        <v>4.3899999999999997</v>
      </c>
      <c r="I3" s="62">
        <v>4.01</v>
      </c>
      <c r="J3" s="37">
        <v>-0.38</v>
      </c>
      <c r="K3" s="37">
        <v>-8.69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78</v>
      </c>
      <c r="D4" s="1" t="s">
        <v>1</v>
      </c>
      <c r="E4" s="59" t="s">
        <v>14</v>
      </c>
      <c r="F4" s="60">
        <v>5.0367307692307577</v>
      </c>
      <c r="G4" s="60">
        <v>0.79596803070771771</v>
      </c>
      <c r="H4" s="61">
        <v>5.3</v>
      </c>
      <c r="I4" s="62">
        <v>5.24</v>
      </c>
      <c r="J4" s="37">
        <v>-0.06</v>
      </c>
      <c r="K4" s="37">
        <v>-1.08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78</v>
      </c>
      <c r="D5" s="1" t="s">
        <v>1</v>
      </c>
      <c r="E5" s="59" t="s">
        <v>15</v>
      </c>
      <c r="F5" s="60">
        <v>5.1010628019323656</v>
      </c>
      <c r="G5" s="60">
        <v>1.2207612740703133</v>
      </c>
      <c r="H5" s="61">
        <v>5.46</v>
      </c>
      <c r="I5" s="62">
        <v>5.77</v>
      </c>
      <c r="J5" s="37">
        <v>0.31</v>
      </c>
      <c r="K5" s="37">
        <v>5.61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78</v>
      </c>
      <c r="D6" s="1" t="s">
        <v>1</v>
      </c>
      <c r="E6" s="59" t="s">
        <v>16</v>
      </c>
      <c r="F6" s="60">
        <v>4.0803864734299546</v>
      </c>
      <c r="G6" s="60">
        <v>0.77704996366367296</v>
      </c>
      <c r="H6" s="61">
        <v>4.32</v>
      </c>
      <c r="I6" s="62">
        <v>4.1900000000000004</v>
      </c>
      <c r="J6" s="37">
        <v>-0.13</v>
      </c>
      <c r="K6" s="37">
        <v>-3.07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78</v>
      </c>
      <c r="D7" s="1" t="s">
        <v>1</v>
      </c>
      <c r="E7" s="59" t="s">
        <v>17</v>
      </c>
      <c r="F7" s="60">
        <v>4.5046634615384624</v>
      </c>
      <c r="G7" s="60">
        <v>0.93894373906635575</v>
      </c>
      <c r="H7" s="61">
        <v>4.79</v>
      </c>
      <c r="I7" s="62">
        <v>4.38</v>
      </c>
      <c r="J7" s="37">
        <v>-0.41</v>
      </c>
      <c r="K7" s="37">
        <v>-8.65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78</v>
      </c>
      <c r="D8" s="1" t="s">
        <v>1</v>
      </c>
      <c r="E8" s="59" t="s">
        <v>18</v>
      </c>
      <c r="F8" s="60">
        <v>1.7265686274509802</v>
      </c>
      <c r="G8" s="60">
        <v>0.1927580228306843</v>
      </c>
      <c r="H8" s="61">
        <v>1.75</v>
      </c>
      <c r="I8" s="62">
        <v>1.55</v>
      </c>
      <c r="J8" s="37">
        <v>-0.2</v>
      </c>
      <c r="K8" s="37">
        <v>-11.58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78</v>
      </c>
      <c r="D9" s="1" t="s">
        <v>1</v>
      </c>
      <c r="E9" s="59" t="s">
        <v>19</v>
      </c>
      <c r="F9" s="60">
        <v>2.3231067961165039</v>
      </c>
      <c r="G9" s="60">
        <v>0.39559779803135081</v>
      </c>
      <c r="H9" s="61">
        <v>2.27</v>
      </c>
      <c r="I9" s="62">
        <v>2.41</v>
      </c>
      <c r="J9" s="37">
        <v>0.14000000000000001</v>
      </c>
      <c r="K9" s="37">
        <v>6.08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78</v>
      </c>
      <c r="D10" s="1" t="s">
        <v>1</v>
      </c>
      <c r="E10" s="59" t="s">
        <v>12</v>
      </c>
      <c r="F10" s="60">
        <v>2.8996153846153825</v>
      </c>
      <c r="G10" s="60">
        <v>0.45088624073154854</v>
      </c>
      <c r="H10" s="61">
        <v>3</v>
      </c>
      <c r="I10" s="62">
        <v>2.99</v>
      </c>
      <c r="J10" s="37">
        <v>-0.01</v>
      </c>
      <c r="K10" s="37">
        <v>-0.32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78</v>
      </c>
      <c r="D11" s="1" t="s">
        <v>1</v>
      </c>
      <c r="E11" s="59" t="s">
        <v>13</v>
      </c>
      <c r="F11" s="60">
        <v>4.2383999999999959</v>
      </c>
      <c r="G11" s="60">
        <v>0.66287741880521744</v>
      </c>
      <c r="H11" s="61">
        <v>4.3899999999999997</v>
      </c>
      <c r="I11" s="62">
        <v>4.18</v>
      </c>
      <c r="J11" s="37">
        <v>-0.21</v>
      </c>
      <c r="K11" s="37">
        <v>-4.82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78</v>
      </c>
      <c r="D12" s="1" t="s">
        <v>1</v>
      </c>
      <c r="E12" s="59" t="s">
        <v>14</v>
      </c>
      <c r="F12" s="60">
        <v>5.0367307692307577</v>
      </c>
      <c r="G12" s="60">
        <v>0.79596803070771771</v>
      </c>
      <c r="H12" s="61">
        <v>5.3</v>
      </c>
      <c r="I12" s="62">
        <v>5.28</v>
      </c>
      <c r="J12" s="37">
        <v>-0.02</v>
      </c>
      <c r="K12" s="37">
        <v>-0.33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78</v>
      </c>
      <c r="D13" s="1" t="s">
        <v>1</v>
      </c>
      <c r="E13" s="59" t="s">
        <v>15</v>
      </c>
      <c r="F13" s="60">
        <v>5.1010628019323656</v>
      </c>
      <c r="G13" s="60">
        <v>1.2207612740703133</v>
      </c>
      <c r="H13" s="61">
        <v>5.46</v>
      </c>
      <c r="I13" s="62">
        <v>5.69</v>
      </c>
      <c r="J13" s="37">
        <v>0.23</v>
      </c>
      <c r="K13" s="37">
        <v>4.1500000000000004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78</v>
      </c>
      <c r="D14" s="1" t="s">
        <v>1</v>
      </c>
      <c r="E14" s="59" t="s">
        <v>16</v>
      </c>
      <c r="F14" s="60">
        <v>4.0803864734299546</v>
      </c>
      <c r="G14" s="60">
        <v>0.77704996366367296</v>
      </c>
      <c r="H14" s="61">
        <v>4.32</v>
      </c>
      <c r="I14" s="62">
        <v>4.22</v>
      </c>
      <c r="J14" s="37">
        <v>-0.1</v>
      </c>
      <c r="K14" s="37">
        <v>-2.37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78</v>
      </c>
      <c r="D15" s="1" t="s">
        <v>1</v>
      </c>
      <c r="E15" s="59" t="s">
        <v>17</v>
      </c>
      <c r="F15" s="60">
        <v>4.5046634615384624</v>
      </c>
      <c r="G15" s="60">
        <v>0.93894373906635575</v>
      </c>
      <c r="H15" s="61">
        <v>4.79</v>
      </c>
      <c r="I15" s="62">
        <v>4.3899999999999997</v>
      </c>
      <c r="J15" s="37">
        <v>-0.4</v>
      </c>
      <c r="K15" s="37">
        <v>-8.44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78</v>
      </c>
      <c r="D16" s="1" t="s">
        <v>1</v>
      </c>
      <c r="E16" s="59" t="s">
        <v>18</v>
      </c>
      <c r="F16" s="60">
        <v>1.7265686274509802</v>
      </c>
      <c r="G16" s="60">
        <v>0.1927580228306843</v>
      </c>
      <c r="H16" s="61">
        <v>1.75</v>
      </c>
      <c r="I16" s="62">
        <v>1.62</v>
      </c>
      <c r="J16" s="37">
        <v>-0.13</v>
      </c>
      <c r="K16" s="37">
        <v>-7.59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78</v>
      </c>
      <c r="D17" s="1" t="s">
        <v>1</v>
      </c>
      <c r="E17" s="59" t="s">
        <v>19</v>
      </c>
      <c r="F17" s="60">
        <v>2.3231067961165039</v>
      </c>
      <c r="G17" s="60">
        <v>0.39559779803135081</v>
      </c>
      <c r="H17" s="61">
        <v>2.27</v>
      </c>
      <c r="I17" s="62">
        <v>2.44</v>
      </c>
      <c r="J17" s="37">
        <v>0.17</v>
      </c>
      <c r="K17" s="37">
        <v>7.4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78</v>
      </c>
      <c r="D18" s="1" t="s">
        <v>1</v>
      </c>
      <c r="E18" s="59" t="s">
        <v>12</v>
      </c>
      <c r="F18" s="60">
        <v>2.8996153846153825</v>
      </c>
      <c r="G18" s="60">
        <v>0.45088624073154854</v>
      </c>
      <c r="H18" s="61">
        <v>3</v>
      </c>
      <c r="I18" s="62">
        <v>2.99</v>
      </c>
      <c r="J18" s="37">
        <v>-0.01</v>
      </c>
      <c r="K18" s="37">
        <v>-0.32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78</v>
      </c>
      <c r="D19" s="1" t="s">
        <v>1</v>
      </c>
      <c r="E19" s="59" t="s">
        <v>13</v>
      </c>
      <c r="F19" s="60">
        <v>4.2383999999999959</v>
      </c>
      <c r="G19" s="60">
        <v>0.66287741880521744</v>
      </c>
      <c r="H19" s="61">
        <v>4.3899999999999997</v>
      </c>
      <c r="I19" s="62">
        <v>4.1900000000000004</v>
      </c>
      <c r="J19" s="37">
        <v>-0.2</v>
      </c>
      <c r="K19" s="37">
        <v>-4.59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78</v>
      </c>
      <c r="D20" s="1" t="s">
        <v>1</v>
      </c>
      <c r="E20" s="59" t="s">
        <v>14</v>
      </c>
      <c r="F20" s="60">
        <v>5.0367307692307577</v>
      </c>
      <c r="G20" s="60">
        <v>0.79596803070771771</v>
      </c>
      <c r="H20" s="61">
        <v>5.3</v>
      </c>
      <c r="I20" s="62">
        <v>5.3</v>
      </c>
      <c r="J20" s="37">
        <v>0</v>
      </c>
      <c r="K20" s="37">
        <v>0.05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78</v>
      </c>
      <c r="D21" s="1" t="s">
        <v>1</v>
      </c>
      <c r="E21" s="59" t="s">
        <v>15</v>
      </c>
      <c r="F21" s="60">
        <v>5.1010628019323656</v>
      </c>
      <c r="G21" s="60">
        <v>1.2207612740703133</v>
      </c>
      <c r="H21" s="61">
        <v>5.46</v>
      </c>
      <c r="I21" s="62">
        <v>5.73</v>
      </c>
      <c r="J21" s="37">
        <v>0.27</v>
      </c>
      <c r="K21" s="37">
        <v>4.88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78</v>
      </c>
      <c r="D22" s="1" t="s">
        <v>1</v>
      </c>
      <c r="E22" s="59" t="s">
        <v>16</v>
      </c>
      <c r="F22" s="60">
        <v>4.0803864734299546</v>
      </c>
      <c r="G22" s="60">
        <v>0.77704996366367296</v>
      </c>
      <c r="H22" s="61">
        <v>4.32</v>
      </c>
      <c r="I22" s="62">
        <v>4.24</v>
      </c>
      <c r="J22" s="37">
        <v>-0.08</v>
      </c>
      <c r="K22" s="37">
        <v>-1.91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78</v>
      </c>
      <c r="D23" s="1" t="s">
        <v>1</v>
      </c>
      <c r="E23" s="59" t="s">
        <v>17</v>
      </c>
      <c r="F23" s="60">
        <v>4.5046634615384624</v>
      </c>
      <c r="G23" s="60">
        <v>0.93894373906635575</v>
      </c>
      <c r="H23" s="61">
        <v>4.79</v>
      </c>
      <c r="I23" s="62">
        <v>4.45</v>
      </c>
      <c r="J23" s="37">
        <v>-0.34</v>
      </c>
      <c r="K23" s="37">
        <v>-7.19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78</v>
      </c>
      <c r="D24" s="1" t="s">
        <v>1</v>
      </c>
      <c r="E24" s="59" t="s">
        <v>18</v>
      </c>
      <c r="F24" s="60">
        <v>1.7265686274509802</v>
      </c>
      <c r="G24" s="60">
        <v>0.1927580228306843</v>
      </c>
      <c r="H24" s="61">
        <v>1.75</v>
      </c>
      <c r="I24" s="62">
        <v>1.61</v>
      </c>
      <c r="J24" s="37">
        <v>-0.14000000000000001</v>
      </c>
      <c r="K24" s="37">
        <v>-8.16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78</v>
      </c>
      <c r="D25" s="1" t="s">
        <v>1</v>
      </c>
      <c r="E25" s="59" t="s">
        <v>19</v>
      </c>
      <c r="F25" s="60">
        <v>2.3231067961165039</v>
      </c>
      <c r="G25" s="60">
        <v>0.39559779803135081</v>
      </c>
      <c r="H25" s="61">
        <v>2.27</v>
      </c>
      <c r="I25" s="62">
        <v>2.42</v>
      </c>
      <c r="J25" s="37">
        <v>0.15</v>
      </c>
      <c r="K25" s="37">
        <v>6.52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78</v>
      </c>
      <c r="D27" s="1" t="s">
        <v>1</v>
      </c>
      <c r="E27" s="59" t="s">
        <v>12</v>
      </c>
      <c r="F27" s="60">
        <v>2.95885714285714</v>
      </c>
      <c r="G27" s="60">
        <v>0.32759357597548899</v>
      </c>
      <c r="H27" s="61">
        <v>3</v>
      </c>
      <c r="I27" s="62">
        <v>3.04</v>
      </c>
      <c r="J27" s="37">
        <v>0.04</v>
      </c>
      <c r="K27" s="37">
        <v>1.32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78</v>
      </c>
      <c r="D28" s="1" t="s">
        <v>1</v>
      </c>
      <c r="E28" s="59" t="s">
        <v>13</v>
      </c>
      <c r="F28" s="60">
        <v>4.3125308641975204</v>
      </c>
      <c r="G28" s="60">
        <v>0.42500299451144702</v>
      </c>
      <c r="H28" s="61">
        <v>4.3899999999999997</v>
      </c>
      <c r="I28" s="62">
        <v>4.01</v>
      </c>
      <c r="J28" s="37">
        <v>-0.38</v>
      </c>
      <c r="K28" s="37">
        <v>-8.56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78</v>
      </c>
      <c r="D29" s="1" t="s">
        <v>1</v>
      </c>
      <c r="E29" s="59" t="s">
        <v>14</v>
      </c>
      <c r="F29" s="60">
        <v>5.07419540229884</v>
      </c>
      <c r="G29" s="60">
        <v>0.85627178168896401</v>
      </c>
      <c r="H29" s="61">
        <v>5.28</v>
      </c>
      <c r="I29" s="62">
        <v>5.24</v>
      </c>
      <c r="J29" s="37">
        <v>-0.04</v>
      </c>
      <c r="K29" s="37">
        <v>-0.69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78</v>
      </c>
      <c r="D30" s="1" t="s">
        <v>1</v>
      </c>
      <c r="E30" s="59" t="s">
        <v>15</v>
      </c>
      <c r="F30" s="60">
        <v>5.0943749999999897</v>
      </c>
      <c r="G30" s="60">
        <v>1.24436897857088</v>
      </c>
      <c r="H30" s="61">
        <v>5.46</v>
      </c>
      <c r="I30" s="62">
        <v>5.77</v>
      </c>
      <c r="J30" s="37">
        <v>0.31</v>
      </c>
      <c r="K30" s="37">
        <v>5.72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78</v>
      </c>
      <c r="D31" s="1" t="s">
        <v>1</v>
      </c>
      <c r="E31" s="59" t="s">
        <v>16</v>
      </c>
      <c r="F31" s="60">
        <v>4.2281250000000004</v>
      </c>
      <c r="G31" s="60">
        <v>0.48030459825226801</v>
      </c>
      <c r="H31" s="61">
        <v>4.32</v>
      </c>
      <c r="I31" s="62">
        <v>4.1900000000000004</v>
      </c>
      <c r="J31" s="37">
        <v>-0.13</v>
      </c>
      <c r="K31" s="37">
        <v>-3.08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78</v>
      </c>
      <c r="D32" s="1" t="s">
        <v>1</v>
      </c>
      <c r="E32" s="59" t="s">
        <v>17</v>
      </c>
      <c r="F32" s="60">
        <v>4.4652272727272697</v>
      </c>
      <c r="G32" s="60">
        <v>0.94481055974287897</v>
      </c>
      <c r="H32" s="61">
        <v>4.78</v>
      </c>
      <c r="I32" s="62">
        <v>4.38</v>
      </c>
      <c r="J32" s="37">
        <v>-0.4</v>
      </c>
      <c r="K32" s="37">
        <v>-8.43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78</v>
      </c>
      <c r="D33" s="1" t="s">
        <v>1</v>
      </c>
      <c r="E33" s="59" t="s">
        <v>18</v>
      </c>
      <c r="F33" s="60">
        <v>1.7498850574712601</v>
      </c>
      <c r="G33" s="60">
        <v>2.4658320405627401E-2</v>
      </c>
      <c r="H33" s="61">
        <v>1.75</v>
      </c>
      <c r="I33" s="62">
        <v>1.55</v>
      </c>
      <c r="J33" s="37">
        <v>-0.2</v>
      </c>
      <c r="K33" s="37">
        <v>-11.39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78</v>
      </c>
      <c r="D34" s="1" t="s">
        <v>1</v>
      </c>
      <c r="E34" s="59" t="s">
        <v>19</v>
      </c>
      <c r="F34" s="60">
        <v>2.25602272727272</v>
      </c>
      <c r="G34" s="60">
        <v>0.51525708449261898</v>
      </c>
      <c r="H34" s="61">
        <v>2.2799999999999998</v>
      </c>
      <c r="I34" s="62">
        <v>2.41</v>
      </c>
      <c r="J34" s="37">
        <v>0.13</v>
      </c>
      <c r="K34" s="37">
        <v>5.93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78</v>
      </c>
      <c r="D35" s="1" t="s">
        <v>1</v>
      </c>
      <c r="E35" s="59" t="s">
        <v>12</v>
      </c>
      <c r="F35" s="60">
        <v>2.95885714285714</v>
      </c>
      <c r="G35" s="60">
        <v>0.32759357597548899</v>
      </c>
      <c r="H35" s="61">
        <v>3</v>
      </c>
      <c r="I35" s="62">
        <v>2.99</v>
      </c>
      <c r="J35" s="37">
        <v>-0.01</v>
      </c>
      <c r="K35" s="37">
        <v>-0.34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78</v>
      </c>
      <c r="D36" s="1" t="s">
        <v>1</v>
      </c>
      <c r="E36" s="59" t="s">
        <v>13</v>
      </c>
      <c r="F36" s="60">
        <v>4.3125308641975204</v>
      </c>
      <c r="G36" s="60">
        <v>0.42500299451144702</v>
      </c>
      <c r="H36" s="61">
        <v>4.3899999999999997</v>
      </c>
      <c r="I36" s="62">
        <v>4.18</v>
      </c>
      <c r="J36" s="37">
        <v>-0.21</v>
      </c>
      <c r="K36" s="37">
        <v>-4.68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78</v>
      </c>
      <c r="D37" s="1" t="s">
        <v>1</v>
      </c>
      <c r="E37" s="59" t="s">
        <v>14</v>
      </c>
      <c r="F37" s="60">
        <v>5.07419540229884</v>
      </c>
      <c r="G37" s="60">
        <v>0.85627178168896401</v>
      </c>
      <c r="H37" s="61">
        <v>5.28</v>
      </c>
      <c r="I37" s="62">
        <v>5.28</v>
      </c>
      <c r="J37" s="37">
        <v>0</v>
      </c>
      <c r="K37" s="37">
        <v>0.06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78</v>
      </c>
      <c r="D38" s="1" t="s">
        <v>1</v>
      </c>
      <c r="E38" s="59" t="s">
        <v>15</v>
      </c>
      <c r="F38" s="60">
        <v>5.0943749999999897</v>
      </c>
      <c r="G38" s="60">
        <v>1.24436897857088</v>
      </c>
      <c r="H38" s="61">
        <v>5.46</v>
      </c>
      <c r="I38" s="62">
        <v>5.69</v>
      </c>
      <c r="J38" s="37">
        <v>0.23</v>
      </c>
      <c r="K38" s="37">
        <v>4.25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78</v>
      </c>
      <c r="D39" s="1" t="s">
        <v>1</v>
      </c>
      <c r="E39" s="59" t="s">
        <v>16</v>
      </c>
      <c r="F39" s="60">
        <v>4.2281250000000004</v>
      </c>
      <c r="G39" s="60">
        <v>0.48030459825226801</v>
      </c>
      <c r="H39" s="61">
        <v>4.32</v>
      </c>
      <c r="I39" s="62">
        <v>4.22</v>
      </c>
      <c r="J39" s="37">
        <v>-0.1</v>
      </c>
      <c r="K39" s="37">
        <v>-2.39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78</v>
      </c>
      <c r="D40" s="1" t="s">
        <v>1</v>
      </c>
      <c r="E40" s="59" t="s">
        <v>17</v>
      </c>
      <c r="F40" s="60">
        <v>4.4652272727272697</v>
      </c>
      <c r="G40" s="60">
        <v>0.94481055974287897</v>
      </c>
      <c r="H40" s="61">
        <v>4.78</v>
      </c>
      <c r="I40" s="62">
        <v>4.3899999999999997</v>
      </c>
      <c r="J40" s="37">
        <v>-0.39</v>
      </c>
      <c r="K40" s="37">
        <v>-8.2200000000000006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78</v>
      </c>
      <c r="D41" s="1" t="s">
        <v>1</v>
      </c>
      <c r="E41" s="59" t="s">
        <v>18</v>
      </c>
      <c r="F41" s="60">
        <v>1.7498850574712601</v>
      </c>
      <c r="G41" s="60">
        <v>2.4658320405627401E-2</v>
      </c>
      <c r="H41" s="61">
        <v>1.75</v>
      </c>
      <c r="I41" s="62">
        <v>1.62</v>
      </c>
      <c r="J41" s="37">
        <v>-0.13</v>
      </c>
      <c r="K41" s="37">
        <v>-7.39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78</v>
      </c>
      <c r="D42" s="1" t="s">
        <v>1</v>
      </c>
      <c r="E42" s="59" t="s">
        <v>19</v>
      </c>
      <c r="F42" s="60">
        <v>2.25602272727272</v>
      </c>
      <c r="G42" s="60">
        <v>0.51525708449261898</v>
      </c>
      <c r="H42" s="61">
        <v>2.2799999999999998</v>
      </c>
      <c r="I42" s="62">
        <v>2.44</v>
      </c>
      <c r="J42" s="37">
        <v>0.16</v>
      </c>
      <c r="K42" s="37">
        <v>7.25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78</v>
      </c>
      <c r="D43" s="1" t="s">
        <v>1</v>
      </c>
      <c r="E43" s="59" t="s">
        <v>12</v>
      </c>
      <c r="F43" s="60">
        <v>2.95885714285714</v>
      </c>
      <c r="G43" s="60">
        <v>0.32759357597548899</v>
      </c>
      <c r="H43" s="61">
        <v>3</v>
      </c>
      <c r="I43" s="62">
        <v>2.99</v>
      </c>
      <c r="J43" s="37">
        <v>-0.01</v>
      </c>
      <c r="K43" s="37">
        <v>-0.34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78</v>
      </c>
      <c r="D44" s="1" t="s">
        <v>1</v>
      </c>
      <c r="E44" s="59" t="s">
        <v>13</v>
      </c>
      <c r="F44" s="60">
        <v>4.3125308641975204</v>
      </c>
      <c r="G44" s="60">
        <v>0.42500299451144702</v>
      </c>
      <c r="H44" s="61">
        <v>4.3899999999999997</v>
      </c>
      <c r="I44" s="62">
        <v>4.1900000000000004</v>
      </c>
      <c r="J44" s="37">
        <v>-0.2</v>
      </c>
      <c r="K44" s="37">
        <v>-4.45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78</v>
      </c>
      <c r="D45" s="1" t="s">
        <v>1</v>
      </c>
      <c r="E45" s="59" t="s">
        <v>14</v>
      </c>
      <c r="F45" s="60">
        <v>5.07419540229884</v>
      </c>
      <c r="G45" s="60">
        <v>0.85627178168896401</v>
      </c>
      <c r="H45" s="61">
        <v>5.28</v>
      </c>
      <c r="I45" s="62">
        <v>5.3</v>
      </c>
      <c r="J45" s="37">
        <v>0.02</v>
      </c>
      <c r="K45" s="37">
        <v>0.44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78</v>
      </c>
      <c r="D46" s="1" t="s">
        <v>1</v>
      </c>
      <c r="E46" s="59" t="s">
        <v>15</v>
      </c>
      <c r="F46" s="60">
        <v>5.0943749999999897</v>
      </c>
      <c r="G46" s="60">
        <v>1.24436897857088</v>
      </c>
      <c r="H46" s="61">
        <v>5.46</v>
      </c>
      <c r="I46" s="62">
        <v>5.73</v>
      </c>
      <c r="J46" s="37">
        <v>0.27</v>
      </c>
      <c r="K46" s="37">
        <v>4.99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78</v>
      </c>
      <c r="D47" s="1" t="s">
        <v>1</v>
      </c>
      <c r="E47" s="59" t="s">
        <v>16</v>
      </c>
      <c r="F47" s="60">
        <v>4.2281250000000004</v>
      </c>
      <c r="G47" s="60">
        <v>0.48030459825226801</v>
      </c>
      <c r="H47" s="61">
        <v>4.32</v>
      </c>
      <c r="I47" s="62">
        <v>4.24</v>
      </c>
      <c r="J47" s="37">
        <v>-0.08</v>
      </c>
      <c r="K47" s="37">
        <v>-1.92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78</v>
      </c>
      <c r="D48" s="1" t="s">
        <v>1</v>
      </c>
      <c r="E48" s="59" t="s">
        <v>17</v>
      </c>
      <c r="F48" s="60">
        <v>4.4652272727272697</v>
      </c>
      <c r="G48" s="60">
        <v>0.94481055974287897</v>
      </c>
      <c r="H48" s="61">
        <v>4.78</v>
      </c>
      <c r="I48" s="62">
        <v>4.45</v>
      </c>
      <c r="J48" s="37">
        <v>-0.33</v>
      </c>
      <c r="K48" s="37">
        <v>-6.97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78</v>
      </c>
      <c r="D49" s="1" t="s">
        <v>1</v>
      </c>
      <c r="E49" s="59" t="s">
        <v>18</v>
      </c>
      <c r="F49" s="60">
        <v>1.7498850574712601</v>
      </c>
      <c r="G49" s="60">
        <v>2.4658320405627401E-2</v>
      </c>
      <c r="H49" s="61">
        <v>1.75</v>
      </c>
      <c r="I49" s="62">
        <v>1.61</v>
      </c>
      <c r="J49" s="37">
        <v>-0.14000000000000001</v>
      </c>
      <c r="K49" s="37">
        <v>-7.96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78</v>
      </c>
      <c r="D50" s="1" t="s">
        <v>1</v>
      </c>
      <c r="E50" s="59" t="s">
        <v>19</v>
      </c>
      <c r="F50" s="60">
        <v>2.25602272727272</v>
      </c>
      <c r="G50" s="60">
        <v>0.51525708449261898</v>
      </c>
      <c r="H50" s="61">
        <v>2.2799999999999998</v>
      </c>
      <c r="I50" s="62">
        <v>2.42</v>
      </c>
      <c r="J50" s="37">
        <v>0.14000000000000001</v>
      </c>
      <c r="K50" s="37">
        <v>6.37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78</v>
      </c>
      <c r="D52" s="1" t="s">
        <v>1</v>
      </c>
      <c r="E52" s="59" t="s">
        <v>12</v>
      </c>
      <c r="F52" s="60">
        <v>2.9465294117647001</v>
      </c>
      <c r="G52" s="60">
        <v>0.31924775878287498</v>
      </c>
      <c r="H52" s="61">
        <v>2.9992121212121199</v>
      </c>
      <c r="I52" s="63">
        <v>3.04</v>
      </c>
      <c r="J52" s="58">
        <v>4.078787878788015E-2</v>
      </c>
      <c r="K52" s="58">
        <v>1.3599531190009957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78</v>
      </c>
      <c r="D53" s="1" t="s">
        <v>1</v>
      </c>
      <c r="E53" s="59" t="s">
        <v>13</v>
      </c>
      <c r="F53" s="60">
        <v>4.2850318471337498</v>
      </c>
      <c r="G53" s="60">
        <v>0.49759629123361998</v>
      </c>
      <c r="H53" s="61">
        <v>4.3873333333333298</v>
      </c>
      <c r="I53" s="63">
        <v>4.01</v>
      </c>
      <c r="J53" s="58">
        <v>-0.37733333333332997</v>
      </c>
      <c r="K53" s="58">
        <v>-8.6005166388086227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78</v>
      </c>
      <c r="D54" s="1" t="s">
        <v>1</v>
      </c>
      <c r="E54" s="59" t="s">
        <v>14</v>
      </c>
      <c r="F54" s="60">
        <v>5.1081764705882202</v>
      </c>
      <c r="G54" s="60">
        <v>0.80827024712502005</v>
      </c>
      <c r="H54" s="61">
        <v>5.29199999999999</v>
      </c>
      <c r="I54" s="63">
        <v>5.24</v>
      </c>
      <c r="J54" s="58">
        <v>-5.1999999999989832E-2</v>
      </c>
      <c r="K54" s="58">
        <v>-0.98261526832936386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78</v>
      </c>
      <c r="D55" s="1" t="s">
        <v>1</v>
      </c>
      <c r="E55" s="59" t="s">
        <v>15</v>
      </c>
      <c r="F55" s="60">
        <v>5.1088235294117599</v>
      </c>
      <c r="G55" s="60">
        <v>1.2714608659191999</v>
      </c>
      <c r="H55" s="61">
        <v>5.5046052631578899</v>
      </c>
      <c r="I55" s="63">
        <v>5.77</v>
      </c>
      <c r="J55" s="58">
        <v>0.26539473684210968</v>
      </c>
      <c r="K55" s="58">
        <v>4.8213218596869494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78</v>
      </c>
      <c r="D56" s="1" t="s">
        <v>1</v>
      </c>
      <c r="E56" s="59" t="s">
        <v>16</v>
      </c>
      <c r="F56" s="60">
        <v>4.1863905325443804</v>
      </c>
      <c r="G56" s="60">
        <v>0.56256228175830703</v>
      </c>
      <c r="H56" s="61">
        <v>4.3247770700636901</v>
      </c>
      <c r="I56" s="63">
        <v>4.1900000000000004</v>
      </c>
      <c r="J56" s="58">
        <v>-0.13477707006368966</v>
      </c>
      <c r="K56" s="58">
        <v>-3.1163934667667119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78</v>
      </c>
      <c r="D57" s="1" t="s">
        <v>1</v>
      </c>
      <c r="E57" s="59" t="s">
        <v>17</v>
      </c>
      <c r="F57" s="60">
        <v>4.5047647058823497</v>
      </c>
      <c r="G57" s="60">
        <v>0.89300431653075496</v>
      </c>
      <c r="H57" s="61">
        <v>4.7989999999999897</v>
      </c>
      <c r="I57" s="63">
        <v>4.38</v>
      </c>
      <c r="J57" s="58">
        <v>-0.41899999999998983</v>
      </c>
      <c r="K57" s="58">
        <v>-8.7309856220043898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78</v>
      </c>
      <c r="D58" s="1" t="s">
        <v>1</v>
      </c>
      <c r="E58" s="59" t="s">
        <v>18</v>
      </c>
      <c r="F58" s="60">
        <v>1.7452976190476199</v>
      </c>
      <c r="G58" s="60">
        <v>8.2965322612738798E-2</v>
      </c>
      <c r="H58" s="61">
        <v>1.7510240963855399</v>
      </c>
      <c r="I58" s="63">
        <v>1.55</v>
      </c>
      <c r="J58" s="58">
        <v>-0.20102409638553986</v>
      </c>
      <c r="K58" s="58">
        <v>-11.480372931502963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78</v>
      </c>
      <c r="D59" s="1" t="s">
        <v>1</v>
      </c>
      <c r="E59" s="59" t="s">
        <v>19</v>
      </c>
      <c r="F59" s="60">
        <v>2.2166272189349101</v>
      </c>
      <c r="G59" s="60">
        <v>0.41587561803179901</v>
      </c>
      <c r="H59" s="61">
        <v>2.2564189189189201</v>
      </c>
      <c r="I59" s="63">
        <v>2.41</v>
      </c>
      <c r="J59" s="58">
        <v>0.15358108108108004</v>
      </c>
      <c r="K59" s="58">
        <v>6.8064081449318259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78</v>
      </c>
      <c r="D60" s="1" t="s">
        <v>1</v>
      </c>
      <c r="E60" s="59" t="s">
        <v>12</v>
      </c>
      <c r="F60" s="60">
        <v>2.9465294117647001</v>
      </c>
      <c r="G60" s="60">
        <v>0.31924775878287498</v>
      </c>
      <c r="H60" s="61">
        <v>2.9992121212121199</v>
      </c>
      <c r="I60" s="63">
        <v>2.99</v>
      </c>
      <c r="J60" s="58">
        <v>-9.2121212121196727E-3</v>
      </c>
      <c r="K60" s="58">
        <v>-0.30715137308783047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78</v>
      </c>
      <c r="D61" s="1" t="s">
        <v>1</v>
      </c>
      <c r="E61" s="59" t="s">
        <v>13</v>
      </c>
      <c r="F61" s="60">
        <v>4.2850318471337498</v>
      </c>
      <c r="G61" s="60">
        <v>0.49759629123361998</v>
      </c>
      <c r="H61" s="61">
        <v>4.3873333333333298</v>
      </c>
      <c r="I61" s="63">
        <v>4.18</v>
      </c>
      <c r="J61" s="58">
        <v>-0.20733333333333004</v>
      </c>
      <c r="K61" s="58">
        <v>-4.7257255736209594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78</v>
      </c>
      <c r="D62" s="1" t="s">
        <v>1</v>
      </c>
      <c r="E62" s="59" t="s">
        <v>14</v>
      </c>
      <c r="F62" s="60">
        <v>5.1081764705882202</v>
      </c>
      <c r="G62" s="60">
        <v>0.80827024712502005</v>
      </c>
      <c r="H62" s="61">
        <v>5.29199999999999</v>
      </c>
      <c r="I62" s="63">
        <v>5.28</v>
      </c>
      <c r="J62" s="58">
        <v>-1.1999999999989797E-2</v>
      </c>
      <c r="K62" s="58">
        <v>-0.22675736961432011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78</v>
      </c>
      <c r="D63" s="1" t="s">
        <v>1</v>
      </c>
      <c r="E63" s="59" t="s">
        <v>15</v>
      </c>
      <c r="F63" s="60">
        <v>5.1088235294117599</v>
      </c>
      <c r="G63" s="60">
        <v>1.2714608659191999</v>
      </c>
      <c r="H63" s="61">
        <v>5.5046052631578899</v>
      </c>
      <c r="I63" s="63">
        <v>5.69</v>
      </c>
      <c r="J63" s="58">
        <v>0.1853947368421105</v>
      </c>
      <c r="K63" s="58">
        <v>3.3679933070396579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78</v>
      </c>
      <c r="D64" s="1" t="s">
        <v>1</v>
      </c>
      <c r="E64" s="59" t="s">
        <v>16</v>
      </c>
      <c r="F64" s="60">
        <v>4.1863905325443804</v>
      </c>
      <c r="G64" s="60">
        <v>0.56256228175830703</v>
      </c>
      <c r="H64" s="61">
        <v>4.3247770700636901</v>
      </c>
      <c r="I64" s="63">
        <v>4.22</v>
      </c>
      <c r="J64" s="58">
        <v>-0.1047770700636903</v>
      </c>
      <c r="K64" s="58">
        <v>-2.4227160930204263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78</v>
      </c>
      <c r="D65" s="1" t="s">
        <v>1</v>
      </c>
      <c r="E65" s="59" t="s">
        <v>17</v>
      </c>
      <c r="F65" s="60">
        <v>4.5047647058823497</v>
      </c>
      <c r="G65" s="60">
        <v>0.89300431653075496</v>
      </c>
      <c r="H65" s="61">
        <v>4.7989999999999897</v>
      </c>
      <c r="I65" s="63">
        <v>4.3899999999999997</v>
      </c>
      <c r="J65" s="58">
        <v>-0.40899999999999004</v>
      </c>
      <c r="K65" s="58">
        <v>-8.5226088768491532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78</v>
      </c>
      <c r="D66" s="1" t="s">
        <v>1</v>
      </c>
      <c r="E66" s="59" t="s">
        <v>18</v>
      </c>
      <c r="F66" s="60">
        <v>1.7452976190476199</v>
      </c>
      <c r="G66" s="60">
        <v>8.2965322612738798E-2</v>
      </c>
      <c r="H66" s="61">
        <v>1.7510240963855399</v>
      </c>
      <c r="I66" s="63">
        <v>1.62</v>
      </c>
      <c r="J66" s="58">
        <v>-0.1310240963855398</v>
      </c>
      <c r="K66" s="58">
        <v>-7.4827123542159963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78</v>
      </c>
      <c r="D67" s="1" t="s">
        <v>1</v>
      </c>
      <c r="E67" s="59" t="s">
        <v>19</v>
      </c>
      <c r="F67" s="60">
        <v>2.2166272189349101</v>
      </c>
      <c r="G67" s="60">
        <v>0.41587561803179901</v>
      </c>
      <c r="H67" s="61">
        <v>2.2564189189189201</v>
      </c>
      <c r="I67" s="63">
        <v>2.44</v>
      </c>
      <c r="J67" s="58">
        <v>0.18358108108107984</v>
      </c>
      <c r="K67" s="58">
        <v>8.1359484952836674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78</v>
      </c>
      <c r="D68" s="1" t="s">
        <v>1</v>
      </c>
      <c r="E68" s="59" t="s">
        <v>12</v>
      </c>
      <c r="F68" s="60">
        <v>2.9465294117647001</v>
      </c>
      <c r="G68" s="60">
        <v>0.31924775878287498</v>
      </c>
      <c r="H68" s="61">
        <v>2.9992121212121199</v>
      </c>
      <c r="I68" s="63">
        <v>2.99</v>
      </c>
      <c r="J68" s="58">
        <v>-9.2121212121196727E-3</v>
      </c>
      <c r="K68" s="58">
        <v>-0.30715137308783047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78</v>
      </c>
      <c r="D69" s="1" t="s">
        <v>1</v>
      </c>
      <c r="E69" s="59" t="s">
        <v>13</v>
      </c>
      <c r="F69" s="60">
        <v>4.2850318471337498</v>
      </c>
      <c r="G69" s="60">
        <v>0.49759629123361998</v>
      </c>
      <c r="H69" s="61">
        <v>4.3873333333333298</v>
      </c>
      <c r="I69" s="63">
        <v>4.1900000000000004</v>
      </c>
      <c r="J69" s="58">
        <v>-0.19733333333332936</v>
      </c>
      <c r="K69" s="58">
        <v>-4.4977966874334339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78</v>
      </c>
      <c r="D70" s="1" t="s">
        <v>1</v>
      </c>
      <c r="E70" s="59" t="s">
        <v>14</v>
      </c>
      <c r="F70" s="60">
        <v>5.1081764705882202</v>
      </c>
      <c r="G70" s="60">
        <v>0.80827024712502005</v>
      </c>
      <c r="H70" s="61">
        <v>5.29199999999999</v>
      </c>
      <c r="I70" s="63">
        <v>5.3</v>
      </c>
      <c r="J70" s="58">
        <v>8.0000000000097771E-3</v>
      </c>
      <c r="K70" s="58">
        <v>0.15117157974319334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78</v>
      </c>
      <c r="D71" s="1" t="s">
        <v>1</v>
      </c>
      <c r="E71" s="59" t="s">
        <v>15</v>
      </c>
      <c r="F71" s="60">
        <v>5.1088235294117599</v>
      </c>
      <c r="G71" s="60">
        <v>1.2714608659191999</v>
      </c>
      <c r="H71" s="61">
        <v>5.5046052631578899</v>
      </c>
      <c r="I71" s="63">
        <v>5.73</v>
      </c>
      <c r="J71" s="58">
        <v>0.22539473684211053</v>
      </c>
      <c r="K71" s="58">
        <v>4.0946575833633121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78</v>
      </c>
      <c r="D72" s="1" t="s">
        <v>1</v>
      </c>
      <c r="E72" s="59" t="s">
        <v>16</v>
      </c>
      <c r="F72" s="60">
        <v>4.1863905325443804</v>
      </c>
      <c r="G72" s="60">
        <v>0.56256228175830703</v>
      </c>
      <c r="H72" s="61">
        <v>4.3247770700636901</v>
      </c>
      <c r="I72" s="63">
        <v>4.24</v>
      </c>
      <c r="J72" s="58">
        <v>-8.4777070063689841E-2</v>
      </c>
      <c r="K72" s="58">
        <v>-1.960264510522882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78</v>
      </c>
      <c r="D73" s="1" t="s">
        <v>1</v>
      </c>
      <c r="E73" s="59" t="s">
        <v>17</v>
      </c>
      <c r="F73" s="60">
        <v>4.5047647058823497</v>
      </c>
      <c r="G73" s="60">
        <v>0.89300431653075496</v>
      </c>
      <c r="H73" s="61">
        <v>4.7989999999999897</v>
      </c>
      <c r="I73" s="63">
        <v>4.45</v>
      </c>
      <c r="J73" s="58">
        <v>-0.34899999999998954</v>
      </c>
      <c r="K73" s="58">
        <v>-7.2723484059176977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78</v>
      </c>
      <c r="D74" s="1" t="s">
        <v>1</v>
      </c>
      <c r="E74" s="59" t="s">
        <v>18</v>
      </c>
      <c r="F74" s="60">
        <v>1.7452976190476199</v>
      </c>
      <c r="G74" s="60">
        <v>8.2965322612738798E-2</v>
      </c>
      <c r="H74" s="61">
        <v>1.7510240963855399</v>
      </c>
      <c r="I74" s="63">
        <v>1.61</v>
      </c>
      <c r="J74" s="58">
        <v>-0.14102409638553981</v>
      </c>
      <c r="K74" s="58">
        <v>-8.0538067223998482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78</v>
      </c>
      <c r="D75" s="1" t="s">
        <v>1</v>
      </c>
      <c r="E75" s="59" t="s">
        <v>19</v>
      </c>
      <c r="F75" s="60">
        <v>2.2166272189349101</v>
      </c>
      <c r="G75" s="60">
        <v>0.41587561803179901</v>
      </c>
      <c r="H75" s="61">
        <v>2.2564189189189201</v>
      </c>
      <c r="I75" s="63">
        <v>2.42</v>
      </c>
      <c r="J75" s="58">
        <v>0.16358108108107983</v>
      </c>
      <c r="K75" s="58">
        <v>7.2495882617157665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78</v>
      </c>
      <c r="D77" s="1" t="s">
        <v>1</v>
      </c>
      <c r="E77" s="59" t="s">
        <v>12</v>
      </c>
      <c r="F77" s="60">
        <v>5.3723529411764703</v>
      </c>
      <c r="G77" s="60">
        <v>0.46084678341664298</v>
      </c>
      <c r="H77" s="61">
        <v>5.4692307692307702</v>
      </c>
      <c r="I77" s="62">
        <v>5.47</v>
      </c>
      <c r="J77" s="37">
        <v>7.6923076922952305E-4</v>
      </c>
      <c r="K77" s="37">
        <v>1.406469760897862E-2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78</v>
      </c>
      <c r="D78" s="1" t="s">
        <v>1</v>
      </c>
      <c r="E78" s="59" t="s">
        <v>13</v>
      </c>
      <c r="F78" s="60">
        <v>5.5708823529411697</v>
      </c>
      <c r="G78" s="60">
        <v>0.98035668073068505</v>
      </c>
      <c r="H78" s="61">
        <v>5.8483870967741902</v>
      </c>
      <c r="I78" s="62">
        <v>5.98</v>
      </c>
      <c r="J78" s="37">
        <v>0.13161290322581021</v>
      </c>
      <c r="K78" s="37">
        <v>2.250413678985173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78</v>
      </c>
      <c r="D79" s="1" t="s">
        <v>1</v>
      </c>
      <c r="E79" s="59" t="s">
        <v>14</v>
      </c>
      <c r="F79" s="60">
        <v>2.3058823529411701</v>
      </c>
      <c r="G79" s="60">
        <v>0.51924502686484597</v>
      </c>
      <c r="H79" s="61">
        <v>2.4645161290322499</v>
      </c>
      <c r="I79" s="62">
        <v>2.41</v>
      </c>
      <c r="J79" s="37">
        <v>-5.4516129032249783E-2</v>
      </c>
      <c r="K79" s="37">
        <v>-2.2120418848164252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78</v>
      </c>
      <c r="D80" s="1" t="s">
        <v>1</v>
      </c>
      <c r="E80" s="59" t="s">
        <v>15</v>
      </c>
      <c r="F80" s="60">
        <v>3.6777941176470601</v>
      </c>
      <c r="G80" s="60">
        <v>0.56695742549007899</v>
      </c>
      <c r="H80" s="61">
        <v>3.7959999999999998</v>
      </c>
      <c r="I80" s="62">
        <v>3.91</v>
      </c>
      <c r="J80" s="37">
        <v>0.11400000000000032</v>
      </c>
      <c r="K80" s="37">
        <v>3.0031612223393132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78</v>
      </c>
      <c r="D81" s="1" t="s">
        <v>1</v>
      </c>
      <c r="E81" s="59" t="s">
        <v>16</v>
      </c>
      <c r="F81" s="60">
        <v>4.4222388059701503</v>
      </c>
      <c r="G81" s="60">
        <v>0.82722485328783502</v>
      </c>
      <c r="H81" s="61">
        <v>4.6433870967741901</v>
      </c>
      <c r="I81" s="62">
        <v>4.76</v>
      </c>
      <c r="J81" s="37">
        <v>0.11661290322580964</v>
      </c>
      <c r="K81" s="37">
        <v>2.5113758727292379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78</v>
      </c>
      <c r="D82" s="1" t="s">
        <v>1</v>
      </c>
      <c r="E82" s="59" t="s">
        <v>17</v>
      </c>
      <c r="F82" s="60">
        <v>1.2285294117647001</v>
      </c>
      <c r="G82" s="60">
        <v>0.13925499997235599</v>
      </c>
      <c r="H82" s="61">
        <v>1.2570769230769201</v>
      </c>
      <c r="I82" s="62">
        <v>1.37</v>
      </c>
      <c r="J82" s="37">
        <v>0.11292307692308001</v>
      </c>
      <c r="K82" s="37">
        <v>8.9829886182844429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78</v>
      </c>
      <c r="D83" s="1" t="s">
        <v>1</v>
      </c>
      <c r="E83" s="59" t="s">
        <v>18</v>
      </c>
      <c r="F83" s="60">
        <v>3.72238805970149</v>
      </c>
      <c r="G83" s="60">
        <v>0.85075750188970201</v>
      </c>
      <c r="H83" s="61">
        <v>4.04568965517241</v>
      </c>
      <c r="I83" s="62">
        <v>3.98</v>
      </c>
      <c r="J83" s="37">
        <v>-6.5689655172409989E-2</v>
      </c>
      <c r="K83" s="37">
        <v>-1.6236948646920022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78</v>
      </c>
      <c r="D84" s="1" t="s">
        <v>1</v>
      </c>
      <c r="E84" s="59" t="s">
        <v>19</v>
      </c>
      <c r="F84" s="60"/>
      <c r="G84" s="60"/>
      <c r="H84" s="61"/>
      <c r="I84" s="62"/>
      <c r="J84" s="37"/>
      <c r="K84" s="37"/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78</v>
      </c>
      <c r="D85" s="1" t="s">
        <v>1</v>
      </c>
      <c r="E85" s="59" t="s">
        <v>12</v>
      </c>
      <c r="F85" s="60">
        <v>5.3723529411764703</v>
      </c>
      <c r="G85" s="60">
        <v>0.46084678341664298</v>
      </c>
      <c r="H85" s="61">
        <v>5.4692307692307702</v>
      </c>
      <c r="I85" s="62">
        <v>5.41</v>
      </c>
      <c r="J85" s="37">
        <v>-5.9230769230770086E-2</v>
      </c>
      <c r="K85" s="37">
        <v>-1.0829817158931239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78</v>
      </c>
      <c r="D86" s="1" t="s">
        <v>1</v>
      </c>
      <c r="E86" s="59" t="s">
        <v>13</v>
      </c>
      <c r="F86" s="60">
        <v>5.5708823529411697</v>
      </c>
      <c r="G86" s="60">
        <v>0.98035668073068505</v>
      </c>
      <c r="H86" s="61">
        <v>5.8483870967741902</v>
      </c>
      <c r="I86" s="62">
        <v>5.96</v>
      </c>
      <c r="J86" s="37">
        <v>0.11161290322580975</v>
      </c>
      <c r="K86" s="37">
        <v>1.9084390512962517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78</v>
      </c>
      <c r="D87" s="1" t="s">
        <v>1</v>
      </c>
      <c r="E87" s="59" t="s">
        <v>14</v>
      </c>
      <c r="F87" s="60">
        <v>2.3058823529411701</v>
      </c>
      <c r="G87" s="60">
        <v>0.51924502686484597</v>
      </c>
      <c r="H87" s="61">
        <v>2.4645161290322499</v>
      </c>
      <c r="I87" s="62">
        <v>2.4300000000000002</v>
      </c>
      <c r="J87" s="37">
        <v>-3.4516129032249765E-2</v>
      </c>
      <c r="K87" s="37">
        <v>-1.400523560209092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78</v>
      </c>
      <c r="D88" s="1" t="s">
        <v>1</v>
      </c>
      <c r="E88" s="59" t="s">
        <v>15</v>
      </c>
      <c r="F88" s="60">
        <v>3.6777941176470601</v>
      </c>
      <c r="G88" s="60">
        <v>0.56695742549007899</v>
      </c>
      <c r="H88" s="61">
        <v>3.7959999999999998</v>
      </c>
      <c r="I88" s="62">
        <v>3.89</v>
      </c>
      <c r="J88" s="37">
        <v>9.4000000000000306E-2</v>
      </c>
      <c r="K88" s="37">
        <v>2.4762908324552244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78</v>
      </c>
      <c r="D89" s="1" t="s">
        <v>1</v>
      </c>
      <c r="E89" s="59" t="s">
        <v>16</v>
      </c>
      <c r="F89" s="60">
        <v>4.4222388059701503</v>
      </c>
      <c r="G89" s="60">
        <v>0.82722485328783502</v>
      </c>
      <c r="H89" s="61">
        <v>4.6433870967741901</v>
      </c>
      <c r="I89" s="62">
        <v>4.78</v>
      </c>
      <c r="J89" s="37">
        <v>0.1366129032258101</v>
      </c>
      <c r="K89" s="37">
        <v>2.9420959394213875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78</v>
      </c>
      <c r="D90" s="1" t="s">
        <v>1</v>
      </c>
      <c r="E90" s="59" t="s">
        <v>17</v>
      </c>
      <c r="F90" s="60">
        <v>1.2285294117647001</v>
      </c>
      <c r="G90" s="60">
        <v>0.13925499997235599</v>
      </c>
      <c r="H90" s="61">
        <v>1.2570769230769201</v>
      </c>
      <c r="I90" s="62">
        <v>1.38</v>
      </c>
      <c r="J90" s="37">
        <v>0.1229230769230798</v>
      </c>
      <c r="K90" s="37">
        <v>9.7784848855711726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78</v>
      </c>
      <c r="D91" s="1" t="s">
        <v>1</v>
      </c>
      <c r="E91" s="59" t="s">
        <v>18</v>
      </c>
      <c r="F91" s="60">
        <v>3.72238805970149</v>
      </c>
      <c r="G91" s="60">
        <v>0.85075750188970201</v>
      </c>
      <c r="H91" s="61">
        <v>4.04568965517241</v>
      </c>
      <c r="I91" s="62">
        <v>4.01</v>
      </c>
      <c r="J91" s="37">
        <v>-3.5689655172410184E-2</v>
      </c>
      <c r="K91" s="37">
        <v>-0.88216492648616773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78</v>
      </c>
      <c r="D92" s="1" t="s">
        <v>1</v>
      </c>
      <c r="E92" s="59" t="s">
        <v>19</v>
      </c>
      <c r="F92" s="60"/>
      <c r="G92" s="60"/>
      <c r="H92" s="61"/>
      <c r="I92" s="62"/>
      <c r="J92" s="37"/>
      <c r="K92" s="37"/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78</v>
      </c>
      <c r="D93" s="1" t="s">
        <v>1</v>
      </c>
      <c r="E93" s="59" t="s">
        <v>12</v>
      </c>
      <c r="F93" s="60">
        <v>5.3723529411764703</v>
      </c>
      <c r="G93" s="60">
        <v>0.46084678341664298</v>
      </c>
      <c r="H93" s="61">
        <v>5.4692307692307702</v>
      </c>
      <c r="I93" s="62">
        <v>5.45</v>
      </c>
      <c r="J93" s="37">
        <v>-1.9230769230770051E-2</v>
      </c>
      <c r="K93" s="37">
        <v>-0.35161744022505009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78</v>
      </c>
      <c r="D94" s="1" t="s">
        <v>1</v>
      </c>
      <c r="E94" s="59" t="s">
        <v>13</v>
      </c>
      <c r="F94" s="60">
        <v>5.5708823529411697</v>
      </c>
      <c r="G94" s="60">
        <v>0.98035668073068505</v>
      </c>
      <c r="H94" s="61">
        <v>5.8483870967741902</v>
      </c>
      <c r="I94" s="62">
        <v>6.03</v>
      </c>
      <c r="J94" s="37">
        <v>0.18161290322581003</v>
      </c>
      <c r="K94" s="37">
        <v>3.1053502482074542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78</v>
      </c>
      <c r="D95" s="1" t="s">
        <v>1</v>
      </c>
      <c r="E95" s="59" t="s">
        <v>14</v>
      </c>
      <c r="F95" s="60">
        <v>2.3058823529411701</v>
      </c>
      <c r="G95" s="60">
        <v>0.51924502686484597</v>
      </c>
      <c r="H95" s="61">
        <v>2.4645161290322499</v>
      </c>
      <c r="I95" s="62">
        <v>2.4500000000000002</v>
      </c>
      <c r="J95" s="37">
        <v>-1.4516129032249747E-2</v>
      </c>
      <c r="K95" s="37">
        <v>-0.58900523560175866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78</v>
      </c>
      <c r="D96" s="1" t="s">
        <v>1</v>
      </c>
      <c r="E96" s="59" t="s">
        <v>15</v>
      </c>
      <c r="F96" s="60">
        <v>3.6777941176470601</v>
      </c>
      <c r="G96" s="60">
        <v>0.56695742549007899</v>
      </c>
      <c r="H96" s="61">
        <v>3.7959999999999998</v>
      </c>
      <c r="I96" s="62">
        <v>3.92</v>
      </c>
      <c r="J96" s="37">
        <v>0.12400000000000011</v>
      </c>
      <c r="K96" s="37">
        <v>3.266596417281352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78</v>
      </c>
      <c r="D97" s="1" t="s">
        <v>1</v>
      </c>
      <c r="E97" s="59" t="s">
        <v>16</v>
      </c>
      <c r="F97" s="60">
        <v>4.4222388059701503</v>
      </c>
      <c r="G97" s="60">
        <v>0.82722485328783502</v>
      </c>
      <c r="H97" s="61">
        <v>4.6433870967741901</v>
      </c>
      <c r="I97" s="62">
        <v>4.83</v>
      </c>
      <c r="J97" s="37">
        <v>0.18661290322580992</v>
      </c>
      <c r="K97" s="37">
        <v>4.0188961061517325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78</v>
      </c>
      <c r="D98" s="1" t="s">
        <v>1</v>
      </c>
      <c r="E98" s="59" t="s">
        <v>17</v>
      </c>
      <c r="F98" s="60">
        <v>1.2285294117647001</v>
      </c>
      <c r="G98" s="60">
        <v>0.13925499997235599</v>
      </c>
      <c r="H98" s="61">
        <v>1.2570769230769201</v>
      </c>
      <c r="I98" s="62">
        <v>1.4</v>
      </c>
      <c r="J98" s="37">
        <v>0.14292307692307982</v>
      </c>
      <c r="K98" s="37">
        <v>11.369477420144671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78</v>
      </c>
      <c r="D99" s="1" t="s">
        <v>1</v>
      </c>
      <c r="E99" s="59" t="s">
        <v>18</v>
      </c>
      <c r="F99" s="60">
        <v>3.72238805970149</v>
      </c>
      <c r="G99" s="60">
        <v>0.85075750188970201</v>
      </c>
      <c r="H99" s="61">
        <v>4.04568965517241</v>
      </c>
      <c r="I99" s="62">
        <v>3.97</v>
      </c>
      <c r="J99" s="37">
        <v>-7.5689655172409775E-2</v>
      </c>
      <c r="K99" s="37">
        <v>-1.8708715107606098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78</v>
      </c>
      <c r="D100" s="1" t="s">
        <v>1</v>
      </c>
      <c r="E100" s="59" t="s">
        <v>19</v>
      </c>
      <c r="F100" s="60"/>
      <c r="G100" s="60"/>
      <c r="H100" s="61"/>
      <c r="I100" s="62"/>
      <c r="J100" s="37"/>
      <c r="K100" s="37"/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78</v>
      </c>
      <c r="D102" s="1" t="s">
        <v>1</v>
      </c>
      <c r="E102" s="59" t="s">
        <v>12</v>
      </c>
      <c r="F102" s="60">
        <v>5.1957352941176396</v>
      </c>
      <c r="G102" s="60">
        <v>1.0512881680508599</v>
      </c>
      <c r="H102" s="61">
        <v>5.4669841269841202</v>
      </c>
      <c r="I102" s="62">
        <v>5.47</v>
      </c>
      <c r="J102" s="37">
        <v>3.0158730158795777E-3</v>
      </c>
      <c r="K102" s="37">
        <v>5.5165205272752343E-2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78</v>
      </c>
      <c r="D103" s="1" t="s">
        <v>1</v>
      </c>
      <c r="E103" s="59" t="s">
        <v>13</v>
      </c>
      <c r="F103" s="60">
        <v>5.63279411764705</v>
      </c>
      <c r="G103" s="60">
        <v>0.83582267607893401</v>
      </c>
      <c r="H103" s="61">
        <v>5.8519047619047599</v>
      </c>
      <c r="I103" s="62">
        <v>5.98</v>
      </c>
      <c r="J103" s="37">
        <v>0.12809523809524048</v>
      </c>
      <c r="K103" s="37">
        <v>2.1889494670030523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78</v>
      </c>
      <c r="D104" s="1" t="s">
        <v>1</v>
      </c>
      <c r="E104" s="59" t="s">
        <v>14</v>
      </c>
      <c r="F104" s="60">
        <v>2.3547761194029802</v>
      </c>
      <c r="G104" s="60">
        <v>0.41661521030750598</v>
      </c>
      <c r="H104" s="61">
        <v>2.4608064516128998</v>
      </c>
      <c r="I104" s="62">
        <v>2.41</v>
      </c>
      <c r="J104" s="37">
        <v>-5.080645161289965E-2</v>
      </c>
      <c r="K104" s="37">
        <v>-2.0646260732776973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78</v>
      </c>
      <c r="D105" s="1" t="s">
        <v>1</v>
      </c>
      <c r="E105" s="59" t="s">
        <v>15</v>
      </c>
      <c r="F105" s="60">
        <v>3.5888235294117599</v>
      </c>
      <c r="G105" s="60">
        <v>0.68827903330092799</v>
      </c>
      <c r="H105" s="61">
        <v>3.7935483870967701</v>
      </c>
      <c r="I105" s="62">
        <v>3.91</v>
      </c>
      <c r="J105" s="37">
        <v>0.11645161290323003</v>
      </c>
      <c r="K105" s="37">
        <v>3.0697278911565773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78</v>
      </c>
      <c r="D106" s="1" t="s">
        <v>1</v>
      </c>
      <c r="E106" s="59" t="s">
        <v>16</v>
      </c>
      <c r="F106" s="60">
        <v>4.4177941176470501</v>
      </c>
      <c r="G106" s="60">
        <v>0.80130563602057503</v>
      </c>
      <c r="H106" s="61">
        <v>4.6525806451612803</v>
      </c>
      <c r="I106" s="62">
        <v>4.76</v>
      </c>
      <c r="J106" s="37">
        <v>0.10741935483871945</v>
      </c>
      <c r="K106" s="37">
        <v>2.3088123136658876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78</v>
      </c>
      <c r="D107" s="1" t="s">
        <v>1</v>
      </c>
      <c r="E107" s="59" t="s">
        <v>17</v>
      </c>
      <c r="F107" s="60">
        <v>1.23823529411764</v>
      </c>
      <c r="G107" s="60">
        <v>0.12415527726187101</v>
      </c>
      <c r="H107" s="61">
        <v>1.25833333333333</v>
      </c>
      <c r="I107" s="62">
        <v>1.37</v>
      </c>
      <c r="J107" s="37">
        <v>0.11166666666667013</v>
      </c>
      <c r="K107" s="37">
        <v>8.8741721854307638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78</v>
      </c>
      <c r="D108" s="1" t="s">
        <v>1</v>
      </c>
      <c r="E108" s="59" t="s">
        <v>18</v>
      </c>
      <c r="F108" s="60">
        <v>3.9960606060605999</v>
      </c>
      <c r="G108" s="60">
        <v>0.32969167776501601</v>
      </c>
      <c r="H108" s="61">
        <v>4.0515873015872996</v>
      </c>
      <c r="I108" s="62">
        <v>3.98</v>
      </c>
      <c r="J108" s="37">
        <v>-7.1587301587299645E-2</v>
      </c>
      <c r="K108" s="37">
        <v>-1.7668952007834984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78</v>
      </c>
      <c r="D109" s="1" t="s">
        <v>1</v>
      </c>
      <c r="E109" s="59" t="s">
        <v>19</v>
      </c>
      <c r="F109" s="60"/>
      <c r="G109" s="60"/>
      <c r="H109" s="61"/>
      <c r="I109" s="62"/>
      <c r="J109" s="37"/>
      <c r="K109" s="37"/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78</v>
      </c>
      <c r="D110" s="1" t="s">
        <v>1</v>
      </c>
      <c r="E110" s="59" t="s">
        <v>12</v>
      </c>
      <c r="F110" s="60">
        <v>5.1957352941176396</v>
      </c>
      <c r="G110" s="60">
        <v>1.0512881680508599</v>
      </c>
      <c r="H110" s="61">
        <v>5.4669841269841202</v>
      </c>
      <c r="I110" s="62">
        <v>5.41</v>
      </c>
      <c r="J110" s="37">
        <v>-5.6984126984120032E-2</v>
      </c>
      <c r="K110" s="37">
        <v>-1.0423320364669781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78</v>
      </c>
      <c r="D111" s="1" t="s">
        <v>1</v>
      </c>
      <c r="E111" s="59" t="s">
        <v>13</v>
      </c>
      <c r="F111" s="60">
        <v>5.63279411764705</v>
      </c>
      <c r="G111" s="60">
        <v>0.83582267607893401</v>
      </c>
      <c r="H111" s="61">
        <v>5.8519047619047599</v>
      </c>
      <c r="I111" s="62">
        <v>5.96</v>
      </c>
      <c r="J111" s="37">
        <v>0.10809523809524002</v>
      </c>
      <c r="K111" s="37">
        <v>1.8471804052404925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78</v>
      </c>
      <c r="D112" s="1" t="s">
        <v>1</v>
      </c>
      <c r="E112" s="59" t="s">
        <v>14</v>
      </c>
      <c r="F112" s="60">
        <v>2.3547761194029802</v>
      </c>
      <c r="G112" s="60">
        <v>0.41661521030750598</v>
      </c>
      <c r="H112" s="61">
        <v>2.4608064516128998</v>
      </c>
      <c r="I112" s="62">
        <v>2.4300000000000002</v>
      </c>
      <c r="J112" s="37">
        <v>-3.0806451612899632E-2</v>
      </c>
      <c r="K112" s="37">
        <v>-1.2518843809397522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78</v>
      </c>
      <c r="D113" s="1" t="s">
        <v>1</v>
      </c>
      <c r="E113" s="59" t="s">
        <v>15</v>
      </c>
      <c r="F113" s="60">
        <v>3.5888235294117599</v>
      </c>
      <c r="G113" s="60">
        <v>0.68827903330092799</v>
      </c>
      <c r="H113" s="61">
        <v>3.7935483870967701</v>
      </c>
      <c r="I113" s="62">
        <v>3.89</v>
      </c>
      <c r="J113" s="37">
        <v>9.6451612903230011E-2</v>
      </c>
      <c r="K113" s="37">
        <v>2.5425170068028349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78</v>
      </c>
      <c r="D114" s="1" t="s">
        <v>1</v>
      </c>
      <c r="E114" s="59" t="s">
        <v>16</v>
      </c>
      <c r="F114" s="60">
        <v>4.4177941176470501</v>
      </c>
      <c r="G114" s="60">
        <v>0.80130563602057503</v>
      </c>
      <c r="H114" s="61">
        <v>4.6525806451612803</v>
      </c>
      <c r="I114" s="62">
        <v>4.78</v>
      </c>
      <c r="J114" s="37">
        <v>0.12741935483871991</v>
      </c>
      <c r="K114" s="37">
        <v>2.7386812729670149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78</v>
      </c>
      <c r="D115" s="1" t="s">
        <v>1</v>
      </c>
      <c r="E115" s="59" t="s">
        <v>17</v>
      </c>
      <c r="F115" s="60">
        <v>1.23823529411764</v>
      </c>
      <c r="G115" s="60">
        <v>0.12415527726187101</v>
      </c>
      <c r="H115" s="61">
        <v>1.25833333333333</v>
      </c>
      <c r="I115" s="62">
        <v>1.38</v>
      </c>
      <c r="J115" s="37">
        <v>0.12166666666666992</v>
      </c>
      <c r="K115" s="37">
        <v>9.6688741721857152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78</v>
      </c>
      <c r="D116" s="1" t="s">
        <v>1</v>
      </c>
      <c r="E116" s="59" t="s">
        <v>18</v>
      </c>
      <c r="F116" s="60">
        <v>3.9960606060605999</v>
      </c>
      <c r="G116" s="60">
        <v>0.32969167776501601</v>
      </c>
      <c r="H116" s="61">
        <v>4.0515873015872996</v>
      </c>
      <c r="I116" s="62">
        <v>4.01</v>
      </c>
      <c r="J116" s="37">
        <v>-4.1587301587299841E-2</v>
      </c>
      <c r="K116" s="37">
        <v>-1.0264446620959418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78</v>
      </c>
      <c r="D117" s="1" t="s">
        <v>1</v>
      </c>
      <c r="E117" s="59" t="s">
        <v>19</v>
      </c>
      <c r="F117" s="60"/>
      <c r="G117" s="60"/>
      <c r="H117" s="61"/>
      <c r="I117" s="62"/>
      <c r="J117" s="37"/>
      <c r="K117" s="37"/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78</v>
      </c>
      <c r="D118" s="1" t="s">
        <v>1</v>
      </c>
      <c r="E118" s="59" t="s">
        <v>12</v>
      </c>
      <c r="F118" s="60">
        <v>5.1957352941176396</v>
      </c>
      <c r="G118" s="60">
        <v>1.0512881680508599</v>
      </c>
      <c r="H118" s="61">
        <v>5.4669841269841202</v>
      </c>
      <c r="I118" s="62">
        <v>5.45</v>
      </c>
      <c r="J118" s="37">
        <v>-1.6984126984119996E-2</v>
      </c>
      <c r="K118" s="37">
        <v>-0.31066720864048575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78</v>
      </c>
      <c r="D119" s="1" t="s">
        <v>1</v>
      </c>
      <c r="E119" s="59" t="s">
        <v>13</v>
      </c>
      <c r="F119" s="60">
        <v>5.63279411764705</v>
      </c>
      <c r="G119" s="60">
        <v>0.83582267607893401</v>
      </c>
      <c r="H119" s="61">
        <v>5.8519047619047599</v>
      </c>
      <c r="I119" s="62">
        <v>6.03</v>
      </c>
      <c r="J119" s="37">
        <v>0.1780952380952403</v>
      </c>
      <c r="K119" s="37">
        <v>3.0433721214094289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78</v>
      </c>
      <c r="D120" s="1" t="s">
        <v>1</v>
      </c>
      <c r="E120" s="59" t="s">
        <v>14</v>
      </c>
      <c r="F120" s="60">
        <v>2.3547761194029802</v>
      </c>
      <c r="G120" s="60">
        <v>0.41661521030750598</v>
      </c>
      <c r="H120" s="61">
        <v>2.4608064516128998</v>
      </c>
      <c r="I120" s="62">
        <v>2.4500000000000002</v>
      </c>
      <c r="J120" s="37">
        <v>-1.0806451612899615E-2</v>
      </c>
      <c r="K120" s="37">
        <v>-0.43914268860180711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78</v>
      </c>
      <c r="D121" s="1" t="s">
        <v>1</v>
      </c>
      <c r="E121" s="59" t="s">
        <v>15</v>
      </c>
      <c r="F121" s="60">
        <v>3.5888235294117599</v>
      </c>
      <c r="G121" s="60">
        <v>0.68827903330092799</v>
      </c>
      <c r="H121" s="61">
        <v>3.7935483870967701</v>
      </c>
      <c r="I121" s="62">
        <v>3.92</v>
      </c>
      <c r="J121" s="37">
        <v>0.12645161290322982</v>
      </c>
      <c r="K121" s="37">
        <v>3.3333333333334427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78</v>
      </c>
      <c r="D122" s="1" t="s">
        <v>1</v>
      </c>
      <c r="E122" s="59" t="s">
        <v>16</v>
      </c>
      <c r="F122" s="60">
        <v>4.4177941176470501</v>
      </c>
      <c r="G122" s="60">
        <v>0.80130563602057503</v>
      </c>
      <c r="H122" s="61">
        <v>4.6525806451612803</v>
      </c>
      <c r="I122" s="62">
        <v>4.83</v>
      </c>
      <c r="J122" s="37">
        <v>0.17741935483871973</v>
      </c>
      <c r="K122" s="37">
        <v>3.813353671219804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78</v>
      </c>
      <c r="D123" s="1" t="s">
        <v>1</v>
      </c>
      <c r="E123" s="59" t="s">
        <v>17</v>
      </c>
      <c r="F123" s="60">
        <v>1.23823529411764</v>
      </c>
      <c r="G123" s="60">
        <v>0.12415527726187101</v>
      </c>
      <c r="H123" s="61">
        <v>1.25833333333333</v>
      </c>
      <c r="I123" s="62">
        <v>1.4</v>
      </c>
      <c r="J123" s="37">
        <v>0.14166666666666994</v>
      </c>
      <c r="K123" s="37">
        <v>11.258278145695655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78</v>
      </c>
      <c r="D124" s="1" t="s">
        <v>1</v>
      </c>
      <c r="E124" s="59" t="s">
        <v>18</v>
      </c>
      <c r="F124" s="60">
        <v>3.9960606060605999</v>
      </c>
      <c r="G124" s="60">
        <v>0.32969167776501601</v>
      </c>
      <c r="H124" s="61">
        <v>4.0515873015872996</v>
      </c>
      <c r="I124" s="62">
        <v>3.97</v>
      </c>
      <c r="J124" s="37">
        <v>-8.1587301587299432E-2</v>
      </c>
      <c r="K124" s="37">
        <v>-2.0137120470126804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78</v>
      </c>
      <c r="D125" s="1" t="s">
        <v>1</v>
      </c>
      <c r="E125" s="59" t="s">
        <v>19</v>
      </c>
      <c r="F125" s="60"/>
      <c r="G125" s="60"/>
      <c r="H125" s="61"/>
      <c r="I125" s="62"/>
      <c r="J125" s="37"/>
      <c r="K125" s="37"/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78</v>
      </c>
      <c r="D127" s="1" t="s">
        <v>1</v>
      </c>
      <c r="E127" s="59" t="s">
        <v>12</v>
      </c>
      <c r="F127" s="60">
        <v>5.2705970149253698</v>
      </c>
      <c r="G127" s="60">
        <v>0.841505191223893</v>
      </c>
      <c r="H127" s="61">
        <v>5.4695238095238103</v>
      </c>
      <c r="I127" s="63">
        <v>5.47</v>
      </c>
      <c r="J127" s="58">
        <v>4.7619047618940868E-4</v>
      </c>
      <c r="K127" s="58">
        <v>8.7062510882618665E-3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78</v>
      </c>
      <c r="D128" s="1" t="s">
        <v>1</v>
      </c>
      <c r="E128" s="59" t="s">
        <v>13</v>
      </c>
      <c r="F128" s="60">
        <v>5.4204477611940298</v>
      </c>
      <c r="G128" s="60">
        <v>1.2898668597680201</v>
      </c>
      <c r="H128" s="61">
        <v>5.8369999999999997</v>
      </c>
      <c r="I128" s="63">
        <v>5.98</v>
      </c>
      <c r="J128" s="58">
        <v>0.14300000000000068</v>
      </c>
      <c r="K128" s="58">
        <v>2.4498886414254013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78</v>
      </c>
      <c r="D129" s="1" t="s">
        <v>1</v>
      </c>
      <c r="E129" s="59" t="s">
        <v>14</v>
      </c>
      <c r="F129" s="60">
        <v>2.3871641791044702</v>
      </c>
      <c r="G129" s="60">
        <v>0.30507550310941101</v>
      </c>
      <c r="H129" s="61">
        <v>2.4568253968253901</v>
      </c>
      <c r="I129" s="63">
        <v>2.41</v>
      </c>
      <c r="J129" s="58">
        <v>-4.6825396825389998E-2</v>
      </c>
      <c r="K129" s="58">
        <v>-1.9059309988367863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78</v>
      </c>
      <c r="D130" s="1" t="s">
        <v>1</v>
      </c>
      <c r="E130" s="59" t="s">
        <v>15</v>
      </c>
      <c r="F130" s="60">
        <v>3.5516417910447702</v>
      </c>
      <c r="G130" s="60">
        <v>0.717871224919164</v>
      </c>
      <c r="H130" s="61">
        <v>3.7886666666666602</v>
      </c>
      <c r="I130" s="63">
        <v>3.91</v>
      </c>
      <c r="J130" s="58">
        <v>0.12133333333333995</v>
      </c>
      <c r="K130" s="58">
        <v>3.2025338729546058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78</v>
      </c>
      <c r="D131" s="1" t="s">
        <v>1</v>
      </c>
      <c r="E131" s="59" t="s">
        <v>16</v>
      </c>
      <c r="F131" s="60">
        <v>4.4780597014925299</v>
      </c>
      <c r="G131" s="60">
        <v>0.79542392490817604</v>
      </c>
      <c r="H131" s="61">
        <v>4.64578124999999</v>
      </c>
      <c r="I131" s="63">
        <v>4.76</v>
      </c>
      <c r="J131" s="58">
        <v>0.11421875000000981</v>
      </c>
      <c r="K131" s="58">
        <v>2.458547741566826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78</v>
      </c>
      <c r="D132" s="1" t="s">
        <v>1</v>
      </c>
      <c r="E132" s="59" t="s">
        <v>17</v>
      </c>
      <c r="F132" s="60">
        <v>1.2419402985074599</v>
      </c>
      <c r="G132" s="60">
        <v>0.122318873782801</v>
      </c>
      <c r="H132" s="61">
        <v>1.25938461538461</v>
      </c>
      <c r="I132" s="63">
        <v>1.37</v>
      </c>
      <c r="J132" s="58">
        <v>0.11061538461539011</v>
      </c>
      <c r="K132" s="58">
        <v>8.7832885414126416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78</v>
      </c>
      <c r="D133" s="1" t="s">
        <v>1</v>
      </c>
      <c r="E133" s="59" t="s">
        <v>18</v>
      </c>
      <c r="F133" s="60">
        <v>3.9082089552238801</v>
      </c>
      <c r="G133" s="60">
        <v>0.62866103951682095</v>
      </c>
      <c r="H133" s="61">
        <v>4.0633333333333299</v>
      </c>
      <c r="I133" s="63">
        <v>3.98</v>
      </c>
      <c r="J133" s="58">
        <v>-8.3333333333329929E-2</v>
      </c>
      <c r="K133" s="58">
        <v>-2.0508613617718621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78</v>
      </c>
      <c r="D134" s="1" t="s">
        <v>1</v>
      </c>
      <c r="E134" s="59" t="s">
        <v>19</v>
      </c>
      <c r="F134" s="60"/>
      <c r="G134" s="60"/>
      <c r="H134" s="61"/>
      <c r="I134" s="63"/>
      <c r="J134" s="58"/>
      <c r="K134" s="58"/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78</v>
      </c>
      <c r="D135" s="1" t="s">
        <v>1</v>
      </c>
      <c r="E135" s="59" t="s">
        <v>12</v>
      </c>
      <c r="F135" s="60">
        <v>5.2705970149253698</v>
      </c>
      <c r="G135" s="60">
        <v>0.841505191223893</v>
      </c>
      <c r="H135" s="61">
        <v>5.4695238095238103</v>
      </c>
      <c r="I135" s="63">
        <v>5.41</v>
      </c>
      <c r="J135" s="58">
        <v>-5.9523809523810201E-2</v>
      </c>
      <c r="K135" s="58">
        <v>-1.0882813860351854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78</v>
      </c>
      <c r="D136" s="1" t="s">
        <v>1</v>
      </c>
      <c r="E136" s="59" t="s">
        <v>13</v>
      </c>
      <c r="F136" s="60">
        <v>5.4204477611940298</v>
      </c>
      <c r="G136" s="60">
        <v>1.2898668597680201</v>
      </c>
      <c r="H136" s="61">
        <v>5.8369999999999997</v>
      </c>
      <c r="I136" s="63">
        <v>5.96</v>
      </c>
      <c r="J136" s="58">
        <v>0.12300000000000022</v>
      </c>
      <c r="K136" s="58">
        <v>2.1072468733938705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78</v>
      </c>
      <c r="D137" s="1" t="s">
        <v>1</v>
      </c>
      <c r="E137" s="59" t="s">
        <v>14</v>
      </c>
      <c r="F137" s="60">
        <v>2.3871641791044702</v>
      </c>
      <c r="G137" s="60">
        <v>0.30507550310941101</v>
      </c>
      <c r="H137" s="61">
        <v>2.4568253968253901</v>
      </c>
      <c r="I137" s="63">
        <v>2.4300000000000002</v>
      </c>
      <c r="J137" s="58">
        <v>-2.682539682538998E-2</v>
      </c>
      <c r="K137" s="58">
        <v>-1.0918723349267174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78</v>
      </c>
      <c r="D138" s="1" t="s">
        <v>1</v>
      </c>
      <c r="E138" s="59" t="s">
        <v>15</v>
      </c>
      <c r="F138" s="60">
        <v>3.5516417910447702</v>
      </c>
      <c r="G138" s="60">
        <v>0.717871224919164</v>
      </c>
      <c r="H138" s="61">
        <v>3.7886666666666602</v>
      </c>
      <c r="I138" s="63">
        <v>3.89</v>
      </c>
      <c r="J138" s="58">
        <v>0.10133333333333994</v>
      </c>
      <c r="K138" s="58">
        <v>2.6746436741159627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78</v>
      </c>
      <c r="D139" s="1" t="s">
        <v>1</v>
      </c>
      <c r="E139" s="59" t="s">
        <v>16</v>
      </c>
      <c r="F139" s="60">
        <v>4.4780597014925299</v>
      </c>
      <c r="G139" s="60">
        <v>0.79542392490817604</v>
      </c>
      <c r="H139" s="61">
        <v>4.64578124999999</v>
      </c>
      <c r="I139" s="63">
        <v>4.78</v>
      </c>
      <c r="J139" s="58">
        <v>0.13421875000001027</v>
      </c>
      <c r="K139" s="58">
        <v>2.8890458413213183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78</v>
      </c>
      <c r="D140" s="1" t="s">
        <v>1</v>
      </c>
      <c r="E140" s="59" t="s">
        <v>17</v>
      </c>
      <c r="F140" s="60">
        <v>1.2419402985074599</v>
      </c>
      <c r="G140" s="60">
        <v>0.122318873782801</v>
      </c>
      <c r="H140" s="61">
        <v>1.25938461538461</v>
      </c>
      <c r="I140" s="63">
        <v>1.38</v>
      </c>
      <c r="J140" s="58">
        <v>0.1206153846153899</v>
      </c>
      <c r="K140" s="58">
        <v>9.5773271439046876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78</v>
      </c>
      <c r="D141" s="1" t="s">
        <v>1</v>
      </c>
      <c r="E141" s="59" t="s">
        <v>18</v>
      </c>
      <c r="F141" s="60">
        <v>3.9082089552238801</v>
      </c>
      <c r="G141" s="60">
        <v>0.62866103951682095</v>
      </c>
      <c r="H141" s="61">
        <v>4.0633333333333299</v>
      </c>
      <c r="I141" s="63">
        <v>4.01</v>
      </c>
      <c r="J141" s="58">
        <v>-5.3333333333330124E-2</v>
      </c>
      <c r="K141" s="58">
        <v>-1.3125512715339664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78</v>
      </c>
      <c r="D142" s="1" t="s">
        <v>1</v>
      </c>
      <c r="E142" s="59" t="s">
        <v>19</v>
      </c>
      <c r="F142" s="60"/>
      <c r="G142" s="60"/>
      <c r="H142" s="61"/>
      <c r="I142" s="63"/>
      <c r="J142" s="58"/>
      <c r="K142" s="58"/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78</v>
      </c>
      <c r="D143" s="1" t="s">
        <v>1</v>
      </c>
      <c r="E143" s="59" t="s">
        <v>12</v>
      </c>
      <c r="F143" s="60">
        <v>5.2705970149253698</v>
      </c>
      <c r="G143" s="60">
        <v>0.841505191223893</v>
      </c>
      <c r="H143" s="61">
        <v>5.4695238095238103</v>
      </c>
      <c r="I143" s="63">
        <v>5.45</v>
      </c>
      <c r="J143" s="58">
        <v>-1.9523809523810165E-2</v>
      </c>
      <c r="K143" s="58">
        <v>-0.35695629461954848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78</v>
      </c>
      <c r="D144" s="1" t="s">
        <v>1</v>
      </c>
      <c r="E144" s="59" t="s">
        <v>13</v>
      </c>
      <c r="F144" s="60">
        <v>5.4204477611940298</v>
      </c>
      <c r="G144" s="60">
        <v>1.2898668597680201</v>
      </c>
      <c r="H144" s="61">
        <v>5.8369999999999997</v>
      </c>
      <c r="I144" s="63">
        <v>6.03</v>
      </c>
      <c r="J144" s="58">
        <v>0.1930000000000005</v>
      </c>
      <c r="K144" s="58">
        <v>3.3064930615042059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78</v>
      </c>
      <c r="D145" s="1" t="s">
        <v>1</v>
      </c>
      <c r="E145" s="59" t="s">
        <v>14</v>
      </c>
      <c r="F145" s="60">
        <v>2.3871641791044702</v>
      </c>
      <c r="G145" s="60">
        <v>0.30507550310941101</v>
      </c>
      <c r="H145" s="61">
        <v>2.4568253968253901</v>
      </c>
      <c r="I145" s="63">
        <v>2.4500000000000002</v>
      </c>
      <c r="J145" s="58">
        <v>-6.8253968253899622E-3</v>
      </c>
      <c r="K145" s="58">
        <v>-0.27781367101664867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78</v>
      </c>
      <c r="D146" s="1" t="s">
        <v>1</v>
      </c>
      <c r="E146" s="59" t="s">
        <v>15</v>
      </c>
      <c r="F146" s="60">
        <v>3.5516417910447702</v>
      </c>
      <c r="G146" s="60">
        <v>0.717871224919164</v>
      </c>
      <c r="H146" s="61">
        <v>3.7886666666666602</v>
      </c>
      <c r="I146" s="63">
        <v>3.92</v>
      </c>
      <c r="J146" s="58">
        <v>0.13133333333333974</v>
      </c>
      <c r="K146" s="58">
        <v>3.4664789723739218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78</v>
      </c>
      <c r="D147" s="1" t="s">
        <v>1</v>
      </c>
      <c r="E147" s="59" t="s">
        <v>16</v>
      </c>
      <c r="F147" s="60">
        <v>4.4780597014925299</v>
      </c>
      <c r="G147" s="60">
        <v>0.79542392490817604</v>
      </c>
      <c r="H147" s="61">
        <v>4.64578124999999</v>
      </c>
      <c r="I147" s="63">
        <v>4.83</v>
      </c>
      <c r="J147" s="58">
        <v>0.18421875000001009</v>
      </c>
      <c r="K147" s="58">
        <v>3.9652910907075207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78</v>
      </c>
      <c r="D148" s="1" t="s">
        <v>1</v>
      </c>
      <c r="E148" s="59" t="s">
        <v>17</v>
      </c>
      <c r="F148" s="60">
        <v>1.2419402985074599</v>
      </c>
      <c r="G148" s="60">
        <v>0.122318873782801</v>
      </c>
      <c r="H148" s="61">
        <v>1.25938461538461</v>
      </c>
      <c r="I148" s="63">
        <v>1.4</v>
      </c>
      <c r="J148" s="58">
        <v>0.14061538461538992</v>
      </c>
      <c r="K148" s="58">
        <v>11.165404348888815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78</v>
      </c>
      <c r="D149" s="1" t="s">
        <v>1</v>
      </c>
      <c r="E149" s="59" t="s">
        <v>18</v>
      </c>
      <c r="F149" s="60">
        <v>3.9082089552238801</v>
      </c>
      <c r="G149" s="60">
        <v>0.62866103951682095</v>
      </c>
      <c r="H149" s="61">
        <v>4.0633333333333299</v>
      </c>
      <c r="I149" s="63">
        <v>3.97</v>
      </c>
      <c r="J149" s="58">
        <v>-9.3333333333329715E-2</v>
      </c>
      <c r="K149" s="58">
        <v>-2.2969647251844907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78</v>
      </c>
      <c r="D150" s="1" t="s">
        <v>1</v>
      </c>
      <c r="E150" s="59" t="s">
        <v>19</v>
      </c>
      <c r="F150" s="60"/>
      <c r="G150" s="60"/>
      <c r="H150" s="61"/>
      <c r="I150" s="63"/>
      <c r="J150" s="58"/>
      <c r="K150" s="58"/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78</v>
      </c>
      <c r="D152" s="1" t="s">
        <v>1</v>
      </c>
      <c r="E152" s="59" t="s">
        <v>12</v>
      </c>
      <c r="F152" s="60">
        <v>5.8142192691030097</v>
      </c>
      <c r="G152" s="60">
        <v>0.74015474167369599</v>
      </c>
      <c r="H152" s="61">
        <v>5.9599652777778003</v>
      </c>
      <c r="I152" s="62">
        <v>5.36</v>
      </c>
      <c r="J152" s="37">
        <v>-0.59996527777779995</v>
      </c>
      <c r="K152" s="37">
        <v>-10.066590153046993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78</v>
      </c>
      <c r="D153" s="1" t="s">
        <v>1</v>
      </c>
      <c r="E153" s="59" t="s">
        <v>13</v>
      </c>
      <c r="F153" s="60">
        <v>2.7094407894736698</v>
      </c>
      <c r="G153" s="60">
        <v>0.36784849630106498</v>
      </c>
      <c r="H153" s="61">
        <v>2.7900347222222099</v>
      </c>
      <c r="I153" s="62">
        <v>2.94</v>
      </c>
      <c r="J153" s="37">
        <v>0.14996527777779001</v>
      </c>
      <c r="K153" s="37">
        <v>5.3750326683513636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78</v>
      </c>
      <c r="D154" s="1" t="s">
        <v>1</v>
      </c>
      <c r="E154" s="59" t="s">
        <v>14</v>
      </c>
      <c r="F154" s="60">
        <v>4.2557894736842199</v>
      </c>
      <c r="G154" s="60">
        <v>0.76310827878640797</v>
      </c>
      <c r="H154" s="61">
        <v>4.4500355871886201</v>
      </c>
      <c r="I154" s="62">
        <v>4.8</v>
      </c>
      <c r="J154" s="37">
        <v>0.34996441281137969</v>
      </c>
      <c r="K154" s="37">
        <v>7.864305935415568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78</v>
      </c>
      <c r="D155" s="1" t="s">
        <v>1</v>
      </c>
      <c r="E155" s="59" t="s">
        <v>15</v>
      </c>
      <c r="F155" s="60">
        <v>3.4129276315789498</v>
      </c>
      <c r="G155" s="60">
        <v>0.61457916283778302</v>
      </c>
      <c r="H155" s="61">
        <v>3.5764768683274002</v>
      </c>
      <c r="I155" s="62">
        <v>3.73</v>
      </c>
      <c r="J155" s="37">
        <v>0.15352313167259979</v>
      </c>
      <c r="K155" s="37">
        <v>4.2925800256719535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78</v>
      </c>
      <c r="D156" s="1" t="s">
        <v>1</v>
      </c>
      <c r="E156" s="59" t="s">
        <v>16</v>
      </c>
      <c r="F156" s="60">
        <v>1.6192281879194499</v>
      </c>
      <c r="G156" s="60">
        <v>0.171790047480914</v>
      </c>
      <c r="H156" s="61">
        <v>1.6398634812286601</v>
      </c>
      <c r="I156" s="62">
        <v>1.71</v>
      </c>
      <c r="J156" s="37">
        <v>7.0136518771339862E-2</v>
      </c>
      <c r="K156" s="37">
        <v>4.2769730269735868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78</v>
      </c>
      <c r="D157" s="1" t="s">
        <v>1</v>
      </c>
      <c r="E157" s="59" t="s">
        <v>17</v>
      </c>
      <c r="F157" s="60">
        <v>5.2665131578947504</v>
      </c>
      <c r="G157" s="60">
        <v>0.67248484611024595</v>
      </c>
      <c r="H157" s="61">
        <v>5.4065397923875498</v>
      </c>
      <c r="I157" s="62">
        <v>5.0599999999999996</v>
      </c>
      <c r="J157" s="37">
        <v>-0.34653979238755017</v>
      </c>
      <c r="K157" s="37">
        <v>-6.4096410217026598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78</v>
      </c>
      <c r="D158" s="1" t="s">
        <v>1</v>
      </c>
      <c r="E158" s="59" t="s">
        <v>18</v>
      </c>
      <c r="F158" s="60">
        <v>1.8520723684210501</v>
      </c>
      <c r="G158" s="60">
        <v>0.31195792146187201</v>
      </c>
      <c r="H158" s="61">
        <v>1.9279225352112599</v>
      </c>
      <c r="I158" s="62">
        <v>1.69</v>
      </c>
      <c r="J158" s="37">
        <v>-0.23792253521125994</v>
      </c>
      <c r="K158" s="37">
        <v>-12.340876299015232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78</v>
      </c>
      <c r="D159" s="1" t="s">
        <v>1</v>
      </c>
      <c r="E159" s="59" t="s">
        <v>19</v>
      </c>
      <c r="F159" s="60">
        <v>1.6223684210526299</v>
      </c>
      <c r="G159" s="60">
        <v>0.12874003202141601</v>
      </c>
      <c r="H159" s="61">
        <v>1.63709030100334</v>
      </c>
      <c r="I159" s="62">
        <v>1.68</v>
      </c>
      <c r="J159" s="37">
        <v>4.2909698996659973E-2</v>
      </c>
      <c r="K159" s="37">
        <v>2.6210954258516757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78</v>
      </c>
      <c r="D160" s="1" t="s">
        <v>1</v>
      </c>
      <c r="E160" s="59" t="s">
        <v>12</v>
      </c>
      <c r="F160" s="60">
        <v>5.8142192691030097</v>
      </c>
      <c r="G160" s="60">
        <v>0.74015474167369599</v>
      </c>
      <c r="H160" s="61">
        <v>5.9599652777778003</v>
      </c>
      <c r="I160" s="62">
        <v>5.32</v>
      </c>
      <c r="J160" s="37">
        <v>-0.63996527777779999</v>
      </c>
      <c r="K160" s="37">
        <v>-10.737735002651121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78</v>
      </c>
      <c r="D161" s="1" t="s">
        <v>1</v>
      </c>
      <c r="E161" s="59" t="s">
        <v>13</v>
      </c>
      <c r="F161" s="60">
        <v>2.7094407894736698</v>
      </c>
      <c r="G161" s="60">
        <v>0.36784849630106498</v>
      </c>
      <c r="H161" s="61">
        <v>2.7900347222222099</v>
      </c>
      <c r="I161" s="62">
        <v>2.95</v>
      </c>
      <c r="J161" s="37">
        <v>0.15996527777779024</v>
      </c>
      <c r="K161" s="37">
        <v>5.7334511468151526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78</v>
      </c>
      <c r="D162" s="1" t="s">
        <v>1</v>
      </c>
      <c r="E162" s="59" t="s">
        <v>14</v>
      </c>
      <c r="F162" s="60">
        <v>4.2557894736842199</v>
      </c>
      <c r="G162" s="60">
        <v>0.76310827878640797</v>
      </c>
      <c r="H162" s="61">
        <v>4.4500355871886201</v>
      </c>
      <c r="I162" s="62">
        <v>4.8099999999999996</v>
      </c>
      <c r="J162" s="37">
        <v>0.35996441281137947</v>
      </c>
      <c r="K162" s="37">
        <v>8.0890232394476786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78</v>
      </c>
      <c r="D163" s="1" t="s">
        <v>1</v>
      </c>
      <c r="E163" s="59" t="s">
        <v>15</v>
      </c>
      <c r="F163" s="60">
        <v>3.4129276315789498</v>
      </c>
      <c r="G163" s="60">
        <v>0.61457916283778302</v>
      </c>
      <c r="H163" s="61">
        <v>3.5764768683274002</v>
      </c>
      <c r="I163" s="62">
        <v>3.68</v>
      </c>
      <c r="J163" s="37">
        <v>0.10352313167259997</v>
      </c>
      <c r="K163" s="37">
        <v>2.894556164738018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78</v>
      </c>
      <c r="D164" s="1" t="s">
        <v>1</v>
      </c>
      <c r="E164" s="59" t="s">
        <v>16</v>
      </c>
      <c r="F164" s="60">
        <v>1.6192281879194499</v>
      </c>
      <c r="G164" s="60">
        <v>0.171790047480914</v>
      </c>
      <c r="H164" s="61">
        <v>1.6398634812286601</v>
      </c>
      <c r="I164" s="62">
        <v>1.73</v>
      </c>
      <c r="J164" s="37">
        <v>9.013651877133988E-2</v>
      </c>
      <c r="K164" s="37">
        <v>5.4965867465873144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78</v>
      </c>
      <c r="D165" s="1" t="s">
        <v>1</v>
      </c>
      <c r="E165" s="59" t="s">
        <v>17</v>
      </c>
      <c r="F165" s="60">
        <v>5.2665131578947504</v>
      </c>
      <c r="G165" s="60">
        <v>0.67248484611024595</v>
      </c>
      <c r="H165" s="61">
        <v>5.4065397923875498</v>
      </c>
      <c r="I165" s="62">
        <v>5.0599999999999996</v>
      </c>
      <c r="J165" s="37">
        <v>-0.34653979238755017</v>
      </c>
      <c r="K165" s="37">
        <v>-6.4096410217026598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78</v>
      </c>
      <c r="D166" s="1" t="s">
        <v>1</v>
      </c>
      <c r="E166" s="59" t="s">
        <v>18</v>
      </c>
      <c r="F166" s="60">
        <v>1.8520723684210501</v>
      </c>
      <c r="G166" s="60">
        <v>0.31195792146187201</v>
      </c>
      <c r="H166" s="61">
        <v>1.9279225352112599</v>
      </c>
      <c r="I166" s="62">
        <v>1.74</v>
      </c>
      <c r="J166" s="37">
        <v>-0.1879225352112599</v>
      </c>
      <c r="K166" s="37">
        <v>-9.7474111007612407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78</v>
      </c>
      <c r="D167" s="1" t="s">
        <v>1</v>
      </c>
      <c r="E167" s="59" t="s">
        <v>19</v>
      </c>
      <c r="F167" s="60">
        <v>1.6223684210526299</v>
      </c>
      <c r="G167" s="60">
        <v>0.12874003202141601</v>
      </c>
      <c r="H167" s="61">
        <v>1.63709030100334</v>
      </c>
      <c r="I167" s="62">
        <v>1.74</v>
      </c>
      <c r="J167" s="37">
        <v>0.10290969899666003</v>
      </c>
      <c r="K167" s="37">
        <v>6.286134548203524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78</v>
      </c>
      <c r="D168" s="1" t="s">
        <v>1</v>
      </c>
      <c r="E168" s="59" t="s">
        <v>12</v>
      </c>
      <c r="F168" s="60">
        <v>5.8142192691030097</v>
      </c>
      <c r="G168" s="60">
        <v>0.74015474167369599</v>
      </c>
      <c r="H168" s="61">
        <v>5.9599652777778003</v>
      </c>
      <c r="I168" s="62">
        <v>5.28</v>
      </c>
      <c r="J168" s="37">
        <v>-0.67996527777780003</v>
      </c>
      <c r="K168" s="37">
        <v>-11.40887985225525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78</v>
      </c>
      <c r="D169" s="1" t="s">
        <v>1</v>
      </c>
      <c r="E169" s="59" t="s">
        <v>13</v>
      </c>
      <c r="F169" s="60">
        <v>2.7094407894736698</v>
      </c>
      <c r="G169" s="60">
        <v>0.36784849630106498</v>
      </c>
      <c r="H169" s="61">
        <v>2.7900347222222099</v>
      </c>
      <c r="I169" s="62">
        <v>2.98</v>
      </c>
      <c r="J169" s="37">
        <v>0.18996527777779004</v>
      </c>
      <c r="K169" s="37">
        <v>6.8087065822064847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78</v>
      </c>
      <c r="D170" s="1" t="s">
        <v>1</v>
      </c>
      <c r="E170" s="59" t="s">
        <v>14</v>
      </c>
      <c r="F170" s="60">
        <v>4.2557894736842199</v>
      </c>
      <c r="G170" s="60">
        <v>0.76310827878640797</v>
      </c>
      <c r="H170" s="61">
        <v>4.4500355871886201</v>
      </c>
      <c r="I170" s="62">
        <v>4.83</v>
      </c>
      <c r="J170" s="37">
        <v>0.37996441281137994</v>
      </c>
      <c r="K170" s="37">
        <v>8.5384578475119213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78</v>
      </c>
      <c r="D171" s="1" t="s">
        <v>1</v>
      </c>
      <c r="E171" s="59" t="s">
        <v>15</v>
      </c>
      <c r="F171" s="60">
        <v>3.4129276315789498</v>
      </c>
      <c r="G171" s="60">
        <v>0.61457916283778302</v>
      </c>
      <c r="H171" s="61">
        <v>3.5764768683274002</v>
      </c>
      <c r="I171" s="62">
        <v>3.71</v>
      </c>
      <c r="J171" s="37">
        <v>0.13352313167259977</v>
      </c>
      <c r="K171" s="37">
        <v>3.7333704812983766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78</v>
      </c>
      <c r="D172" s="1" t="s">
        <v>1</v>
      </c>
      <c r="E172" s="59" t="s">
        <v>16</v>
      </c>
      <c r="F172" s="60">
        <v>1.6192281879194499</v>
      </c>
      <c r="G172" s="60">
        <v>0.171790047480914</v>
      </c>
      <c r="H172" s="61">
        <v>1.6398634812286601</v>
      </c>
      <c r="I172" s="62">
        <v>1.74</v>
      </c>
      <c r="J172" s="37">
        <v>0.10013651877133989</v>
      </c>
      <c r="K172" s="37">
        <v>6.1063936063941773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78</v>
      </c>
      <c r="D173" s="1" t="s">
        <v>1</v>
      </c>
      <c r="E173" s="59" t="s">
        <v>17</v>
      </c>
      <c r="F173" s="60">
        <v>5.2665131578947504</v>
      </c>
      <c r="G173" s="60">
        <v>0.67248484611024595</v>
      </c>
      <c r="H173" s="61">
        <v>5.4065397923875498</v>
      </c>
      <c r="I173" s="62">
        <v>5.14</v>
      </c>
      <c r="J173" s="37">
        <v>-0.2665397923875501</v>
      </c>
      <c r="K173" s="37">
        <v>-4.9299515516900518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78</v>
      </c>
      <c r="D174" s="1" t="s">
        <v>1</v>
      </c>
      <c r="E174" s="59" t="s">
        <v>18</v>
      </c>
      <c r="F174" s="60">
        <v>1.8520723684210501</v>
      </c>
      <c r="G174" s="60">
        <v>0.31195792146187201</v>
      </c>
      <c r="H174" s="61">
        <v>1.9279225352112599</v>
      </c>
      <c r="I174" s="62">
        <v>1.7</v>
      </c>
      <c r="J174" s="37">
        <v>-0.22792253521125994</v>
      </c>
      <c r="K174" s="37">
        <v>-11.822183259364433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78</v>
      </c>
      <c r="D175" s="1" t="s">
        <v>1</v>
      </c>
      <c r="E175" s="59" t="s">
        <v>19</v>
      </c>
      <c r="F175" s="60">
        <v>1.6223684210526299</v>
      </c>
      <c r="G175" s="60">
        <v>0.12874003202141601</v>
      </c>
      <c r="H175" s="61">
        <v>1.63709030100334</v>
      </c>
      <c r="I175" s="62">
        <v>1.73</v>
      </c>
      <c r="J175" s="37">
        <v>9.2909698996660017E-2</v>
      </c>
      <c r="K175" s="37">
        <v>5.6752946944782163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78</v>
      </c>
      <c r="D177" s="1" t="s">
        <v>1</v>
      </c>
      <c r="E177" s="59" t="s">
        <v>12</v>
      </c>
      <c r="F177" s="60">
        <v>5.7245846153846403</v>
      </c>
      <c r="G177" s="60">
        <v>0.90540100579896299</v>
      </c>
      <c r="H177" s="61">
        <v>5.9487828947368699</v>
      </c>
      <c r="I177" s="62">
        <v>5.36</v>
      </c>
      <c r="J177" s="37">
        <v>-0.58878289473686962</v>
      </c>
      <c r="K177" s="37">
        <v>-9.8975354312861175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78</v>
      </c>
      <c r="D178" s="1" t="s">
        <v>1</v>
      </c>
      <c r="E178" s="59" t="s">
        <v>13</v>
      </c>
      <c r="F178" s="60">
        <v>2.7270769230769099</v>
      </c>
      <c r="G178" s="60">
        <v>0.35900770541087001</v>
      </c>
      <c r="H178" s="61">
        <v>2.7944051446945202</v>
      </c>
      <c r="I178" s="62">
        <v>2.94</v>
      </c>
      <c r="J178" s="37">
        <v>0.14559485530547978</v>
      </c>
      <c r="K178" s="37">
        <v>5.2102271419699937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78</v>
      </c>
      <c r="D179" s="1" t="s">
        <v>1</v>
      </c>
      <c r="E179" s="59" t="s">
        <v>14</v>
      </c>
      <c r="F179" s="60">
        <v>4.1896923076923196</v>
      </c>
      <c r="G179" s="60">
        <v>0.90282116677202295</v>
      </c>
      <c r="H179" s="61">
        <v>4.4475420875421001</v>
      </c>
      <c r="I179" s="62">
        <v>4.8</v>
      </c>
      <c r="J179" s="37">
        <v>0.3524579124578997</v>
      </c>
      <c r="K179" s="37">
        <v>7.9247796989973587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78</v>
      </c>
      <c r="D180" s="1" t="s">
        <v>1</v>
      </c>
      <c r="E180" s="59" t="s">
        <v>15</v>
      </c>
      <c r="F180" s="60">
        <v>3.4144923076923002</v>
      </c>
      <c r="G180" s="60">
        <v>0.61334703749375596</v>
      </c>
      <c r="H180" s="61">
        <v>3.5765780730897001</v>
      </c>
      <c r="I180" s="62">
        <v>3.73</v>
      </c>
      <c r="J180" s="37">
        <v>0.15342192691029988</v>
      </c>
      <c r="K180" s="37">
        <v>4.2896289071571472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78</v>
      </c>
      <c r="D181" s="1" t="s">
        <v>1</v>
      </c>
      <c r="E181" s="59" t="s">
        <v>16</v>
      </c>
      <c r="F181" s="60">
        <v>1.6068944099378799</v>
      </c>
      <c r="G181" s="60">
        <v>0.18546813700613701</v>
      </c>
      <c r="H181" s="61">
        <v>1.63893548387096</v>
      </c>
      <c r="I181" s="62">
        <v>1.71</v>
      </c>
      <c r="J181" s="37">
        <v>7.1064516129039967E-2</v>
      </c>
      <c r="K181" s="37">
        <v>4.336016690613989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78</v>
      </c>
      <c r="D182" s="1" t="s">
        <v>1</v>
      </c>
      <c r="E182" s="59" t="s">
        <v>17</v>
      </c>
      <c r="F182" s="60">
        <v>5.1953230769230903</v>
      </c>
      <c r="G182" s="60">
        <v>0.85586643651901795</v>
      </c>
      <c r="H182" s="61">
        <v>5.3978032786885404</v>
      </c>
      <c r="I182" s="62">
        <v>5.0599999999999996</v>
      </c>
      <c r="J182" s="37">
        <v>-0.33780327868854076</v>
      </c>
      <c r="K182" s="37">
        <v>-6.258162093869676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78</v>
      </c>
      <c r="D183" s="1" t="s">
        <v>1</v>
      </c>
      <c r="E183" s="59" t="s">
        <v>18</v>
      </c>
      <c r="F183" s="60">
        <v>1.8784000000000001</v>
      </c>
      <c r="G183" s="60">
        <v>0.26287972096057</v>
      </c>
      <c r="H183" s="61">
        <v>1.9346278317152099</v>
      </c>
      <c r="I183" s="62">
        <v>1.69</v>
      </c>
      <c r="J183" s="37">
        <v>-0.24462783171520996</v>
      </c>
      <c r="K183" s="37">
        <v>-12.644697223151539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78</v>
      </c>
      <c r="D184" s="1" t="s">
        <v>1</v>
      </c>
      <c r="E184" s="59" t="s">
        <v>19</v>
      </c>
      <c r="F184" s="60">
        <v>1.61304615384615</v>
      </c>
      <c r="G184" s="60">
        <v>0.174980300497313</v>
      </c>
      <c r="H184" s="61">
        <v>1.6409841269841201</v>
      </c>
      <c r="I184" s="62">
        <v>1.68</v>
      </c>
      <c r="J184" s="37">
        <v>3.9015873015879832E-2</v>
      </c>
      <c r="K184" s="37">
        <v>2.3775899092689632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78</v>
      </c>
      <c r="D185" s="1" t="s">
        <v>1</v>
      </c>
      <c r="E185" s="59" t="s">
        <v>12</v>
      </c>
      <c r="F185" s="60">
        <v>5.7245846153846403</v>
      </c>
      <c r="G185" s="60">
        <v>0.90540100579896299</v>
      </c>
      <c r="H185" s="61">
        <v>5.9487828947368699</v>
      </c>
      <c r="I185" s="62">
        <v>5.32</v>
      </c>
      <c r="J185" s="37">
        <v>-0.62878289473686966</v>
      </c>
      <c r="K185" s="37">
        <v>-10.569941883291445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78</v>
      </c>
      <c r="D186" s="1" t="s">
        <v>1</v>
      </c>
      <c r="E186" s="59" t="s">
        <v>13</v>
      </c>
      <c r="F186" s="60">
        <v>2.7270769230769099</v>
      </c>
      <c r="G186" s="60">
        <v>0.35900770541087001</v>
      </c>
      <c r="H186" s="61">
        <v>2.7944051446945202</v>
      </c>
      <c r="I186" s="62">
        <v>2.95</v>
      </c>
      <c r="J186" s="37">
        <v>0.15559485530548001</v>
      </c>
      <c r="K186" s="37">
        <v>5.5680850574188794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78</v>
      </c>
      <c r="D187" s="1" t="s">
        <v>1</v>
      </c>
      <c r="E187" s="59" t="s">
        <v>14</v>
      </c>
      <c r="F187" s="60">
        <v>4.1896923076923196</v>
      </c>
      <c r="G187" s="60">
        <v>0.90282116677202295</v>
      </c>
      <c r="H187" s="61">
        <v>4.4475420875421001</v>
      </c>
      <c r="I187" s="62">
        <v>4.8099999999999996</v>
      </c>
      <c r="J187" s="37">
        <v>0.36245791245789949</v>
      </c>
      <c r="K187" s="37">
        <v>8.1496229900369332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78</v>
      </c>
      <c r="D188" s="1" t="s">
        <v>1</v>
      </c>
      <c r="E188" s="59" t="s">
        <v>15</v>
      </c>
      <c r="F188" s="60">
        <v>3.4144923076923002</v>
      </c>
      <c r="G188" s="60">
        <v>0.61334703749375596</v>
      </c>
      <c r="H188" s="61">
        <v>3.5765780730897001</v>
      </c>
      <c r="I188" s="62">
        <v>3.68</v>
      </c>
      <c r="J188" s="37">
        <v>0.10342192691030005</v>
      </c>
      <c r="K188" s="37">
        <v>2.8916446054526332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78</v>
      </c>
      <c r="D189" s="1" t="s">
        <v>1</v>
      </c>
      <c r="E189" s="59" t="s">
        <v>16</v>
      </c>
      <c r="F189" s="60">
        <v>1.6068944099378799</v>
      </c>
      <c r="G189" s="60">
        <v>0.18546813700613701</v>
      </c>
      <c r="H189" s="61">
        <v>1.63893548387096</v>
      </c>
      <c r="I189" s="62">
        <v>1.73</v>
      </c>
      <c r="J189" s="37">
        <v>9.1064516129039985E-2</v>
      </c>
      <c r="K189" s="37">
        <v>5.5563209793931012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78</v>
      </c>
      <c r="D190" s="1" t="s">
        <v>1</v>
      </c>
      <c r="E190" s="59" t="s">
        <v>17</v>
      </c>
      <c r="F190" s="60">
        <v>5.1953230769230903</v>
      </c>
      <c r="G190" s="60">
        <v>0.85586643651901795</v>
      </c>
      <c r="H190" s="61">
        <v>5.3978032786885404</v>
      </c>
      <c r="I190" s="62">
        <v>5.0599999999999996</v>
      </c>
      <c r="J190" s="37">
        <v>-0.33780327868854076</v>
      </c>
      <c r="K190" s="37">
        <v>-6.258162093869676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78</v>
      </c>
      <c r="D191" s="1" t="s">
        <v>1</v>
      </c>
      <c r="E191" s="59" t="s">
        <v>18</v>
      </c>
      <c r="F191" s="60">
        <v>1.8784000000000001</v>
      </c>
      <c r="G191" s="60">
        <v>0.26287972096057</v>
      </c>
      <c r="H191" s="61">
        <v>1.9346278317152099</v>
      </c>
      <c r="I191" s="62">
        <v>1.74</v>
      </c>
      <c r="J191" s="37">
        <v>-0.19462783171520992</v>
      </c>
      <c r="K191" s="37">
        <v>-10.060220809635309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78</v>
      </c>
      <c r="D192" s="1" t="s">
        <v>1</v>
      </c>
      <c r="E192" s="59" t="s">
        <v>19</v>
      </c>
      <c r="F192" s="60">
        <v>1.61304615384615</v>
      </c>
      <c r="G192" s="60">
        <v>0.174980300497313</v>
      </c>
      <c r="H192" s="61">
        <v>1.6409841269841201</v>
      </c>
      <c r="I192" s="62">
        <v>1.74</v>
      </c>
      <c r="J192" s="37">
        <v>9.9015873015879885E-2</v>
      </c>
      <c r="K192" s="37">
        <v>6.0339324060285726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78</v>
      </c>
      <c r="D193" s="1" t="s">
        <v>1</v>
      </c>
      <c r="E193" s="59" t="s">
        <v>12</v>
      </c>
      <c r="F193" s="60">
        <v>5.7245846153846403</v>
      </c>
      <c r="G193" s="60">
        <v>0.90540100579896299</v>
      </c>
      <c r="H193" s="61">
        <v>5.9487828947368699</v>
      </c>
      <c r="I193" s="62">
        <v>5.28</v>
      </c>
      <c r="J193" s="37">
        <v>-0.66878289473686969</v>
      </c>
      <c r="K193" s="37">
        <v>-11.242348335296773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78</v>
      </c>
      <c r="D194" s="1" t="s">
        <v>1</v>
      </c>
      <c r="E194" s="59" t="s">
        <v>13</v>
      </c>
      <c r="F194" s="60">
        <v>2.7270769230769099</v>
      </c>
      <c r="G194" s="60">
        <v>0.35900770541087001</v>
      </c>
      <c r="H194" s="61">
        <v>2.7944051446945202</v>
      </c>
      <c r="I194" s="62">
        <v>2.98</v>
      </c>
      <c r="J194" s="37">
        <v>0.18559485530547981</v>
      </c>
      <c r="K194" s="37">
        <v>6.6416588037655062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78</v>
      </c>
      <c r="D195" s="1" t="s">
        <v>1</v>
      </c>
      <c r="E195" s="59" t="s">
        <v>14</v>
      </c>
      <c r="F195" s="60">
        <v>4.1896923076923196</v>
      </c>
      <c r="G195" s="60">
        <v>0.90282116677202295</v>
      </c>
      <c r="H195" s="61">
        <v>4.4475420875421001</v>
      </c>
      <c r="I195" s="62">
        <v>4.83</v>
      </c>
      <c r="J195" s="37">
        <v>0.38245791245789995</v>
      </c>
      <c r="K195" s="37">
        <v>8.5993095721160984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78</v>
      </c>
      <c r="D196" s="1" t="s">
        <v>1</v>
      </c>
      <c r="E196" s="59" t="s">
        <v>15</v>
      </c>
      <c r="F196" s="60">
        <v>3.4144923076923002</v>
      </c>
      <c r="G196" s="60">
        <v>0.61334703749375596</v>
      </c>
      <c r="H196" s="61">
        <v>3.5765780730897001</v>
      </c>
      <c r="I196" s="62">
        <v>3.71</v>
      </c>
      <c r="J196" s="37">
        <v>0.13342192691029986</v>
      </c>
      <c r="K196" s="37">
        <v>3.7304351864753391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78</v>
      </c>
      <c r="D197" s="1" t="s">
        <v>1</v>
      </c>
      <c r="E197" s="59" t="s">
        <v>16</v>
      </c>
      <c r="F197" s="60">
        <v>1.6068944099378799</v>
      </c>
      <c r="G197" s="60">
        <v>0.18546813700613701</v>
      </c>
      <c r="H197" s="61">
        <v>1.63893548387096</v>
      </c>
      <c r="I197" s="62">
        <v>1.74</v>
      </c>
      <c r="J197" s="37">
        <v>0.10106451612903999</v>
      </c>
      <c r="K197" s="37">
        <v>6.1664731237826569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78</v>
      </c>
      <c r="D198" s="1" t="s">
        <v>1</v>
      </c>
      <c r="E198" s="59" t="s">
        <v>17</v>
      </c>
      <c r="F198" s="60">
        <v>5.1953230769230903</v>
      </c>
      <c r="G198" s="60">
        <v>0.85586643651901795</v>
      </c>
      <c r="H198" s="61">
        <v>5.3978032786885404</v>
      </c>
      <c r="I198" s="62">
        <v>5.14</v>
      </c>
      <c r="J198" s="37">
        <v>-0.25780327868854069</v>
      </c>
      <c r="K198" s="37">
        <v>-4.7760777000968622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78</v>
      </c>
      <c r="D199" s="1" t="s">
        <v>1</v>
      </c>
      <c r="E199" s="59" t="s">
        <v>18</v>
      </c>
      <c r="F199" s="60">
        <v>1.8784000000000001</v>
      </c>
      <c r="G199" s="60">
        <v>0.26287972096057</v>
      </c>
      <c r="H199" s="61">
        <v>1.9346278317152099</v>
      </c>
      <c r="I199" s="62">
        <v>1.7</v>
      </c>
      <c r="J199" s="37">
        <v>-0.23462783171520996</v>
      </c>
      <c r="K199" s="37">
        <v>-12.127801940448292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78</v>
      </c>
      <c r="D200" s="1" t="s">
        <v>1</v>
      </c>
      <c r="E200" s="59" t="s">
        <v>19</v>
      </c>
      <c r="F200" s="60">
        <v>1.61304615384615</v>
      </c>
      <c r="G200" s="60">
        <v>0.174980300497313</v>
      </c>
      <c r="H200" s="61">
        <v>1.6409841269841201</v>
      </c>
      <c r="I200" s="62">
        <v>1.73</v>
      </c>
      <c r="J200" s="37">
        <v>8.9015873015879876E-2</v>
      </c>
      <c r="K200" s="37">
        <v>5.4245419899019707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78</v>
      </c>
      <c r="D202" s="1" t="s">
        <v>1</v>
      </c>
      <c r="E202" s="59" t="s">
        <v>12</v>
      </c>
      <c r="F202" s="60">
        <v>5.6958385093167898</v>
      </c>
      <c r="G202" s="60">
        <v>0.94777186172151695</v>
      </c>
      <c r="H202" s="61">
        <v>5.9151815181518401</v>
      </c>
      <c r="I202" s="63">
        <v>5.36</v>
      </c>
      <c r="J202" s="58">
        <v>-0.5551815181518398</v>
      </c>
      <c r="K202" s="58">
        <v>-9.385705518049809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78</v>
      </c>
      <c r="D203" s="1" t="s">
        <v>1</v>
      </c>
      <c r="E203" s="59" t="s">
        <v>13</v>
      </c>
      <c r="F203" s="60">
        <v>2.7060061919504501</v>
      </c>
      <c r="G203" s="60">
        <v>0.40728561565206001</v>
      </c>
      <c r="H203" s="61">
        <v>2.7930718954248199</v>
      </c>
      <c r="I203" s="63">
        <v>2.94</v>
      </c>
      <c r="J203" s="58">
        <v>0.14692810457518002</v>
      </c>
      <c r="K203" s="58">
        <v>5.260448354940487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78</v>
      </c>
      <c r="D204" s="1" t="s">
        <v>1</v>
      </c>
      <c r="E204" s="59" t="s">
        <v>14</v>
      </c>
      <c r="F204" s="60">
        <v>4.23965944272447</v>
      </c>
      <c r="G204" s="60">
        <v>0.796957571071919</v>
      </c>
      <c r="H204" s="61">
        <v>4.45488215488216</v>
      </c>
      <c r="I204" s="63">
        <v>4.8</v>
      </c>
      <c r="J204" s="58">
        <v>0.34511784511783983</v>
      </c>
      <c r="K204" s="58">
        <v>7.7469579018969323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78</v>
      </c>
      <c r="D205" s="1" t="s">
        <v>1</v>
      </c>
      <c r="E205" s="59" t="s">
        <v>15</v>
      </c>
      <c r="F205" s="60">
        <v>3.4677708978328101</v>
      </c>
      <c r="G205" s="60">
        <v>0.54840719275022698</v>
      </c>
      <c r="H205" s="61">
        <v>3.58676470588235</v>
      </c>
      <c r="I205" s="63">
        <v>3.73</v>
      </c>
      <c r="J205" s="58">
        <v>0.14323529411765001</v>
      </c>
      <c r="K205" s="58">
        <v>3.9934399343994293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78</v>
      </c>
      <c r="D206" s="1" t="s">
        <v>1</v>
      </c>
      <c r="E206" s="59" t="s">
        <v>16</v>
      </c>
      <c r="F206" s="60">
        <v>1.58744548286604</v>
      </c>
      <c r="G206" s="60">
        <v>0.24785751921541599</v>
      </c>
      <c r="H206" s="61">
        <v>1.6368506493506401</v>
      </c>
      <c r="I206" s="63">
        <v>1.71</v>
      </c>
      <c r="J206" s="58">
        <v>7.3149350649359901E-2</v>
      </c>
      <c r="K206" s="58">
        <v>4.4689080630770563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78</v>
      </c>
      <c r="D207" s="1" t="s">
        <v>1</v>
      </c>
      <c r="E207" s="59" t="s">
        <v>17</v>
      </c>
      <c r="F207" s="60">
        <v>5.2916770186335498</v>
      </c>
      <c r="G207" s="60">
        <v>0.62367298727932596</v>
      </c>
      <c r="H207" s="61">
        <v>5.4112377850162998</v>
      </c>
      <c r="I207" s="63">
        <v>5.0599999999999996</v>
      </c>
      <c r="J207" s="58">
        <v>-0.35123778501630021</v>
      </c>
      <c r="K207" s="58">
        <v>-6.4908954100830041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78</v>
      </c>
      <c r="D208" s="1" t="s">
        <v>1</v>
      </c>
      <c r="E208" s="59" t="s">
        <v>18</v>
      </c>
      <c r="F208" s="60">
        <v>1.8865217391304301</v>
      </c>
      <c r="G208" s="60">
        <v>0.25139427564196098</v>
      </c>
      <c r="H208" s="61">
        <v>1.94266447368421</v>
      </c>
      <c r="I208" s="63">
        <v>1.69</v>
      </c>
      <c r="J208" s="58">
        <v>-0.25266447368421008</v>
      </c>
      <c r="K208" s="58">
        <v>-13.006078872953228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78</v>
      </c>
      <c r="D209" s="1" t="s">
        <v>1</v>
      </c>
      <c r="E209" s="59" t="s">
        <v>19</v>
      </c>
      <c r="F209" s="60">
        <v>1.6117337461300301</v>
      </c>
      <c r="G209" s="60">
        <v>0.18711289536112799</v>
      </c>
      <c r="H209" s="61">
        <v>1.6449679487179401</v>
      </c>
      <c r="I209" s="63">
        <v>1.68</v>
      </c>
      <c r="J209" s="58">
        <v>3.5032051282059884E-2</v>
      </c>
      <c r="K209" s="58">
        <v>2.1296494748948307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78</v>
      </c>
      <c r="D210" s="1" t="s">
        <v>1</v>
      </c>
      <c r="E210" s="59" t="s">
        <v>12</v>
      </c>
      <c r="F210" s="60">
        <v>5.6958385093167898</v>
      </c>
      <c r="G210" s="60">
        <v>0.94777186172151695</v>
      </c>
      <c r="H210" s="61">
        <v>5.9151815181518401</v>
      </c>
      <c r="I210" s="63">
        <v>5.32</v>
      </c>
      <c r="J210" s="58">
        <v>-0.59518151815183984</v>
      </c>
      <c r="K210" s="58">
        <v>-10.06193159627332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78</v>
      </c>
      <c r="D211" s="1" t="s">
        <v>1</v>
      </c>
      <c r="E211" s="59" t="s">
        <v>13</v>
      </c>
      <c r="F211" s="60">
        <v>2.7060061919504501</v>
      </c>
      <c r="G211" s="60">
        <v>0.40728561565206001</v>
      </c>
      <c r="H211" s="61">
        <v>2.7930718954248199</v>
      </c>
      <c r="I211" s="63">
        <v>2.95</v>
      </c>
      <c r="J211" s="58">
        <v>0.15692810457518025</v>
      </c>
      <c r="K211" s="58">
        <v>5.6184770908416528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78</v>
      </c>
      <c r="D212" s="1" t="s">
        <v>1</v>
      </c>
      <c r="E212" s="59" t="s">
        <v>14</v>
      </c>
      <c r="F212" s="60">
        <v>4.23965944272447</v>
      </c>
      <c r="G212" s="60">
        <v>0.796957571071919</v>
      </c>
      <c r="H212" s="61">
        <v>4.45488215488216</v>
      </c>
      <c r="I212" s="63">
        <v>4.8099999999999996</v>
      </c>
      <c r="J212" s="58">
        <v>0.35511784511783961</v>
      </c>
      <c r="K212" s="58">
        <v>7.9714307308592121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78</v>
      </c>
      <c r="D213" s="1" t="s">
        <v>1</v>
      </c>
      <c r="E213" s="59" t="s">
        <v>15</v>
      </c>
      <c r="F213" s="60">
        <v>3.4677708978328101</v>
      </c>
      <c r="G213" s="60">
        <v>0.54840719275022698</v>
      </c>
      <c r="H213" s="61">
        <v>3.58676470588235</v>
      </c>
      <c r="I213" s="63">
        <v>3.68</v>
      </c>
      <c r="J213" s="58">
        <v>9.3235294117650191E-2</v>
      </c>
      <c r="K213" s="58">
        <v>2.5994259942600317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78</v>
      </c>
      <c r="D214" s="1" t="s">
        <v>1</v>
      </c>
      <c r="E214" s="59" t="s">
        <v>16</v>
      </c>
      <c r="F214" s="60">
        <v>1.58744548286604</v>
      </c>
      <c r="G214" s="60">
        <v>0.24785751921541599</v>
      </c>
      <c r="H214" s="61">
        <v>1.6368506493506401</v>
      </c>
      <c r="I214" s="63">
        <v>1.73</v>
      </c>
      <c r="J214" s="58">
        <v>9.3149350649359919E-2</v>
      </c>
      <c r="K214" s="58">
        <v>5.6907666369142156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78</v>
      </c>
      <c r="D215" s="1" t="s">
        <v>1</v>
      </c>
      <c r="E215" s="59" t="s">
        <v>17</v>
      </c>
      <c r="F215" s="60">
        <v>5.2916770186335498</v>
      </c>
      <c r="G215" s="60">
        <v>0.62367298727932596</v>
      </c>
      <c r="H215" s="61">
        <v>5.4112377850162998</v>
      </c>
      <c r="I215" s="63">
        <v>5.0599999999999996</v>
      </c>
      <c r="J215" s="58">
        <v>-0.35123778501630021</v>
      </c>
      <c r="K215" s="58">
        <v>-6.4908954100830041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78</v>
      </c>
      <c r="D216" s="1" t="s">
        <v>1</v>
      </c>
      <c r="E216" s="59" t="s">
        <v>18</v>
      </c>
      <c r="F216" s="60">
        <v>1.8865217391304301</v>
      </c>
      <c r="G216" s="60">
        <v>0.25139427564196098</v>
      </c>
      <c r="H216" s="61">
        <v>1.94266447368421</v>
      </c>
      <c r="I216" s="63">
        <v>1.74</v>
      </c>
      <c r="J216" s="58">
        <v>-0.20266447368421003</v>
      </c>
      <c r="K216" s="58">
        <v>-10.432294224224032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78</v>
      </c>
      <c r="D217" s="1" t="s">
        <v>1</v>
      </c>
      <c r="E217" s="59" t="s">
        <v>19</v>
      </c>
      <c r="F217" s="60">
        <v>1.6117337461300301</v>
      </c>
      <c r="G217" s="60">
        <v>0.18711289536112799</v>
      </c>
      <c r="H217" s="61">
        <v>1.6449679487179401</v>
      </c>
      <c r="I217" s="63">
        <v>1.74</v>
      </c>
      <c r="J217" s="58">
        <v>9.5032051282059937E-2</v>
      </c>
      <c r="K217" s="58">
        <v>5.7771369561410779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78</v>
      </c>
      <c r="D218" s="1" t="s">
        <v>1</v>
      </c>
      <c r="E218" s="59" t="s">
        <v>12</v>
      </c>
      <c r="F218" s="60">
        <v>5.6958385093167898</v>
      </c>
      <c r="G218" s="60">
        <v>0.94777186172151695</v>
      </c>
      <c r="H218" s="61">
        <v>5.9151815181518401</v>
      </c>
      <c r="I218" s="63">
        <v>5.28</v>
      </c>
      <c r="J218" s="58">
        <v>-0.63518151815183987</v>
      </c>
      <c r="K218" s="58">
        <v>-10.738157674496829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78</v>
      </c>
      <c r="D219" s="1" t="s">
        <v>1</v>
      </c>
      <c r="E219" s="59" t="s">
        <v>13</v>
      </c>
      <c r="F219" s="60">
        <v>2.7060061919504501</v>
      </c>
      <c r="G219" s="60">
        <v>0.40728561565206001</v>
      </c>
      <c r="H219" s="61">
        <v>2.7930718954248199</v>
      </c>
      <c r="I219" s="63">
        <v>2.98</v>
      </c>
      <c r="J219" s="58">
        <v>0.18692810457518005</v>
      </c>
      <c r="K219" s="58">
        <v>6.6925632985451209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78</v>
      </c>
      <c r="D220" s="1" t="s">
        <v>1</v>
      </c>
      <c r="E220" s="59" t="s">
        <v>14</v>
      </c>
      <c r="F220" s="60">
        <v>4.23965944272447</v>
      </c>
      <c r="G220" s="60">
        <v>0.796957571071919</v>
      </c>
      <c r="H220" s="61">
        <v>4.45488215488216</v>
      </c>
      <c r="I220" s="63">
        <v>4.83</v>
      </c>
      <c r="J220" s="58">
        <v>0.37511784511784008</v>
      </c>
      <c r="K220" s="58">
        <v>8.4203763887837937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78</v>
      </c>
      <c r="D221" s="1" t="s">
        <v>1</v>
      </c>
      <c r="E221" s="59" t="s">
        <v>15</v>
      </c>
      <c r="F221" s="60">
        <v>3.4677708978328101</v>
      </c>
      <c r="G221" s="60">
        <v>0.54840719275022698</v>
      </c>
      <c r="H221" s="61">
        <v>3.58676470588235</v>
      </c>
      <c r="I221" s="63">
        <v>3.71</v>
      </c>
      <c r="J221" s="58">
        <v>0.12323529411765</v>
      </c>
      <c r="K221" s="58">
        <v>3.4358343583436679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78</v>
      </c>
      <c r="D222" s="1" t="s">
        <v>1</v>
      </c>
      <c r="E222" s="59" t="s">
        <v>16</v>
      </c>
      <c r="F222" s="60">
        <v>1.58744548286604</v>
      </c>
      <c r="G222" s="60">
        <v>0.24785751921541599</v>
      </c>
      <c r="H222" s="61">
        <v>1.6368506493506401</v>
      </c>
      <c r="I222" s="63">
        <v>1.74</v>
      </c>
      <c r="J222" s="58">
        <v>0.10314935064935993</v>
      </c>
      <c r="K222" s="58">
        <v>6.3016959238327956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78</v>
      </c>
      <c r="D223" s="1" t="s">
        <v>1</v>
      </c>
      <c r="E223" s="59" t="s">
        <v>17</v>
      </c>
      <c r="F223" s="60">
        <v>5.2916770186335498</v>
      </c>
      <c r="G223" s="60">
        <v>0.62367298727932596</v>
      </c>
      <c r="H223" s="61">
        <v>5.4112377850162998</v>
      </c>
      <c r="I223" s="63">
        <v>5.14</v>
      </c>
      <c r="J223" s="58">
        <v>-0.27123778501630014</v>
      </c>
      <c r="K223" s="58">
        <v>-5.0124905944321414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78</v>
      </c>
      <c r="D224" s="1" t="s">
        <v>1</v>
      </c>
      <c r="E224" s="59" t="s">
        <v>18</v>
      </c>
      <c r="F224" s="60">
        <v>1.8865217391304301</v>
      </c>
      <c r="G224" s="60">
        <v>0.25139427564196098</v>
      </c>
      <c r="H224" s="61">
        <v>1.94266447368421</v>
      </c>
      <c r="I224" s="63">
        <v>1.7</v>
      </c>
      <c r="J224" s="58">
        <v>-0.24266447368421007</v>
      </c>
      <c r="K224" s="58">
        <v>-12.491321943207389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78</v>
      </c>
      <c r="D225" s="1" t="s">
        <v>1</v>
      </c>
      <c r="E225" s="59" t="s">
        <v>19</v>
      </c>
      <c r="F225" s="60">
        <v>1.6117337461300301</v>
      </c>
      <c r="G225" s="60">
        <v>0.18711289536112799</v>
      </c>
      <c r="H225" s="61">
        <v>1.6449679487179401</v>
      </c>
      <c r="I225" s="63">
        <v>1.73</v>
      </c>
      <c r="J225" s="58">
        <v>8.5032051282059928E-2</v>
      </c>
      <c r="K225" s="58">
        <v>5.1692223759333702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CDA-4FB2-41D7-8454-1DD9FE1CF2AA}">
  <dimension ref="A1:M225"/>
  <sheetViews>
    <sheetView workbookViewId="0">
      <selection activeCell="B12" sqref="B12"/>
    </sheetView>
  </sheetViews>
  <sheetFormatPr defaultColWidth="8.88671875" defaultRowHeight="14.4" x14ac:dyDescent="0.3"/>
  <cols>
    <col min="1" max="1" width="18.6640625" customWidth="1"/>
  </cols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6</v>
      </c>
      <c r="B2">
        <v>1</v>
      </c>
      <c r="C2" t="s">
        <v>78</v>
      </c>
      <c r="D2" s="1" t="s">
        <v>1</v>
      </c>
      <c r="E2" s="59" t="s">
        <v>12</v>
      </c>
      <c r="F2" s="60">
        <v>1.94691489361702</v>
      </c>
      <c r="G2" s="60">
        <v>0.22321169512821201</v>
      </c>
      <c r="H2" s="61">
        <v>1.9856043956043901</v>
      </c>
      <c r="I2" s="62">
        <v>1.95</v>
      </c>
      <c r="J2" s="37">
        <v>-3.5604395604390104E-2</v>
      </c>
      <c r="K2" s="37">
        <v>-1.7931263489952454</v>
      </c>
      <c r="L2" s="1" t="s">
        <v>23</v>
      </c>
      <c r="M2" s="1">
        <v>1</v>
      </c>
    </row>
    <row r="3" spans="1:13" x14ac:dyDescent="0.3">
      <c r="A3">
        <v>6</v>
      </c>
      <c r="B3">
        <v>1</v>
      </c>
      <c r="C3" t="s">
        <v>78</v>
      </c>
      <c r="D3" s="1" t="s">
        <v>1</v>
      </c>
      <c r="E3" s="59" t="s">
        <v>13</v>
      </c>
      <c r="F3" s="60">
        <v>3.4197500000000001</v>
      </c>
      <c r="G3" s="60">
        <v>0.62355227326985097</v>
      </c>
      <c r="H3" s="61">
        <v>3.5418181818181802</v>
      </c>
      <c r="I3" s="62">
        <v>3.4</v>
      </c>
      <c r="J3" s="37">
        <v>-0.14181818181818029</v>
      </c>
      <c r="K3" s="37">
        <v>-4.0041067761806568</v>
      </c>
      <c r="L3" s="1" t="s">
        <v>23</v>
      </c>
      <c r="M3" s="1">
        <v>1</v>
      </c>
    </row>
    <row r="4" spans="1:13" x14ac:dyDescent="0.3">
      <c r="A4">
        <v>6</v>
      </c>
      <c r="B4">
        <v>1</v>
      </c>
      <c r="C4" t="s">
        <v>78</v>
      </c>
      <c r="D4" s="1" t="s">
        <v>1</v>
      </c>
      <c r="E4" s="59" t="s">
        <v>14</v>
      </c>
      <c r="F4" s="60">
        <v>4.6675531914893602</v>
      </c>
      <c r="G4" s="60">
        <v>0.58931746703954002</v>
      </c>
      <c r="H4" s="61">
        <v>4.7834831460674101</v>
      </c>
      <c r="I4" s="62">
        <v>4.83</v>
      </c>
      <c r="J4" s="37">
        <v>4.6516853932589974E-2</v>
      </c>
      <c r="K4" s="37">
        <v>0.97244732576997461</v>
      </c>
      <c r="L4" s="1" t="s">
        <v>23</v>
      </c>
      <c r="M4" s="1">
        <v>1</v>
      </c>
    </row>
    <row r="5" spans="1:13" x14ac:dyDescent="0.3">
      <c r="A5">
        <v>6</v>
      </c>
      <c r="B5">
        <v>1</v>
      </c>
      <c r="C5" t="s">
        <v>78</v>
      </c>
      <c r="D5" s="1" t="s">
        <v>1</v>
      </c>
      <c r="E5" s="59" t="s">
        <v>15</v>
      </c>
      <c r="F5" s="60">
        <v>5.0451063829787204</v>
      </c>
      <c r="G5" s="60">
        <v>0.98264487284545898</v>
      </c>
      <c r="H5" s="61">
        <v>5.3578571428571404</v>
      </c>
      <c r="I5" s="62">
        <v>5.42</v>
      </c>
      <c r="J5" s="37">
        <v>6.2142857142859498E-2</v>
      </c>
      <c r="K5" s="37">
        <v>1.1598453539528508</v>
      </c>
      <c r="L5" s="1" t="s">
        <v>23</v>
      </c>
      <c r="M5" s="1">
        <v>1</v>
      </c>
    </row>
    <row r="6" spans="1:13" x14ac:dyDescent="0.3">
      <c r="A6">
        <v>6</v>
      </c>
      <c r="B6">
        <v>1</v>
      </c>
      <c r="C6" t="s">
        <v>78</v>
      </c>
      <c r="D6" s="1" t="s">
        <v>1</v>
      </c>
      <c r="E6" s="59" t="s">
        <v>16</v>
      </c>
      <c r="F6" s="60">
        <v>3.89787234042553</v>
      </c>
      <c r="G6" s="60">
        <v>0.27880395133050201</v>
      </c>
      <c r="H6" s="61">
        <v>3.9439560439560402</v>
      </c>
      <c r="I6" s="62">
        <v>3.92</v>
      </c>
      <c r="J6" s="37">
        <v>-2.3956043956040229E-2</v>
      </c>
      <c r="K6" s="37">
        <v>-0.60741153524649283</v>
      </c>
      <c r="L6" s="1" t="s">
        <v>23</v>
      </c>
      <c r="M6" s="1">
        <v>1</v>
      </c>
    </row>
    <row r="7" spans="1:13" x14ac:dyDescent="0.3">
      <c r="A7">
        <v>6</v>
      </c>
      <c r="B7">
        <v>1</v>
      </c>
      <c r="C7" t="s">
        <v>78</v>
      </c>
      <c r="D7" s="1" t="s">
        <v>1</v>
      </c>
      <c r="E7" s="59" t="s">
        <v>17</v>
      </c>
      <c r="F7" s="60">
        <v>4.0546236559139803</v>
      </c>
      <c r="G7" s="60">
        <v>0.51958742760412102</v>
      </c>
      <c r="H7" s="61">
        <v>4.17724137931034</v>
      </c>
      <c r="I7" s="62">
        <v>4.3499999999999996</v>
      </c>
      <c r="J7" s="37">
        <v>0.17275862068965964</v>
      </c>
      <c r="K7" s="37">
        <v>4.135710747895109</v>
      </c>
      <c r="L7" s="1" t="s">
        <v>23</v>
      </c>
      <c r="M7" s="1">
        <v>1</v>
      </c>
    </row>
    <row r="8" spans="1:13" x14ac:dyDescent="0.3">
      <c r="A8">
        <v>6</v>
      </c>
      <c r="B8">
        <v>1</v>
      </c>
      <c r="C8" t="s">
        <v>78</v>
      </c>
      <c r="D8" s="1" t="s">
        <v>1</v>
      </c>
      <c r="E8" s="59" t="s">
        <v>18</v>
      </c>
      <c r="F8" s="60">
        <v>1.8399999999999901</v>
      </c>
      <c r="G8" s="60">
        <v>3.9855508257473499E-2</v>
      </c>
      <c r="H8" s="61">
        <v>1.8382051282051199</v>
      </c>
      <c r="I8" s="62">
        <v>1.86</v>
      </c>
      <c r="J8" s="37">
        <v>2.1794871794880155E-2</v>
      </c>
      <c r="K8" s="37">
        <v>1.1856604826340214</v>
      </c>
      <c r="L8" s="1" t="s">
        <v>23</v>
      </c>
      <c r="M8" s="1">
        <v>1</v>
      </c>
    </row>
    <row r="9" spans="1:13" x14ac:dyDescent="0.3">
      <c r="A9">
        <v>6</v>
      </c>
      <c r="B9">
        <v>1</v>
      </c>
      <c r="C9" t="s">
        <v>78</v>
      </c>
      <c r="D9" s="1" t="s">
        <v>1</v>
      </c>
      <c r="E9" s="59" t="s">
        <v>19</v>
      </c>
      <c r="F9" s="60">
        <v>2.5541489361702099</v>
      </c>
      <c r="G9" s="60">
        <v>0.42188132236263098</v>
      </c>
      <c r="H9" s="61">
        <v>2.6538636363636301</v>
      </c>
      <c r="I9" s="62">
        <v>2.73</v>
      </c>
      <c r="J9" s="37">
        <v>7.6136363636369886E-2</v>
      </c>
      <c r="K9" s="37">
        <v>2.8688875567357055</v>
      </c>
      <c r="L9" s="1" t="s">
        <v>23</v>
      </c>
      <c r="M9" s="1">
        <v>1</v>
      </c>
    </row>
    <row r="10" spans="1:13" x14ac:dyDescent="0.3">
      <c r="A10">
        <v>6</v>
      </c>
      <c r="B10">
        <v>1</v>
      </c>
      <c r="C10" t="s">
        <v>78</v>
      </c>
      <c r="D10" s="1" t="s">
        <v>1</v>
      </c>
      <c r="E10" s="59" t="s">
        <v>12</v>
      </c>
      <c r="F10" s="60">
        <v>1.94691489361702</v>
      </c>
      <c r="G10" s="60">
        <v>0.22321169512821201</v>
      </c>
      <c r="H10" s="61">
        <v>1.9856043956043901</v>
      </c>
      <c r="I10" s="62">
        <v>1.94</v>
      </c>
      <c r="J10" s="37">
        <v>-4.5604395604390113E-2</v>
      </c>
      <c r="K10" s="37">
        <v>-2.2967513420773211</v>
      </c>
      <c r="L10" s="1" t="s">
        <v>68</v>
      </c>
      <c r="M10" s="1">
        <v>1</v>
      </c>
    </row>
    <row r="11" spans="1:13" x14ac:dyDescent="0.3">
      <c r="A11">
        <v>6</v>
      </c>
      <c r="B11">
        <v>1</v>
      </c>
      <c r="C11" t="s">
        <v>78</v>
      </c>
      <c r="D11" s="1" t="s">
        <v>1</v>
      </c>
      <c r="E11" s="59" t="s">
        <v>13</v>
      </c>
      <c r="F11" s="60">
        <v>3.4197500000000001</v>
      </c>
      <c r="G11" s="60">
        <v>0.62355227326985097</v>
      </c>
      <c r="H11" s="61">
        <v>3.5418181818181802</v>
      </c>
      <c r="I11" s="62">
        <v>3.45</v>
      </c>
      <c r="J11" s="37">
        <v>-9.1818181818180022E-2</v>
      </c>
      <c r="K11" s="37">
        <v>-2.5924024640656591</v>
      </c>
      <c r="L11" s="1" t="s">
        <v>68</v>
      </c>
      <c r="M11" s="1">
        <v>1</v>
      </c>
    </row>
    <row r="12" spans="1:13" x14ac:dyDescent="0.3">
      <c r="A12">
        <v>6</v>
      </c>
      <c r="B12">
        <v>1</v>
      </c>
      <c r="C12" t="s">
        <v>78</v>
      </c>
      <c r="D12" s="1" t="s">
        <v>1</v>
      </c>
      <c r="E12" s="59" t="s">
        <v>14</v>
      </c>
      <c r="F12" s="60">
        <v>4.6675531914893602</v>
      </c>
      <c r="G12" s="60">
        <v>0.58931746703954002</v>
      </c>
      <c r="H12" s="61">
        <v>4.7834831460674101</v>
      </c>
      <c r="I12" s="62">
        <v>4.8499999999999996</v>
      </c>
      <c r="J12" s="37">
        <v>6.6516853932589548E-2</v>
      </c>
      <c r="K12" s="37">
        <v>1.3905526977193237</v>
      </c>
      <c r="L12" s="1" t="s">
        <v>68</v>
      </c>
      <c r="M12" s="1">
        <v>1</v>
      </c>
    </row>
    <row r="13" spans="1:13" x14ac:dyDescent="0.3">
      <c r="A13">
        <v>6</v>
      </c>
      <c r="B13">
        <v>1</v>
      </c>
      <c r="C13" t="s">
        <v>78</v>
      </c>
      <c r="D13" s="1" t="s">
        <v>1</v>
      </c>
      <c r="E13" s="59" t="s">
        <v>15</v>
      </c>
      <c r="F13" s="60">
        <v>5.0451063829787204</v>
      </c>
      <c r="G13" s="60">
        <v>0.98264487284545898</v>
      </c>
      <c r="H13" s="61">
        <v>5.3578571428571404</v>
      </c>
      <c r="I13" s="62">
        <v>5.37</v>
      </c>
      <c r="J13" s="37">
        <v>1.2142857142859675E-2</v>
      </c>
      <c r="K13" s="37">
        <v>0.22663644847358425</v>
      </c>
      <c r="L13" s="1" t="s">
        <v>68</v>
      </c>
      <c r="M13" s="1">
        <v>1</v>
      </c>
    </row>
    <row r="14" spans="1:13" x14ac:dyDescent="0.3">
      <c r="A14">
        <v>6</v>
      </c>
      <c r="B14">
        <v>1</v>
      </c>
      <c r="C14" t="s">
        <v>78</v>
      </c>
      <c r="D14" s="1" t="s">
        <v>1</v>
      </c>
      <c r="E14" s="59" t="s">
        <v>16</v>
      </c>
      <c r="F14" s="60">
        <v>3.89787234042553</v>
      </c>
      <c r="G14" s="60">
        <v>0.27880395133050201</v>
      </c>
      <c r="H14" s="61">
        <v>3.9439560439560402</v>
      </c>
      <c r="I14" s="62">
        <v>3.93</v>
      </c>
      <c r="J14" s="37">
        <v>-1.3956043956039998E-2</v>
      </c>
      <c r="K14" s="37">
        <v>-0.35385901365272809</v>
      </c>
      <c r="L14" s="1" t="s">
        <v>68</v>
      </c>
      <c r="M14" s="1">
        <v>1</v>
      </c>
    </row>
    <row r="15" spans="1:13" x14ac:dyDescent="0.3">
      <c r="A15">
        <v>6</v>
      </c>
      <c r="B15">
        <v>1</v>
      </c>
      <c r="C15" t="s">
        <v>78</v>
      </c>
      <c r="D15" s="1" t="s">
        <v>1</v>
      </c>
      <c r="E15" s="59" t="s">
        <v>17</v>
      </c>
      <c r="F15" s="60">
        <v>4.0546236559139803</v>
      </c>
      <c r="G15" s="60">
        <v>0.51958742760412102</v>
      </c>
      <c r="H15" s="61">
        <v>4.17724137931034</v>
      </c>
      <c r="I15" s="62">
        <v>4.3499999999999996</v>
      </c>
      <c r="J15" s="37">
        <v>0.17275862068965964</v>
      </c>
      <c r="K15" s="37">
        <v>4.135710747895109</v>
      </c>
      <c r="L15" s="1" t="s">
        <v>68</v>
      </c>
      <c r="M15" s="1">
        <v>1</v>
      </c>
    </row>
    <row r="16" spans="1:13" x14ac:dyDescent="0.3">
      <c r="A16">
        <v>6</v>
      </c>
      <c r="B16">
        <v>1</v>
      </c>
      <c r="C16" t="s">
        <v>78</v>
      </c>
      <c r="D16" s="1" t="s">
        <v>1</v>
      </c>
      <c r="E16" s="59" t="s">
        <v>18</v>
      </c>
      <c r="F16" s="60">
        <v>1.8399999999999901</v>
      </c>
      <c r="G16" s="60">
        <v>3.9855508257473499E-2</v>
      </c>
      <c r="H16" s="61">
        <v>1.8382051282051199</v>
      </c>
      <c r="I16" s="62">
        <v>1.76</v>
      </c>
      <c r="J16" s="37">
        <v>-7.8205128205119934E-2</v>
      </c>
      <c r="K16" s="37">
        <v>-4.2544287906258766</v>
      </c>
      <c r="L16" s="1" t="s">
        <v>68</v>
      </c>
      <c r="M16" s="1">
        <v>1</v>
      </c>
    </row>
    <row r="17" spans="1:13" x14ac:dyDescent="0.3">
      <c r="A17">
        <v>6</v>
      </c>
      <c r="B17">
        <v>1</v>
      </c>
      <c r="C17" t="s">
        <v>78</v>
      </c>
      <c r="D17" s="1" t="s">
        <v>1</v>
      </c>
      <c r="E17" s="59" t="s">
        <v>19</v>
      </c>
      <c r="F17" s="60">
        <v>2.5541489361702099</v>
      </c>
      <c r="G17" s="60">
        <v>0.42188132236263098</v>
      </c>
      <c r="H17" s="61">
        <v>2.6538636363636301</v>
      </c>
      <c r="I17" s="62">
        <v>2.64</v>
      </c>
      <c r="J17" s="37">
        <v>-1.3863636363629972E-2</v>
      </c>
      <c r="K17" s="37">
        <v>-0.52239445062920287</v>
      </c>
      <c r="L17" s="1" t="s">
        <v>68</v>
      </c>
      <c r="M17" s="1">
        <v>1</v>
      </c>
    </row>
    <row r="18" spans="1:13" x14ac:dyDescent="0.3">
      <c r="A18">
        <v>6</v>
      </c>
      <c r="B18">
        <v>1</v>
      </c>
      <c r="C18" t="s">
        <v>78</v>
      </c>
      <c r="D18" s="1" t="s">
        <v>1</v>
      </c>
      <c r="E18" s="59" t="s">
        <v>12</v>
      </c>
      <c r="F18" s="60">
        <v>1.94691489361702</v>
      </c>
      <c r="G18" s="60">
        <v>0.22321169512821201</v>
      </c>
      <c r="H18" s="61">
        <v>1.9856043956043901</v>
      </c>
      <c r="I18" s="62">
        <v>1.87</v>
      </c>
      <c r="J18" s="37">
        <v>-0.11560439560438995</v>
      </c>
      <c r="K18" s="37">
        <v>-5.8221262936518432</v>
      </c>
      <c r="L18" s="1" t="s">
        <v>69</v>
      </c>
      <c r="M18" s="1">
        <v>1</v>
      </c>
    </row>
    <row r="19" spans="1:13" x14ac:dyDescent="0.3">
      <c r="A19">
        <v>6</v>
      </c>
      <c r="B19">
        <v>1</v>
      </c>
      <c r="C19" t="s">
        <v>78</v>
      </c>
      <c r="D19" s="1" t="s">
        <v>1</v>
      </c>
      <c r="E19" s="59" t="s">
        <v>13</v>
      </c>
      <c r="F19" s="60">
        <v>3.4197500000000001</v>
      </c>
      <c r="G19" s="60">
        <v>0.62355227326985097</v>
      </c>
      <c r="H19" s="61">
        <v>3.5418181818181802</v>
      </c>
      <c r="I19" s="62">
        <v>3.49</v>
      </c>
      <c r="J19" s="37">
        <v>-5.1818181818179987E-2</v>
      </c>
      <c r="K19" s="37">
        <v>-1.4630390143736656</v>
      </c>
      <c r="L19" s="1" t="s">
        <v>69</v>
      </c>
      <c r="M19" s="1">
        <v>1</v>
      </c>
    </row>
    <row r="20" spans="1:13" x14ac:dyDescent="0.3">
      <c r="A20">
        <v>6</v>
      </c>
      <c r="B20">
        <v>1</v>
      </c>
      <c r="C20" t="s">
        <v>78</v>
      </c>
      <c r="D20" s="1" t="s">
        <v>1</v>
      </c>
      <c r="E20" s="59" t="s">
        <v>14</v>
      </c>
      <c r="F20" s="60">
        <v>4.6675531914893602</v>
      </c>
      <c r="G20" s="60">
        <v>0.58931746703954002</v>
      </c>
      <c r="H20" s="61">
        <v>4.7834831460674101</v>
      </c>
      <c r="I20" s="62">
        <v>4.88</v>
      </c>
      <c r="J20" s="37">
        <v>9.6516853932589797E-2</v>
      </c>
      <c r="K20" s="37">
        <v>2.0177107556433658</v>
      </c>
      <c r="L20" s="1" t="s">
        <v>69</v>
      </c>
      <c r="M20" s="1">
        <v>1</v>
      </c>
    </row>
    <row r="21" spans="1:13" x14ac:dyDescent="0.3">
      <c r="A21">
        <v>6</v>
      </c>
      <c r="B21">
        <v>1</v>
      </c>
      <c r="C21" t="s">
        <v>78</v>
      </c>
      <c r="D21" s="1" t="s">
        <v>1</v>
      </c>
      <c r="E21" s="59" t="s">
        <v>15</v>
      </c>
      <c r="F21" s="60">
        <v>5.0451063829787204</v>
      </c>
      <c r="G21" s="60">
        <v>0.98264487284545898</v>
      </c>
      <c r="H21" s="61">
        <v>5.3578571428571404</v>
      </c>
      <c r="I21" s="62">
        <v>5.41</v>
      </c>
      <c r="J21" s="37">
        <v>5.2142857142859711E-2</v>
      </c>
      <c r="K21" s="37">
        <v>0.97320357285700076</v>
      </c>
      <c r="L21" s="1" t="s">
        <v>69</v>
      </c>
      <c r="M21" s="1">
        <v>1</v>
      </c>
    </row>
    <row r="22" spans="1:13" x14ac:dyDescent="0.3">
      <c r="A22">
        <v>6</v>
      </c>
      <c r="B22">
        <v>1</v>
      </c>
      <c r="C22" t="s">
        <v>78</v>
      </c>
      <c r="D22" s="1" t="s">
        <v>1</v>
      </c>
      <c r="E22" s="59" t="s">
        <v>16</v>
      </c>
      <c r="F22" s="60">
        <v>3.89787234042553</v>
      </c>
      <c r="G22" s="60">
        <v>0.27880395133050201</v>
      </c>
      <c r="H22" s="61">
        <v>3.9439560439560402</v>
      </c>
      <c r="I22" s="62">
        <v>3.97</v>
      </c>
      <c r="J22" s="37">
        <v>2.6043956043960037E-2</v>
      </c>
      <c r="K22" s="37">
        <v>0.66035107272230864</v>
      </c>
      <c r="L22" s="1" t="s">
        <v>69</v>
      </c>
      <c r="M22" s="1">
        <v>1</v>
      </c>
    </row>
    <row r="23" spans="1:13" x14ac:dyDescent="0.3">
      <c r="A23">
        <v>6</v>
      </c>
      <c r="B23">
        <v>1</v>
      </c>
      <c r="C23" t="s">
        <v>78</v>
      </c>
      <c r="D23" s="1" t="s">
        <v>1</v>
      </c>
      <c r="E23" s="59" t="s">
        <v>17</v>
      </c>
      <c r="F23" s="60">
        <v>4.0546236559139803</v>
      </c>
      <c r="G23" s="60">
        <v>0.51958742760412102</v>
      </c>
      <c r="H23" s="61">
        <v>4.17724137931034</v>
      </c>
      <c r="I23" s="62">
        <v>4.4000000000000004</v>
      </c>
      <c r="J23" s="37">
        <v>0.22275862068966035</v>
      </c>
      <c r="K23" s="37">
        <v>5.332672940399668</v>
      </c>
      <c r="L23" s="1" t="s">
        <v>69</v>
      </c>
      <c r="M23" s="1">
        <v>1</v>
      </c>
    </row>
    <row r="24" spans="1:13" x14ac:dyDescent="0.3">
      <c r="A24">
        <v>6</v>
      </c>
      <c r="B24">
        <v>1</v>
      </c>
      <c r="C24" t="s">
        <v>78</v>
      </c>
      <c r="D24" s="1" t="s">
        <v>1</v>
      </c>
      <c r="E24" s="59" t="s">
        <v>18</v>
      </c>
      <c r="F24" s="60">
        <v>1.8399999999999901</v>
      </c>
      <c r="G24" s="60">
        <v>3.9855508257473499E-2</v>
      </c>
      <c r="H24" s="61">
        <v>1.8382051282051199</v>
      </c>
      <c r="I24" s="62">
        <v>1.76</v>
      </c>
      <c r="J24" s="37">
        <v>-7.8205128205119934E-2</v>
      </c>
      <c r="K24" s="37">
        <v>-4.2544287906258766</v>
      </c>
      <c r="L24" s="1" t="s">
        <v>69</v>
      </c>
      <c r="M24" s="1">
        <v>1</v>
      </c>
    </row>
    <row r="25" spans="1:13" x14ac:dyDescent="0.3">
      <c r="A25">
        <v>6</v>
      </c>
      <c r="B25">
        <v>1</v>
      </c>
      <c r="C25" t="s">
        <v>78</v>
      </c>
      <c r="D25" s="1" t="s">
        <v>1</v>
      </c>
      <c r="E25" s="59" t="s">
        <v>19</v>
      </c>
      <c r="F25" s="60">
        <v>2.5541489361702099</v>
      </c>
      <c r="G25" s="60">
        <v>0.42188132236263098</v>
      </c>
      <c r="H25" s="61">
        <v>2.6538636363636301</v>
      </c>
      <c r="I25" s="62">
        <v>2.66</v>
      </c>
      <c r="J25" s="37">
        <v>6.1363636363700458E-3</v>
      </c>
      <c r="K25" s="37">
        <v>0.23122377322966742</v>
      </c>
      <c r="L25" s="1" t="s">
        <v>69</v>
      </c>
      <c r="M25" s="1">
        <v>1</v>
      </c>
    </row>
    <row r="27" spans="1:13" x14ac:dyDescent="0.3">
      <c r="A27">
        <v>6</v>
      </c>
      <c r="B27">
        <v>1</v>
      </c>
      <c r="C27" t="s">
        <v>78</v>
      </c>
      <c r="D27" s="1" t="s">
        <v>1</v>
      </c>
      <c r="E27" s="59" t="s">
        <v>12</v>
      </c>
      <c r="F27" s="60">
        <v>2.00070588235294</v>
      </c>
      <c r="G27" s="60">
        <v>2.3950352339008E-2</v>
      </c>
      <c r="H27" s="61">
        <v>1.9984482758620601</v>
      </c>
      <c r="I27" s="62">
        <v>1.95</v>
      </c>
      <c r="J27" s="37">
        <v>-4.8448275862060131E-2</v>
      </c>
      <c r="K27" s="37">
        <v>-2.4242947114135971</v>
      </c>
      <c r="L27" s="1" t="s">
        <v>23</v>
      </c>
      <c r="M27" s="1">
        <v>2</v>
      </c>
    </row>
    <row r="28" spans="1:13" x14ac:dyDescent="0.3">
      <c r="A28">
        <v>6</v>
      </c>
      <c r="B28">
        <v>1</v>
      </c>
      <c r="C28" t="s">
        <v>78</v>
      </c>
      <c r="D28" s="1" t="s">
        <v>1</v>
      </c>
      <c r="E28" s="59" t="s">
        <v>13</v>
      </c>
      <c r="F28" s="60">
        <v>3.46397058823529</v>
      </c>
      <c r="G28" s="60">
        <v>0.49130420582807899</v>
      </c>
      <c r="H28" s="61">
        <v>3.5474242424242401</v>
      </c>
      <c r="I28" s="62">
        <v>3.4</v>
      </c>
      <c r="J28" s="37">
        <v>-0.14742424242424024</v>
      </c>
      <c r="K28" s="37">
        <v>-4.1558108743005429</v>
      </c>
      <c r="L28" s="1" t="s">
        <v>23</v>
      </c>
      <c r="M28" s="1">
        <v>2</v>
      </c>
    </row>
    <row r="29" spans="1:13" x14ac:dyDescent="0.3">
      <c r="A29">
        <v>6</v>
      </c>
      <c r="B29">
        <v>1</v>
      </c>
      <c r="C29" t="s">
        <v>78</v>
      </c>
      <c r="D29" s="1" t="s">
        <v>1</v>
      </c>
      <c r="E29" s="59" t="s">
        <v>14</v>
      </c>
      <c r="F29" s="60">
        <v>4.4804761904761898</v>
      </c>
      <c r="G29" s="60">
        <v>0.89246702588400895</v>
      </c>
      <c r="H29" s="61">
        <v>4.7757333333333296</v>
      </c>
      <c r="I29" s="62">
        <v>4.83</v>
      </c>
      <c r="J29" s="37">
        <v>5.426666666667046E-2</v>
      </c>
      <c r="K29" s="37">
        <v>1.1363001842649751</v>
      </c>
      <c r="L29" s="1" t="s">
        <v>23</v>
      </c>
      <c r="M29" s="1">
        <v>2</v>
      </c>
    </row>
    <row r="30" spans="1:13" x14ac:dyDescent="0.3">
      <c r="A30">
        <v>6</v>
      </c>
      <c r="B30">
        <v>1</v>
      </c>
      <c r="C30" t="s">
        <v>78</v>
      </c>
      <c r="D30" s="1" t="s">
        <v>1</v>
      </c>
      <c r="E30" s="59" t="s">
        <v>15</v>
      </c>
      <c r="F30" s="60">
        <v>5.1072941176470597</v>
      </c>
      <c r="G30" s="60">
        <v>0.91647456013637496</v>
      </c>
      <c r="H30" s="61">
        <v>5.3637179487179498</v>
      </c>
      <c r="I30" s="62">
        <v>5.42</v>
      </c>
      <c r="J30" s="37">
        <v>5.6282051282050105E-2</v>
      </c>
      <c r="K30" s="37">
        <v>1.0493104190070768</v>
      </c>
      <c r="L30" s="1" t="s">
        <v>23</v>
      </c>
      <c r="M30" s="1">
        <v>2</v>
      </c>
    </row>
    <row r="31" spans="1:13" x14ac:dyDescent="0.3">
      <c r="A31">
        <v>6</v>
      </c>
      <c r="B31">
        <v>1</v>
      </c>
      <c r="C31" t="s">
        <v>78</v>
      </c>
      <c r="D31" s="1" t="s">
        <v>1</v>
      </c>
      <c r="E31" s="59" t="s">
        <v>16</v>
      </c>
      <c r="F31" s="60">
        <v>3.7230487804878001</v>
      </c>
      <c r="G31" s="60">
        <v>0.79079720354377703</v>
      </c>
      <c r="H31" s="61">
        <v>3.9398684210526298</v>
      </c>
      <c r="I31" s="62">
        <v>3.92</v>
      </c>
      <c r="J31" s="37">
        <v>-1.986842105262987E-2</v>
      </c>
      <c r="K31" s="37">
        <v>-0.50429148715889216</v>
      </c>
      <c r="L31" s="1" t="s">
        <v>23</v>
      </c>
      <c r="M31" s="1">
        <v>2</v>
      </c>
    </row>
    <row r="32" spans="1:13" x14ac:dyDescent="0.3">
      <c r="A32">
        <v>6</v>
      </c>
      <c r="B32">
        <v>1</v>
      </c>
      <c r="C32" t="s">
        <v>78</v>
      </c>
      <c r="D32" s="1" t="s">
        <v>1</v>
      </c>
      <c r="E32" s="59" t="s">
        <v>17</v>
      </c>
      <c r="F32" s="60">
        <v>3.8916470588235201</v>
      </c>
      <c r="G32" s="60">
        <v>0.91660222568920702</v>
      </c>
      <c r="H32" s="61">
        <v>4.1560256410256304</v>
      </c>
      <c r="I32" s="62">
        <v>4.3499999999999996</v>
      </c>
      <c r="J32" s="37">
        <v>0.19397435897436921</v>
      </c>
      <c r="K32" s="37">
        <v>4.6673041922450675</v>
      </c>
      <c r="L32" s="1" t="s">
        <v>23</v>
      </c>
      <c r="M32" s="1">
        <v>2</v>
      </c>
    </row>
    <row r="33" spans="1:13" x14ac:dyDescent="0.3">
      <c r="A33">
        <v>6</v>
      </c>
      <c r="B33">
        <v>1</v>
      </c>
      <c r="C33" t="s">
        <v>78</v>
      </c>
      <c r="D33" s="1" t="s">
        <v>1</v>
      </c>
      <c r="E33" s="59" t="s">
        <v>18</v>
      </c>
      <c r="F33" s="60">
        <v>1.78857142857142</v>
      </c>
      <c r="G33" s="60">
        <v>0.27445679188579902</v>
      </c>
      <c r="H33" s="61">
        <v>1.83121951219512</v>
      </c>
      <c r="I33" s="62">
        <v>1.86</v>
      </c>
      <c r="J33" s="37">
        <v>2.8780487804880073E-2</v>
      </c>
      <c r="K33" s="37">
        <v>1.5716568993075177</v>
      </c>
      <c r="L33" s="1" t="s">
        <v>23</v>
      </c>
      <c r="M33" s="1">
        <v>2</v>
      </c>
    </row>
    <row r="34" spans="1:13" x14ac:dyDescent="0.3">
      <c r="A34">
        <v>6</v>
      </c>
      <c r="B34">
        <v>1</v>
      </c>
      <c r="C34" t="s">
        <v>78</v>
      </c>
      <c r="D34" s="1" t="s">
        <v>1</v>
      </c>
      <c r="E34" s="59" t="s">
        <v>19</v>
      </c>
      <c r="F34" s="60">
        <v>2.6191764705882301</v>
      </c>
      <c r="G34" s="60">
        <v>0.22587977939710399</v>
      </c>
      <c r="H34" s="61">
        <v>2.6538554216867398</v>
      </c>
      <c r="I34" s="62">
        <v>2.73</v>
      </c>
      <c r="J34" s="37">
        <v>7.6144578313260158E-2</v>
      </c>
      <c r="K34" s="37">
        <v>2.8692059744861353</v>
      </c>
      <c r="L34" s="1" t="s">
        <v>23</v>
      </c>
      <c r="M34" s="1">
        <v>2</v>
      </c>
    </row>
    <row r="35" spans="1:13" x14ac:dyDescent="0.3">
      <c r="A35">
        <v>6</v>
      </c>
      <c r="B35">
        <v>1</v>
      </c>
      <c r="C35" t="s">
        <v>78</v>
      </c>
      <c r="D35" s="1" t="s">
        <v>1</v>
      </c>
      <c r="E35" s="59" t="s">
        <v>12</v>
      </c>
      <c r="F35" s="60">
        <v>2.00070588235294</v>
      </c>
      <c r="G35" s="60">
        <v>2.3950352339008E-2</v>
      </c>
      <c r="H35" s="61">
        <v>1.9984482758620601</v>
      </c>
      <c r="I35" s="62">
        <v>1.94</v>
      </c>
      <c r="J35" s="37">
        <v>-5.8448275862060139E-2</v>
      </c>
      <c r="K35" s="37">
        <v>-2.9246829436627584</v>
      </c>
      <c r="L35" s="1" t="s">
        <v>68</v>
      </c>
      <c r="M35" s="1">
        <v>2</v>
      </c>
    </row>
    <row r="36" spans="1:13" x14ac:dyDescent="0.3">
      <c r="A36">
        <v>6</v>
      </c>
      <c r="B36">
        <v>1</v>
      </c>
      <c r="C36" t="s">
        <v>78</v>
      </c>
      <c r="D36" s="1" t="s">
        <v>1</v>
      </c>
      <c r="E36" s="59" t="s">
        <v>13</v>
      </c>
      <c r="F36" s="60">
        <v>3.46397058823529</v>
      </c>
      <c r="G36" s="60">
        <v>0.49130420582807899</v>
      </c>
      <c r="H36" s="61">
        <v>3.5474242424242401</v>
      </c>
      <c r="I36" s="62">
        <v>3.45</v>
      </c>
      <c r="J36" s="37">
        <v>-9.7424242424239971E-2</v>
      </c>
      <c r="K36" s="37">
        <v>-2.7463375048049556</v>
      </c>
      <c r="L36" s="1" t="s">
        <v>68</v>
      </c>
      <c r="M36" s="1">
        <v>2</v>
      </c>
    </row>
    <row r="37" spans="1:13" x14ac:dyDescent="0.3">
      <c r="A37">
        <v>6</v>
      </c>
      <c r="B37">
        <v>1</v>
      </c>
      <c r="C37" t="s">
        <v>78</v>
      </c>
      <c r="D37" s="1" t="s">
        <v>1</v>
      </c>
      <c r="E37" s="59" t="s">
        <v>14</v>
      </c>
      <c r="F37" s="60">
        <v>4.4804761904761898</v>
      </c>
      <c r="G37" s="60">
        <v>0.89246702588400895</v>
      </c>
      <c r="H37" s="61">
        <v>4.7757333333333296</v>
      </c>
      <c r="I37" s="62">
        <v>4.8499999999999996</v>
      </c>
      <c r="J37" s="37">
        <v>7.4266666666670034E-2</v>
      </c>
      <c r="K37" s="37">
        <v>1.5550840359596452</v>
      </c>
      <c r="L37" s="1" t="s">
        <v>68</v>
      </c>
      <c r="M37" s="1">
        <v>2</v>
      </c>
    </row>
    <row r="38" spans="1:13" x14ac:dyDescent="0.3">
      <c r="A38">
        <v>6</v>
      </c>
      <c r="B38">
        <v>1</v>
      </c>
      <c r="C38" t="s">
        <v>78</v>
      </c>
      <c r="D38" s="1" t="s">
        <v>1</v>
      </c>
      <c r="E38" s="59" t="s">
        <v>15</v>
      </c>
      <c r="F38" s="60">
        <v>5.1072941176470597</v>
      </c>
      <c r="G38" s="60">
        <v>0.91647456013637496</v>
      </c>
      <c r="H38" s="61">
        <v>5.3637179487179498</v>
      </c>
      <c r="I38" s="62">
        <v>5.37</v>
      </c>
      <c r="J38" s="37">
        <v>6.2820512820502827E-3</v>
      </c>
      <c r="K38" s="37">
        <v>0.11712120849963477</v>
      </c>
      <c r="L38" s="1" t="s">
        <v>68</v>
      </c>
      <c r="M38" s="1">
        <v>2</v>
      </c>
    </row>
    <row r="39" spans="1:13" x14ac:dyDescent="0.3">
      <c r="A39">
        <v>6</v>
      </c>
      <c r="B39">
        <v>1</v>
      </c>
      <c r="C39" t="s">
        <v>78</v>
      </c>
      <c r="D39" s="1" t="s">
        <v>1</v>
      </c>
      <c r="E39" s="59" t="s">
        <v>16</v>
      </c>
      <c r="F39" s="60">
        <v>3.7230487804878001</v>
      </c>
      <c r="G39" s="60">
        <v>0.79079720354377703</v>
      </c>
      <c r="H39" s="61">
        <v>3.9398684210526298</v>
      </c>
      <c r="I39" s="62">
        <v>3.93</v>
      </c>
      <c r="J39" s="37">
        <v>-9.868421052629639E-3</v>
      </c>
      <c r="K39" s="37">
        <v>-0.25047590421796506</v>
      </c>
      <c r="L39" s="1" t="s">
        <v>68</v>
      </c>
      <c r="M39" s="1">
        <v>2</v>
      </c>
    </row>
    <row r="40" spans="1:13" x14ac:dyDescent="0.3">
      <c r="A40">
        <v>6</v>
      </c>
      <c r="B40">
        <v>1</v>
      </c>
      <c r="C40" t="s">
        <v>78</v>
      </c>
      <c r="D40" s="1" t="s">
        <v>1</v>
      </c>
      <c r="E40" s="59" t="s">
        <v>17</v>
      </c>
      <c r="F40" s="60">
        <v>3.8916470588235201</v>
      </c>
      <c r="G40" s="60">
        <v>0.91660222568920702</v>
      </c>
      <c r="H40" s="61">
        <v>4.1560256410256304</v>
      </c>
      <c r="I40" s="62">
        <v>4.3499999999999996</v>
      </c>
      <c r="J40" s="37">
        <v>0.19397435897436921</v>
      </c>
      <c r="K40" s="37">
        <v>4.6673041922450675</v>
      </c>
      <c r="L40" s="1" t="s">
        <v>68</v>
      </c>
      <c r="M40" s="1">
        <v>2</v>
      </c>
    </row>
    <row r="41" spans="1:13" x14ac:dyDescent="0.3">
      <c r="A41">
        <v>6</v>
      </c>
      <c r="B41">
        <v>1</v>
      </c>
      <c r="C41" t="s">
        <v>78</v>
      </c>
      <c r="D41" s="1" t="s">
        <v>1</v>
      </c>
      <c r="E41" s="59" t="s">
        <v>18</v>
      </c>
      <c r="F41" s="60">
        <v>1.78857142857142</v>
      </c>
      <c r="G41" s="60">
        <v>0.27445679188579902</v>
      </c>
      <c r="H41" s="61">
        <v>1.83121951219512</v>
      </c>
      <c r="I41" s="62">
        <v>1.76</v>
      </c>
      <c r="J41" s="37">
        <v>-7.1219512195120016E-2</v>
      </c>
      <c r="K41" s="37">
        <v>-3.8891848694724609</v>
      </c>
      <c r="L41" s="1" t="s">
        <v>68</v>
      </c>
      <c r="M41" s="1">
        <v>2</v>
      </c>
    </row>
    <row r="42" spans="1:13" x14ac:dyDescent="0.3">
      <c r="A42">
        <v>6</v>
      </c>
      <c r="B42">
        <v>1</v>
      </c>
      <c r="C42" t="s">
        <v>78</v>
      </c>
      <c r="D42" s="1" t="s">
        <v>1</v>
      </c>
      <c r="E42" s="59" t="s">
        <v>19</v>
      </c>
      <c r="F42" s="60">
        <v>2.6191764705882301</v>
      </c>
      <c r="G42" s="60">
        <v>0.22587977939710399</v>
      </c>
      <c r="H42" s="61">
        <v>2.6538554216867398</v>
      </c>
      <c r="I42" s="62">
        <v>2.64</v>
      </c>
      <c r="J42" s="37">
        <v>-1.38554216867397E-2</v>
      </c>
      <c r="K42" s="37">
        <v>-0.52208653016724849</v>
      </c>
      <c r="L42" s="1" t="s">
        <v>68</v>
      </c>
      <c r="M42" s="1">
        <v>2</v>
      </c>
    </row>
    <row r="43" spans="1:13" x14ac:dyDescent="0.3">
      <c r="A43">
        <v>6</v>
      </c>
      <c r="B43">
        <v>1</v>
      </c>
      <c r="C43" t="s">
        <v>78</v>
      </c>
      <c r="D43" s="1" t="s">
        <v>1</v>
      </c>
      <c r="E43" s="59" t="s">
        <v>12</v>
      </c>
      <c r="F43" s="60">
        <v>2.00070588235294</v>
      </c>
      <c r="G43" s="60">
        <v>2.3950352339008E-2</v>
      </c>
      <c r="H43" s="61">
        <v>1.9984482758620601</v>
      </c>
      <c r="I43" s="62">
        <v>1.87</v>
      </c>
      <c r="J43" s="37">
        <v>-0.12844827586205998</v>
      </c>
      <c r="K43" s="37">
        <v>-6.4274005694068785</v>
      </c>
      <c r="L43" s="1" t="s">
        <v>69</v>
      </c>
      <c r="M43" s="1">
        <v>2</v>
      </c>
    </row>
    <row r="44" spans="1:13" x14ac:dyDescent="0.3">
      <c r="A44">
        <v>6</v>
      </c>
      <c r="B44">
        <v>1</v>
      </c>
      <c r="C44" t="s">
        <v>78</v>
      </c>
      <c r="D44" s="1" t="s">
        <v>1</v>
      </c>
      <c r="E44" s="59" t="s">
        <v>13</v>
      </c>
      <c r="F44" s="60">
        <v>3.46397058823529</v>
      </c>
      <c r="G44" s="60">
        <v>0.49130420582807899</v>
      </c>
      <c r="H44" s="61">
        <v>3.5474242424242401</v>
      </c>
      <c r="I44" s="62">
        <v>3.49</v>
      </c>
      <c r="J44" s="37">
        <v>-5.7424242424239935E-2</v>
      </c>
      <c r="K44" s="37">
        <v>-1.6187588092084901</v>
      </c>
      <c r="L44" s="1" t="s">
        <v>69</v>
      </c>
      <c r="M44" s="1">
        <v>2</v>
      </c>
    </row>
    <row r="45" spans="1:13" x14ac:dyDescent="0.3">
      <c r="A45">
        <v>6</v>
      </c>
      <c r="B45">
        <v>1</v>
      </c>
      <c r="C45" t="s">
        <v>78</v>
      </c>
      <c r="D45" s="1" t="s">
        <v>1</v>
      </c>
      <c r="E45" s="59" t="s">
        <v>14</v>
      </c>
      <c r="F45" s="60">
        <v>4.4804761904761898</v>
      </c>
      <c r="G45" s="60">
        <v>0.89246702588400895</v>
      </c>
      <c r="H45" s="61">
        <v>4.7757333333333296</v>
      </c>
      <c r="I45" s="62">
        <v>4.88</v>
      </c>
      <c r="J45" s="37">
        <v>0.10426666666667028</v>
      </c>
      <c r="K45" s="37">
        <v>2.1832598135016688</v>
      </c>
      <c r="L45" s="1" t="s">
        <v>69</v>
      </c>
      <c r="M45" s="1">
        <v>2</v>
      </c>
    </row>
    <row r="46" spans="1:13" x14ac:dyDescent="0.3">
      <c r="A46">
        <v>6</v>
      </c>
      <c r="B46">
        <v>1</v>
      </c>
      <c r="C46" t="s">
        <v>78</v>
      </c>
      <c r="D46" s="1" t="s">
        <v>1</v>
      </c>
      <c r="E46" s="59" t="s">
        <v>15</v>
      </c>
      <c r="F46" s="60">
        <v>5.1072941176470597</v>
      </c>
      <c r="G46" s="60">
        <v>0.91647456013637496</v>
      </c>
      <c r="H46" s="61">
        <v>5.3637179487179498</v>
      </c>
      <c r="I46" s="62">
        <v>5.41</v>
      </c>
      <c r="J46" s="37">
        <v>4.6282051282050318E-2</v>
      </c>
      <c r="K46" s="37">
        <v>0.8628725769055916</v>
      </c>
      <c r="L46" s="1" t="s">
        <v>69</v>
      </c>
      <c r="M46" s="1">
        <v>2</v>
      </c>
    </row>
    <row r="47" spans="1:13" x14ac:dyDescent="0.3">
      <c r="A47">
        <v>6</v>
      </c>
      <c r="B47">
        <v>1</v>
      </c>
      <c r="C47" t="s">
        <v>78</v>
      </c>
      <c r="D47" s="1" t="s">
        <v>1</v>
      </c>
      <c r="E47" s="59" t="s">
        <v>16</v>
      </c>
      <c r="F47" s="60">
        <v>3.7230487804878001</v>
      </c>
      <c r="G47" s="60">
        <v>0.79079720354377703</v>
      </c>
      <c r="H47" s="61">
        <v>3.9398684210526298</v>
      </c>
      <c r="I47" s="62">
        <v>3.97</v>
      </c>
      <c r="J47" s="37">
        <v>3.0131578947370397E-2</v>
      </c>
      <c r="K47" s="37">
        <v>0.76478642754572057</v>
      </c>
      <c r="L47" s="1" t="s">
        <v>69</v>
      </c>
      <c r="M47" s="1">
        <v>2</v>
      </c>
    </row>
    <row r="48" spans="1:13" x14ac:dyDescent="0.3">
      <c r="A48">
        <v>6</v>
      </c>
      <c r="B48">
        <v>1</v>
      </c>
      <c r="C48" t="s">
        <v>78</v>
      </c>
      <c r="D48" s="1" t="s">
        <v>1</v>
      </c>
      <c r="E48" s="59" t="s">
        <v>17</v>
      </c>
      <c r="F48" s="60">
        <v>3.8916470588235201</v>
      </c>
      <c r="G48" s="60">
        <v>0.91660222568920702</v>
      </c>
      <c r="H48" s="61">
        <v>4.1560256410256304</v>
      </c>
      <c r="I48" s="62">
        <v>4.4000000000000004</v>
      </c>
      <c r="J48" s="37">
        <v>0.24397435897436992</v>
      </c>
      <c r="K48" s="37">
        <v>5.8703766542249136</v>
      </c>
      <c r="L48" s="1" t="s">
        <v>69</v>
      </c>
      <c r="M48" s="1">
        <v>2</v>
      </c>
    </row>
    <row r="49" spans="1:13" x14ac:dyDescent="0.3">
      <c r="A49">
        <v>6</v>
      </c>
      <c r="B49">
        <v>1</v>
      </c>
      <c r="C49" t="s">
        <v>78</v>
      </c>
      <c r="D49" s="1" t="s">
        <v>1</v>
      </c>
      <c r="E49" s="59" t="s">
        <v>18</v>
      </c>
      <c r="F49" s="60">
        <v>1.78857142857142</v>
      </c>
      <c r="G49" s="60">
        <v>0.27445679188579902</v>
      </c>
      <c r="H49" s="61">
        <v>1.83121951219512</v>
      </c>
      <c r="I49" s="62">
        <v>1.76</v>
      </c>
      <c r="J49" s="37">
        <v>-7.1219512195120016E-2</v>
      </c>
      <c r="K49" s="37">
        <v>-3.8891848694724609</v>
      </c>
      <c r="L49" s="1" t="s">
        <v>69</v>
      </c>
      <c r="M49" s="1">
        <v>2</v>
      </c>
    </row>
    <row r="50" spans="1:13" x14ac:dyDescent="0.3">
      <c r="A50">
        <v>6</v>
      </c>
      <c r="B50">
        <v>1</v>
      </c>
      <c r="C50" t="s">
        <v>78</v>
      </c>
      <c r="D50" s="1" t="s">
        <v>1</v>
      </c>
      <c r="E50" s="59" t="s">
        <v>19</v>
      </c>
      <c r="F50" s="60">
        <v>2.6191764705882301</v>
      </c>
      <c r="G50" s="60">
        <v>0.22587977939710399</v>
      </c>
      <c r="H50" s="61">
        <v>2.6538554216867398</v>
      </c>
      <c r="I50" s="62">
        <v>2.66</v>
      </c>
      <c r="J50" s="37">
        <v>6.1445783132603182E-3</v>
      </c>
      <c r="K50" s="37">
        <v>0.23153402642239426</v>
      </c>
      <c r="L50" s="1" t="s">
        <v>69</v>
      </c>
      <c r="M50" s="1">
        <v>2</v>
      </c>
    </row>
    <row r="52" spans="1:13" x14ac:dyDescent="0.3">
      <c r="A52">
        <v>6</v>
      </c>
      <c r="B52">
        <v>1</v>
      </c>
      <c r="C52" t="s">
        <v>78</v>
      </c>
      <c r="D52" s="1" t="s">
        <v>1</v>
      </c>
      <c r="E52" s="59" t="s">
        <v>12</v>
      </c>
      <c r="F52" s="60">
        <v>2.00043010752688</v>
      </c>
      <c r="G52" s="60">
        <v>2.3321685810007198E-2</v>
      </c>
      <c r="H52" s="61">
        <v>1.99999999999999</v>
      </c>
      <c r="I52" s="62">
        <v>1.95</v>
      </c>
      <c r="J52" s="37">
        <v>-4.9999999999990052E-2</v>
      </c>
      <c r="K52" s="37">
        <v>-2.4999999999995151</v>
      </c>
      <c r="L52" s="1" t="s">
        <v>23</v>
      </c>
      <c r="M52" s="1">
        <v>3</v>
      </c>
    </row>
    <row r="53" spans="1:13" x14ac:dyDescent="0.3">
      <c r="A53">
        <v>6</v>
      </c>
      <c r="B53">
        <v>1</v>
      </c>
      <c r="C53" t="s">
        <v>78</v>
      </c>
      <c r="D53" s="1" t="s">
        <v>1</v>
      </c>
      <c r="E53" s="59" t="s">
        <v>13</v>
      </c>
      <c r="F53" s="60">
        <v>3.3699999999999899</v>
      </c>
      <c r="G53" s="60">
        <v>0.58500527248151202</v>
      </c>
      <c r="H53" s="61">
        <v>3.5389999999999899</v>
      </c>
      <c r="I53" s="62">
        <v>3.4</v>
      </c>
      <c r="J53" s="37">
        <v>-0.13899999999999002</v>
      </c>
      <c r="K53" s="37">
        <v>-3.9276631816894718</v>
      </c>
      <c r="L53" s="1" t="s">
        <v>23</v>
      </c>
      <c r="M53" s="1">
        <v>3</v>
      </c>
    </row>
    <row r="54" spans="1:13" x14ac:dyDescent="0.3">
      <c r="A54">
        <v>6</v>
      </c>
      <c r="B54">
        <v>1</v>
      </c>
      <c r="C54" t="s">
        <v>78</v>
      </c>
      <c r="D54" s="1" t="s">
        <v>1</v>
      </c>
      <c r="E54" s="59" t="s">
        <v>14</v>
      </c>
      <c r="F54" s="60">
        <v>4.6583146067415697</v>
      </c>
      <c r="G54" s="60">
        <v>0.59181350682904699</v>
      </c>
      <c r="H54" s="61">
        <v>4.7879761904761899</v>
      </c>
      <c r="I54" s="62">
        <v>4.83</v>
      </c>
      <c r="J54" s="37">
        <v>4.2023809523810129E-2</v>
      </c>
      <c r="K54" s="37">
        <v>0.87769462194486469</v>
      </c>
      <c r="L54" s="1" t="s">
        <v>23</v>
      </c>
      <c r="M54" s="1">
        <v>3</v>
      </c>
    </row>
    <row r="55" spans="1:13" x14ac:dyDescent="0.3">
      <c r="A55">
        <v>6</v>
      </c>
      <c r="B55">
        <v>1</v>
      </c>
      <c r="C55" t="s">
        <v>78</v>
      </c>
      <c r="D55" s="1" t="s">
        <v>1</v>
      </c>
      <c r="E55" s="59" t="s">
        <v>15</v>
      </c>
      <c r="F55" s="60">
        <v>5.0324731182795599</v>
      </c>
      <c r="G55" s="60">
        <v>0.99195544462243002</v>
      </c>
      <c r="H55" s="61">
        <v>5.3104705882352903</v>
      </c>
      <c r="I55" s="62">
        <v>5.42</v>
      </c>
      <c r="J55" s="37">
        <v>0.10952941176470965</v>
      </c>
      <c r="K55" s="37">
        <v>2.062517999955765</v>
      </c>
      <c r="L55" s="1" t="s">
        <v>23</v>
      </c>
      <c r="M55" s="1">
        <v>3</v>
      </c>
    </row>
    <row r="56" spans="1:13" x14ac:dyDescent="0.3">
      <c r="A56">
        <v>6</v>
      </c>
      <c r="B56">
        <v>1</v>
      </c>
      <c r="C56" t="s">
        <v>78</v>
      </c>
      <c r="D56" s="1" t="s">
        <v>1</v>
      </c>
      <c r="E56" s="59" t="s">
        <v>16</v>
      </c>
      <c r="F56" s="60">
        <v>3.8498888888888798</v>
      </c>
      <c r="G56" s="60">
        <v>0.48099779265939402</v>
      </c>
      <c r="H56" s="61">
        <v>3.9424418604651099</v>
      </c>
      <c r="I56" s="62">
        <v>3.92</v>
      </c>
      <c r="J56" s="37">
        <v>-2.2441860465109986E-2</v>
      </c>
      <c r="K56" s="37">
        <v>-0.5692375755786645</v>
      </c>
      <c r="L56" s="1" t="s">
        <v>23</v>
      </c>
      <c r="M56" s="1">
        <v>3</v>
      </c>
    </row>
    <row r="57" spans="1:13" x14ac:dyDescent="0.3">
      <c r="A57">
        <v>6</v>
      </c>
      <c r="B57">
        <v>1</v>
      </c>
      <c r="C57" t="s">
        <v>78</v>
      </c>
      <c r="D57" s="1" t="s">
        <v>1</v>
      </c>
      <c r="E57" s="59" t="s">
        <v>17</v>
      </c>
      <c r="F57" s="60">
        <v>4.0342391304347798</v>
      </c>
      <c r="G57" s="60">
        <v>0.56962274643084398</v>
      </c>
      <c r="H57" s="61">
        <v>4.1844705882352899</v>
      </c>
      <c r="I57" s="62">
        <v>4.3499999999999996</v>
      </c>
      <c r="J57" s="37">
        <v>0.1655294117647097</v>
      </c>
      <c r="K57" s="37">
        <v>3.9558029689609588</v>
      </c>
      <c r="L57" s="1" t="s">
        <v>23</v>
      </c>
      <c r="M57" s="1">
        <v>3</v>
      </c>
    </row>
    <row r="58" spans="1:13" x14ac:dyDescent="0.3">
      <c r="A58">
        <v>6</v>
      </c>
      <c r="B58">
        <v>1</v>
      </c>
      <c r="C58" t="s">
        <v>78</v>
      </c>
      <c r="D58" s="1" t="s">
        <v>1</v>
      </c>
      <c r="E58" s="59" t="s">
        <v>18</v>
      </c>
      <c r="F58" s="60">
        <v>1.8174545454545401</v>
      </c>
      <c r="G58" s="60">
        <v>2.5528464100662999E-2</v>
      </c>
      <c r="H58" s="61">
        <v>1.8178378378378299</v>
      </c>
      <c r="I58" s="62">
        <v>1.86</v>
      </c>
      <c r="J58" s="37">
        <v>4.2162162162170169E-2</v>
      </c>
      <c r="K58" s="37">
        <v>2.3193577163251606</v>
      </c>
      <c r="L58" s="1" t="s">
        <v>23</v>
      </c>
      <c r="M58" s="1">
        <v>3</v>
      </c>
    </row>
    <row r="59" spans="1:13" x14ac:dyDescent="0.3">
      <c r="A59">
        <v>6</v>
      </c>
      <c r="B59">
        <v>1</v>
      </c>
      <c r="C59" t="s">
        <v>78</v>
      </c>
      <c r="D59" s="1" t="s">
        <v>1</v>
      </c>
      <c r="E59" s="59" t="s">
        <v>19</v>
      </c>
      <c r="F59" s="60">
        <v>2.5699999999999901</v>
      </c>
      <c r="G59" s="60">
        <v>0.340233295919393</v>
      </c>
      <c r="H59" s="61">
        <v>2.6511627906976698</v>
      </c>
      <c r="I59" s="62">
        <v>2.73</v>
      </c>
      <c r="J59" s="37">
        <v>7.883720930233018E-2</v>
      </c>
      <c r="K59" s="37">
        <v>2.9736842105264945</v>
      </c>
      <c r="L59" s="1" t="s">
        <v>23</v>
      </c>
      <c r="M59" s="1">
        <v>3</v>
      </c>
    </row>
    <row r="60" spans="1:13" x14ac:dyDescent="0.3">
      <c r="A60">
        <v>6</v>
      </c>
      <c r="B60">
        <v>1</v>
      </c>
      <c r="C60" t="s">
        <v>78</v>
      </c>
      <c r="D60" s="1" t="s">
        <v>1</v>
      </c>
      <c r="E60" s="59" t="s">
        <v>12</v>
      </c>
      <c r="F60" s="60">
        <v>2.00043010752688</v>
      </c>
      <c r="G60" s="60">
        <v>2.3321685810007198E-2</v>
      </c>
      <c r="H60" s="61">
        <v>1.99999999999999</v>
      </c>
      <c r="I60" s="62">
        <v>1.94</v>
      </c>
      <c r="J60" s="37">
        <v>-5.9999999999990061E-2</v>
      </c>
      <c r="K60" s="37">
        <v>-2.9999999999995182</v>
      </c>
      <c r="L60" s="1" t="s">
        <v>68</v>
      </c>
      <c r="M60" s="1">
        <v>3</v>
      </c>
    </row>
    <row r="61" spans="1:13" x14ac:dyDescent="0.3">
      <c r="A61">
        <v>6</v>
      </c>
      <c r="B61">
        <v>1</v>
      </c>
      <c r="C61" t="s">
        <v>78</v>
      </c>
      <c r="D61" s="1" t="s">
        <v>1</v>
      </c>
      <c r="E61" s="59" t="s">
        <v>13</v>
      </c>
      <c r="F61" s="60">
        <v>3.3699999999999899</v>
      </c>
      <c r="G61" s="60">
        <v>0.58500527248151202</v>
      </c>
      <c r="H61" s="61">
        <v>3.5389999999999899</v>
      </c>
      <c r="I61" s="62">
        <v>3.45</v>
      </c>
      <c r="J61" s="37">
        <v>-8.8999999999989754E-2</v>
      </c>
      <c r="K61" s="37">
        <v>-2.5148346990672508</v>
      </c>
      <c r="L61" s="1" t="s">
        <v>68</v>
      </c>
      <c r="M61" s="1">
        <v>3</v>
      </c>
    </row>
    <row r="62" spans="1:13" x14ac:dyDescent="0.3">
      <c r="A62">
        <v>6</v>
      </c>
      <c r="B62">
        <v>1</v>
      </c>
      <c r="C62" t="s">
        <v>78</v>
      </c>
      <c r="D62" s="1" t="s">
        <v>1</v>
      </c>
      <c r="E62" s="59" t="s">
        <v>14</v>
      </c>
      <c r="F62" s="60">
        <v>4.6583146067415697</v>
      </c>
      <c r="G62" s="60">
        <v>0.59181350682904699</v>
      </c>
      <c r="H62" s="61">
        <v>4.7879761904761899</v>
      </c>
      <c r="I62" s="62">
        <v>4.8499999999999996</v>
      </c>
      <c r="J62" s="37">
        <v>6.2023809523809703E-2</v>
      </c>
      <c r="K62" s="37">
        <v>1.2954076431537371</v>
      </c>
      <c r="L62" s="1" t="s">
        <v>68</v>
      </c>
      <c r="M62" s="1">
        <v>3</v>
      </c>
    </row>
    <row r="63" spans="1:13" x14ac:dyDescent="0.3">
      <c r="A63">
        <v>6</v>
      </c>
      <c r="B63">
        <v>1</v>
      </c>
      <c r="C63" t="s">
        <v>78</v>
      </c>
      <c r="D63" s="1" t="s">
        <v>1</v>
      </c>
      <c r="E63" s="59" t="s">
        <v>15</v>
      </c>
      <c r="F63" s="60">
        <v>5.0324731182795599</v>
      </c>
      <c r="G63" s="60">
        <v>0.99195544462243002</v>
      </c>
      <c r="H63" s="61">
        <v>5.3104705882352903</v>
      </c>
      <c r="I63" s="62">
        <v>5.37</v>
      </c>
      <c r="J63" s="37">
        <v>5.9529411764709828E-2</v>
      </c>
      <c r="K63" s="37">
        <v>1.1209818560447371</v>
      </c>
      <c r="L63" s="1" t="s">
        <v>68</v>
      </c>
      <c r="M63" s="1">
        <v>3</v>
      </c>
    </row>
    <row r="64" spans="1:13" x14ac:dyDescent="0.3">
      <c r="A64">
        <v>6</v>
      </c>
      <c r="B64">
        <v>1</v>
      </c>
      <c r="C64" t="s">
        <v>78</v>
      </c>
      <c r="D64" s="1" t="s">
        <v>1</v>
      </c>
      <c r="E64" s="59" t="s">
        <v>16</v>
      </c>
      <c r="F64" s="60">
        <v>3.8498888888888798</v>
      </c>
      <c r="G64" s="60">
        <v>0.48099779265939402</v>
      </c>
      <c r="H64" s="61">
        <v>3.9424418604651099</v>
      </c>
      <c r="I64" s="62">
        <v>3.93</v>
      </c>
      <c r="J64" s="37">
        <v>-1.2441860465109755E-2</v>
      </c>
      <c r="K64" s="37">
        <v>-0.31558767143472666</v>
      </c>
      <c r="L64" s="1" t="s">
        <v>68</v>
      </c>
      <c r="M64" s="1">
        <v>3</v>
      </c>
    </row>
    <row r="65" spans="1:13" x14ac:dyDescent="0.3">
      <c r="A65">
        <v>6</v>
      </c>
      <c r="B65">
        <v>1</v>
      </c>
      <c r="C65" t="s">
        <v>78</v>
      </c>
      <c r="D65" s="1" t="s">
        <v>1</v>
      </c>
      <c r="E65" s="59" t="s">
        <v>17</v>
      </c>
      <c r="F65" s="60">
        <v>4.0342391304347798</v>
      </c>
      <c r="G65" s="60">
        <v>0.56962274643084398</v>
      </c>
      <c r="H65" s="61">
        <v>4.1844705882352899</v>
      </c>
      <c r="I65" s="62">
        <v>4.3499999999999996</v>
      </c>
      <c r="J65" s="37">
        <v>0.1655294117647097</v>
      </c>
      <c r="K65" s="37">
        <v>3.9558029689609588</v>
      </c>
      <c r="L65" s="1" t="s">
        <v>68</v>
      </c>
      <c r="M65" s="1">
        <v>3</v>
      </c>
    </row>
    <row r="66" spans="1:13" x14ac:dyDescent="0.3">
      <c r="A66">
        <v>6</v>
      </c>
      <c r="B66">
        <v>1</v>
      </c>
      <c r="C66" t="s">
        <v>78</v>
      </c>
      <c r="D66" s="1" t="s">
        <v>1</v>
      </c>
      <c r="E66" s="59" t="s">
        <v>18</v>
      </c>
      <c r="F66" s="60">
        <v>1.8174545454545401</v>
      </c>
      <c r="G66" s="60">
        <v>2.5528464100662999E-2</v>
      </c>
      <c r="H66" s="61">
        <v>1.8178378378378299</v>
      </c>
      <c r="I66" s="62">
        <v>1.76</v>
      </c>
      <c r="J66" s="37">
        <v>-5.783783783782992E-2</v>
      </c>
      <c r="K66" s="37">
        <v>-3.1816830211116809</v>
      </c>
      <c r="L66" s="1" t="s">
        <v>68</v>
      </c>
      <c r="M66" s="1">
        <v>3</v>
      </c>
    </row>
    <row r="67" spans="1:13" x14ac:dyDescent="0.3">
      <c r="A67">
        <v>6</v>
      </c>
      <c r="B67">
        <v>1</v>
      </c>
      <c r="C67" t="s">
        <v>78</v>
      </c>
      <c r="D67" s="1" t="s">
        <v>1</v>
      </c>
      <c r="E67" s="59" t="s">
        <v>19</v>
      </c>
      <c r="F67" s="60">
        <v>2.5699999999999901</v>
      </c>
      <c r="G67" s="60">
        <v>0.340233295919393</v>
      </c>
      <c r="H67" s="61">
        <v>2.6511627906976698</v>
      </c>
      <c r="I67" s="62">
        <v>2.64</v>
      </c>
      <c r="J67" s="37">
        <v>-1.1162790697669678E-2</v>
      </c>
      <c r="K67" s="37">
        <v>-0.42105263157876927</v>
      </c>
      <c r="L67" s="1" t="s">
        <v>68</v>
      </c>
      <c r="M67" s="1">
        <v>3</v>
      </c>
    </row>
    <row r="68" spans="1:13" x14ac:dyDescent="0.3">
      <c r="A68">
        <v>6</v>
      </c>
      <c r="B68">
        <v>1</v>
      </c>
      <c r="C68" t="s">
        <v>78</v>
      </c>
      <c r="D68" s="1" t="s">
        <v>1</v>
      </c>
      <c r="E68" s="59" t="s">
        <v>12</v>
      </c>
      <c r="F68" s="60">
        <v>2.00043010752688</v>
      </c>
      <c r="G68" s="60">
        <v>2.3321685810007198E-2</v>
      </c>
      <c r="H68" s="61">
        <v>1.99999999999999</v>
      </c>
      <c r="I68" s="62">
        <v>1.87</v>
      </c>
      <c r="J68" s="37">
        <v>-0.1299999999999899</v>
      </c>
      <c r="K68" s="37">
        <v>-6.4999999999995266</v>
      </c>
      <c r="L68" s="1" t="s">
        <v>69</v>
      </c>
      <c r="M68" s="1">
        <v>3</v>
      </c>
    </row>
    <row r="69" spans="1:13" x14ac:dyDescent="0.3">
      <c r="A69">
        <v>6</v>
      </c>
      <c r="B69">
        <v>1</v>
      </c>
      <c r="C69" t="s">
        <v>78</v>
      </c>
      <c r="D69" s="1" t="s">
        <v>1</v>
      </c>
      <c r="E69" s="59" t="s">
        <v>13</v>
      </c>
      <c r="F69" s="60">
        <v>3.3699999999999899</v>
      </c>
      <c r="G69" s="60">
        <v>0.58500527248151202</v>
      </c>
      <c r="H69" s="61">
        <v>3.5389999999999899</v>
      </c>
      <c r="I69" s="62">
        <v>3.49</v>
      </c>
      <c r="J69" s="37">
        <v>-4.8999999999989718E-2</v>
      </c>
      <c r="K69" s="37">
        <v>-1.3845719129694789</v>
      </c>
      <c r="L69" s="1" t="s">
        <v>69</v>
      </c>
      <c r="M69" s="1">
        <v>3</v>
      </c>
    </row>
    <row r="70" spans="1:13" x14ac:dyDescent="0.3">
      <c r="A70">
        <v>6</v>
      </c>
      <c r="B70">
        <v>1</v>
      </c>
      <c r="C70" t="s">
        <v>78</v>
      </c>
      <c r="D70" s="1" t="s">
        <v>1</v>
      </c>
      <c r="E70" s="59" t="s">
        <v>14</v>
      </c>
      <c r="F70" s="60">
        <v>4.6583146067415697</v>
      </c>
      <c r="G70" s="60">
        <v>0.59181350682904699</v>
      </c>
      <c r="H70" s="61">
        <v>4.7879761904761899</v>
      </c>
      <c r="I70" s="62">
        <v>4.88</v>
      </c>
      <c r="J70" s="37">
        <v>9.2023809523809952E-2</v>
      </c>
      <c r="K70" s="37">
        <v>1.9219771749670644</v>
      </c>
      <c r="L70" s="1" t="s">
        <v>69</v>
      </c>
      <c r="M70" s="1">
        <v>3</v>
      </c>
    </row>
    <row r="71" spans="1:13" x14ac:dyDescent="0.3">
      <c r="A71">
        <v>6</v>
      </c>
      <c r="B71">
        <v>1</v>
      </c>
      <c r="C71" t="s">
        <v>78</v>
      </c>
      <c r="D71" s="1" t="s">
        <v>1</v>
      </c>
      <c r="E71" s="59" t="s">
        <v>15</v>
      </c>
      <c r="F71" s="60">
        <v>5.0324731182795599</v>
      </c>
      <c r="G71" s="60">
        <v>0.99195544462243002</v>
      </c>
      <c r="H71" s="61">
        <v>5.3104705882352903</v>
      </c>
      <c r="I71" s="62">
        <v>5.41</v>
      </c>
      <c r="J71" s="37">
        <v>9.9529411764709863E-2</v>
      </c>
      <c r="K71" s="37">
        <v>1.8742107711735627</v>
      </c>
      <c r="L71" s="1" t="s">
        <v>69</v>
      </c>
      <c r="M71" s="1">
        <v>3</v>
      </c>
    </row>
    <row r="72" spans="1:13" x14ac:dyDescent="0.3">
      <c r="A72">
        <v>6</v>
      </c>
      <c r="B72">
        <v>1</v>
      </c>
      <c r="C72" t="s">
        <v>78</v>
      </c>
      <c r="D72" s="1" t="s">
        <v>1</v>
      </c>
      <c r="E72" s="59" t="s">
        <v>16</v>
      </c>
      <c r="F72" s="60">
        <v>3.8498888888888798</v>
      </c>
      <c r="G72" s="60">
        <v>0.48099779265939402</v>
      </c>
      <c r="H72" s="61">
        <v>3.9424418604651099</v>
      </c>
      <c r="I72" s="62">
        <v>3.97</v>
      </c>
      <c r="J72" s="37">
        <v>2.755813953489028E-2</v>
      </c>
      <c r="K72" s="37">
        <v>0.69901194514100218</v>
      </c>
      <c r="L72" s="1" t="s">
        <v>69</v>
      </c>
      <c r="M72" s="1">
        <v>3</v>
      </c>
    </row>
    <row r="73" spans="1:13" x14ac:dyDescent="0.3">
      <c r="A73">
        <v>6</v>
      </c>
      <c r="B73">
        <v>1</v>
      </c>
      <c r="C73" t="s">
        <v>78</v>
      </c>
      <c r="D73" s="1" t="s">
        <v>1</v>
      </c>
      <c r="E73" s="59" t="s">
        <v>17</v>
      </c>
      <c r="F73" s="60">
        <v>4.0342391304347798</v>
      </c>
      <c r="G73" s="60">
        <v>0.56962274643084398</v>
      </c>
      <c r="H73" s="61">
        <v>4.1844705882352899</v>
      </c>
      <c r="I73" s="62">
        <v>4.4000000000000004</v>
      </c>
      <c r="J73" s="37">
        <v>0.21552941176471041</v>
      </c>
      <c r="K73" s="37">
        <v>5.1506972559605266</v>
      </c>
      <c r="L73" s="1" t="s">
        <v>69</v>
      </c>
      <c r="M73" s="1">
        <v>3</v>
      </c>
    </row>
    <row r="74" spans="1:13" x14ac:dyDescent="0.3">
      <c r="A74">
        <v>6</v>
      </c>
      <c r="B74">
        <v>1</v>
      </c>
      <c r="C74" t="s">
        <v>78</v>
      </c>
      <c r="D74" s="1" t="s">
        <v>1</v>
      </c>
      <c r="E74" s="59" t="s">
        <v>18</v>
      </c>
      <c r="F74" s="60">
        <v>1.8174545454545401</v>
      </c>
      <c r="G74" s="60">
        <v>2.5528464100662999E-2</v>
      </c>
      <c r="H74" s="61">
        <v>1.8178378378378299</v>
      </c>
      <c r="I74" s="62">
        <v>1.76</v>
      </c>
      <c r="J74" s="37">
        <v>-5.783783783782992E-2</v>
      </c>
      <c r="K74" s="37">
        <v>-3.1816830211116809</v>
      </c>
      <c r="L74" s="1" t="s">
        <v>69</v>
      </c>
      <c r="M74" s="1">
        <v>3</v>
      </c>
    </row>
    <row r="75" spans="1:13" x14ac:dyDescent="0.3">
      <c r="A75">
        <v>6</v>
      </c>
      <c r="B75">
        <v>1</v>
      </c>
      <c r="C75" t="s">
        <v>78</v>
      </c>
      <c r="D75" s="1" t="s">
        <v>1</v>
      </c>
      <c r="E75" s="59" t="s">
        <v>19</v>
      </c>
      <c r="F75" s="60">
        <v>2.5699999999999901</v>
      </c>
      <c r="G75" s="60">
        <v>0.340233295919393</v>
      </c>
      <c r="H75" s="61">
        <v>2.6511627906976698</v>
      </c>
      <c r="I75" s="62">
        <v>2.66</v>
      </c>
      <c r="J75" s="37">
        <v>8.83720930233034E-3</v>
      </c>
      <c r="K75" s="37">
        <v>0.33333333333351339</v>
      </c>
      <c r="L75" s="1" t="s">
        <v>69</v>
      </c>
      <c r="M75" s="1">
        <v>3</v>
      </c>
    </row>
    <row r="77" spans="1:13" x14ac:dyDescent="0.3">
      <c r="A77">
        <v>8</v>
      </c>
      <c r="B77">
        <v>1</v>
      </c>
      <c r="C77" t="s">
        <v>78</v>
      </c>
      <c r="D77" s="1" t="s">
        <v>1</v>
      </c>
      <c r="E77" s="59" t="s">
        <v>12</v>
      </c>
      <c r="F77" s="60">
        <v>4.9797368421052601</v>
      </c>
      <c r="G77" s="60">
        <v>0.449107224578914</v>
      </c>
      <c r="H77" s="61">
        <v>5.0769444444444396</v>
      </c>
      <c r="I77" s="62">
        <v>5.07</v>
      </c>
      <c r="J77" s="37">
        <v>-6.9444444444393127E-3</v>
      </c>
      <c r="K77" s="37">
        <v>-0.13678393609444411</v>
      </c>
      <c r="L77" s="1" t="s">
        <v>23</v>
      </c>
      <c r="M77" s="1">
        <v>1</v>
      </c>
    </row>
    <row r="78" spans="1:13" x14ac:dyDescent="0.3">
      <c r="A78">
        <v>8</v>
      </c>
      <c r="B78">
        <v>1</v>
      </c>
      <c r="C78" t="s">
        <v>78</v>
      </c>
      <c r="D78" s="1" t="s">
        <v>1</v>
      </c>
      <c r="E78" s="59" t="s">
        <v>13</v>
      </c>
      <c r="F78" s="60">
        <v>5.2063963963963902</v>
      </c>
      <c r="G78" s="60">
        <v>1.04879836242819</v>
      </c>
      <c r="H78" s="61">
        <v>5.4893137254901898</v>
      </c>
      <c r="I78" s="62">
        <v>5.65</v>
      </c>
      <c r="J78" s="37">
        <v>0.16068627450981054</v>
      </c>
      <c r="K78" s="37">
        <v>2.9272561661696872</v>
      </c>
      <c r="L78" s="1" t="s">
        <v>23</v>
      </c>
      <c r="M78" s="1">
        <v>1</v>
      </c>
    </row>
    <row r="79" spans="1:13" x14ac:dyDescent="0.3">
      <c r="A79">
        <v>8</v>
      </c>
      <c r="B79">
        <v>1</v>
      </c>
      <c r="C79" t="s">
        <v>78</v>
      </c>
      <c r="D79" s="1" t="s">
        <v>1</v>
      </c>
      <c r="E79" s="59" t="s">
        <v>14</v>
      </c>
      <c r="F79" s="60">
        <v>1.35035087719298</v>
      </c>
      <c r="G79" s="60">
        <v>0.10677020598086</v>
      </c>
      <c r="H79" s="61">
        <v>1.36781818181818</v>
      </c>
      <c r="I79" s="62">
        <v>1.37</v>
      </c>
      <c r="J79" s="37">
        <v>2.181818181820061E-3</v>
      </c>
      <c r="K79" s="37">
        <v>0.15951083344424236</v>
      </c>
      <c r="L79" s="1" t="s">
        <v>23</v>
      </c>
      <c r="M79" s="1">
        <v>1</v>
      </c>
    </row>
    <row r="80" spans="1:13" x14ac:dyDescent="0.3">
      <c r="A80">
        <v>8</v>
      </c>
      <c r="B80">
        <v>1</v>
      </c>
      <c r="C80" t="s">
        <v>78</v>
      </c>
      <c r="D80" s="1" t="s">
        <v>1</v>
      </c>
      <c r="E80" s="59" t="s">
        <v>15</v>
      </c>
      <c r="F80" s="60">
        <v>3.2609009009009</v>
      </c>
      <c r="G80" s="60">
        <v>0.48146838005229298</v>
      </c>
      <c r="H80" s="61">
        <v>3.36075471698113</v>
      </c>
      <c r="I80" s="62">
        <v>3.57</v>
      </c>
      <c r="J80" s="37">
        <v>0.2092452830188698</v>
      </c>
      <c r="K80" s="37">
        <v>6.2261396811139154</v>
      </c>
      <c r="L80" s="1" t="s">
        <v>23</v>
      </c>
      <c r="M80" s="1">
        <v>1</v>
      </c>
    </row>
    <row r="81" spans="1:13" x14ac:dyDescent="0.3">
      <c r="A81">
        <v>8</v>
      </c>
      <c r="B81">
        <v>1</v>
      </c>
      <c r="C81" t="s">
        <v>78</v>
      </c>
      <c r="D81" s="1" t="s">
        <v>1</v>
      </c>
      <c r="E81" s="59" t="s">
        <v>16</v>
      </c>
      <c r="F81" s="60">
        <v>4.4779545454545397</v>
      </c>
      <c r="G81" s="60">
        <v>0.27672253534948599</v>
      </c>
      <c r="H81" s="61">
        <v>4.5274117647058798</v>
      </c>
      <c r="I81" s="62">
        <v>4.6500000000000004</v>
      </c>
      <c r="J81" s="37">
        <v>0.12258823529412055</v>
      </c>
      <c r="K81" s="37">
        <v>2.7076891094769775</v>
      </c>
      <c r="L81" s="1" t="s">
        <v>23</v>
      </c>
      <c r="M81" s="1">
        <v>1</v>
      </c>
    </row>
    <row r="82" spans="1:13" x14ac:dyDescent="0.3">
      <c r="A82">
        <v>8</v>
      </c>
      <c r="B82">
        <v>1</v>
      </c>
      <c r="C82" t="s">
        <v>78</v>
      </c>
      <c r="D82" s="1" t="s">
        <v>1</v>
      </c>
      <c r="E82" s="59" t="s">
        <v>17</v>
      </c>
      <c r="F82" s="60">
        <v>1.04508771929824</v>
      </c>
      <c r="G82" s="60">
        <v>0.124338570140656</v>
      </c>
      <c r="H82" s="61">
        <v>1.06486486486486</v>
      </c>
      <c r="I82" s="62">
        <v>1.3</v>
      </c>
      <c r="J82" s="37">
        <v>0.23513513513514006</v>
      </c>
      <c r="K82" s="37">
        <v>22.081218274112238</v>
      </c>
      <c r="L82" s="1" t="s">
        <v>23</v>
      </c>
      <c r="M82" s="1">
        <v>1</v>
      </c>
    </row>
    <row r="83" spans="1:13" x14ac:dyDescent="0.3">
      <c r="A83">
        <v>8</v>
      </c>
      <c r="B83">
        <v>1</v>
      </c>
      <c r="C83" t="s">
        <v>78</v>
      </c>
      <c r="D83" s="1" t="s">
        <v>1</v>
      </c>
      <c r="E83" s="59" t="s">
        <v>18</v>
      </c>
      <c r="F83" s="60">
        <v>4.0486842105263099</v>
      </c>
      <c r="G83" s="60">
        <v>0.188570398031744</v>
      </c>
      <c r="H83" s="61">
        <v>4.0750450450450399</v>
      </c>
      <c r="I83" s="62">
        <v>4.17</v>
      </c>
      <c r="J83" s="37">
        <v>9.495495495495998E-2</v>
      </c>
      <c r="K83" s="37">
        <v>2.3301571861253003</v>
      </c>
      <c r="L83" s="1" t="s">
        <v>23</v>
      </c>
      <c r="M83" s="1">
        <v>1</v>
      </c>
    </row>
    <row r="84" spans="1:13" x14ac:dyDescent="0.3">
      <c r="A84">
        <v>8</v>
      </c>
      <c r="B84">
        <v>1</v>
      </c>
      <c r="C84" t="s">
        <v>78</v>
      </c>
      <c r="D84" s="1" t="s">
        <v>1</v>
      </c>
      <c r="E84" s="59" t="s">
        <v>19</v>
      </c>
      <c r="F84" s="60">
        <v>2.8575581395348801</v>
      </c>
      <c r="G84" s="60">
        <v>0.35619088182351399</v>
      </c>
      <c r="H84" s="61">
        <v>2.91047619047619</v>
      </c>
      <c r="I84" s="62">
        <v>2.82</v>
      </c>
      <c r="J84" s="37">
        <v>-9.0476190476190155E-2</v>
      </c>
      <c r="K84" s="37">
        <v>-3.108638743455487</v>
      </c>
      <c r="L84" s="1" t="s">
        <v>23</v>
      </c>
      <c r="M84" s="1">
        <v>1</v>
      </c>
    </row>
    <row r="85" spans="1:13" x14ac:dyDescent="0.3">
      <c r="A85">
        <v>8</v>
      </c>
      <c r="B85">
        <v>1</v>
      </c>
      <c r="C85" t="s">
        <v>78</v>
      </c>
      <c r="D85" s="1" t="s">
        <v>1</v>
      </c>
      <c r="E85" s="59" t="s">
        <v>12</v>
      </c>
      <c r="F85" s="60">
        <v>4.9797368421052601</v>
      </c>
      <c r="G85" s="60">
        <v>0.449107224578914</v>
      </c>
      <c r="H85" s="61">
        <v>5.0769444444444396</v>
      </c>
      <c r="I85" s="62">
        <v>4.95</v>
      </c>
      <c r="J85" s="37">
        <v>-0.12694444444443942</v>
      </c>
      <c r="K85" s="37">
        <v>-2.500410351808187</v>
      </c>
      <c r="L85" s="1" t="s">
        <v>68</v>
      </c>
      <c r="M85" s="1">
        <v>1</v>
      </c>
    </row>
    <row r="86" spans="1:13" x14ac:dyDescent="0.3">
      <c r="A86">
        <v>8</v>
      </c>
      <c r="B86">
        <v>1</v>
      </c>
      <c r="C86" t="s">
        <v>78</v>
      </c>
      <c r="D86" s="1" t="s">
        <v>1</v>
      </c>
      <c r="E86" s="59" t="s">
        <v>13</v>
      </c>
      <c r="F86" s="60">
        <v>5.2063963963963902</v>
      </c>
      <c r="G86" s="60">
        <v>1.04879836242819</v>
      </c>
      <c r="H86" s="61">
        <v>5.4893137254901898</v>
      </c>
      <c r="I86" s="62">
        <v>5.51</v>
      </c>
      <c r="J86" s="37">
        <v>2.0686274509809977E-2</v>
      </c>
      <c r="K86" s="37">
        <v>0.37684627886635708</v>
      </c>
      <c r="L86" s="1" t="s">
        <v>68</v>
      </c>
      <c r="M86" s="1">
        <v>1</v>
      </c>
    </row>
    <row r="87" spans="1:13" x14ac:dyDescent="0.3">
      <c r="A87">
        <v>8</v>
      </c>
      <c r="B87">
        <v>1</v>
      </c>
      <c r="C87" t="s">
        <v>78</v>
      </c>
      <c r="D87" s="1" t="s">
        <v>1</v>
      </c>
      <c r="E87" s="59" t="s">
        <v>14</v>
      </c>
      <c r="F87" s="60">
        <v>1.35035087719298</v>
      </c>
      <c r="G87" s="60">
        <v>0.10677020598086</v>
      </c>
      <c r="H87" s="61">
        <v>1.36781818181818</v>
      </c>
      <c r="I87" s="62">
        <v>1.27</v>
      </c>
      <c r="J87" s="37">
        <v>-9.7818181818180028E-2</v>
      </c>
      <c r="K87" s="37">
        <v>-7.1514023660772406</v>
      </c>
      <c r="L87" s="1" t="s">
        <v>68</v>
      </c>
      <c r="M87" s="1">
        <v>1</v>
      </c>
    </row>
    <row r="88" spans="1:13" x14ac:dyDescent="0.3">
      <c r="A88">
        <v>8</v>
      </c>
      <c r="B88">
        <v>1</v>
      </c>
      <c r="C88" t="s">
        <v>78</v>
      </c>
      <c r="D88" s="1" t="s">
        <v>1</v>
      </c>
      <c r="E88" s="59" t="s">
        <v>15</v>
      </c>
      <c r="F88" s="60">
        <v>3.2609009009009</v>
      </c>
      <c r="G88" s="60">
        <v>0.48146838005229298</v>
      </c>
      <c r="H88" s="61">
        <v>3.36075471698113</v>
      </c>
      <c r="I88" s="62">
        <v>3.39</v>
      </c>
      <c r="J88" s="37">
        <v>2.9245283018870083E-2</v>
      </c>
      <c r="K88" s="37">
        <v>0.87019986525944049</v>
      </c>
      <c r="L88" s="1" t="s">
        <v>68</v>
      </c>
      <c r="M88" s="1">
        <v>1</v>
      </c>
    </row>
    <row r="89" spans="1:13" x14ac:dyDescent="0.3">
      <c r="A89">
        <v>8</v>
      </c>
      <c r="B89">
        <v>1</v>
      </c>
      <c r="C89" t="s">
        <v>78</v>
      </c>
      <c r="D89" s="1" t="s">
        <v>1</v>
      </c>
      <c r="E89" s="59" t="s">
        <v>16</v>
      </c>
      <c r="F89" s="60">
        <v>4.4779545454545397</v>
      </c>
      <c r="G89" s="60">
        <v>0.27672253534948599</v>
      </c>
      <c r="H89" s="61">
        <v>4.5274117647058798</v>
      </c>
      <c r="I89" s="62">
        <v>4.53</v>
      </c>
      <c r="J89" s="37">
        <v>2.5882352941204445E-3</v>
      </c>
      <c r="K89" s="37">
        <v>5.7168100200150174E-2</v>
      </c>
      <c r="L89" s="1" t="s">
        <v>68</v>
      </c>
      <c r="M89" s="1">
        <v>1</v>
      </c>
    </row>
    <row r="90" spans="1:13" x14ac:dyDescent="0.3">
      <c r="A90">
        <v>8</v>
      </c>
      <c r="B90">
        <v>1</v>
      </c>
      <c r="C90" t="s">
        <v>78</v>
      </c>
      <c r="D90" s="1" t="s">
        <v>1</v>
      </c>
      <c r="E90" s="59" t="s">
        <v>17</v>
      </c>
      <c r="F90" s="60">
        <v>1.04508771929824</v>
      </c>
      <c r="G90" s="60">
        <v>0.124338570140656</v>
      </c>
      <c r="H90" s="61">
        <v>1.06486486486486</v>
      </c>
      <c r="I90" s="62">
        <v>1.21</v>
      </c>
      <c r="J90" s="37">
        <v>0.14513513513513998</v>
      </c>
      <c r="K90" s="37">
        <v>13.629441624366001</v>
      </c>
      <c r="L90" s="1" t="s">
        <v>68</v>
      </c>
      <c r="M90" s="1">
        <v>1</v>
      </c>
    </row>
    <row r="91" spans="1:13" x14ac:dyDescent="0.3">
      <c r="A91">
        <v>8</v>
      </c>
      <c r="B91">
        <v>1</v>
      </c>
      <c r="C91" t="s">
        <v>78</v>
      </c>
      <c r="D91" s="1" t="s">
        <v>1</v>
      </c>
      <c r="E91" s="59" t="s">
        <v>18</v>
      </c>
      <c r="F91" s="60">
        <v>4.0486842105263099</v>
      </c>
      <c r="G91" s="60">
        <v>0.188570398031744</v>
      </c>
      <c r="H91" s="61">
        <v>4.0750450450450399</v>
      </c>
      <c r="I91" s="62">
        <v>4.07</v>
      </c>
      <c r="J91" s="37">
        <v>-5.0450450450396644E-3</v>
      </c>
      <c r="K91" s="37">
        <v>-0.12380341785851114</v>
      </c>
      <c r="L91" s="1" t="s">
        <v>68</v>
      </c>
      <c r="M91" s="1">
        <v>1</v>
      </c>
    </row>
    <row r="92" spans="1:13" x14ac:dyDescent="0.3">
      <c r="A92">
        <v>8</v>
      </c>
      <c r="B92">
        <v>1</v>
      </c>
      <c r="C92" t="s">
        <v>78</v>
      </c>
      <c r="D92" s="1" t="s">
        <v>1</v>
      </c>
      <c r="E92" s="59" t="s">
        <v>19</v>
      </c>
      <c r="F92" s="60">
        <v>2.8575581395348801</v>
      </c>
      <c r="G92" s="60">
        <v>0.35619088182351399</v>
      </c>
      <c r="H92" s="61">
        <v>2.91047619047619</v>
      </c>
      <c r="I92" s="62">
        <v>2.74</v>
      </c>
      <c r="J92" s="37">
        <v>-0.17047619047618978</v>
      </c>
      <c r="K92" s="37">
        <v>-5.8573298429319145</v>
      </c>
      <c r="L92" s="1" t="s">
        <v>68</v>
      </c>
      <c r="M92" s="1">
        <v>1</v>
      </c>
    </row>
    <row r="93" spans="1:13" x14ac:dyDescent="0.3">
      <c r="A93">
        <v>8</v>
      </c>
      <c r="B93">
        <v>1</v>
      </c>
      <c r="C93" t="s">
        <v>78</v>
      </c>
      <c r="D93" s="1" t="s">
        <v>1</v>
      </c>
      <c r="E93" s="59" t="s">
        <v>12</v>
      </c>
      <c r="F93" s="60">
        <v>4.9797368421052601</v>
      </c>
      <c r="G93" s="60">
        <v>0.449107224578914</v>
      </c>
      <c r="H93" s="61">
        <v>5.0769444444444396</v>
      </c>
      <c r="I93" s="62">
        <v>4.93</v>
      </c>
      <c r="J93" s="37">
        <v>-0.14694444444443988</v>
      </c>
      <c r="K93" s="37">
        <v>-2.8943480877604864</v>
      </c>
      <c r="L93" s="1" t="s">
        <v>69</v>
      </c>
      <c r="M93" s="1">
        <v>1</v>
      </c>
    </row>
    <row r="94" spans="1:13" x14ac:dyDescent="0.3">
      <c r="A94">
        <v>8</v>
      </c>
      <c r="B94">
        <v>1</v>
      </c>
      <c r="C94" t="s">
        <v>78</v>
      </c>
      <c r="D94" s="1" t="s">
        <v>1</v>
      </c>
      <c r="E94" s="59" t="s">
        <v>13</v>
      </c>
      <c r="F94" s="60">
        <v>5.2063963963963902</v>
      </c>
      <c r="G94" s="60">
        <v>1.04879836242819</v>
      </c>
      <c r="H94" s="61">
        <v>5.4893137254901898</v>
      </c>
      <c r="I94" s="62">
        <v>5.56</v>
      </c>
      <c r="J94" s="37">
        <v>7.0686274509809799E-2</v>
      </c>
      <c r="K94" s="37">
        <v>1.2877069529032537</v>
      </c>
      <c r="L94" s="1" t="s">
        <v>69</v>
      </c>
      <c r="M94" s="1">
        <v>1</v>
      </c>
    </row>
    <row r="95" spans="1:13" x14ac:dyDescent="0.3">
      <c r="A95">
        <v>8</v>
      </c>
      <c r="B95">
        <v>1</v>
      </c>
      <c r="C95" t="s">
        <v>78</v>
      </c>
      <c r="D95" s="1" t="s">
        <v>1</v>
      </c>
      <c r="E95" s="59" t="s">
        <v>14</v>
      </c>
      <c r="F95" s="60">
        <v>1.35035087719298</v>
      </c>
      <c r="G95" s="60">
        <v>0.10677020598086</v>
      </c>
      <c r="H95" s="61">
        <v>1.36781818181818</v>
      </c>
      <c r="I95" s="62">
        <v>1.32</v>
      </c>
      <c r="J95" s="37">
        <v>-4.7818181818179983E-2</v>
      </c>
      <c r="K95" s="37">
        <v>-3.4959457663164994</v>
      </c>
      <c r="L95" s="1" t="s">
        <v>69</v>
      </c>
      <c r="M95" s="1">
        <v>1</v>
      </c>
    </row>
    <row r="96" spans="1:13" x14ac:dyDescent="0.3">
      <c r="A96">
        <v>8</v>
      </c>
      <c r="B96">
        <v>1</v>
      </c>
      <c r="C96" t="s">
        <v>78</v>
      </c>
      <c r="D96" s="1" t="s">
        <v>1</v>
      </c>
      <c r="E96" s="59" t="s">
        <v>15</v>
      </c>
      <c r="F96" s="60">
        <v>3.2609009009009</v>
      </c>
      <c r="G96" s="60">
        <v>0.48146838005229298</v>
      </c>
      <c r="H96" s="61">
        <v>3.36075471698113</v>
      </c>
      <c r="I96" s="62">
        <v>3.44</v>
      </c>
      <c r="J96" s="37">
        <v>7.9245283018869905E-2</v>
      </c>
      <c r="K96" s="37">
        <v>2.3579609252190137</v>
      </c>
      <c r="L96" s="1" t="s">
        <v>69</v>
      </c>
      <c r="M96" s="1">
        <v>1</v>
      </c>
    </row>
    <row r="97" spans="1:13" x14ac:dyDescent="0.3">
      <c r="A97">
        <v>8</v>
      </c>
      <c r="B97">
        <v>1</v>
      </c>
      <c r="C97" t="s">
        <v>78</v>
      </c>
      <c r="D97" s="1" t="s">
        <v>1</v>
      </c>
      <c r="E97" s="59" t="s">
        <v>16</v>
      </c>
      <c r="F97" s="60">
        <v>4.4779545454545397</v>
      </c>
      <c r="G97" s="60">
        <v>0.27672253534948599</v>
      </c>
      <c r="H97" s="61">
        <v>4.5274117647058798</v>
      </c>
      <c r="I97" s="62">
        <v>4.59</v>
      </c>
      <c r="J97" s="37">
        <v>6.2588235294120054E-2</v>
      </c>
      <c r="K97" s="37">
        <v>1.3824286048385541</v>
      </c>
      <c r="L97" s="1" t="s">
        <v>69</v>
      </c>
      <c r="M97" s="1">
        <v>1</v>
      </c>
    </row>
    <row r="98" spans="1:13" x14ac:dyDescent="0.3">
      <c r="A98">
        <v>8</v>
      </c>
      <c r="B98">
        <v>1</v>
      </c>
      <c r="C98" t="s">
        <v>78</v>
      </c>
      <c r="D98" s="1" t="s">
        <v>1</v>
      </c>
      <c r="E98" s="59" t="s">
        <v>17</v>
      </c>
      <c r="F98" s="60">
        <v>1.04508771929824</v>
      </c>
      <c r="G98" s="60">
        <v>0.124338570140656</v>
      </c>
      <c r="H98" s="61">
        <v>1.06486486486486</v>
      </c>
      <c r="I98" s="62">
        <v>1.25</v>
      </c>
      <c r="J98" s="37">
        <v>0.18513513513514002</v>
      </c>
      <c r="K98" s="37">
        <v>17.385786802030996</v>
      </c>
      <c r="L98" s="1" t="s">
        <v>69</v>
      </c>
      <c r="M98" s="1">
        <v>1</v>
      </c>
    </row>
    <row r="99" spans="1:13" x14ac:dyDescent="0.3">
      <c r="A99">
        <v>8</v>
      </c>
      <c r="B99">
        <v>1</v>
      </c>
      <c r="C99" t="s">
        <v>78</v>
      </c>
      <c r="D99" s="1" t="s">
        <v>1</v>
      </c>
      <c r="E99" s="59" t="s">
        <v>18</v>
      </c>
      <c r="F99" s="60">
        <v>4.0486842105263099</v>
      </c>
      <c r="G99" s="60">
        <v>0.188570398031744</v>
      </c>
      <c r="H99" s="61">
        <v>4.0750450450450399</v>
      </c>
      <c r="I99" s="62">
        <v>4.05</v>
      </c>
      <c r="J99" s="37">
        <v>-2.5045045045040126E-2</v>
      </c>
      <c r="K99" s="37">
        <v>-0.61459553865528649</v>
      </c>
      <c r="L99" s="1" t="s">
        <v>69</v>
      </c>
      <c r="M99" s="1">
        <v>1</v>
      </c>
    </row>
    <row r="100" spans="1:13" x14ac:dyDescent="0.3">
      <c r="A100">
        <v>8</v>
      </c>
      <c r="B100">
        <v>1</v>
      </c>
      <c r="C100" t="s">
        <v>78</v>
      </c>
      <c r="D100" s="1" t="s">
        <v>1</v>
      </c>
      <c r="E100" s="59" t="s">
        <v>19</v>
      </c>
      <c r="F100" s="60">
        <v>2.8575581395348801</v>
      </c>
      <c r="G100" s="60">
        <v>0.35619088182351399</v>
      </c>
      <c r="H100" s="61">
        <v>2.91047619047619</v>
      </c>
      <c r="I100" s="62">
        <v>2.72</v>
      </c>
      <c r="J100" s="37">
        <v>-0.1904761904761898</v>
      </c>
      <c r="K100" s="37">
        <v>-6.544502617801025</v>
      </c>
      <c r="L100" s="1" t="s">
        <v>69</v>
      </c>
      <c r="M100" s="1">
        <v>1</v>
      </c>
    </row>
    <row r="102" spans="1:13" x14ac:dyDescent="0.3">
      <c r="A102">
        <v>8</v>
      </c>
      <c r="B102">
        <v>1</v>
      </c>
      <c r="C102" t="s">
        <v>78</v>
      </c>
      <c r="D102" s="1" t="s">
        <v>1</v>
      </c>
      <c r="E102" s="59" t="s">
        <v>12</v>
      </c>
      <c r="F102" s="60">
        <v>4.7513333333333296</v>
      </c>
      <c r="G102" s="60">
        <v>1.0225077172060999</v>
      </c>
      <c r="H102" s="61">
        <v>5.0601052631578902</v>
      </c>
      <c r="I102" s="62">
        <v>5.07</v>
      </c>
      <c r="J102" s="37">
        <v>9.8947368421100634E-3</v>
      </c>
      <c r="K102" s="37">
        <v>0.19554409103211021</v>
      </c>
      <c r="L102" s="1" t="s">
        <v>23</v>
      </c>
      <c r="M102" s="1">
        <v>2</v>
      </c>
    </row>
    <row r="103" spans="1:13" x14ac:dyDescent="0.3">
      <c r="A103">
        <v>8</v>
      </c>
      <c r="B103">
        <v>1</v>
      </c>
      <c r="C103" t="s">
        <v>78</v>
      </c>
      <c r="D103" s="1" t="s">
        <v>1</v>
      </c>
      <c r="E103" s="59" t="s">
        <v>13</v>
      </c>
      <c r="F103" s="60">
        <v>5.2291262135922301</v>
      </c>
      <c r="G103" s="60">
        <v>1.0231932755915401</v>
      </c>
      <c r="H103" s="61">
        <v>5.5002105263157803</v>
      </c>
      <c r="I103" s="62">
        <v>5.65</v>
      </c>
      <c r="J103" s="37">
        <v>0.14978947368422002</v>
      </c>
      <c r="K103" s="37">
        <v>2.723340733369235</v>
      </c>
      <c r="L103" s="1" t="s">
        <v>23</v>
      </c>
      <c r="M103" s="1">
        <v>2</v>
      </c>
    </row>
    <row r="104" spans="1:13" x14ac:dyDescent="0.3">
      <c r="A104">
        <v>8</v>
      </c>
      <c r="B104">
        <v>1</v>
      </c>
      <c r="C104" t="s">
        <v>78</v>
      </c>
      <c r="D104" s="1" t="s">
        <v>1</v>
      </c>
      <c r="E104" s="59" t="s">
        <v>14</v>
      </c>
      <c r="F104" s="60">
        <v>1.3313333333333299</v>
      </c>
      <c r="G104" s="60">
        <v>0.17860873261148</v>
      </c>
      <c r="H104" s="61">
        <v>1.3639603960396001</v>
      </c>
      <c r="I104" s="62">
        <v>1.37</v>
      </c>
      <c r="J104" s="37">
        <v>6.0396039604000418E-3</v>
      </c>
      <c r="K104" s="37">
        <v>0.44279907084814596</v>
      </c>
      <c r="L104" s="1" t="s">
        <v>23</v>
      </c>
      <c r="M104" s="1">
        <v>2</v>
      </c>
    </row>
    <row r="105" spans="1:13" x14ac:dyDescent="0.3">
      <c r="A105">
        <v>8</v>
      </c>
      <c r="B105">
        <v>1</v>
      </c>
      <c r="C105" t="s">
        <v>78</v>
      </c>
      <c r="D105" s="1" t="s">
        <v>1</v>
      </c>
      <c r="E105" s="59" t="s">
        <v>15</v>
      </c>
      <c r="F105" s="60">
        <v>3.2196039603960398</v>
      </c>
      <c r="G105" s="60">
        <v>0.52171636160322998</v>
      </c>
      <c r="H105" s="61">
        <v>3.3652173913043502</v>
      </c>
      <c r="I105" s="62">
        <v>3.57</v>
      </c>
      <c r="J105" s="37">
        <v>0.20478260869564968</v>
      </c>
      <c r="K105" s="37">
        <v>6.0852713178293794</v>
      </c>
      <c r="L105" s="1" t="s">
        <v>23</v>
      </c>
      <c r="M105" s="1">
        <v>2</v>
      </c>
    </row>
    <row r="106" spans="1:13" x14ac:dyDescent="0.3">
      <c r="A106">
        <v>8</v>
      </c>
      <c r="B106">
        <v>1</v>
      </c>
      <c r="C106" t="s">
        <v>78</v>
      </c>
      <c r="D106" s="1" t="s">
        <v>1</v>
      </c>
      <c r="E106" s="59" t="s">
        <v>16</v>
      </c>
      <c r="F106" s="60">
        <v>4.4234177215189803</v>
      </c>
      <c r="G106" s="60">
        <v>0.54049879934280198</v>
      </c>
      <c r="H106" s="61">
        <v>4.5382666666666598</v>
      </c>
      <c r="I106" s="62">
        <v>4.6500000000000004</v>
      </c>
      <c r="J106" s="37">
        <v>0.11173333333334057</v>
      </c>
      <c r="K106" s="37">
        <v>2.4620266180922394</v>
      </c>
      <c r="L106" s="1" t="s">
        <v>23</v>
      </c>
      <c r="M106" s="1">
        <v>2</v>
      </c>
    </row>
    <row r="107" spans="1:13" x14ac:dyDescent="0.3">
      <c r="A107">
        <v>8</v>
      </c>
      <c r="B107">
        <v>1</v>
      </c>
      <c r="C107" t="s">
        <v>78</v>
      </c>
      <c r="D107" s="1" t="s">
        <v>1</v>
      </c>
      <c r="E107" s="59" t="s">
        <v>17</v>
      </c>
      <c r="F107" s="60">
        <v>1.06638095238095</v>
      </c>
      <c r="G107" s="60">
        <v>2.7399124404633601E-2</v>
      </c>
      <c r="H107" s="61">
        <v>1.0667948717948701</v>
      </c>
      <c r="I107" s="62">
        <v>1.3</v>
      </c>
      <c r="J107" s="37">
        <v>0.23320512820512995</v>
      </c>
      <c r="K107" s="37">
        <v>21.860353322918115</v>
      </c>
      <c r="L107" s="1" t="s">
        <v>23</v>
      </c>
      <c r="M107" s="1">
        <v>2</v>
      </c>
    </row>
    <row r="108" spans="1:13" x14ac:dyDescent="0.3">
      <c r="A108">
        <v>8</v>
      </c>
      <c r="B108">
        <v>1</v>
      </c>
      <c r="C108" t="s">
        <v>78</v>
      </c>
      <c r="D108" s="1" t="s">
        <v>1</v>
      </c>
      <c r="E108" s="59" t="s">
        <v>18</v>
      </c>
      <c r="F108" s="60">
        <v>3.87619047619047</v>
      </c>
      <c r="G108" s="60">
        <v>0.72564766598356201</v>
      </c>
      <c r="H108" s="61">
        <v>4.0685567010309196</v>
      </c>
      <c r="I108" s="62">
        <v>4.17</v>
      </c>
      <c r="J108" s="37">
        <v>0.10144329896908033</v>
      </c>
      <c r="K108" s="37">
        <v>2.4933485366782748</v>
      </c>
      <c r="L108" s="1" t="s">
        <v>23</v>
      </c>
      <c r="M108" s="1">
        <v>2</v>
      </c>
    </row>
    <row r="109" spans="1:13" x14ac:dyDescent="0.3">
      <c r="A109">
        <v>8</v>
      </c>
      <c r="B109">
        <v>1</v>
      </c>
      <c r="C109" t="s">
        <v>78</v>
      </c>
      <c r="D109" s="1" t="s">
        <v>1</v>
      </c>
      <c r="E109" s="59" t="s">
        <v>19</v>
      </c>
      <c r="F109" s="60">
        <v>2.7946835443037901</v>
      </c>
      <c r="G109" s="60">
        <v>0.47811559283185501</v>
      </c>
      <c r="H109" s="61">
        <v>2.9026666666666601</v>
      </c>
      <c r="I109" s="62">
        <v>2.82</v>
      </c>
      <c r="J109" s="37">
        <v>-8.2666666666660227E-2</v>
      </c>
      <c r="K109" s="37">
        <v>-2.8479559026180667</v>
      </c>
      <c r="L109" s="1" t="s">
        <v>23</v>
      </c>
      <c r="M109" s="1">
        <v>2</v>
      </c>
    </row>
    <row r="110" spans="1:13" x14ac:dyDescent="0.3">
      <c r="A110">
        <v>8</v>
      </c>
      <c r="B110">
        <v>1</v>
      </c>
      <c r="C110" t="s">
        <v>78</v>
      </c>
      <c r="D110" s="1" t="s">
        <v>1</v>
      </c>
      <c r="E110" s="59" t="s">
        <v>12</v>
      </c>
      <c r="F110" s="60">
        <v>4.7513333333333296</v>
      </c>
      <c r="G110" s="60">
        <v>1.0225077172060999</v>
      </c>
      <c r="H110" s="61">
        <v>5.0601052631578902</v>
      </c>
      <c r="I110" s="62">
        <v>4.95</v>
      </c>
      <c r="J110" s="37">
        <v>-0.11010526315789004</v>
      </c>
      <c r="K110" s="37">
        <v>-2.1759480768029715</v>
      </c>
      <c r="L110" s="1" t="s">
        <v>68</v>
      </c>
      <c r="M110" s="1">
        <v>2</v>
      </c>
    </row>
    <row r="111" spans="1:13" x14ac:dyDescent="0.3">
      <c r="A111">
        <v>8</v>
      </c>
      <c r="B111">
        <v>1</v>
      </c>
      <c r="C111" t="s">
        <v>78</v>
      </c>
      <c r="D111" s="1" t="s">
        <v>1</v>
      </c>
      <c r="E111" s="59" t="s">
        <v>13</v>
      </c>
      <c r="F111" s="60">
        <v>5.2291262135922301</v>
      </c>
      <c r="G111" s="60">
        <v>1.0231932755915401</v>
      </c>
      <c r="H111" s="61">
        <v>5.5002105263157803</v>
      </c>
      <c r="I111" s="62">
        <v>5.51</v>
      </c>
      <c r="J111" s="37">
        <v>9.7894736842194519E-3</v>
      </c>
      <c r="K111" s="37">
        <v>0.17798361785211081</v>
      </c>
      <c r="L111" s="1" t="s">
        <v>68</v>
      </c>
      <c r="M111" s="1">
        <v>2</v>
      </c>
    </row>
    <row r="112" spans="1:13" x14ac:dyDescent="0.3">
      <c r="A112">
        <v>8</v>
      </c>
      <c r="B112">
        <v>1</v>
      </c>
      <c r="C112" t="s">
        <v>78</v>
      </c>
      <c r="D112" s="1" t="s">
        <v>1</v>
      </c>
      <c r="E112" s="59" t="s">
        <v>14</v>
      </c>
      <c r="F112" s="60">
        <v>1.3313333333333299</v>
      </c>
      <c r="G112" s="60">
        <v>0.17860873261148</v>
      </c>
      <c r="H112" s="61">
        <v>1.3639603960396001</v>
      </c>
      <c r="I112" s="62">
        <v>1.27</v>
      </c>
      <c r="J112" s="37">
        <v>-9.3960396039600047E-2</v>
      </c>
      <c r="K112" s="37">
        <v>-6.8887921022064686</v>
      </c>
      <c r="L112" s="1" t="s">
        <v>68</v>
      </c>
      <c r="M112" s="1">
        <v>2</v>
      </c>
    </row>
    <row r="113" spans="1:13" x14ac:dyDescent="0.3">
      <c r="A113">
        <v>8</v>
      </c>
      <c r="B113">
        <v>1</v>
      </c>
      <c r="C113" t="s">
        <v>78</v>
      </c>
      <c r="D113" s="1" t="s">
        <v>1</v>
      </c>
      <c r="E113" s="59" t="s">
        <v>15</v>
      </c>
      <c r="F113" s="60">
        <v>3.2196039603960398</v>
      </c>
      <c r="G113" s="60">
        <v>0.52171636160322998</v>
      </c>
      <c r="H113" s="61">
        <v>3.3652173913043502</v>
      </c>
      <c r="I113" s="62">
        <v>3.39</v>
      </c>
      <c r="J113" s="37">
        <v>2.4782608695649966E-2</v>
      </c>
      <c r="K113" s="37">
        <v>0.7364341085270657</v>
      </c>
      <c r="L113" s="1" t="s">
        <v>68</v>
      </c>
      <c r="M113" s="1">
        <v>2</v>
      </c>
    </row>
    <row r="114" spans="1:13" x14ac:dyDescent="0.3">
      <c r="A114">
        <v>8</v>
      </c>
      <c r="B114">
        <v>1</v>
      </c>
      <c r="C114" t="s">
        <v>78</v>
      </c>
      <c r="D114" s="1" t="s">
        <v>1</v>
      </c>
      <c r="E114" s="59" t="s">
        <v>16</v>
      </c>
      <c r="F114" s="60">
        <v>4.4234177215189803</v>
      </c>
      <c r="G114" s="60">
        <v>0.54049879934280198</v>
      </c>
      <c r="H114" s="61">
        <v>4.5382666666666598</v>
      </c>
      <c r="I114" s="62">
        <v>4.53</v>
      </c>
      <c r="J114" s="37">
        <v>-8.266666666659539E-3</v>
      </c>
      <c r="K114" s="37">
        <v>-0.18215471398756247</v>
      </c>
      <c r="L114" s="1" t="s">
        <v>68</v>
      </c>
      <c r="M114" s="1">
        <v>2</v>
      </c>
    </row>
    <row r="115" spans="1:13" x14ac:dyDescent="0.3">
      <c r="A115">
        <v>8</v>
      </c>
      <c r="B115">
        <v>1</v>
      </c>
      <c r="C115" t="s">
        <v>78</v>
      </c>
      <c r="D115" s="1" t="s">
        <v>1</v>
      </c>
      <c r="E115" s="59" t="s">
        <v>17</v>
      </c>
      <c r="F115" s="60">
        <v>1.06638095238095</v>
      </c>
      <c r="G115" s="60">
        <v>2.7399124404633601E-2</v>
      </c>
      <c r="H115" s="61">
        <v>1.0667948717948701</v>
      </c>
      <c r="I115" s="62">
        <v>1.21</v>
      </c>
      <c r="J115" s="37">
        <v>0.14320512820512987</v>
      </c>
      <c r="K115" s="37">
        <v>13.423867323639163</v>
      </c>
      <c r="L115" s="1" t="s">
        <v>68</v>
      </c>
      <c r="M115" s="1">
        <v>2</v>
      </c>
    </row>
    <row r="116" spans="1:13" x14ac:dyDescent="0.3">
      <c r="A116">
        <v>8</v>
      </c>
      <c r="B116">
        <v>1</v>
      </c>
      <c r="C116" t="s">
        <v>78</v>
      </c>
      <c r="D116" s="1" t="s">
        <v>1</v>
      </c>
      <c r="E116" s="59" t="s">
        <v>18</v>
      </c>
      <c r="F116" s="60">
        <v>3.87619047619047</v>
      </c>
      <c r="G116" s="60">
        <v>0.72564766598356201</v>
      </c>
      <c r="H116" s="61">
        <v>4.0685567010309196</v>
      </c>
      <c r="I116" s="62">
        <v>4.07</v>
      </c>
      <c r="J116" s="37">
        <v>1.4432989690806863E-3</v>
      </c>
      <c r="K116" s="37">
        <v>3.5474471050507245E-2</v>
      </c>
      <c r="L116" s="1" t="s">
        <v>68</v>
      </c>
      <c r="M116" s="1">
        <v>2</v>
      </c>
    </row>
    <row r="117" spans="1:13" x14ac:dyDescent="0.3">
      <c r="A117">
        <v>8</v>
      </c>
      <c r="B117">
        <v>1</v>
      </c>
      <c r="C117" t="s">
        <v>78</v>
      </c>
      <c r="D117" s="1" t="s">
        <v>1</v>
      </c>
      <c r="E117" s="59" t="s">
        <v>19</v>
      </c>
      <c r="F117" s="60">
        <v>2.7946835443037901</v>
      </c>
      <c r="G117" s="60">
        <v>0.47811559283185501</v>
      </c>
      <c r="H117" s="61">
        <v>2.9026666666666601</v>
      </c>
      <c r="I117" s="62">
        <v>2.74</v>
      </c>
      <c r="J117" s="37">
        <v>-0.16266666666665985</v>
      </c>
      <c r="K117" s="37">
        <v>-5.6040422599905906</v>
      </c>
      <c r="L117" s="1" t="s">
        <v>68</v>
      </c>
      <c r="M117" s="1">
        <v>2</v>
      </c>
    </row>
    <row r="118" spans="1:13" x14ac:dyDescent="0.3">
      <c r="A118">
        <v>8</v>
      </c>
      <c r="B118">
        <v>1</v>
      </c>
      <c r="C118" t="s">
        <v>78</v>
      </c>
      <c r="D118" s="1" t="s">
        <v>1</v>
      </c>
      <c r="E118" s="59" t="s">
        <v>12</v>
      </c>
      <c r="F118" s="60">
        <v>4.7513333333333296</v>
      </c>
      <c r="G118" s="60">
        <v>1.0225077172060999</v>
      </c>
      <c r="H118" s="61">
        <v>5.0601052631578902</v>
      </c>
      <c r="I118" s="62">
        <v>4.93</v>
      </c>
      <c r="J118" s="37">
        <v>-0.1301052631578905</v>
      </c>
      <c r="K118" s="37">
        <v>-2.5711967714421604</v>
      </c>
      <c r="L118" s="1" t="s">
        <v>69</v>
      </c>
      <c r="M118" s="1">
        <v>2</v>
      </c>
    </row>
    <row r="119" spans="1:13" x14ac:dyDescent="0.3">
      <c r="A119">
        <v>8</v>
      </c>
      <c r="B119">
        <v>1</v>
      </c>
      <c r="C119" t="s">
        <v>78</v>
      </c>
      <c r="D119" s="1" t="s">
        <v>1</v>
      </c>
      <c r="E119" s="59" t="s">
        <v>13</v>
      </c>
      <c r="F119" s="60">
        <v>5.2291262135922301</v>
      </c>
      <c r="G119" s="60">
        <v>1.0231932755915401</v>
      </c>
      <c r="H119" s="61">
        <v>5.5002105263157803</v>
      </c>
      <c r="I119" s="62">
        <v>5.56</v>
      </c>
      <c r="J119" s="37">
        <v>5.9789473684219274E-2</v>
      </c>
      <c r="K119" s="37">
        <v>1.0870397305367909</v>
      </c>
      <c r="L119" s="1" t="s">
        <v>69</v>
      </c>
      <c r="M119" s="1">
        <v>2</v>
      </c>
    </row>
    <row r="120" spans="1:13" x14ac:dyDescent="0.3">
      <c r="A120">
        <v>8</v>
      </c>
      <c r="B120">
        <v>1</v>
      </c>
      <c r="C120" t="s">
        <v>78</v>
      </c>
      <c r="D120" s="1" t="s">
        <v>1</v>
      </c>
      <c r="E120" s="59" t="s">
        <v>14</v>
      </c>
      <c r="F120" s="60">
        <v>1.3313333333333299</v>
      </c>
      <c r="G120" s="60">
        <v>0.17860873261148</v>
      </c>
      <c r="H120" s="61">
        <v>1.3639603960396001</v>
      </c>
      <c r="I120" s="62">
        <v>1.32</v>
      </c>
      <c r="J120" s="37">
        <v>-4.3960396039600003E-2</v>
      </c>
      <c r="K120" s="37">
        <v>-3.2229965156791613</v>
      </c>
      <c r="L120" s="1" t="s">
        <v>69</v>
      </c>
      <c r="M120" s="1">
        <v>2</v>
      </c>
    </row>
    <row r="121" spans="1:13" x14ac:dyDescent="0.3">
      <c r="A121">
        <v>8</v>
      </c>
      <c r="B121">
        <v>1</v>
      </c>
      <c r="C121" t="s">
        <v>78</v>
      </c>
      <c r="D121" s="1" t="s">
        <v>1</v>
      </c>
      <c r="E121" s="59" t="s">
        <v>15</v>
      </c>
      <c r="F121" s="60">
        <v>3.2196039603960398</v>
      </c>
      <c r="G121" s="60">
        <v>0.52171636160322998</v>
      </c>
      <c r="H121" s="61">
        <v>3.3652173913043502</v>
      </c>
      <c r="I121" s="62">
        <v>3.44</v>
      </c>
      <c r="J121" s="37">
        <v>7.4782608695649788E-2</v>
      </c>
      <c r="K121" s="37">
        <v>2.2222222222221499</v>
      </c>
      <c r="L121" s="1" t="s">
        <v>69</v>
      </c>
      <c r="M121" s="1">
        <v>2</v>
      </c>
    </row>
    <row r="122" spans="1:13" x14ac:dyDescent="0.3">
      <c r="A122">
        <v>8</v>
      </c>
      <c r="B122">
        <v>1</v>
      </c>
      <c r="C122" t="s">
        <v>78</v>
      </c>
      <c r="D122" s="1" t="s">
        <v>1</v>
      </c>
      <c r="E122" s="59" t="s">
        <v>16</v>
      </c>
      <c r="F122" s="60">
        <v>4.4234177215189803</v>
      </c>
      <c r="G122" s="60">
        <v>0.54049879934280198</v>
      </c>
      <c r="H122" s="61">
        <v>4.5382666666666598</v>
      </c>
      <c r="I122" s="62">
        <v>4.59</v>
      </c>
      <c r="J122" s="37">
        <v>5.173333333334007E-2</v>
      </c>
      <c r="K122" s="37">
        <v>1.1399359520523287</v>
      </c>
      <c r="L122" s="1" t="s">
        <v>69</v>
      </c>
      <c r="M122" s="1">
        <v>2</v>
      </c>
    </row>
    <row r="123" spans="1:13" x14ac:dyDescent="0.3">
      <c r="A123">
        <v>8</v>
      </c>
      <c r="B123">
        <v>1</v>
      </c>
      <c r="C123" t="s">
        <v>78</v>
      </c>
      <c r="D123" s="1" t="s">
        <v>1</v>
      </c>
      <c r="E123" s="59" t="s">
        <v>17</v>
      </c>
      <c r="F123" s="60">
        <v>1.06638095238095</v>
      </c>
      <c r="G123" s="60">
        <v>2.7399124404633601E-2</v>
      </c>
      <c r="H123" s="61">
        <v>1.0667948717948701</v>
      </c>
      <c r="I123" s="62">
        <v>1.25</v>
      </c>
      <c r="J123" s="37">
        <v>0.18320512820512991</v>
      </c>
      <c r="K123" s="37">
        <v>17.173416656652034</v>
      </c>
      <c r="L123" s="1" t="s">
        <v>69</v>
      </c>
      <c r="M123" s="1">
        <v>2</v>
      </c>
    </row>
    <row r="124" spans="1:13" x14ac:dyDescent="0.3">
      <c r="A124">
        <v>8</v>
      </c>
      <c r="B124">
        <v>1</v>
      </c>
      <c r="C124" t="s">
        <v>78</v>
      </c>
      <c r="D124" s="1" t="s">
        <v>1</v>
      </c>
      <c r="E124" s="59" t="s">
        <v>18</v>
      </c>
      <c r="F124" s="60">
        <v>3.87619047619047</v>
      </c>
      <c r="G124" s="60">
        <v>0.72564766598356201</v>
      </c>
      <c r="H124" s="61">
        <v>4.0685567010309196</v>
      </c>
      <c r="I124" s="62">
        <v>4.05</v>
      </c>
      <c r="J124" s="37">
        <v>-1.8556701030919776E-2</v>
      </c>
      <c r="K124" s="37">
        <v>-0.4561003420750594</v>
      </c>
      <c r="L124" s="1" t="s">
        <v>69</v>
      </c>
      <c r="M124" s="1">
        <v>2</v>
      </c>
    </row>
    <row r="125" spans="1:13" x14ac:dyDescent="0.3">
      <c r="A125">
        <v>8</v>
      </c>
      <c r="B125">
        <v>1</v>
      </c>
      <c r="C125" t="s">
        <v>78</v>
      </c>
      <c r="D125" s="1" t="s">
        <v>1</v>
      </c>
      <c r="E125" s="59" t="s">
        <v>19</v>
      </c>
      <c r="F125" s="60">
        <v>2.7946835443037901</v>
      </c>
      <c r="G125" s="60">
        <v>0.47811559283185501</v>
      </c>
      <c r="H125" s="61">
        <v>2.9026666666666601</v>
      </c>
      <c r="I125" s="62">
        <v>2.72</v>
      </c>
      <c r="J125" s="37">
        <v>-0.18266666666665987</v>
      </c>
      <c r="K125" s="37">
        <v>-6.2930638493337261</v>
      </c>
      <c r="L125" s="1" t="s">
        <v>69</v>
      </c>
      <c r="M125" s="1">
        <v>2</v>
      </c>
    </row>
    <row r="127" spans="1:13" x14ac:dyDescent="0.3">
      <c r="A127">
        <v>8</v>
      </c>
      <c r="B127">
        <v>1</v>
      </c>
      <c r="C127" t="s">
        <v>78</v>
      </c>
      <c r="D127" s="1" t="s">
        <v>1</v>
      </c>
      <c r="E127" s="59" t="s">
        <v>12</v>
      </c>
      <c r="F127" s="60">
        <v>4.8828440366972403</v>
      </c>
      <c r="G127" s="60">
        <v>0.79490359665120702</v>
      </c>
      <c r="H127" s="61">
        <v>5.0685436893203804</v>
      </c>
      <c r="I127" s="63">
        <v>5.07</v>
      </c>
      <c r="J127" s="58">
        <v>1.4563106796199321E-3</v>
      </c>
      <c r="K127" s="58">
        <v>2.8732329617448808E-2</v>
      </c>
      <c r="L127" s="1" t="s">
        <v>23</v>
      </c>
      <c r="M127" s="1">
        <v>3</v>
      </c>
    </row>
    <row r="128" spans="1:13" x14ac:dyDescent="0.3">
      <c r="A128">
        <v>8</v>
      </c>
      <c r="B128">
        <v>1</v>
      </c>
      <c r="C128" t="s">
        <v>78</v>
      </c>
      <c r="D128" s="1" t="s">
        <v>1</v>
      </c>
      <c r="E128" s="59" t="s">
        <v>13</v>
      </c>
      <c r="F128" s="60">
        <v>5.3088073394495403</v>
      </c>
      <c r="G128" s="60">
        <v>0.87251689583876302</v>
      </c>
      <c r="H128" s="61">
        <v>5.4906730769230698</v>
      </c>
      <c r="I128" s="63">
        <v>5.65</v>
      </c>
      <c r="J128" s="58">
        <v>0.15932692307693053</v>
      </c>
      <c r="K128" s="58">
        <v>2.9017739873563206</v>
      </c>
      <c r="L128" s="1" t="s">
        <v>23</v>
      </c>
      <c r="M128" s="1">
        <v>3</v>
      </c>
    </row>
    <row r="129" spans="1:13" x14ac:dyDescent="0.3">
      <c r="A129">
        <v>8</v>
      </c>
      <c r="B129">
        <v>1</v>
      </c>
      <c r="C129" t="s">
        <v>78</v>
      </c>
      <c r="D129" s="1" t="s">
        <v>1</v>
      </c>
      <c r="E129" s="59" t="s">
        <v>14</v>
      </c>
      <c r="F129" s="60">
        <v>1.36871559633027</v>
      </c>
      <c r="G129" s="60">
        <v>2.5272856579545099E-2</v>
      </c>
      <c r="H129" s="61">
        <v>1.3671621621621599</v>
      </c>
      <c r="I129" s="63">
        <v>1.37</v>
      </c>
      <c r="J129" s="58">
        <v>2.8378378378401958E-3</v>
      </c>
      <c r="K129" s="58">
        <v>0.20757141445109703</v>
      </c>
      <c r="L129" s="1" t="s">
        <v>23</v>
      </c>
      <c r="M129" s="1">
        <v>3</v>
      </c>
    </row>
    <row r="130" spans="1:13" x14ac:dyDescent="0.3">
      <c r="A130">
        <v>8</v>
      </c>
      <c r="B130">
        <v>1</v>
      </c>
      <c r="C130" t="s">
        <v>78</v>
      </c>
      <c r="D130" s="1" t="s">
        <v>1</v>
      </c>
      <c r="E130" s="59" t="s">
        <v>15</v>
      </c>
      <c r="F130" s="60">
        <v>3.2097247706421999</v>
      </c>
      <c r="G130" s="60">
        <v>0.56979387664617698</v>
      </c>
      <c r="H130" s="61">
        <v>3.3687</v>
      </c>
      <c r="I130" s="63">
        <v>3.57</v>
      </c>
      <c r="J130" s="58">
        <v>0.20129999999999981</v>
      </c>
      <c r="K130" s="58">
        <v>5.975598895716443</v>
      </c>
      <c r="L130" s="1" t="s">
        <v>23</v>
      </c>
      <c r="M130" s="1">
        <v>3</v>
      </c>
    </row>
    <row r="131" spans="1:13" x14ac:dyDescent="0.3">
      <c r="A131">
        <v>8</v>
      </c>
      <c r="B131">
        <v>1</v>
      </c>
      <c r="C131" t="s">
        <v>78</v>
      </c>
      <c r="D131" s="1" t="s">
        <v>1</v>
      </c>
      <c r="E131" s="59" t="s">
        <v>16</v>
      </c>
      <c r="F131" s="60">
        <v>4.3034999999999997</v>
      </c>
      <c r="G131" s="60">
        <v>0.76914904277389495</v>
      </c>
      <c r="H131" s="61">
        <v>4.5316438356164301</v>
      </c>
      <c r="I131" s="63">
        <v>4.6500000000000004</v>
      </c>
      <c r="J131" s="58">
        <v>0.11835616438357022</v>
      </c>
      <c r="K131" s="58">
        <v>2.6117711072823195</v>
      </c>
      <c r="L131" s="1" t="s">
        <v>23</v>
      </c>
      <c r="M131" s="1">
        <v>3</v>
      </c>
    </row>
    <row r="132" spans="1:13" x14ac:dyDescent="0.3">
      <c r="A132">
        <v>8</v>
      </c>
      <c r="B132">
        <v>1</v>
      </c>
      <c r="C132" t="s">
        <v>78</v>
      </c>
      <c r="D132" s="1" t="s">
        <v>1</v>
      </c>
      <c r="E132" s="59" t="s">
        <v>17</v>
      </c>
      <c r="F132" s="60">
        <v>1.0419266055045799</v>
      </c>
      <c r="G132" s="60">
        <v>0.132329010766015</v>
      </c>
      <c r="H132" s="61">
        <v>1.06330188679245</v>
      </c>
      <c r="I132" s="63">
        <v>1.3</v>
      </c>
      <c r="J132" s="58">
        <v>0.23669811320755008</v>
      </c>
      <c r="K132" s="58">
        <v>22.260668973472075</v>
      </c>
      <c r="L132" s="1" t="s">
        <v>23</v>
      </c>
      <c r="M132" s="1">
        <v>3</v>
      </c>
    </row>
    <row r="133" spans="1:13" x14ac:dyDescent="0.3">
      <c r="A133">
        <v>8</v>
      </c>
      <c r="B133">
        <v>1</v>
      </c>
      <c r="C133" t="s">
        <v>78</v>
      </c>
      <c r="D133" s="1" t="s">
        <v>1</v>
      </c>
      <c r="E133" s="59" t="s">
        <v>18</v>
      </c>
      <c r="F133" s="60">
        <v>3.8604587155963199</v>
      </c>
      <c r="G133" s="60">
        <v>0.751299040526205</v>
      </c>
      <c r="H133" s="61">
        <v>4.0722999999999896</v>
      </c>
      <c r="I133" s="63">
        <v>4.17</v>
      </c>
      <c r="J133" s="58">
        <v>9.7700000000010334E-2</v>
      </c>
      <c r="K133" s="58">
        <v>2.399135623603629</v>
      </c>
      <c r="L133" s="1" t="s">
        <v>23</v>
      </c>
      <c r="M133" s="1">
        <v>3</v>
      </c>
    </row>
    <row r="134" spans="1:13" x14ac:dyDescent="0.3">
      <c r="A134">
        <v>8</v>
      </c>
      <c r="B134">
        <v>1</v>
      </c>
      <c r="C134" t="s">
        <v>78</v>
      </c>
      <c r="D134" s="1" t="s">
        <v>1</v>
      </c>
      <c r="E134" s="59" t="s">
        <v>19</v>
      </c>
      <c r="F134" s="60">
        <v>2.85942528735632</v>
      </c>
      <c r="G134" s="60">
        <v>0.32494864783279997</v>
      </c>
      <c r="H134" s="61">
        <v>2.9079999999999999</v>
      </c>
      <c r="I134" s="63">
        <v>2.82</v>
      </c>
      <c r="J134" s="58">
        <v>-8.8000000000000078E-2</v>
      </c>
      <c r="K134" s="58">
        <v>-3.0261348005502091</v>
      </c>
      <c r="L134" s="1" t="s">
        <v>23</v>
      </c>
      <c r="M134" s="1">
        <v>3</v>
      </c>
    </row>
    <row r="135" spans="1:13" x14ac:dyDescent="0.3">
      <c r="A135">
        <v>8</v>
      </c>
      <c r="B135">
        <v>1</v>
      </c>
      <c r="C135" t="s">
        <v>78</v>
      </c>
      <c r="D135" s="1" t="s">
        <v>1</v>
      </c>
      <c r="E135" s="59" t="s">
        <v>12</v>
      </c>
      <c r="F135" s="60">
        <v>4.8828440366972403</v>
      </c>
      <c r="G135" s="60">
        <v>0.79490359665120702</v>
      </c>
      <c r="H135" s="61">
        <v>5.0685436893203804</v>
      </c>
      <c r="I135" s="63">
        <v>4.95</v>
      </c>
      <c r="J135" s="58">
        <v>-0.11854368932038017</v>
      </c>
      <c r="K135" s="58">
        <v>-2.3388116308468718</v>
      </c>
      <c r="L135" s="1" t="s">
        <v>68</v>
      </c>
      <c r="M135" s="1">
        <v>3</v>
      </c>
    </row>
    <row r="136" spans="1:13" x14ac:dyDescent="0.3">
      <c r="A136">
        <v>8</v>
      </c>
      <c r="B136">
        <v>1</v>
      </c>
      <c r="C136" t="s">
        <v>78</v>
      </c>
      <c r="D136" s="1" t="s">
        <v>1</v>
      </c>
      <c r="E136" s="59" t="s">
        <v>13</v>
      </c>
      <c r="F136" s="60">
        <v>5.3088073394495403</v>
      </c>
      <c r="G136" s="60">
        <v>0.87251689583876302</v>
      </c>
      <c r="H136" s="61">
        <v>5.4906730769230698</v>
      </c>
      <c r="I136" s="63">
        <v>5.51</v>
      </c>
      <c r="J136" s="58">
        <v>1.9326923076929958E-2</v>
      </c>
      <c r="K136" s="58">
        <v>0.35199551687314473</v>
      </c>
      <c r="L136" s="1" t="s">
        <v>68</v>
      </c>
      <c r="M136" s="1">
        <v>3</v>
      </c>
    </row>
    <row r="137" spans="1:13" x14ac:dyDescent="0.3">
      <c r="A137">
        <v>8</v>
      </c>
      <c r="B137">
        <v>1</v>
      </c>
      <c r="C137" t="s">
        <v>78</v>
      </c>
      <c r="D137" s="1" t="s">
        <v>1</v>
      </c>
      <c r="E137" s="59" t="s">
        <v>14</v>
      </c>
      <c r="F137" s="60">
        <v>1.36871559633027</v>
      </c>
      <c r="G137" s="60">
        <v>2.5272856579545099E-2</v>
      </c>
      <c r="H137" s="61">
        <v>1.3671621621621599</v>
      </c>
      <c r="I137" s="63">
        <v>1.27</v>
      </c>
      <c r="J137" s="58">
        <v>-9.7162162162159893E-2</v>
      </c>
      <c r="K137" s="58">
        <v>-7.1068498566767264</v>
      </c>
      <c r="L137" s="1" t="s">
        <v>68</v>
      </c>
      <c r="M137" s="1">
        <v>3</v>
      </c>
    </row>
    <row r="138" spans="1:13" x14ac:dyDescent="0.3">
      <c r="A138">
        <v>8</v>
      </c>
      <c r="B138">
        <v>1</v>
      </c>
      <c r="C138" t="s">
        <v>78</v>
      </c>
      <c r="D138" s="1" t="s">
        <v>1</v>
      </c>
      <c r="E138" s="59" t="s">
        <v>15</v>
      </c>
      <c r="F138" s="60">
        <v>3.2097247706421999</v>
      </c>
      <c r="G138" s="60">
        <v>0.56979387664617698</v>
      </c>
      <c r="H138" s="61">
        <v>3.3687</v>
      </c>
      <c r="I138" s="63">
        <v>3.39</v>
      </c>
      <c r="J138" s="58">
        <v>2.1300000000000097E-2</v>
      </c>
      <c r="K138" s="58">
        <v>0.63229138836940346</v>
      </c>
      <c r="L138" s="1" t="s">
        <v>68</v>
      </c>
      <c r="M138" s="1">
        <v>3</v>
      </c>
    </row>
    <row r="139" spans="1:13" x14ac:dyDescent="0.3">
      <c r="A139">
        <v>8</v>
      </c>
      <c r="B139">
        <v>1</v>
      </c>
      <c r="C139" t="s">
        <v>78</v>
      </c>
      <c r="D139" s="1" t="s">
        <v>1</v>
      </c>
      <c r="E139" s="59" t="s">
        <v>16</v>
      </c>
      <c r="F139" s="60">
        <v>4.3034999999999997</v>
      </c>
      <c r="G139" s="60">
        <v>0.76914904277389495</v>
      </c>
      <c r="H139" s="61">
        <v>4.5316438356164301</v>
      </c>
      <c r="I139" s="63">
        <v>4.53</v>
      </c>
      <c r="J139" s="58">
        <v>-1.6438356164298895E-3</v>
      </c>
      <c r="K139" s="58">
        <v>-3.6274598712064982E-2</v>
      </c>
      <c r="L139" s="1" t="s">
        <v>68</v>
      </c>
      <c r="M139" s="1">
        <v>3</v>
      </c>
    </row>
    <row r="140" spans="1:13" x14ac:dyDescent="0.3">
      <c r="A140">
        <v>8</v>
      </c>
      <c r="B140">
        <v>1</v>
      </c>
      <c r="C140" t="s">
        <v>78</v>
      </c>
      <c r="D140" s="1" t="s">
        <v>1</v>
      </c>
      <c r="E140" s="59" t="s">
        <v>17</v>
      </c>
      <c r="F140" s="60">
        <v>1.0419266055045799</v>
      </c>
      <c r="G140" s="60">
        <v>0.132329010766015</v>
      </c>
      <c r="H140" s="61">
        <v>1.06330188679245</v>
      </c>
      <c r="I140" s="63">
        <v>1.21</v>
      </c>
      <c r="J140" s="58">
        <v>0.14669811320755</v>
      </c>
      <c r="K140" s="58">
        <v>13.796468813770154</v>
      </c>
      <c r="L140" s="1" t="s">
        <v>68</v>
      </c>
      <c r="M140" s="1">
        <v>3</v>
      </c>
    </row>
    <row r="141" spans="1:13" x14ac:dyDescent="0.3">
      <c r="A141">
        <v>8</v>
      </c>
      <c r="B141">
        <v>1</v>
      </c>
      <c r="C141" t="s">
        <v>78</v>
      </c>
      <c r="D141" s="1" t="s">
        <v>1</v>
      </c>
      <c r="E141" s="59" t="s">
        <v>18</v>
      </c>
      <c r="F141" s="60">
        <v>3.8604587155963199</v>
      </c>
      <c r="G141" s="60">
        <v>0.751299040526205</v>
      </c>
      <c r="H141" s="61">
        <v>4.0722999999999896</v>
      </c>
      <c r="I141" s="63">
        <v>4.07</v>
      </c>
      <c r="J141" s="58">
        <v>-2.2999999999893106E-3</v>
      </c>
      <c r="K141" s="58">
        <v>-5.6479139552324649E-2</v>
      </c>
      <c r="L141" s="1" t="s">
        <v>68</v>
      </c>
      <c r="M141" s="1">
        <v>3</v>
      </c>
    </row>
    <row r="142" spans="1:13" x14ac:dyDescent="0.3">
      <c r="A142">
        <v>8</v>
      </c>
      <c r="B142">
        <v>1</v>
      </c>
      <c r="C142" t="s">
        <v>78</v>
      </c>
      <c r="D142" s="1" t="s">
        <v>1</v>
      </c>
      <c r="E142" s="59" t="s">
        <v>19</v>
      </c>
      <c r="F142" s="60">
        <v>2.85942528735632</v>
      </c>
      <c r="G142" s="60">
        <v>0.32494864783279997</v>
      </c>
      <c r="H142" s="61">
        <v>2.9079999999999999</v>
      </c>
      <c r="I142" s="63">
        <v>2.74</v>
      </c>
      <c r="J142" s="58">
        <v>-0.16799999999999971</v>
      </c>
      <c r="K142" s="58">
        <v>-5.7771664374140208</v>
      </c>
      <c r="L142" s="1" t="s">
        <v>68</v>
      </c>
      <c r="M142" s="1">
        <v>3</v>
      </c>
    </row>
    <row r="143" spans="1:13" x14ac:dyDescent="0.3">
      <c r="A143">
        <v>8</v>
      </c>
      <c r="B143">
        <v>1</v>
      </c>
      <c r="C143" t="s">
        <v>78</v>
      </c>
      <c r="D143" s="1" t="s">
        <v>1</v>
      </c>
      <c r="E143" s="59" t="s">
        <v>12</v>
      </c>
      <c r="F143" s="60">
        <v>4.8828440366972403</v>
      </c>
      <c r="G143" s="60">
        <v>0.79490359665120702</v>
      </c>
      <c r="H143" s="61">
        <v>5.0685436893203804</v>
      </c>
      <c r="I143" s="63">
        <v>4.93</v>
      </c>
      <c r="J143" s="58">
        <v>-0.13854368932038064</v>
      </c>
      <c r="K143" s="58">
        <v>-2.7334022909242672</v>
      </c>
      <c r="L143" s="1" t="s">
        <v>69</v>
      </c>
      <c r="M143" s="1">
        <v>3</v>
      </c>
    </row>
    <row r="144" spans="1:13" x14ac:dyDescent="0.3">
      <c r="A144">
        <v>8</v>
      </c>
      <c r="B144">
        <v>1</v>
      </c>
      <c r="C144" t="s">
        <v>78</v>
      </c>
      <c r="D144" s="1" t="s">
        <v>1</v>
      </c>
      <c r="E144" s="59" t="s">
        <v>13</v>
      </c>
      <c r="F144" s="60">
        <v>5.3088073394495403</v>
      </c>
      <c r="G144" s="60">
        <v>0.87251689583876302</v>
      </c>
      <c r="H144" s="61">
        <v>5.4906730769230698</v>
      </c>
      <c r="I144" s="63">
        <v>5.56</v>
      </c>
      <c r="J144" s="58">
        <v>6.9326923076929781E-2</v>
      </c>
      <c r="K144" s="58">
        <v>1.2626306849028432</v>
      </c>
      <c r="L144" s="1" t="s">
        <v>69</v>
      </c>
      <c r="M144" s="1">
        <v>3</v>
      </c>
    </row>
    <row r="145" spans="1:13" x14ac:dyDescent="0.3">
      <c r="A145">
        <v>8</v>
      </c>
      <c r="B145">
        <v>1</v>
      </c>
      <c r="C145" t="s">
        <v>78</v>
      </c>
      <c r="D145" s="1" t="s">
        <v>1</v>
      </c>
      <c r="E145" s="59" t="s">
        <v>14</v>
      </c>
      <c r="F145" s="60">
        <v>1.36871559633027</v>
      </c>
      <c r="G145" s="60">
        <v>2.5272856579545099E-2</v>
      </c>
      <c r="H145" s="61">
        <v>1.3671621621621599</v>
      </c>
      <c r="I145" s="63">
        <v>1.32</v>
      </c>
      <c r="J145" s="58">
        <v>-4.7162162162159849E-2</v>
      </c>
      <c r="K145" s="58">
        <v>-3.4496392211128142</v>
      </c>
      <c r="L145" s="1" t="s">
        <v>69</v>
      </c>
      <c r="M145" s="1">
        <v>3</v>
      </c>
    </row>
    <row r="146" spans="1:13" x14ac:dyDescent="0.3">
      <c r="A146">
        <v>8</v>
      </c>
      <c r="B146">
        <v>1</v>
      </c>
      <c r="C146" t="s">
        <v>78</v>
      </c>
      <c r="D146" s="1" t="s">
        <v>1</v>
      </c>
      <c r="E146" s="59" t="s">
        <v>15</v>
      </c>
      <c r="F146" s="60">
        <v>3.2097247706421999</v>
      </c>
      <c r="G146" s="60">
        <v>0.56979387664617698</v>
      </c>
      <c r="H146" s="61">
        <v>3.3687</v>
      </c>
      <c r="I146" s="63">
        <v>3.44</v>
      </c>
      <c r="J146" s="58">
        <v>7.1299999999999919E-2</v>
      </c>
      <c r="K146" s="58">
        <v>2.1165434737435782</v>
      </c>
      <c r="L146" s="1" t="s">
        <v>69</v>
      </c>
      <c r="M146" s="1">
        <v>3</v>
      </c>
    </row>
    <row r="147" spans="1:13" x14ac:dyDescent="0.3">
      <c r="A147">
        <v>8</v>
      </c>
      <c r="B147">
        <v>1</v>
      </c>
      <c r="C147" t="s">
        <v>78</v>
      </c>
      <c r="D147" s="1" t="s">
        <v>1</v>
      </c>
      <c r="E147" s="59" t="s">
        <v>16</v>
      </c>
      <c r="F147" s="60">
        <v>4.3034999999999997</v>
      </c>
      <c r="G147" s="60">
        <v>0.76914904277389495</v>
      </c>
      <c r="H147" s="61">
        <v>4.5316438356164301</v>
      </c>
      <c r="I147" s="63">
        <v>4.59</v>
      </c>
      <c r="J147" s="58">
        <v>5.835616438356972E-2</v>
      </c>
      <c r="K147" s="58">
        <v>1.2877482542851175</v>
      </c>
      <c r="L147" s="1" t="s">
        <v>69</v>
      </c>
      <c r="M147" s="1">
        <v>3</v>
      </c>
    </row>
    <row r="148" spans="1:13" x14ac:dyDescent="0.3">
      <c r="A148">
        <v>8</v>
      </c>
      <c r="B148">
        <v>1</v>
      </c>
      <c r="C148" t="s">
        <v>78</v>
      </c>
      <c r="D148" s="1" t="s">
        <v>1</v>
      </c>
      <c r="E148" s="59" t="s">
        <v>17</v>
      </c>
      <c r="F148" s="60">
        <v>1.0419266055045799</v>
      </c>
      <c r="G148" s="60">
        <v>0.132329010766015</v>
      </c>
      <c r="H148" s="61">
        <v>1.06330188679245</v>
      </c>
      <c r="I148" s="63">
        <v>1.25</v>
      </c>
      <c r="J148" s="58">
        <v>0.18669811320755003</v>
      </c>
      <c r="K148" s="58">
        <v>17.558335551415453</v>
      </c>
      <c r="L148" s="1" t="s">
        <v>69</v>
      </c>
      <c r="M148" s="1">
        <v>3</v>
      </c>
    </row>
    <row r="149" spans="1:13" x14ac:dyDescent="0.3">
      <c r="A149">
        <v>8</v>
      </c>
      <c r="B149">
        <v>1</v>
      </c>
      <c r="C149" t="s">
        <v>78</v>
      </c>
      <c r="D149" s="1" t="s">
        <v>1</v>
      </c>
      <c r="E149" s="59" t="s">
        <v>18</v>
      </c>
      <c r="F149" s="60">
        <v>3.8604587155963199</v>
      </c>
      <c r="G149" s="60">
        <v>0.751299040526205</v>
      </c>
      <c r="H149" s="61">
        <v>4.0722999999999896</v>
      </c>
      <c r="I149" s="63">
        <v>4.05</v>
      </c>
      <c r="J149" s="58">
        <v>-2.2299999999989772E-2</v>
      </c>
      <c r="K149" s="58">
        <v>-0.5476020921835284</v>
      </c>
      <c r="L149" s="1" t="s">
        <v>69</v>
      </c>
      <c r="M149" s="1">
        <v>3</v>
      </c>
    </row>
    <row r="150" spans="1:13" x14ac:dyDescent="0.3">
      <c r="A150">
        <v>8</v>
      </c>
      <c r="B150">
        <v>1</v>
      </c>
      <c r="C150" t="s">
        <v>78</v>
      </c>
      <c r="D150" s="1" t="s">
        <v>1</v>
      </c>
      <c r="E150" s="59" t="s">
        <v>19</v>
      </c>
      <c r="F150" s="60">
        <v>2.85942528735632</v>
      </c>
      <c r="G150" s="60">
        <v>0.32494864783279997</v>
      </c>
      <c r="H150" s="61">
        <v>2.9079999999999999</v>
      </c>
      <c r="I150" s="63">
        <v>2.72</v>
      </c>
      <c r="J150" s="58">
        <v>-0.18799999999999972</v>
      </c>
      <c r="K150" s="58">
        <v>-6.4649243466299771</v>
      </c>
      <c r="L150" s="1" t="s">
        <v>69</v>
      </c>
      <c r="M150" s="1">
        <v>3</v>
      </c>
    </row>
    <row r="152" spans="1:13" x14ac:dyDescent="0.3">
      <c r="A152">
        <v>10</v>
      </c>
      <c r="B152">
        <v>1</v>
      </c>
      <c r="C152" t="s">
        <v>78</v>
      </c>
      <c r="D152" s="1" t="s">
        <v>1</v>
      </c>
      <c r="E152" s="59" t="s">
        <v>12</v>
      </c>
      <c r="F152" s="60"/>
      <c r="G152" s="60"/>
      <c r="H152" s="61"/>
      <c r="I152" s="62"/>
      <c r="J152" s="37"/>
      <c r="K152" s="37"/>
      <c r="L152" s="1" t="s">
        <v>23</v>
      </c>
      <c r="M152" s="1">
        <v>1</v>
      </c>
    </row>
    <row r="153" spans="1:13" x14ac:dyDescent="0.3">
      <c r="A153">
        <v>10</v>
      </c>
      <c r="B153">
        <v>1</v>
      </c>
      <c r="C153" t="s">
        <v>78</v>
      </c>
      <c r="D153" s="1" t="s">
        <v>1</v>
      </c>
      <c r="E153" s="59" t="s">
        <v>13</v>
      </c>
      <c r="F153" s="60">
        <v>2.27470588235294</v>
      </c>
      <c r="G153" s="60">
        <v>0.22984950695563999</v>
      </c>
      <c r="H153" s="61">
        <v>2.3124242424242398</v>
      </c>
      <c r="I153" s="62">
        <v>2.5</v>
      </c>
      <c r="J153" s="37">
        <v>0.18757575757576017</v>
      </c>
      <c r="K153" s="37">
        <v>8.1116498492990345</v>
      </c>
      <c r="L153" s="1" t="s">
        <v>23</v>
      </c>
      <c r="M153" s="1">
        <v>1</v>
      </c>
    </row>
    <row r="154" spans="1:13" x14ac:dyDescent="0.3">
      <c r="A154">
        <v>10</v>
      </c>
      <c r="B154">
        <v>1</v>
      </c>
      <c r="C154" t="s">
        <v>78</v>
      </c>
      <c r="D154" s="1" t="s">
        <v>1</v>
      </c>
      <c r="E154" s="59" t="s">
        <v>14</v>
      </c>
      <c r="F154" s="60">
        <v>3.8360294117647</v>
      </c>
      <c r="G154" s="60">
        <v>0.54817381235034601</v>
      </c>
      <c r="H154" s="61">
        <v>3.9606249999999901</v>
      </c>
      <c r="I154" s="62">
        <v>4.05</v>
      </c>
      <c r="J154" s="37">
        <v>8.9375000000009752E-2</v>
      </c>
      <c r="K154" s="37">
        <v>2.2565882909896793</v>
      </c>
      <c r="L154" s="1" t="s">
        <v>23</v>
      </c>
      <c r="M154" s="1">
        <v>1</v>
      </c>
    </row>
    <row r="155" spans="1:13" x14ac:dyDescent="0.3">
      <c r="A155">
        <v>10</v>
      </c>
      <c r="B155">
        <v>1</v>
      </c>
      <c r="C155" t="s">
        <v>78</v>
      </c>
      <c r="D155" s="1" t="s">
        <v>1</v>
      </c>
      <c r="E155" s="59" t="s">
        <v>15</v>
      </c>
      <c r="F155" s="60">
        <v>3.5927941176470499</v>
      </c>
      <c r="G155" s="60">
        <v>0.57146829871479798</v>
      </c>
      <c r="H155" s="61">
        <v>3.7293749999999899</v>
      </c>
      <c r="I155" s="62">
        <v>3.84</v>
      </c>
      <c r="J155" s="37">
        <v>0.11062500000000997</v>
      </c>
      <c r="K155" s="37">
        <v>2.9663147310208888</v>
      </c>
      <c r="L155" s="1" t="s">
        <v>23</v>
      </c>
      <c r="M155" s="1">
        <v>1</v>
      </c>
    </row>
    <row r="156" spans="1:13" x14ac:dyDescent="0.3">
      <c r="A156">
        <v>10</v>
      </c>
      <c r="B156">
        <v>1</v>
      </c>
      <c r="C156" t="s">
        <v>78</v>
      </c>
      <c r="D156" s="1" t="s">
        <v>1</v>
      </c>
      <c r="E156" s="59" t="s">
        <v>16</v>
      </c>
      <c r="F156" s="60">
        <v>2.1010447761194002</v>
      </c>
      <c r="G156" s="60">
        <v>2.3634930408140398E-2</v>
      </c>
      <c r="H156" s="61">
        <v>2.10234042553191</v>
      </c>
      <c r="I156" s="62">
        <v>2.25</v>
      </c>
      <c r="J156" s="37">
        <v>0.14765957446808997</v>
      </c>
      <c r="K156" s="37">
        <v>7.0235806092503239</v>
      </c>
      <c r="L156" s="1" t="s">
        <v>23</v>
      </c>
      <c r="M156" s="1">
        <v>1</v>
      </c>
    </row>
    <row r="157" spans="1:13" x14ac:dyDescent="0.3">
      <c r="A157">
        <v>10</v>
      </c>
      <c r="B157">
        <v>1</v>
      </c>
      <c r="C157" t="s">
        <v>78</v>
      </c>
      <c r="D157" s="1" t="s">
        <v>1</v>
      </c>
      <c r="E157" s="59" t="s">
        <v>17</v>
      </c>
      <c r="F157" s="60">
        <v>4.1032812500000002</v>
      </c>
      <c r="G157" s="60">
        <v>0.622788724928797</v>
      </c>
      <c r="H157" s="61">
        <v>4.2122580645161198</v>
      </c>
      <c r="I157" s="62">
        <v>4.26</v>
      </c>
      <c r="J157" s="37">
        <v>4.7741935483879949E-2</v>
      </c>
      <c r="K157" s="37">
        <v>1.1334048093125149</v>
      </c>
      <c r="L157" s="1" t="s">
        <v>23</v>
      </c>
      <c r="M157" s="1">
        <v>1</v>
      </c>
    </row>
    <row r="158" spans="1:13" x14ac:dyDescent="0.3">
      <c r="A158">
        <v>10</v>
      </c>
      <c r="B158">
        <v>1</v>
      </c>
      <c r="C158" t="s">
        <v>78</v>
      </c>
      <c r="D158" s="1" t="s">
        <v>1</v>
      </c>
      <c r="E158" s="59" t="s">
        <v>18</v>
      </c>
      <c r="F158" s="60">
        <v>0.92764705882352805</v>
      </c>
      <c r="G158" s="60">
        <v>9.1877758414914898E-2</v>
      </c>
      <c r="H158" s="61">
        <v>0.93865671641791004</v>
      </c>
      <c r="I158" s="62">
        <v>1.27</v>
      </c>
      <c r="J158" s="37">
        <v>0.33134328358208998</v>
      </c>
      <c r="K158" s="37">
        <v>35.299729686754709</v>
      </c>
      <c r="L158" s="1" t="s">
        <v>23</v>
      </c>
      <c r="M158" s="1">
        <v>1</v>
      </c>
    </row>
    <row r="159" spans="1:13" x14ac:dyDescent="0.3">
      <c r="A159">
        <v>10</v>
      </c>
      <c r="B159">
        <v>1</v>
      </c>
      <c r="C159" t="s">
        <v>78</v>
      </c>
      <c r="D159" s="1" t="s">
        <v>1</v>
      </c>
      <c r="E159" s="59" t="s">
        <v>19</v>
      </c>
      <c r="F159" s="60">
        <v>1.34147058823529</v>
      </c>
      <c r="G159" s="60">
        <v>0.104138831344372</v>
      </c>
      <c r="H159" s="61">
        <v>1.3632307692307599</v>
      </c>
      <c r="I159" s="62">
        <v>1.64</v>
      </c>
      <c r="J159" s="37">
        <v>0.27676923076923998</v>
      </c>
      <c r="K159" s="37">
        <v>20.302448933529764</v>
      </c>
      <c r="L159" s="1" t="s">
        <v>23</v>
      </c>
      <c r="M159" s="1">
        <v>1</v>
      </c>
    </row>
    <row r="160" spans="1:13" x14ac:dyDescent="0.3">
      <c r="A160">
        <v>10</v>
      </c>
      <c r="B160">
        <v>1</v>
      </c>
      <c r="C160" t="s">
        <v>78</v>
      </c>
      <c r="D160" s="1" t="s">
        <v>1</v>
      </c>
      <c r="E160" s="59" t="s">
        <v>12</v>
      </c>
      <c r="F160" s="60"/>
      <c r="G160" s="60"/>
      <c r="H160" s="61"/>
      <c r="I160" s="62"/>
      <c r="J160" s="37"/>
      <c r="K160" s="37"/>
      <c r="L160" s="1" t="s">
        <v>68</v>
      </c>
      <c r="M160" s="1">
        <v>1</v>
      </c>
    </row>
    <row r="161" spans="1:13" x14ac:dyDescent="0.3">
      <c r="A161">
        <v>10</v>
      </c>
      <c r="B161">
        <v>1</v>
      </c>
      <c r="C161" t="s">
        <v>78</v>
      </c>
      <c r="D161" s="1" t="s">
        <v>1</v>
      </c>
      <c r="E161" s="59" t="s">
        <v>13</v>
      </c>
      <c r="F161" s="60">
        <v>2.27470588235294</v>
      </c>
      <c r="G161" s="60">
        <v>0.22984950695563999</v>
      </c>
      <c r="H161" s="61">
        <v>2.3124242424242398</v>
      </c>
      <c r="I161" s="62">
        <v>2.38</v>
      </c>
      <c r="J161" s="37">
        <v>6.7575757575760065E-2</v>
      </c>
      <c r="K161" s="37">
        <v>2.9222906565326756</v>
      </c>
      <c r="L161" s="1" t="s">
        <v>68</v>
      </c>
      <c r="M161" s="1">
        <v>1</v>
      </c>
    </row>
    <row r="162" spans="1:13" x14ac:dyDescent="0.3">
      <c r="A162">
        <v>10</v>
      </c>
      <c r="B162">
        <v>1</v>
      </c>
      <c r="C162" t="s">
        <v>78</v>
      </c>
      <c r="D162" s="1" t="s">
        <v>1</v>
      </c>
      <c r="E162" s="59" t="s">
        <v>14</v>
      </c>
      <c r="F162" s="60">
        <v>3.8360294117647</v>
      </c>
      <c r="G162" s="60">
        <v>0.54817381235034601</v>
      </c>
      <c r="H162" s="61">
        <v>3.9606249999999901</v>
      </c>
      <c r="I162" s="62">
        <v>3.96</v>
      </c>
      <c r="J162" s="37">
        <v>-6.2499999999010569E-4</v>
      </c>
      <c r="K162" s="37">
        <v>-1.5780337698976986E-2</v>
      </c>
      <c r="L162" s="1" t="s">
        <v>68</v>
      </c>
      <c r="M162" s="1">
        <v>1</v>
      </c>
    </row>
    <row r="163" spans="1:13" x14ac:dyDescent="0.3">
      <c r="A163">
        <v>10</v>
      </c>
      <c r="B163">
        <v>1</v>
      </c>
      <c r="C163" t="s">
        <v>78</v>
      </c>
      <c r="D163" s="1" t="s">
        <v>1</v>
      </c>
      <c r="E163" s="59" t="s">
        <v>15</v>
      </c>
      <c r="F163" s="60">
        <v>3.5927941176470499</v>
      </c>
      <c r="G163" s="60">
        <v>0.57146829871479798</v>
      </c>
      <c r="H163" s="61">
        <v>3.7293749999999899</v>
      </c>
      <c r="I163" s="62">
        <v>3.68</v>
      </c>
      <c r="J163" s="37">
        <v>-4.9374999999989733E-2</v>
      </c>
      <c r="K163" s="37">
        <v>-1.3239483827716403</v>
      </c>
      <c r="L163" s="1" t="s">
        <v>68</v>
      </c>
      <c r="M163" s="1">
        <v>1</v>
      </c>
    </row>
    <row r="164" spans="1:13" x14ac:dyDescent="0.3">
      <c r="A164">
        <v>10</v>
      </c>
      <c r="B164">
        <v>1</v>
      </c>
      <c r="C164" t="s">
        <v>78</v>
      </c>
      <c r="D164" s="1" t="s">
        <v>1</v>
      </c>
      <c r="E164" s="59" t="s">
        <v>16</v>
      </c>
      <c r="F164" s="60">
        <v>2.1010447761194002</v>
      </c>
      <c r="G164" s="60">
        <v>2.3634930408140398E-2</v>
      </c>
      <c r="H164" s="61">
        <v>2.10234042553191</v>
      </c>
      <c r="I164" s="62">
        <v>2.14</v>
      </c>
      <c r="J164" s="37">
        <v>3.7659574468090096E-2</v>
      </c>
      <c r="K164" s="37">
        <v>1.7913166683536468</v>
      </c>
      <c r="L164" s="1" t="s">
        <v>68</v>
      </c>
      <c r="M164" s="1">
        <v>1</v>
      </c>
    </row>
    <row r="165" spans="1:13" x14ac:dyDescent="0.3">
      <c r="A165">
        <v>10</v>
      </c>
      <c r="B165">
        <v>1</v>
      </c>
      <c r="C165" t="s">
        <v>78</v>
      </c>
      <c r="D165" s="1" t="s">
        <v>1</v>
      </c>
      <c r="E165" s="59" t="s">
        <v>17</v>
      </c>
      <c r="F165" s="60">
        <v>4.1032812500000002</v>
      </c>
      <c r="G165" s="60">
        <v>0.622788724928797</v>
      </c>
      <c r="H165" s="61">
        <v>4.2122580645161198</v>
      </c>
      <c r="I165" s="62">
        <v>4.1100000000000003</v>
      </c>
      <c r="J165" s="37">
        <v>-0.10225806451611952</v>
      </c>
      <c r="K165" s="37">
        <v>-2.4276305712970685</v>
      </c>
      <c r="L165" s="1" t="s">
        <v>68</v>
      </c>
      <c r="M165" s="1">
        <v>1</v>
      </c>
    </row>
    <row r="166" spans="1:13" x14ac:dyDescent="0.3">
      <c r="A166">
        <v>10</v>
      </c>
      <c r="B166">
        <v>1</v>
      </c>
      <c r="C166" t="s">
        <v>78</v>
      </c>
      <c r="D166" s="1" t="s">
        <v>1</v>
      </c>
      <c r="E166" s="59" t="s">
        <v>18</v>
      </c>
      <c r="F166" s="60">
        <v>0.92764705882352805</v>
      </c>
      <c r="G166" s="60">
        <v>9.1877758414914898E-2</v>
      </c>
      <c r="H166" s="61">
        <v>0.93865671641791004</v>
      </c>
      <c r="I166" s="62">
        <v>1.1399999999999999</v>
      </c>
      <c r="J166" s="37">
        <v>0.20134328358208986</v>
      </c>
      <c r="K166" s="37">
        <v>21.450151057401857</v>
      </c>
      <c r="L166" s="1" t="s">
        <v>68</v>
      </c>
      <c r="M166" s="1">
        <v>1</v>
      </c>
    </row>
    <row r="167" spans="1:13" x14ac:dyDescent="0.3">
      <c r="A167">
        <v>10</v>
      </c>
      <c r="B167">
        <v>1</v>
      </c>
      <c r="C167" t="s">
        <v>78</v>
      </c>
      <c r="D167" s="1" t="s">
        <v>1</v>
      </c>
      <c r="E167" s="59" t="s">
        <v>19</v>
      </c>
      <c r="F167" s="60">
        <v>1.34147058823529</v>
      </c>
      <c r="G167" s="60">
        <v>0.104138831344372</v>
      </c>
      <c r="H167" s="61">
        <v>1.3632307692307599</v>
      </c>
      <c r="I167" s="62">
        <v>1.5</v>
      </c>
      <c r="J167" s="37">
        <v>0.13676923076924008</v>
      </c>
      <c r="K167" s="37">
        <v>10.032727683106495</v>
      </c>
      <c r="L167" s="1" t="s">
        <v>68</v>
      </c>
      <c r="M167" s="1">
        <v>1</v>
      </c>
    </row>
    <row r="168" spans="1:13" x14ac:dyDescent="0.3">
      <c r="A168">
        <v>10</v>
      </c>
      <c r="B168">
        <v>1</v>
      </c>
      <c r="C168" t="s">
        <v>78</v>
      </c>
      <c r="D168" s="1" t="s">
        <v>1</v>
      </c>
      <c r="E168" s="59" t="s">
        <v>12</v>
      </c>
      <c r="F168" s="60"/>
      <c r="G168" s="60"/>
      <c r="H168" s="61"/>
      <c r="I168" s="62"/>
      <c r="J168" s="37"/>
      <c r="K168" s="37"/>
      <c r="L168" s="1" t="s">
        <v>69</v>
      </c>
      <c r="M168" s="1">
        <v>1</v>
      </c>
    </row>
    <row r="169" spans="1:13" x14ac:dyDescent="0.3">
      <c r="A169">
        <v>10</v>
      </c>
      <c r="B169">
        <v>1</v>
      </c>
      <c r="C169" t="s">
        <v>78</v>
      </c>
      <c r="D169" s="1" t="s">
        <v>1</v>
      </c>
      <c r="E169" s="59" t="s">
        <v>13</v>
      </c>
      <c r="F169" s="60">
        <v>2.27470588235294</v>
      </c>
      <c r="G169" s="60">
        <v>0.22984950695563999</v>
      </c>
      <c r="H169" s="61">
        <v>2.3124242424242398</v>
      </c>
      <c r="I169" s="62">
        <v>2.44</v>
      </c>
      <c r="J169" s="37">
        <v>0.12757575757576012</v>
      </c>
      <c r="K169" s="37">
        <v>5.5169702529158542</v>
      </c>
      <c r="L169" s="1" t="s">
        <v>69</v>
      </c>
      <c r="M169" s="1">
        <v>1</v>
      </c>
    </row>
    <row r="170" spans="1:13" x14ac:dyDescent="0.3">
      <c r="A170">
        <v>10</v>
      </c>
      <c r="B170">
        <v>1</v>
      </c>
      <c r="C170" t="s">
        <v>78</v>
      </c>
      <c r="D170" s="1" t="s">
        <v>1</v>
      </c>
      <c r="E170" s="59" t="s">
        <v>14</v>
      </c>
      <c r="F170" s="60">
        <v>3.8360294117647</v>
      </c>
      <c r="G170" s="60">
        <v>0.54817381235034601</v>
      </c>
      <c r="H170" s="61">
        <v>3.9606249999999901</v>
      </c>
      <c r="I170" s="62">
        <v>3.99</v>
      </c>
      <c r="J170" s="37">
        <v>2.9375000000010143E-2</v>
      </c>
      <c r="K170" s="37">
        <v>0.74167587186391581</v>
      </c>
      <c r="L170" s="1" t="s">
        <v>69</v>
      </c>
      <c r="M170" s="1">
        <v>1</v>
      </c>
    </row>
    <row r="171" spans="1:13" x14ac:dyDescent="0.3">
      <c r="A171">
        <v>10</v>
      </c>
      <c r="B171">
        <v>1</v>
      </c>
      <c r="C171" t="s">
        <v>78</v>
      </c>
      <c r="D171" s="1" t="s">
        <v>1</v>
      </c>
      <c r="E171" s="59" t="s">
        <v>15</v>
      </c>
      <c r="F171" s="60">
        <v>3.5927941176470499</v>
      </c>
      <c r="G171" s="60">
        <v>0.57146829871479798</v>
      </c>
      <c r="H171" s="61">
        <v>3.7293749999999899</v>
      </c>
      <c r="I171" s="62">
        <v>3.75</v>
      </c>
      <c r="J171" s="37">
        <v>2.0625000000010107E-2</v>
      </c>
      <c r="K171" s="37">
        <v>0.55304172951259034</v>
      </c>
      <c r="L171" s="1" t="s">
        <v>69</v>
      </c>
      <c r="M171" s="1">
        <v>1</v>
      </c>
    </row>
    <row r="172" spans="1:13" x14ac:dyDescent="0.3">
      <c r="A172">
        <v>10</v>
      </c>
      <c r="B172">
        <v>1</v>
      </c>
      <c r="C172" t="s">
        <v>78</v>
      </c>
      <c r="D172" s="1" t="s">
        <v>1</v>
      </c>
      <c r="E172" s="59" t="s">
        <v>16</v>
      </c>
      <c r="F172" s="60">
        <v>2.1010447761194002</v>
      </c>
      <c r="G172" s="60">
        <v>2.3634930408140398E-2</v>
      </c>
      <c r="H172" s="61">
        <v>2.10234042553191</v>
      </c>
      <c r="I172" s="62">
        <v>2.2000000000000002</v>
      </c>
      <c r="J172" s="37">
        <v>9.7659574468090149E-2</v>
      </c>
      <c r="K172" s="37">
        <v>4.6452788179336579</v>
      </c>
      <c r="L172" s="1" t="s">
        <v>69</v>
      </c>
      <c r="M172" s="1">
        <v>1</v>
      </c>
    </row>
    <row r="173" spans="1:13" x14ac:dyDescent="0.3">
      <c r="A173">
        <v>10</v>
      </c>
      <c r="B173">
        <v>1</v>
      </c>
      <c r="C173" t="s">
        <v>78</v>
      </c>
      <c r="D173" s="1" t="s">
        <v>1</v>
      </c>
      <c r="E173" s="59" t="s">
        <v>17</v>
      </c>
      <c r="F173" s="60">
        <v>4.1032812500000002</v>
      </c>
      <c r="G173" s="60">
        <v>0.622788724928797</v>
      </c>
      <c r="H173" s="61">
        <v>4.2122580645161198</v>
      </c>
      <c r="I173" s="62">
        <v>4.25</v>
      </c>
      <c r="J173" s="37">
        <v>3.7741935483880162E-2</v>
      </c>
      <c r="K173" s="37">
        <v>0.89600245060521333</v>
      </c>
      <c r="L173" s="1" t="s">
        <v>69</v>
      </c>
      <c r="M173" s="1">
        <v>1</v>
      </c>
    </row>
    <row r="174" spans="1:13" x14ac:dyDescent="0.3">
      <c r="A174">
        <v>10</v>
      </c>
      <c r="B174">
        <v>1</v>
      </c>
      <c r="C174" t="s">
        <v>78</v>
      </c>
      <c r="D174" s="1" t="s">
        <v>1</v>
      </c>
      <c r="E174" s="59" t="s">
        <v>18</v>
      </c>
      <c r="F174" s="60">
        <v>0.92764705882352805</v>
      </c>
      <c r="G174" s="60">
        <v>9.1877758414914898E-2</v>
      </c>
      <c r="H174" s="61">
        <v>0.93865671641791004</v>
      </c>
      <c r="I174" s="62">
        <v>1.1599999999999999</v>
      </c>
      <c r="J174" s="37">
        <v>0.22134328358208988</v>
      </c>
      <c r="K174" s="37">
        <v>23.580855461917679</v>
      </c>
      <c r="L174" s="1" t="s">
        <v>69</v>
      </c>
      <c r="M174" s="1">
        <v>1</v>
      </c>
    </row>
    <row r="175" spans="1:13" x14ac:dyDescent="0.3">
      <c r="A175">
        <v>10</v>
      </c>
      <c r="B175">
        <v>1</v>
      </c>
      <c r="C175" t="s">
        <v>78</v>
      </c>
      <c r="D175" s="1" t="s">
        <v>1</v>
      </c>
      <c r="E175" s="59" t="s">
        <v>19</v>
      </c>
      <c r="F175" s="60">
        <v>1.34147058823529</v>
      </c>
      <c r="G175" s="60">
        <v>0.104138831344372</v>
      </c>
      <c r="H175" s="61">
        <v>1.3632307692307599</v>
      </c>
      <c r="I175" s="62">
        <v>1.51</v>
      </c>
      <c r="J175" s="37">
        <v>0.14676923076924009</v>
      </c>
      <c r="K175" s="37">
        <v>10.766279200993873</v>
      </c>
      <c r="L175" s="1" t="s">
        <v>69</v>
      </c>
      <c r="M175" s="1">
        <v>1</v>
      </c>
    </row>
    <row r="176" spans="1:13" x14ac:dyDescent="0.3">
      <c r="D176" s="1"/>
      <c r="E176" s="59"/>
      <c r="F176" s="60"/>
      <c r="G176" s="60"/>
      <c r="H176" s="61"/>
      <c r="I176" s="62"/>
      <c r="J176" s="37"/>
      <c r="K176" s="37"/>
      <c r="L176" s="1"/>
      <c r="M176" s="1"/>
    </row>
    <row r="177" spans="1:13" x14ac:dyDescent="0.3">
      <c r="A177">
        <v>10</v>
      </c>
      <c r="B177">
        <v>1</v>
      </c>
      <c r="C177" t="s">
        <v>78</v>
      </c>
      <c r="D177" s="1" t="s">
        <v>1</v>
      </c>
      <c r="E177" s="59" t="s">
        <v>12</v>
      </c>
      <c r="F177" s="60"/>
      <c r="G177" s="60"/>
      <c r="H177" s="61"/>
      <c r="I177" s="62"/>
      <c r="J177" s="37"/>
      <c r="K177" s="37"/>
      <c r="L177" s="1" t="s">
        <v>23</v>
      </c>
      <c r="M177" s="1">
        <v>2</v>
      </c>
    </row>
    <row r="178" spans="1:13" x14ac:dyDescent="0.3">
      <c r="A178">
        <v>10</v>
      </c>
      <c r="B178">
        <v>1</v>
      </c>
      <c r="C178" t="s">
        <v>78</v>
      </c>
      <c r="D178" s="1" t="s">
        <v>1</v>
      </c>
      <c r="E178" s="59" t="s">
        <v>13</v>
      </c>
      <c r="F178" s="60">
        <v>2.2467164179104402</v>
      </c>
      <c r="G178" s="60">
        <v>0.32761639408117299</v>
      </c>
      <c r="H178" s="61">
        <v>2.3109374999999899</v>
      </c>
      <c r="I178" s="62">
        <v>2.5</v>
      </c>
      <c r="J178" s="37">
        <v>0.18906250000001013</v>
      </c>
      <c r="K178" s="37">
        <v>8.1812035158895888</v>
      </c>
      <c r="L178" s="1" t="s">
        <v>23</v>
      </c>
      <c r="M178" s="1">
        <v>2</v>
      </c>
    </row>
    <row r="179" spans="1:13" x14ac:dyDescent="0.3">
      <c r="A179">
        <v>10</v>
      </c>
      <c r="B179">
        <v>1</v>
      </c>
      <c r="C179" t="s">
        <v>78</v>
      </c>
      <c r="D179" s="1" t="s">
        <v>1</v>
      </c>
      <c r="E179" s="59" t="s">
        <v>14</v>
      </c>
      <c r="F179" s="60">
        <v>3.7841791044775999</v>
      </c>
      <c r="G179" s="60">
        <v>0.652920303823879</v>
      </c>
      <c r="H179" s="61">
        <v>3.9634426229508102</v>
      </c>
      <c r="I179" s="62">
        <v>4.05</v>
      </c>
      <c r="J179" s="37">
        <v>8.6557377049189643E-2</v>
      </c>
      <c r="K179" s="37">
        <v>2.1838937833480503</v>
      </c>
      <c r="L179" s="1" t="s">
        <v>23</v>
      </c>
      <c r="M179" s="1">
        <v>2</v>
      </c>
    </row>
    <row r="180" spans="1:13" x14ac:dyDescent="0.3">
      <c r="A180">
        <v>10</v>
      </c>
      <c r="B180">
        <v>1</v>
      </c>
      <c r="C180" t="s">
        <v>78</v>
      </c>
      <c r="D180" s="1" t="s">
        <v>1</v>
      </c>
      <c r="E180" s="59" t="s">
        <v>15</v>
      </c>
      <c r="F180" s="60">
        <v>3.63</v>
      </c>
      <c r="G180" s="60">
        <v>0.51372082974032696</v>
      </c>
      <c r="H180" s="61">
        <v>3.7376190476190398</v>
      </c>
      <c r="I180" s="62">
        <v>3.84</v>
      </c>
      <c r="J180" s="37">
        <v>0.10238095238096001</v>
      </c>
      <c r="K180" s="37">
        <v>2.7392024461716966</v>
      </c>
      <c r="L180" s="1" t="s">
        <v>23</v>
      </c>
      <c r="M180" s="1">
        <v>2</v>
      </c>
    </row>
    <row r="181" spans="1:13" x14ac:dyDescent="0.3">
      <c r="A181">
        <v>10</v>
      </c>
      <c r="B181">
        <v>1</v>
      </c>
      <c r="C181" t="s">
        <v>78</v>
      </c>
      <c r="D181" s="1" t="s">
        <v>1</v>
      </c>
      <c r="E181" s="59" t="s">
        <v>16</v>
      </c>
      <c r="F181" s="60">
        <v>2.1012121212121202</v>
      </c>
      <c r="G181" s="60">
        <v>2.5732608219989801E-2</v>
      </c>
      <c r="H181" s="61">
        <v>2.1034693877551001</v>
      </c>
      <c r="I181" s="62">
        <v>2.25</v>
      </c>
      <c r="J181" s="37">
        <v>0.14653061224489994</v>
      </c>
      <c r="K181" s="37">
        <v>6.9661395168333211</v>
      </c>
      <c r="L181" s="1" t="s">
        <v>23</v>
      </c>
      <c r="M181" s="1">
        <v>2</v>
      </c>
    </row>
    <row r="182" spans="1:13" x14ac:dyDescent="0.3">
      <c r="A182">
        <v>10</v>
      </c>
      <c r="B182">
        <v>1</v>
      </c>
      <c r="C182" t="s">
        <v>78</v>
      </c>
      <c r="D182" s="1" t="s">
        <v>1</v>
      </c>
      <c r="E182" s="59" t="s">
        <v>17</v>
      </c>
      <c r="F182" s="60">
        <v>3.97183333333333</v>
      </c>
      <c r="G182" s="60">
        <v>0.813536501264011</v>
      </c>
      <c r="H182" s="61">
        <v>4.20672727272727</v>
      </c>
      <c r="I182" s="62">
        <v>4.26</v>
      </c>
      <c r="J182" s="37">
        <v>5.3272727272729803E-2</v>
      </c>
      <c r="K182" s="37">
        <v>1.2663698837360682</v>
      </c>
      <c r="L182" s="1" t="s">
        <v>23</v>
      </c>
      <c r="M182" s="1">
        <v>2</v>
      </c>
    </row>
    <row r="183" spans="1:13" x14ac:dyDescent="0.3">
      <c r="A183">
        <v>10</v>
      </c>
      <c r="B183">
        <v>1</v>
      </c>
      <c r="C183" t="s">
        <v>78</v>
      </c>
      <c r="D183" s="1" t="s">
        <v>1</v>
      </c>
      <c r="E183" s="59" t="s">
        <v>18</v>
      </c>
      <c r="F183" s="60">
        <v>0.94880597014925305</v>
      </c>
      <c r="G183" s="60">
        <v>1.9663010812387301E-2</v>
      </c>
      <c r="H183" s="61">
        <v>0.94499999999999995</v>
      </c>
      <c r="I183" s="62">
        <v>1.27</v>
      </c>
      <c r="J183" s="37">
        <v>0.32500000000000007</v>
      </c>
      <c r="K183" s="37">
        <v>34.3915343915344</v>
      </c>
      <c r="L183" s="1" t="s">
        <v>23</v>
      </c>
      <c r="M183" s="1">
        <v>2</v>
      </c>
    </row>
    <row r="184" spans="1:13" x14ac:dyDescent="0.3">
      <c r="A184">
        <v>10</v>
      </c>
      <c r="B184">
        <v>1</v>
      </c>
      <c r="C184" t="s">
        <v>78</v>
      </c>
      <c r="D184" s="1" t="s">
        <v>1</v>
      </c>
      <c r="E184" s="59" t="s">
        <v>19</v>
      </c>
      <c r="F184" s="60">
        <v>1.3286567164179099</v>
      </c>
      <c r="G184" s="60">
        <v>0.172530728583739</v>
      </c>
      <c r="H184" s="61">
        <v>1.3653124999999999</v>
      </c>
      <c r="I184" s="62">
        <v>1.64</v>
      </c>
      <c r="J184" s="37">
        <v>0.27468749999999997</v>
      </c>
      <c r="K184" s="37">
        <v>20.119020370794232</v>
      </c>
      <c r="L184" s="1" t="s">
        <v>23</v>
      </c>
      <c r="M184" s="1">
        <v>2</v>
      </c>
    </row>
    <row r="185" spans="1:13" x14ac:dyDescent="0.3">
      <c r="A185">
        <v>10</v>
      </c>
      <c r="B185">
        <v>1</v>
      </c>
      <c r="C185" t="s">
        <v>78</v>
      </c>
      <c r="D185" s="1" t="s">
        <v>1</v>
      </c>
      <c r="E185" s="59" t="s">
        <v>12</v>
      </c>
      <c r="F185" s="60"/>
      <c r="G185" s="60"/>
      <c r="H185" s="61"/>
      <c r="I185" s="62"/>
      <c r="J185" s="37"/>
      <c r="K185" s="37"/>
      <c r="L185" s="1" t="s">
        <v>68</v>
      </c>
      <c r="M185" s="1">
        <v>2</v>
      </c>
    </row>
    <row r="186" spans="1:13" x14ac:dyDescent="0.3">
      <c r="A186">
        <v>10</v>
      </c>
      <c r="B186">
        <v>1</v>
      </c>
      <c r="C186" t="s">
        <v>78</v>
      </c>
      <c r="D186" s="1" t="s">
        <v>1</v>
      </c>
      <c r="E186" s="59" t="s">
        <v>13</v>
      </c>
      <c r="F186" s="60">
        <v>2.2467164179104402</v>
      </c>
      <c r="G186" s="60">
        <v>0.32761639408117299</v>
      </c>
      <c r="H186" s="61">
        <v>2.3109374999999899</v>
      </c>
      <c r="I186" s="62">
        <v>2.38</v>
      </c>
      <c r="J186" s="37">
        <v>6.9062500000010019E-2</v>
      </c>
      <c r="K186" s="37">
        <v>2.9885057471268834</v>
      </c>
      <c r="L186" s="1" t="s">
        <v>68</v>
      </c>
      <c r="M186" s="1">
        <v>2</v>
      </c>
    </row>
    <row r="187" spans="1:13" x14ac:dyDescent="0.3">
      <c r="A187">
        <v>10</v>
      </c>
      <c r="B187">
        <v>1</v>
      </c>
      <c r="C187" t="s">
        <v>78</v>
      </c>
      <c r="D187" s="1" t="s">
        <v>1</v>
      </c>
      <c r="E187" s="59" t="s">
        <v>14</v>
      </c>
      <c r="F187" s="60">
        <v>3.7841791044775999</v>
      </c>
      <c r="G187" s="60">
        <v>0.652920303823879</v>
      </c>
      <c r="H187" s="61">
        <v>3.9634426229508102</v>
      </c>
      <c r="I187" s="62">
        <v>3.96</v>
      </c>
      <c r="J187" s="37">
        <v>-3.4426229508102146E-3</v>
      </c>
      <c r="K187" s="37">
        <v>-8.6859411837458572E-2</v>
      </c>
      <c r="L187" s="1" t="s">
        <v>68</v>
      </c>
      <c r="M187" s="1">
        <v>2</v>
      </c>
    </row>
    <row r="188" spans="1:13" x14ac:dyDescent="0.3">
      <c r="A188">
        <v>10</v>
      </c>
      <c r="B188">
        <v>1</v>
      </c>
      <c r="C188" t="s">
        <v>78</v>
      </c>
      <c r="D188" s="1" t="s">
        <v>1</v>
      </c>
      <c r="E188" s="59" t="s">
        <v>15</v>
      </c>
      <c r="F188" s="60">
        <v>3.63</v>
      </c>
      <c r="G188" s="60">
        <v>0.51372082974032696</v>
      </c>
      <c r="H188" s="61">
        <v>3.7376190476190398</v>
      </c>
      <c r="I188" s="62">
        <v>3.68</v>
      </c>
      <c r="J188" s="37">
        <v>-5.7619047619039687E-2</v>
      </c>
      <c r="K188" s="37">
        <v>-1.541597655752116</v>
      </c>
      <c r="L188" s="1" t="s">
        <v>68</v>
      </c>
      <c r="M188" s="1">
        <v>2</v>
      </c>
    </row>
    <row r="189" spans="1:13" x14ac:dyDescent="0.3">
      <c r="A189">
        <v>10</v>
      </c>
      <c r="B189">
        <v>1</v>
      </c>
      <c r="C189" t="s">
        <v>78</v>
      </c>
      <c r="D189" s="1" t="s">
        <v>1</v>
      </c>
      <c r="E189" s="59" t="s">
        <v>16</v>
      </c>
      <c r="F189" s="60">
        <v>2.1012121212121202</v>
      </c>
      <c r="G189" s="60">
        <v>2.5732608219989801E-2</v>
      </c>
      <c r="H189" s="61">
        <v>2.1034693877551001</v>
      </c>
      <c r="I189" s="62">
        <v>2.14</v>
      </c>
      <c r="J189" s="37">
        <v>3.6530612244900063E-2</v>
      </c>
      <c r="K189" s="37">
        <v>1.7366838071214756</v>
      </c>
      <c r="L189" s="1" t="s">
        <v>68</v>
      </c>
      <c r="M189" s="1">
        <v>2</v>
      </c>
    </row>
    <row r="190" spans="1:13" x14ac:dyDescent="0.3">
      <c r="A190">
        <v>10</v>
      </c>
      <c r="B190">
        <v>1</v>
      </c>
      <c r="C190" t="s">
        <v>78</v>
      </c>
      <c r="D190" s="1" t="s">
        <v>1</v>
      </c>
      <c r="E190" s="59" t="s">
        <v>17</v>
      </c>
      <c r="F190" s="60">
        <v>3.97183333333333</v>
      </c>
      <c r="G190" s="60">
        <v>0.813536501264011</v>
      </c>
      <c r="H190" s="61">
        <v>4.20672727272727</v>
      </c>
      <c r="I190" s="62">
        <v>4.1100000000000003</v>
      </c>
      <c r="J190" s="37">
        <v>-9.6727272727269664E-2</v>
      </c>
      <c r="K190" s="37">
        <v>-2.2993473656912453</v>
      </c>
      <c r="L190" s="1" t="s">
        <v>68</v>
      </c>
      <c r="M190" s="1">
        <v>2</v>
      </c>
    </row>
    <row r="191" spans="1:13" x14ac:dyDescent="0.3">
      <c r="A191">
        <v>10</v>
      </c>
      <c r="B191">
        <v>1</v>
      </c>
      <c r="C191" t="s">
        <v>78</v>
      </c>
      <c r="D191" s="1" t="s">
        <v>1</v>
      </c>
      <c r="E191" s="59" t="s">
        <v>18</v>
      </c>
      <c r="F191" s="60">
        <v>0.94880597014925305</v>
      </c>
      <c r="G191" s="60">
        <v>1.9663010812387301E-2</v>
      </c>
      <c r="H191" s="61">
        <v>0.94499999999999995</v>
      </c>
      <c r="I191" s="62">
        <v>1.1399999999999999</v>
      </c>
      <c r="J191" s="37">
        <v>0.19499999999999995</v>
      </c>
      <c r="K191" s="37">
        <v>20.634920634920633</v>
      </c>
      <c r="L191" s="1" t="s">
        <v>68</v>
      </c>
      <c r="M191" s="1">
        <v>2</v>
      </c>
    </row>
    <row r="192" spans="1:13" x14ac:dyDescent="0.3">
      <c r="A192">
        <v>10</v>
      </c>
      <c r="B192">
        <v>1</v>
      </c>
      <c r="C192" t="s">
        <v>78</v>
      </c>
      <c r="D192" s="1" t="s">
        <v>1</v>
      </c>
      <c r="E192" s="59" t="s">
        <v>19</v>
      </c>
      <c r="F192" s="60">
        <v>1.3286567164179099</v>
      </c>
      <c r="G192" s="60">
        <v>0.172530728583739</v>
      </c>
      <c r="H192" s="61">
        <v>1.3653124999999999</v>
      </c>
      <c r="I192" s="62">
        <v>1.5</v>
      </c>
      <c r="J192" s="37">
        <v>0.13468750000000007</v>
      </c>
      <c r="K192" s="37">
        <v>9.8649576562142425</v>
      </c>
      <c r="L192" s="1" t="s">
        <v>68</v>
      </c>
      <c r="M192" s="1">
        <v>2</v>
      </c>
    </row>
    <row r="193" spans="1:13" x14ac:dyDescent="0.3">
      <c r="A193">
        <v>10</v>
      </c>
      <c r="B193">
        <v>1</v>
      </c>
      <c r="C193" t="s">
        <v>78</v>
      </c>
      <c r="D193" s="1" t="s">
        <v>1</v>
      </c>
      <c r="E193" s="59" t="s">
        <v>12</v>
      </c>
      <c r="F193" s="60"/>
      <c r="G193" s="60"/>
      <c r="H193" s="61"/>
      <c r="I193" s="62"/>
      <c r="J193" s="37"/>
      <c r="K193" s="37"/>
      <c r="L193" s="1" t="s">
        <v>69</v>
      </c>
      <c r="M193" s="1">
        <v>2</v>
      </c>
    </row>
    <row r="194" spans="1:13" x14ac:dyDescent="0.3">
      <c r="A194">
        <v>10</v>
      </c>
      <c r="B194">
        <v>1</v>
      </c>
      <c r="C194" t="s">
        <v>78</v>
      </c>
      <c r="D194" s="1" t="s">
        <v>1</v>
      </c>
      <c r="E194" s="59" t="s">
        <v>13</v>
      </c>
      <c r="F194" s="60">
        <v>2.2467164179104402</v>
      </c>
      <c r="G194" s="60">
        <v>0.32761639408117299</v>
      </c>
      <c r="H194" s="61">
        <v>2.3109374999999899</v>
      </c>
      <c r="I194" s="62">
        <v>2.44</v>
      </c>
      <c r="J194" s="37">
        <v>0.12906250000001007</v>
      </c>
      <c r="K194" s="37">
        <v>5.5848546315082359</v>
      </c>
      <c r="L194" s="1" t="s">
        <v>69</v>
      </c>
      <c r="M194" s="1">
        <v>2</v>
      </c>
    </row>
    <row r="195" spans="1:13" x14ac:dyDescent="0.3">
      <c r="A195">
        <v>10</v>
      </c>
      <c r="B195">
        <v>1</v>
      </c>
      <c r="C195" t="s">
        <v>78</v>
      </c>
      <c r="D195" s="1" t="s">
        <v>1</v>
      </c>
      <c r="E195" s="59" t="s">
        <v>14</v>
      </c>
      <c r="F195" s="60">
        <v>3.7841791044775999</v>
      </c>
      <c r="G195" s="60">
        <v>0.652920303823879</v>
      </c>
      <c r="H195" s="61">
        <v>3.9634426229508102</v>
      </c>
      <c r="I195" s="62">
        <v>3.99</v>
      </c>
      <c r="J195" s="37">
        <v>2.6557377049190034E-2</v>
      </c>
      <c r="K195" s="37">
        <v>0.6700583198910518</v>
      </c>
      <c r="L195" s="1" t="s">
        <v>69</v>
      </c>
      <c r="M195" s="1">
        <v>2</v>
      </c>
    </row>
    <row r="196" spans="1:13" x14ac:dyDescent="0.3">
      <c r="A196">
        <v>10</v>
      </c>
      <c r="B196">
        <v>1</v>
      </c>
      <c r="C196" t="s">
        <v>78</v>
      </c>
      <c r="D196" s="1" t="s">
        <v>1</v>
      </c>
      <c r="E196" s="59" t="s">
        <v>15</v>
      </c>
      <c r="F196" s="60">
        <v>3.63</v>
      </c>
      <c r="G196" s="60">
        <v>0.51372082974032696</v>
      </c>
      <c r="H196" s="61">
        <v>3.7376190476190398</v>
      </c>
      <c r="I196" s="62">
        <v>3.75</v>
      </c>
      <c r="J196" s="37">
        <v>1.2380952380960153E-2</v>
      </c>
      <c r="K196" s="37">
        <v>0.33125238883955122</v>
      </c>
      <c r="L196" s="1" t="s">
        <v>69</v>
      </c>
      <c r="M196" s="1">
        <v>2</v>
      </c>
    </row>
    <row r="197" spans="1:13" x14ac:dyDescent="0.3">
      <c r="A197">
        <v>10</v>
      </c>
      <c r="B197">
        <v>1</v>
      </c>
      <c r="C197" t="s">
        <v>78</v>
      </c>
      <c r="D197" s="1" t="s">
        <v>1</v>
      </c>
      <c r="E197" s="59" t="s">
        <v>16</v>
      </c>
      <c r="F197" s="60">
        <v>2.1012121212121202</v>
      </c>
      <c r="G197" s="60">
        <v>2.5732608219989801E-2</v>
      </c>
      <c r="H197" s="61">
        <v>2.1034693877551001</v>
      </c>
      <c r="I197" s="62">
        <v>2.2000000000000002</v>
      </c>
      <c r="J197" s="37">
        <v>9.6530612244900116E-2</v>
      </c>
      <c r="K197" s="37">
        <v>4.589114194237033</v>
      </c>
      <c r="L197" s="1" t="s">
        <v>69</v>
      </c>
      <c r="M197" s="1">
        <v>2</v>
      </c>
    </row>
    <row r="198" spans="1:13" x14ac:dyDescent="0.3">
      <c r="A198">
        <v>10</v>
      </c>
      <c r="B198">
        <v>1</v>
      </c>
      <c r="C198" t="s">
        <v>78</v>
      </c>
      <c r="D198" s="1" t="s">
        <v>1</v>
      </c>
      <c r="E198" s="59" t="s">
        <v>17</v>
      </c>
      <c r="F198" s="60">
        <v>3.97183333333333</v>
      </c>
      <c r="G198" s="60">
        <v>0.813536501264011</v>
      </c>
      <c r="H198" s="61">
        <v>4.20672727272727</v>
      </c>
      <c r="I198" s="62">
        <v>4.25</v>
      </c>
      <c r="J198" s="37">
        <v>4.3272727272730016E-2</v>
      </c>
      <c r="K198" s="37">
        <v>1.0286554004409181</v>
      </c>
      <c r="L198" s="1" t="s">
        <v>69</v>
      </c>
      <c r="M198" s="1">
        <v>2</v>
      </c>
    </row>
    <row r="199" spans="1:13" x14ac:dyDescent="0.3">
      <c r="A199">
        <v>10</v>
      </c>
      <c r="B199">
        <v>1</v>
      </c>
      <c r="C199" t="s">
        <v>78</v>
      </c>
      <c r="D199" s="1" t="s">
        <v>1</v>
      </c>
      <c r="E199" s="59" t="s">
        <v>18</v>
      </c>
      <c r="F199" s="60">
        <v>0.94880597014925305</v>
      </c>
      <c r="G199" s="60">
        <v>1.9663010812387301E-2</v>
      </c>
      <c r="H199" s="61">
        <v>0.94499999999999995</v>
      </c>
      <c r="I199" s="62">
        <v>1.1599999999999999</v>
      </c>
      <c r="J199" s="37">
        <v>0.21499999999999997</v>
      </c>
      <c r="K199" s="37">
        <v>22.75132275132275</v>
      </c>
      <c r="L199" s="1" t="s">
        <v>69</v>
      </c>
      <c r="M199" s="1">
        <v>2</v>
      </c>
    </row>
    <row r="200" spans="1:13" x14ac:dyDescent="0.3">
      <c r="A200">
        <v>10</v>
      </c>
      <c r="B200">
        <v>1</v>
      </c>
      <c r="C200" t="s">
        <v>78</v>
      </c>
      <c r="D200" s="1" t="s">
        <v>1</v>
      </c>
      <c r="E200" s="59" t="s">
        <v>19</v>
      </c>
      <c r="F200" s="60">
        <v>1.3286567164179099</v>
      </c>
      <c r="G200" s="60">
        <v>0.172530728583739</v>
      </c>
      <c r="H200" s="61">
        <v>1.3653124999999999</v>
      </c>
      <c r="I200" s="62">
        <v>1.51</v>
      </c>
      <c r="J200" s="37">
        <v>0.14468750000000008</v>
      </c>
      <c r="K200" s="37">
        <v>10.597390707255672</v>
      </c>
      <c r="L200" s="1" t="s">
        <v>69</v>
      </c>
      <c r="M200" s="1">
        <v>2</v>
      </c>
    </row>
    <row r="201" spans="1:13" x14ac:dyDescent="0.3">
      <c r="D201" s="1"/>
      <c r="E201" s="59"/>
      <c r="F201" s="60"/>
      <c r="G201" s="60"/>
      <c r="H201" s="61"/>
      <c r="I201" s="62"/>
      <c r="J201" s="37"/>
      <c r="K201" s="37"/>
      <c r="L201" s="1"/>
      <c r="M201" s="1"/>
    </row>
    <row r="202" spans="1:13" x14ac:dyDescent="0.3">
      <c r="A202">
        <v>10</v>
      </c>
      <c r="B202">
        <v>1</v>
      </c>
      <c r="C202" t="s">
        <v>78</v>
      </c>
      <c r="D202" s="1" t="s">
        <v>1</v>
      </c>
      <c r="E202" s="59" t="s">
        <v>12</v>
      </c>
      <c r="F202" s="60"/>
      <c r="G202" s="60"/>
      <c r="H202" s="61"/>
      <c r="I202" s="63"/>
      <c r="J202" s="58"/>
      <c r="K202" s="58"/>
      <c r="L202" s="1" t="s">
        <v>23</v>
      </c>
      <c r="M202" s="1">
        <v>3</v>
      </c>
    </row>
    <row r="203" spans="1:13" x14ac:dyDescent="0.3">
      <c r="A203">
        <v>10</v>
      </c>
      <c r="B203">
        <v>1</v>
      </c>
      <c r="C203" t="s">
        <v>78</v>
      </c>
      <c r="D203" s="1" t="s">
        <v>1</v>
      </c>
      <c r="E203" s="59" t="s">
        <v>13</v>
      </c>
      <c r="F203" s="60">
        <v>2.27132352941176</v>
      </c>
      <c r="G203" s="60">
        <v>0.25393899459472202</v>
      </c>
      <c r="H203" s="61">
        <v>2.31424242424242</v>
      </c>
      <c r="I203" s="63">
        <v>2.5</v>
      </c>
      <c r="J203" s="58">
        <v>0.18575757575758001</v>
      </c>
      <c r="K203" s="58">
        <v>8.0267120597095083</v>
      </c>
      <c r="L203" s="1" t="s">
        <v>23</v>
      </c>
      <c r="M203" s="1">
        <v>3</v>
      </c>
    </row>
    <row r="204" spans="1:13" x14ac:dyDescent="0.3">
      <c r="A204">
        <v>10</v>
      </c>
      <c r="B204">
        <v>1</v>
      </c>
      <c r="C204" t="s">
        <v>78</v>
      </c>
      <c r="D204" s="1" t="s">
        <v>1</v>
      </c>
      <c r="E204" s="59" t="s">
        <v>14</v>
      </c>
      <c r="F204" s="60">
        <v>3.91455882352941</v>
      </c>
      <c r="G204" s="60">
        <v>0.32794562777247999</v>
      </c>
      <c r="H204" s="61">
        <v>3.97384615384615</v>
      </c>
      <c r="I204" s="63">
        <v>4.05</v>
      </c>
      <c r="J204" s="58">
        <v>7.6153846153849791E-2</v>
      </c>
      <c r="K204" s="58">
        <v>1.9163763066203026</v>
      </c>
      <c r="L204" s="1" t="s">
        <v>23</v>
      </c>
      <c r="M204" s="1">
        <v>3</v>
      </c>
    </row>
    <row r="205" spans="1:13" x14ac:dyDescent="0.3">
      <c r="A205">
        <v>10</v>
      </c>
      <c r="B205">
        <v>1</v>
      </c>
      <c r="C205" t="s">
        <v>78</v>
      </c>
      <c r="D205" s="1" t="s">
        <v>1</v>
      </c>
      <c r="E205" s="59" t="s">
        <v>15</v>
      </c>
      <c r="F205" s="60">
        <v>3.6765671641791</v>
      </c>
      <c r="G205" s="60">
        <v>0.41439959170874602</v>
      </c>
      <c r="H205" s="61">
        <v>3.74</v>
      </c>
      <c r="I205" s="63">
        <v>3.84</v>
      </c>
      <c r="J205" s="58">
        <v>9.9999999999999645E-2</v>
      </c>
      <c r="K205" s="58">
        <v>2.6737967914438405</v>
      </c>
      <c r="L205" s="1" t="s">
        <v>23</v>
      </c>
      <c r="M205" s="1">
        <v>3</v>
      </c>
    </row>
    <row r="206" spans="1:13" x14ac:dyDescent="0.3">
      <c r="A206">
        <v>10</v>
      </c>
      <c r="B206">
        <v>1</v>
      </c>
      <c r="C206" t="s">
        <v>78</v>
      </c>
      <c r="D206" s="1" t="s">
        <v>1</v>
      </c>
      <c r="E206" s="59" t="s">
        <v>16</v>
      </c>
      <c r="F206" s="60">
        <v>2.0735820895522301</v>
      </c>
      <c r="G206" s="60">
        <v>0.19108255223533099</v>
      </c>
      <c r="H206" s="61">
        <v>2.09696969696969</v>
      </c>
      <c r="I206" s="63">
        <v>2.25</v>
      </c>
      <c r="J206" s="58">
        <v>0.15303030303030996</v>
      </c>
      <c r="K206" s="58">
        <v>7.2976878612720304</v>
      </c>
      <c r="L206" s="1" t="s">
        <v>23</v>
      </c>
      <c r="M206" s="1">
        <v>3</v>
      </c>
    </row>
    <row r="207" spans="1:13" x14ac:dyDescent="0.3">
      <c r="A207">
        <v>10</v>
      </c>
      <c r="B207">
        <v>1</v>
      </c>
      <c r="C207" t="s">
        <v>78</v>
      </c>
      <c r="D207" s="1" t="s">
        <v>1</v>
      </c>
      <c r="E207" s="59" t="s">
        <v>17</v>
      </c>
      <c r="F207" s="60">
        <v>4.1518032786885204</v>
      </c>
      <c r="G207" s="60">
        <v>0.56011564437285299</v>
      </c>
      <c r="H207" s="61">
        <v>4.2391525423728798</v>
      </c>
      <c r="I207" s="63">
        <v>4.26</v>
      </c>
      <c r="J207" s="58">
        <v>2.0847457627120036E-2</v>
      </c>
      <c r="K207" s="58">
        <v>0.49178361520934089</v>
      </c>
      <c r="L207" s="1" t="s">
        <v>23</v>
      </c>
      <c r="M207" s="1">
        <v>3</v>
      </c>
    </row>
    <row r="208" spans="1:13" x14ac:dyDescent="0.3">
      <c r="A208">
        <v>10</v>
      </c>
      <c r="B208">
        <v>1</v>
      </c>
      <c r="C208" t="s">
        <v>78</v>
      </c>
      <c r="D208" s="1" t="s">
        <v>1</v>
      </c>
      <c r="E208" s="59" t="s">
        <v>18</v>
      </c>
      <c r="F208" s="60">
        <v>0.92411764705882304</v>
      </c>
      <c r="G208" s="60">
        <v>0.11694940200684099</v>
      </c>
      <c r="H208" s="61">
        <v>0.94799999999999995</v>
      </c>
      <c r="I208" s="63">
        <v>1.27</v>
      </c>
      <c r="J208" s="58">
        <v>0.32200000000000006</v>
      </c>
      <c r="K208" s="58">
        <v>33.966244725738406</v>
      </c>
      <c r="L208" s="1" t="s">
        <v>23</v>
      </c>
      <c r="M208" s="1">
        <v>3</v>
      </c>
    </row>
    <row r="209" spans="1:13" x14ac:dyDescent="0.3">
      <c r="A209">
        <v>10</v>
      </c>
      <c r="B209">
        <v>1</v>
      </c>
      <c r="C209" t="s">
        <v>78</v>
      </c>
      <c r="D209" s="1" t="s">
        <v>1</v>
      </c>
      <c r="E209" s="59" t="s">
        <v>19</v>
      </c>
      <c r="F209" s="60">
        <v>1.3292647058823499</v>
      </c>
      <c r="G209" s="60">
        <v>0.194083943152491</v>
      </c>
      <c r="H209" s="61">
        <v>1.36287878787878</v>
      </c>
      <c r="I209" s="63">
        <v>1.64</v>
      </c>
      <c r="J209" s="58">
        <v>0.27712121212121987</v>
      </c>
      <c r="K209" s="58">
        <v>20.333518621457049</v>
      </c>
      <c r="L209" s="1" t="s">
        <v>23</v>
      </c>
      <c r="M209" s="1">
        <v>3</v>
      </c>
    </row>
    <row r="210" spans="1:13" x14ac:dyDescent="0.3">
      <c r="A210">
        <v>10</v>
      </c>
      <c r="B210">
        <v>1</v>
      </c>
      <c r="C210" t="s">
        <v>78</v>
      </c>
      <c r="D210" s="1" t="s">
        <v>1</v>
      </c>
      <c r="E210" s="59" t="s">
        <v>12</v>
      </c>
      <c r="F210" s="60"/>
      <c r="G210" s="60"/>
      <c r="H210" s="61"/>
      <c r="I210" s="63"/>
      <c r="J210" s="58"/>
      <c r="K210" s="58"/>
      <c r="L210" s="1" t="s">
        <v>68</v>
      </c>
      <c r="M210" s="1">
        <v>3</v>
      </c>
    </row>
    <row r="211" spans="1:13" x14ac:dyDescent="0.3">
      <c r="A211">
        <v>10</v>
      </c>
      <c r="B211">
        <v>1</v>
      </c>
      <c r="C211" t="s">
        <v>78</v>
      </c>
      <c r="D211" s="1" t="s">
        <v>1</v>
      </c>
      <c r="E211" s="59" t="s">
        <v>13</v>
      </c>
      <c r="F211" s="60">
        <v>2.27132352941176</v>
      </c>
      <c r="G211" s="60">
        <v>0.25393899459472202</v>
      </c>
      <c r="H211" s="61">
        <v>2.31424242424242</v>
      </c>
      <c r="I211" s="63">
        <v>2.38</v>
      </c>
      <c r="J211" s="58">
        <v>6.57575757575799E-2</v>
      </c>
      <c r="K211" s="58">
        <v>2.8414298808434473</v>
      </c>
      <c r="L211" s="1" t="s">
        <v>68</v>
      </c>
      <c r="M211" s="1">
        <v>3</v>
      </c>
    </row>
    <row r="212" spans="1:13" x14ac:dyDescent="0.3">
      <c r="A212">
        <v>10</v>
      </c>
      <c r="B212">
        <v>1</v>
      </c>
      <c r="C212" t="s">
        <v>78</v>
      </c>
      <c r="D212" s="1" t="s">
        <v>1</v>
      </c>
      <c r="E212" s="59" t="s">
        <v>14</v>
      </c>
      <c r="F212" s="60">
        <v>3.91455882352941</v>
      </c>
      <c r="G212" s="60">
        <v>0.32794562777247999</v>
      </c>
      <c r="H212" s="61">
        <v>3.97384615384615</v>
      </c>
      <c r="I212" s="63">
        <v>3.96</v>
      </c>
      <c r="J212" s="58">
        <v>-1.3846153846150067E-2</v>
      </c>
      <c r="K212" s="58">
        <v>-0.34843205574903419</v>
      </c>
      <c r="L212" s="1" t="s">
        <v>68</v>
      </c>
      <c r="M212" s="1">
        <v>3</v>
      </c>
    </row>
    <row r="213" spans="1:13" x14ac:dyDescent="0.3">
      <c r="A213">
        <v>10</v>
      </c>
      <c r="B213">
        <v>1</v>
      </c>
      <c r="C213" t="s">
        <v>78</v>
      </c>
      <c r="D213" s="1" t="s">
        <v>1</v>
      </c>
      <c r="E213" s="59" t="s">
        <v>15</v>
      </c>
      <c r="F213" s="60">
        <v>3.6765671641791</v>
      </c>
      <c r="G213" s="60">
        <v>0.41439959170874602</v>
      </c>
      <c r="H213" s="61">
        <v>3.74</v>
      </c>
      <c r="I213" s="63">
        <v>3.68</v>
      </c>
      <c r="J213" s="58">
        <v>-6.0000000000000053E-2</v>
      </c>
      <c r="K213" s="58">
        <v>-1.6042780748663115</v>
      </c>
      <c r="L213" s="1" t="s">
        <v>68</v>
      </c>
      <c r="M213" s="1">
        <v>3</v>
      </c>
    </row>
    <row r="214" spans="1:13" x14ac:dyDescent="0.3">
      <c r="A214">
        <v>10</v>
      </c>
      <c r="B214">
        <v>1</v>
      </c>
      <c r="C214" t="s">
        <v>78</v>
      </c>
      <c r="D214" s="1" t="s">
        <v>1</v>
      </c>
      <c r="E214" s="59" t="s">
        <v>16</v>
      </c>
      <c r="F214" s="60">
        <v>2.0735820895522301</v>
      </c>
      <c r="G214" s="60">
        <v>0.19108255223533099</v>
      </c>
      <c r="H214" s="61">
        <v>2.09696969696969</v>
      </c>
      <c r="I214" s="63">
        <v>2.14</v>
      </c>
      <c r="J214" s="58">
        <v>4.303030303031008E-2</v>
      </c>
      <c r="K214" s="58">
        <v>2.0520231213876259</v>
      </c>
      <c r="L214" s="1" t="s">
        <v>68</v>
      </c>
      <c r="M214" s="1">
        <v>3</v>
      </c>
    </row>
    <row r="215" spans="1:13" x14ac:dyDescent="0.3">
      <c r="A215">
        <v>10</v>
      </c>
      <c r="B215">
        <v>1</v>
      </c>
      <c r="C215" t="s">
        <v>78</v>
      </c>
      <c r="D215" s="1" t="s">
        <v>1</v>
      </c>
      <c r="E215" s="59" t="s">
        <v>17</v>
      </c>
      <c r="F215" s="60">
        <v>4.1518032786885204</v>
      </c>
      <c r="G215" s="60">
        <v>0.56011564437285299</v>
      </c>
      <c r="H215" s="61">
        <v>4.2391525423728798</v>
      </c>
      <c r="I215" s="63">
        <v>4.1100000000000003</v>
      </c>
      <c r="J215" s="58">
        <v>-0.12915254237287943</v>
      </c>
      <c r="K215" s="58">
        <v>-3.0466594698332292</v>
      </c>
      <c r="L215" s="1" t="s">
        <v>68</v>
      </c>
      <c r="M215" s="1">
        <v>3</v>
      </c>
    </row>
    <row r="216" spans="1:13" x14ac:dyDescent="0.3">
      <c r="A216">
        <v>10</v>
      </c>
      <c r="B216">
        <v>1</v>
      </c>
      <c r="C216" t="s">
        <v>78</v>
      </c>
      <c r="D216" s="1" t="s">
        <v>1</v>
      </c>
      <c r="E216" s="59" t="s">
        <v>18</v>
      </c>
      <c r="F216" s="60">
        <v>0.92411764705882304</v>
      </c>
      <c r="G216" s="60">
        <v>0.11694940200684099</v>
      </c>
      <c r="H216" s="61">
        <v>0.94799999999999995</v>
      </c>
      <c r="I216" s="63">
        <v>1.1399999999999999</v>
      </c>
      <c r="J216" s="58">
        <v>0.19199999999999995</v>
      </c>
      <c r="K216" s="58">
        <v>20.253164556962023</v>
      </c>
      <c r="L216" s="1" t="s">
        <v>68</v>
      </c>
      <c r="M216" s="1">
        <v>3</v>
      </c>
    </row>
    <row r="217" spans="1:13" x14ac:dyDescent="0.3">
      <c r="A217">
        <v>10</v>
      </c>
      <c r="B217">
        <v>1</v>
      </c>
      <c r="C217" t="s">
        <v>78</v>
      </c>
      <c r="D217" s="1" t="s">
        <v>1</v>
      </c>
      <c r="E217" s="59" t="s">
        <v>19</v>
      </c>
      <c r="F217" s="60">
        <v>1.3292647058823499</v>
      </c>
      <c r="G217" s="60">
        <v>0.194083943152491</v>
      </c>
      <c r="H217" s="61">
        <v>1.36287878787878</v>
      </c>
      <c r="I217" s="63">
        <v>1.5</v>
      </c>
      <c r="J217" s="58">
        <v>0.13712121212121997</v>
      </c>
      <c r="K217" s="58">
        <v>10.061145080600967</v>
      </c>
      <c r="L217" s="1" t="s">
        <v>68</v>
      </c>
      <c r="M217" s="1">
        <v>3</v>
      </c>
    </row>
    <row r="218" spans="1:13" x14ac:dyDescent="0.3">
      <c r="A218">
        <v>10</v>
      </c>
      <c r="B218">
        <v>1</v>
      </c>
      <c r="C218" t="s">
        <v>78</v>
      </c>
      <c r="D218" s="1" t="s">
        <v>1</v>
      </c>
      <c r="E218" s="59" t="s">
        <v>12</v>
      </c>
      <c r="F218" s="60"/>
      <c r="G218" s="60"/>
      <c r="H218" s="61"/>
      <c r="I218" s="63"/>
      <c r="J218" s="58"/>
      <c r="K218" s="58"/>
      <c r="L218" s="1" t="s">
        <v>69</v>
      </c>
      <c r="M218" s="1">
        <v>3</v>
      </c>
    </row>
    <row r="219" spans="1:13" x14ac:dyDescent="0.3">
      <c r="A219">
        <v>10</v>
      </c>
      <c r="B219">
        <v>1</v>
      </c>
      <c r="C219" t="s">
        <v>78</v>
      </c>
      <c r="D219" s="1" t="s">
        <v>1</v>
      </c>
      <c r="E219" s="59" t="s">
        <v>13</v>
      </c>
      <c r="F219" s="60">
        <v>2.27132352941176</v>
      </c>
      <c r="G219" s="60">
        <v>0.25393899459472202</v>
      </c>
      <c r="H219" s="61">
        <v>2.31424242424242</v>
      </c>
      <c r="I219" s="63">
        <v>2.44</v>
      </c>
      <c r="J219" s="58">
        <v>0.12575757575757995</v>
      </c>
      <c r="K219" s="58">
        <v>5.434070970276478</v>
      </c>
      <c r="L219" s="1" t="s">
        <v>69</v>
      </c>
      <c r="M219" s="1">
        <v>3</v>
      </c>
    </row>
    <row r="220" spans="1:13" x14ac:dyDescent="0.3">
      <c r="A220">
        <v>10</v>
      </c>
      <c r="B220">
        <v>1</v>
      </c>
      <c r="C220" t="s">
        <v>78</v>
      </c>
      <c r="D220" s="1" t="s">
        <v>1</v>
      </c>
      <c r="E220" s="59" t="s">
        <v>14</v>
      </c>
      <c r="F220" s="60">
        <v>3.91455882352941</v>
      </c>
      <c r="G220" s="60">
        <v>0.32794562777247999</v>
      </c>
      <c r="H220" s="61">
        <v>3.97384615384615</v>
      </c>
      <c r="I220" s="63">
        <v>3.99</v>
      </c>
      <c r="J220" s="58">
        <v>1.6153846153850182E-2</v>
      </c>
      <c r="K220" s="58">
        <v>0.4065040650407522</v>
      </c>
      <c r="L220" s="1" t="s">
        <v>69</v>
      </c>
      <c r="M220" s="1">
        <v>3</v>
      </c>
    </row>
    <row r="221" spans="1:13" x14ac:dyDescent="0.3">
      <c r="A221">
        <v>10</v>
      </c>
      <c r="B221">
        <v>1</v>
      </c>
      <c r="C221" t="s">
        <v>78</v>
      </c>
      <c r="D221" s="1" t="s">
        <v>1</v>
      </c>
      <c r="E221" s="59" t="s">
        <v>15</v>
      </c>
      <c r="F221" s="60">
        <v>3.6765671641791</v>
      </c>
      <c r="G221" s="60">
        <v>0.41439959170874602</v>
      </c>
      <c r="H221" s="61">
        <v>3.74</v>
      </c>
      <c r="I221" s="63">
        <v>3.75</v>
      </c>
      <c r="J221" s="58">
        <v>9.9999999999997868E-3</v>
      </c>
      <c r="K221" s="58">
        <v>0.26737967914437932</v>
      </c>
      <c r="L221" s="1" t="s">
        <v>69</v>
      </c>
      <c r="M221" s="1">
        <v>3</v>
      </c>
    </row>
    <row r="222" spans="1:13" x14ac:dyDescent="0.3">
      <c r="A222">
        <v>10</v>
      </c>
      <c r="B222">
        <v>1</v>
      </c>
      <c r="C222" t="s">
        <v>78</v>
      </c>
      <c r="D222" s="1" t="s">
        <v>1</v>
      </c>
      <c r="E222" s="59" t="s">
        <v>16</v>
      </c>
      <c r="F222" s="60">
        <v>2.0735820895522301</v>
      </c>
      <c r="G222" s="60">
        <v>0.19108255223533099</v>
      </c>
      <c r="H222" s="61">
        <v>2.09696969696969</v>
      </c>
      <c r="I222" s="63">
        <v>2.2000000000000002</v>
      </c>
      <c r="J222" s="58">
        <v>0.10303030303031013</v>
      </c>
      <c r="K222" s="58">
        <v>4.9132947976882164</v>
      </c>
      <c r="L222" s="1" t="s">
        <v>69</v>
      </c>
      <c r="M222" s="1">
        <v>3</v>
      </c>
    </row>
    <row r="223" spans="1:13" x14ac:dyDescent="0.3">
      <c r="A223">
        <v>10</v>
      </c>
      <c r="B223">
        <v>1</v>
      </c>
      <c r="C223" t="s">
        <v>78</v>
      </c>
      <c r="D223" s="1" t="s">
        <v>1</v>
      </c>
      <c r="E223" s="59" t="s">
        <v>17</v>
      </c>
      <c r="F223" s="60">
        <v>4.1518032786885204</v>
      </c>
      <c r="G223" s="60">
        <v>0.56011564437285299</v>
      </c>
      <c r="H223" s="61">
        <v>4.2391525423728798</v>
      </c>
      <c r="I223" s="63">
        <v>4.25</v>
      </c>
      <c r="J223" s="58">
        <v>1.0847457627120249E-2</v>
      </c>
      <c r="K223" s="58">
        <v>0.25588740953984046</v>
      </c>
      <c r="L223" s="1" t="s">
        <v>69</v>
      </c>
      <c r="M223" s="1">
        <v>3</v>
      </c>
    </row>
    <row r="224" spans="1:13" x14ac:dyDescent="0.3">
      <c r="A224">
        <v>10</v>
      </c>
      <c r="B224">
        <v>1</v>
      </c>
      <c r="C224" t="s">
        <v>78</v>
      </c>
      <c r="D224" s="1" t="s">
        <v>1</v>
      </c>
      <c r="E224" s="59" t="s">
        <v>18</v>
      </c>
      <c r="F224" s="60">
        <v>0.92411764705882304</v>
      </c>
      <c r="G224" s="60">
        <v>0.11694940200684099</v>
      </c>
      <c r="H224" s="61">
        <v>0.94799999999999995</v>
      </c>
      <c r="I224" s="63">
        <v>1.1599999999999999</v>
      </c>
      <c r="J224" s="58">
        <v>0.21199999999999997</v>
      </c>
      <c r="K224" s="58">
        <v>22.362869198312236</v>
      </c>
      <c r="L224" s="1" t="s">
        <v>69</v>
      </c>
      <c r="M224" s="1">
        <v>3</v>
      </c>
    </row>
    <row r="225" spans="1:13" x14ac:dyDescent="0.3">
      <c r="A225">
        <v>10</v>
      </c>
      <c r="B225">
        <v>1</v>
      </c>
      <c r="C225" t="s">
        <v>78</v>
      </c>
      <c r="D225" s="1" t="s">
        <v>1</v>
      </c>
      <c r="E225" s="59" t="s">
        <v>19</v>
      </c>
      <c r="F225" s="60">
        <v>1.3292647058823499</v>
      </c>
      <c r="G225" s="60">
        <v>0.194083943152491</v>
      </c>
      <c r="H225" s="61">
        <v>1.36287878787878</v>
      </c>
      <c r="I225" s="63">
        <v>1.51</v>
      </c>
      <c r="J225" s="58">
        <v>0.14712121212121998</v>
      </c>
      <c r="K225" s="58">
        <v>10.794886047804974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8DF2-3133-4B7C-8444-9842B733278B}">
  <dimension ref="A1:M450"/>
  <sheetViews>
    <sheetView workbookViewId="0">
      <selection activeCell="P16" sqref="P16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78</v>
      </c>
      <c r="D2" s="1" t="s">
        <v>2</v>
      </c>
      <c r="E2" s="59" t="s">
        <v>12</v>
      </c>
      <c r="F2" s="60">
        <v>2.8821999999999997</v>
      </c>
      <c r="G2" s="60">
        <v>0.479631193348239</v>
      </c>
      <c r="H2" s="61">
        <v>3.0019565217391304</v>
      </c>
      <c r="I2" s="62">
        <v>3.04</v>
      </c>
      <c r="J2" s="37">
        <v>3.8043478260869623E-2</v>
      </c>
      <c r="K2" s="37">
        <v>1.267289448910133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78</v>
      </c>
      <c r="D3" s="1" t="s">
        <v>2</v>
      </c>
      <c r="E3" s="59" t="s">
        <v>13</v>
      </c>
      <c r="F3" s="60">
        <v>4.2893749999999988</v>
      </c>
      <c r="G3" s="60">
        <v>0.54140638863942103</v>
      </c>
      <c r="H3" s="61">
        <v>4.3963043478260859</v>
      </c>
      <c r="I3" s="62">
        <v>4.01</v>
      </c>
      <c r="J3" s="37">
        <v>-0.38630434782608614</v>
      </c>
      <c r="K3" s="37">
        <v>-8.7870246748751253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78</v>
      </c>
      <c r="D4" s="1" t="s">
        <v>2</v>
      </c>
      <c r="E4" s="59" t="s">
        <v>14</v>
      </c>
      <c r="F4" s="60">
        <v>5.1958000000000002</v>
      </c>
      <c r="G4" s="60">
        <v>0.46422676548850378</v>
      </c>
      <c r="H4" s="61">
        <v>5.2955319148936173</v>
      </c>
      <c r="I4" s="62">
        <v>5.24</v>
      </c>
      <c r="J4" s="37">
        <v>-5.5531914893617085E-2</v>
      </c>
      <c r="K4" s="37">
        <v>-1.0486560327855692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78</v>
      </c>
      <c r="D5" s="1" t="s">
        <v>2</v>
      </c>
      <c r="E5" s="59" t="s">
        <v>15</v>
      </c>
      <c r="F5" s="60">
        <v>4.9467346938775512</v>
      </c>
      <c r="G5" s="60">
        <v>1.3693328481342966</v>
      </c>
      <c r="H5" s="61">
        <v>5.3624999999999998</v>
      </c>
      <c r="I5" s="62">
        <v>5.77</v>
      </c>
      <c r="J5" s="37">
        <v>0.40749999999999975</v>
      </c>
      <c r="K5" s="37">
        <v>7.5990675990675953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78</v>
      </c>
      <c r="D6" s="1" t="s">
        <v>2</v>
      </c>
      <c r="E6" s="59" t="s">
        <v>16</v>
      </c>
      <c r="F6" s="60">
        <v>4.0396000000000019</v>
      </c>
      <c r="G6" s="60">
        <v>0.81081707340842502</v>
      </c>
      <c r="H6" s="61">
        <v>4.3236363636363642</v>
      </c>
      <c r="I6" s="62">
        <v>4.1900000000000004</v>
      </c>
      <c r="J6" s="37">
        <v>-0.13363636363636378</v>
      </c>
      <c r="K6" s="37">
        <v>-3.0908326324642585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78</v>
      </c>
      <c r="D7" s="1" t="s">
        <v>2</v>
      </c>
      <c r="E7" s="59" t="s">
        <v>17</v>
      </c>
      <c r="F7" s="60">
        <v>4.5356000000000014</v>
      </c>
      <c r="G7" s="60">
        <v>0.90124666491498961</v>
      </c>
      <c r="H7" s="61">
        <v>4.807333333333335</v>
      </c>
      <c r="I7" s="62">
        <v>4.38</v>
      </c>
      <c r="J7" s="37">
        <v>-0.42733333333333512</v>
      </c>
      <c r="K7" s="37">
        <v>-8.8891970600471844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78</v>
      </c>
      <c r="D8" s="1" t="s">
        <v>2</v>
      </c>
      <c r="E8" s="59" t="s">
        <v>18</v>
      </c>
      <c r="F8" s="60">
        <v>1.7265999999999997</v>
      </c>
      <c r="G8" s="60">
        <v>0.22157700094310825</v>
      </c>
      <c r="H8" s="61">
        <v>1.7577551020408162</v>
      </c>
      <c r="I8" s="62">
        <v>1.55</v>
      </c>
      <c r="J8" s="37">
        <v>-0.20775510204081615</v>
      </c>
      <c r="K8" s="37">
        <v>-11.819342853825605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78</v>
      </c>
      <c r="D9" s="1" t="s">
        <v>2</v>
      </c>
      <c r="E9" s="59" t="s">
        <v>19</v>
      </c>
      <c r="F9" s="60">
        <v>2.2914000000000003</v>
      </c>
      <c r="G9" s="60">
        <v>0.29508220923004014</v>
      </c>
      <c r="H9" s="61">
        <v>2.2547727272727278</v>
      </c>
      <c r="I9" s="62">
        <v>2.41</v>
      </c>
      <c r="J9" s="37">
        <v>0.15522727272727233</v>
      </c>
      <c r="K9" s="37">
        <v>6.8843866545710926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78</v>
      </c>
      <c r="D10" s="1" t="s">
        <v>2</v>
      </c>
      <c r="E10" s="59" t="s">
        <v>12</v>
      </c>
      <c r="F10" s="60">
        <v>2.8821999999999997</v>
      </c>
      <c r="G10" s="60">
        <v>0.479631193348239</v>
      </c>
      <c r="H10" s="61">
        <v>3.0019565217391304</v>
      </c>
      <c r="I10" s="62">
        <v>2.99</v>
      </c>
      <c r="J10" s="37">
        <v>-1.1956521739130199E-2</v>
      </c>
      <c r="K10" s="37">
        <v>-0.39829096965746191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78</v>
      </c>
      <c r="D11" s="1" t="s">
        <v>2</v>
      </c>
      <c r="E11" s="59" t="s">
        <v>13</v>
      </c>
      <c r="F11" s="60">
        <v>4.2893749999999988</v>
      </c>
      <c r="G11" s="60">
        <v>0.54140638863942103</v>
      </c>
      <c r="H11" s="61">
        <v>4.3963043478260859</v>
      </c>
      <c r="I11" s="62">
        <v>4.18</v>
      </c>
      <c r="J11" s="37">
        <v>-0.21630434782608621</v>
      </c>
      <c r="K11" s="37">
        <v>-4.9201404341591104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78</v>
      </c>
      <c r="D12" s="1" t="s">
        <v>2</v>
      </c>
      <c r="E12" s="59" t="s">
        <v>14</v>
      </c>
      <c r="F12" s="60">
        <v>5.1958000000000002</v>
      </c>
      <c r="G12" s="60">
        <v>0.46422676548850378</v>
      </c>
      <c r="H12" s="61">
        <v>5.2955319148936173</v>
      </c>
      <c r="I12" s="62">
        <v>5.28</v>
      </c>
      <c r="J12" s="37">
        <v>-1.5531914893617049E-2</v>
      </c>
      <c r="K12" s="37">
        <v>-0.29330226204347354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78</v>
      </c>
      <c r="D13" s="1" t="s">
        <v>2</v>
      </c>
      <c r="E13" s="59" t="s">
        <v>15</v>
      </c>
      <c r="F13" s="60">
        <v>4.9467346938775512</v>
      </c>
      <c r="G13" s="60">
        <v>1.3693328481342966</v>
      </c>
      <c r="H13" s="61">
        <v>5.3624999999999998</v>
      </c>
      <c r="I13" s="62">
        <v>5.69</v>
      </c>
      <c r="J13" s="37">
        <v>0.32750000000000057</v>
      </c>
      <c r="K13" s="37">
        <v>6.1072261072261176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78</v>
      </c>
      <c r="D14" s="1" t="s">
        <v>2</v>
      </c>
      <c r="E14" s="59" t="s">
        <v>16</v>
      </c>
      <c r="F14" s="60">
        <v>4.0396000000000019</v>
      </c>
      <c r="G14" s="60">
        <v>0.81081707340842502</v>
      </c>
      <c r="H14" s="61">
        <v>4.3236363636363642</v>
      </c>
      <c r="I14" s="62">
        <v>4.22</v>
      </c>
      <c r="J14" s="37">
        <v>-0.10363636363636441</v>
      </c>
      <c r="K14" s="37">
        <v>-2.3969722455845428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78</v>
      </c>
      <c r="D15" s="1" t="s">
        <v>2</v>
      </c>
      <c r="E15" s="59" t="s">
        <v>17</v>
      </c>
      <c r="F15" s="60">
        <v>4.5356000000000014</v>
      </c>
      <c r="G15" s="60">
        <v>0.90124666491498961</v>
      </c>
      <c r="H15" s="61">
        <v>4.807333333333335</v>
      </c>
      <c r="I15" s="62">
        <v>4.3899999999999997</v>
      </c>
      <c r="J15" s="37">
        <v>-0.41733333333333533</v>
      </c>
      <c r="K15" s="37">
        <v>-8.6811815282208116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78</v>
      </c>
      <c r="D16" s="1" t="s">
        <v>2</v>
      </c>
      <c r="E16" s="59" t="s">
        <v>18</v>
      </c>
      <c r="F16" s="60">
        <v>1.7265999999999997</v>
      </c>
      <c r="G16" s="60">
        <v>0.22157700094310825</v>
      </c>
      <c r="H16" s="61">
        <v>1.7577551020408162</v>
      </c>
      <c r="I16" s="62">
        <v>1.62</v>
      </c>
      <c r="J16" s="37">
        <v>-0.13775510204081609</v>
      </c>
      <c r="K16" s="37">
        <v>-7.8369905956112724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78</v>
      </c>
      <c r="D17" s="1" t="s">
        <v>2</v>
      </c>
      <c r="E17" s="59" t="s">
        <v>19</v>
      </c>
      <c r="F17" s="60">
        <v>2.2914000000000003</v>
      </c>
      <c r="G17" s="60">
        <v>0.29508220923004014</v>
      </c>
      <c r="H17" s="61">
        <v>2.2547727272727278</v>
      </c>
      <c r="I17" s="62">
        <v>2.44</v>
      </c>
      <c r="J17" s="37">
        <v>0.18522727272727213</v>
      </c>
      <c r="K17" s="37">
        <v>8.2148976917649144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78</v>
      </c>
      <c r="D18" s="1" t="s">
        <v>2</v>
      </c>
      <c r="E18" s="59" t="s">
        <v>12</v>
      </c>
      <c r="F18" s="60">
        <v>2.8821999999999997</v>
      </c>
      <c r="G18" s="60">
        <v>0.479631193348239</v>
      </c>
      <c r="H18" s="61">
        <v>3.0019565217391304</v>
      </c>
      <c r="I18" s="62">
        <v>2.99</v>
      </c>
      <c r="J18" s="37">
        <v>-1.1956521739130199E-2</v>
      </c>
      <c r="K18" s="37">
        <v>-0.39829096965746191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78</v>
      </c>
      <c r="D19" s="1" t="s">
        <v>2</v>
      </c>
      <c r="E19" s="59" t="s">
        <v>13</v>
      </c>
      <c r="F19" s="60">
        <v>4.2893749999999988</v>
      </c>
      <c r="G19" s="60">
        <v>0.54140638863942103</v>
      </c>
      <c r="H19" s="61">
        <v>4.3963043478260859</v>
      </c>
      <c r="I19" s="62">
        <v>4.1900000000000004</v>
      </c>
      <c r="J19" s="37">
        <v>-0.20630434782608553</v>
      </c>
      <c r="K19" s="37">
        <v>-4.6926766552934467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78</v>
      </c>
      <c r="D20" s="1" t="s">
        <v>2</v>
      </c>
      <c r="E20" s="59" t="s">
        <v>14</v>
      </c>
      <c r="F20" s="60">
        <v>5.1958000000000002</v>
      </c>
      <c r="G20" s="60">
        <v>0.46422676548850378</v>
      </c>
      <c r="H20" s="61">
        <v>5.2955319148936173</v>
      </c>
      <c r="I20" s="62">
        <v>5.3</v>
      </c>
      <c r="J20" s="37">
        <v>4.4680851063825244E-3</v>
      </c>
      <c r="K20" s="37">
        <v>8.4374623327565845E-2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78</v>
      </c>
      <c r="D21" s="1" t="s">
        <v>2</v>
      </c>
      <c r="E21" s="59" t="s">
        <v>15</v>
      </c>
      <c r="F21" s="60">
        <v>4.9467346938775512</v>
      </c>
      <c r="G21" s="60">
        <v>1.3693328481342966</v>
      </c>
      <c r="H21" s="61">
        <v>5.3624999999999998</v>
      </c>
      <c r="I21" s="62">
        <v>5.73</v>
      </c>
      <c r="J21" s="37">
        <v>0.3675000000000006</v>
      </c>
      <c r="K21" s="37">
        <v>6.8531468531468649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78</v>
      </c>
      <c r="D22" s="1" t="s">
        <v>2</v>
      </c>
      <c r="E22" s="59" t="s">
        <v>16</v>
      </c>
      <c r="F22" s="60">
        <v>4.0396000000000019</v>
      </c>
      <c r="G22" s="60">
        <v>0.81081707340842502</v>
      </c>
      <c r="H22" s="61">
        <v>4.3236363636363642</v>
      </c>
      <c r="I22" s="62">
        <v>4.24</v>
      </c>
      <c r="J22" s="37">
        <v>-8.3636363636363953E-2</v>
      </c>
      <c r="K22" s="37">
        <v>-1.934398654331378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78</v>
      </c>
      <c r="D23" s="1" t="s">
        <v>2</v>
      </c>
      <c r="E23" s="59" t="s">
        <v>17</v>
      </c>
      <c r="F23" s="60">
        <v>4.5356000000000014</v>
      </c>
      <c r="G23" s="60">
        <v>0.90124666491498961</v>
      </c>
      <c r="H23" s="61">
        <v>4.807333333333335</v>
      </c>
      <c r="I23" s="62">
        <v>4.45</v>
      </c>
      <c r="J23" s="37">
        <v>-0.35733333333333483</v>
      </c>
      <c r="K23" s="37">
        <v>-7.4330883372625447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78</v>
      </c>
      <c r="D24" s="1" t="s">
        <v>2</v>
      </c>
      <c r="E24" s="59" t="s">
        <v>18</v>
      </c>
      <c r="F24" s="60">
        <v>1.7265999999999997</v>
      </c>
      <c r="G24" s="60">
        <v>0.22157700094310825</v>
      </c>
      <c r="H24" s="61">
        <v>1.7577551020408162</v>
      </c>
      <c r="I24" s="62">
        <v>1.61</v>
      </c>
      <c r="J24" s="37">
        <v>-0.1477551020408161</v>
      </c>
      <c r="K24" s="37">
        <v>-8.405898061070463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78</v>
      </c>
      <c r="D25" s="1" t="s">
        <v>2</v>
      </c>
      <c r="E25" s="59" t="s">
        <v>19</v>
      </c>
      <c r="F25" s="60">
        <v>2.2914000000000003</v>
      </c>
      <c r="G25" s="60">
        <v>0.29508220923004014</v>
      </c>
      <c r="H25" s="61">
        <v>2.2547727272727278</v>
      </c>
      <c r="I25" s="62">
        <v>2.42</v>
      </c>
      <c r="J25" s="37">
        <v>0.16522727272727211</v>
      </c>
      <c r="K25" s="37">
        <v>7.3278903336356933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78</v>
      </c>
      <c r="D27" s="1" t="s">
        <v>2</v>
      </c>
      <c r="E27" s="59" t="s">
        <v>12</v>
      </c>
      <c r="F27" s="60">
        <v>2.8634090909090899</v>
      </c>
      <c r="G27" s="60">
        <v>0.60566621163587697</v>
      </c>
      <c r="H27" s="61">
        <v>2.99547619047619</v>
      </c>
      <c r="I27" s="62">
        <v>3.04</v>
      </c>
      <c r="J27" s="37">
        <v>4.4523809523810076E-2</v>
      </c>
      <c r="K27" s="37">
        <v>1.4863683332008772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78</v>
      </c>
      <c r="D28" s="1" t="s">
        <v>2</v>
      </c>
      <c r="E28" s="59" t="s">
        <v>13</v>
      </c>
      <c r="F28" s="60">
        <v>4.3536585365853604</v>
      </c>
      <c r="G28" s="60">
        <v>0.21854012410026799</v>
      </c>
      <c r="H28" s="61">
        <v>4.3879999999999901</v>
      </c>
      <c r="I28" s="62">
        <v>4.01</v>
      </c>
      <c r="J28" s="37">
        <v>-0.37799999999999034</v>
      </c>
      <c r="K28" s="37">
        <v>-8.6144029170462897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78</v>
      </c>
      <c r="D29" s="1" t="s">
        <v>2</v>
      </c>
      <c r="E29" s="59" t="s">
        <v>14</v>
      </c>
      <c r="F29" s="60">
        <v>5.00590909090909</v>
      </c>
      <c r="G29" s="60">
        <v>0.98869362425608198</v>
      </c>
      <c r="H29" s="61">
        <v>5.2568292682926803</v>
      </c>
      <c r="I29" s="62">
        <v>5.24</v>
      </c>
      <c r="J29" s="37">
        <v>-1.6829268292680055E-2</v>
      </c>
      <c r="K29" s="37">
        <v>-0.32014104764992468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78</v>
      </c>
      <c r="D30" s="1" t="s">
        <v>2</v>
      </c>
      <c r="E30" s="59" t="s">
        <v>15</v>
      </c>
      <c r="F30" s="60">
        <v>4.9744444444444396</v>
      </c>
      <c r="G30" s="60">
        <v>1.36680252260612</v>
      </c>
      <c r="H30" s="61">
        <v>5.4114999999999904</v>
      </c>
      <c r="I30" s="62">
        <v>5.77</v>
      </c>
      <c r="J30" s="37">
        <v>0.35850000000000914</v>
      </c>
      <c r="K30" s="37">
        <v>6.6247805599188716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78</v>
      </c>
      <c r="D31" s="1" t="s">
        <v>2</v>
      </c>
      <c r="E31" s="59" t="s">
        <v>16</v>
      </c>
      <c r="F31" s="60">
        <v>4.0955555555555501</v>
      </c>
      <c r="G31" s="60">
        <v>0.760405025278723</v>
      </c>
      <c r="H31" s="61">
        <v>4.3095121951219504</v>
      </c>
      <c r="I31" s="62">
        <v>4.1900000000000004</v>
      </c>
      <c r="J31" s="37">
        <v>-0.11951219512194999</v>
      </c>
      <c r="K31" s="37">
        <v>-2.773218631501472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78</v>
      </c>
      <c r="D32" s="1" t="s">
        <v>2</v>
      </c>
      <c r="E32" s="59" t="s">
        <v>17</v>
      </c>
      <c r="F32" s="60">
        <v>4.3077777777777699</v>
      </c>
      <c r="G32" s="60">
        <v>1.02988648541453</v>
      </c>
      <c r="H32" s="61">
        <v>4.6574358974358896</v>
      </c>
      <c r="I32" s="62">
        <v>4.38</v>
      </c>
      <c r="J32" s="37">
        <v>-0.2774358974358897</v>
      </c>
      <c r="K32" s="37">
        <v>-5.9568377009467719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78</v>
      </c>
      <c r="D33" s="1" t="s">
        <v>2</v>
      </c>
      <c r="E33" s="59" t="s">
        <v>18</v>
      </c>
      <c r="F33" s="60">
        <v>1.75325581395348</v>
      </c>
      <c r="G33" s="60">
        <v>2.1210016307851801E-2</v>
      </c>
      <c r="H33" s="61">
        <v>1.7515384615384599</v>
      </c>
      <c r="I33" s="62">
        <v>1.55</v>
      </c>
      <c r="J33" s="37">
        <v>-0.20153846153845989</v>
      </c>
      <c r="K33" s="37">
        <v>-11.506368028107076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78</v>
      </c>
      <c r="D34" s="1" t="s">
        <v>2</v>
      </c>
      <c r="E34" s="59" t="s">
        <v>19</v>
      </c>
      <c r="F34" s="60">
        <v>2.2702222222222201</v>
      </c>
      <c r="G34" s="60">
        <v>0.48472438394933398</v>
      </c>
      <c r="H34" s="61">
        <v>2.2935135135135098</v>
      </c>
      <c r="I34" s="62">
        <v>2.41</v>
      </c>
      <c r="J34" s="37">
        <v>0.11648648648649029</v>
      </c>
      <c r="K34" s="37">
        <v>5.0789535705870223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78</v>
      </c>
      <c r="D35" s="1" t="s">
        <v>2</v>
      </c>
      <c r="E35" s="59" t="s">
        <v>12</v>
      </c>
      <c r="F35" s="60">
        <v>2.8634090909090899</v>
      </c>
      <c r="G35" s="60">
        <v>0.60566621163587697</v>
      </c>
      <c r="H35" s="61">
        <v>2.99547619047619</v>
      </c>
      <c r="I35" s="62">
        <v>2.99</v>
      </c>
      <c r="J35" s="37">
        <v>-5.4761904761897462E-3</v>
      </c>
      <c r="K35" s="37">
        <v>-0.18281535648992084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78</v>
      </c>
      <c r="D36" s="1" t="s">
        <v>2</v>
      </c>
      <c r="E36" s="59" t="s">
        <v>13</v>
      </c>
      <c r="F36" s="60">
        <v>4.3536585365853604</v>
      </c>
      <c r="G36" s="60">
        <v>0.21854012410026799</v>
      </c>
      <c r="H36" s="61">
        <v>4.3879999999999901</v>
      </c>
      <c r="I36" s="62">
        <v>4.18</v>
      </c>
      <c r="J36" s="37">
        <v>-0.20799999999999041</v>
      </c>
      <c r="K36" s="37">
        <v>-4.7402005469460091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78</v>
      </c>
      <c r="D37" s="1" t="s">
        <v>2</v>
      </c>
      <c r="E37" s="59" t="s">
        <v>14</v>
      </c>
      <c r="F37" s="60">
        <v>5.00590909090909</v>
      </c>
      <c r="G37" s="60">
        <v>0.98869362425608198</v>
      </c>
      <c r="H37" s="61">
        <v>5.2568292682926803</v>
      </c>
      <c r="I37" s="62">
        <v>5.28</v>
      </c>
      <c r="J37" s="37">
        <v>2.317073170731998E-2</v>
      </c>
      <c r="K37" s="37">
        <v>0.44077390618480944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78</v>
      </c>
      <c r="D38" s="1" t="s">
        <v>2</v>
      </c>
      <c r="E38" s="59" t="s">
        <v>15</v>
      </c>
      <c r="F38" s="60">
        <v>4.9744444444444396</v>
      </c>
      <c r="G38" s="60">
        <v>1.36680252260612</v>
      </c>
      <c r="H38" s="61">
        <v>5.4114999999999904</v>
      </c>
      <c r="I38" s="62">
        <v>5.69</v>
      </c>
      <c r="J38" s="37">
        <v>0.27850000000000996</v>
      </c>
      <c r="K38" s="37">
        <v>5.1464473805785911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78</v>
      </c>
      <c r="D39" s="1" t="s">
        <v>2</v>
      </c>
      <c r="E39" s="59" t="s">
        <v>16</v>
      </c>
      <c r="F39" s="60">
        <v>4.0955555555555501</v>
      </c>
      <c r="G39" s="60">
        <v>0.760405025278723</v>
      </c>
      <c r="H39" s="61">
        <v>4.3095121951219504</v>
      </c>
      <c r="I39" s="62">
        <v>4.22</v>
      </c>
      <c r="J39" s="37">
        <v>-8.9512195121950633E-2</v>
      </c>
      <c r="K39" s="37">
        <v>-2.077084158696008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78</v>
      </c>
      <c r="D40" s="1" t="s">
        <v>2</v>
      </c>
      <c r="E40" s="59" t="s">
        <v>17</v>
      </c>
      <c r="F40" s="60">
        <v>4.3077777777777699</v>
      </c>
      <c r="G40" s="60">
        <v>1.02988648541453</v>
      </c>
      <c r="H40" s="61">
        <v>4.6574358974358896</v>
      </c>
      <c r="I40" s="62">
        <v>4.3899999999999997</v>
      </c>
      <c r="J40" s="37">
        <v>-0.26743589743588991</v>
      </c>
      <c r="K40" s="37">
        <v>-5.7421272847388929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78</v>
      </c>
      <c r="D41" s="1" t="s">
        <v>2</v>
      </c>
      <c r="E41" s="59" t="s">
        <v>18</v>
      </c>
      <c r="F41" s="60">
        <v>1.75325581395348</v>
      </c>
      <c r="G41" s="60">
        <v>2.1210016307851801E-2</v>
      </c>
      <c r="H41" s="61">
        <v>1.7515384615384599</v>
      </c>
      <c r="I41" s="62">
        <v>1.62</v>
      </c>
      <c r="J41" s="37">
        <v>-0.13153846153845983</v>
      </c>
      <c r="K41" s="37">
        <v>-7.5098814229248108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78</v>
      </c>
      <c r="D42" s="1" t="s">
        <v>2</v>
      </c>
      <c r="E42" s="59" t="s">
        <v>19</v>
      </c>
      <c r="F42" s="60">
        <v>2.2702222222222201</v>
      </c>
      <c r="G42" s="60">
        <v>0.48472438394933398</v>
      </c>
      <c r="H42" s="61">
        <v>2.2935135135135098</v>
      </c>
      <c r="I42" s="62">
        <v>2.44</v>
      </c>
      <c r="J42" s="37">
        <v>0.1464864864864901</v>
      </c>
      <c r="K42" s="37">
        <v>6.3869903370258569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78</v>
      </c>
      <c r="D43" s="1" t="s">
        <v>2</v>
      </c>
      <c r="E43" s="59" t="s">
        <v>12</v>
      </c>
      <c r="F43" s="60">
        <v>2.8634090909090899</v>
      </c>
      <c r="G43" s="60">
        <v>0.60566621163587697</v>
      </c>
      <c r="H43" s="61">
        <v>2.99547619047619</v>
      </c>
      <c r="I43" s="62">
        <v>2.99</v>
      </c>
      <c r="J43" s="37">
        <v>-5.4761904761897462E-3</v>
      </c>
      <c r="K43" s="37">
        <v>-0.18281535648992084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78</v>
      </c>
      <c r="D44" s="1" t="s">
        <v>2</v>
      </c>
      <c r="E44" s="59" t="s">
        <v>13</v>
      </c>
      <c r="F44" s="60">
        <v>4.3536585365853604</v>
      </c>
      <c r="G44" s="60">
        <v>0.21854012410026799</v>
      </c>
      <c r="H44" s="61">
        <v>4.3879999999999901</v>
      </c>
      <c r="I44" s="62">
        <v>4.1900000000000004</v>
      </c>
      <c r="J44" s="37">
        <v>-0.19799999999998974</v>
      </c>
      <c r="K44" s="37">
        <v>-4.5123062898812707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78</v>
      </c>
      <c r="D45" s="1" t="s">
        <v>2</v>
      </c>
      <c r="E45" s="59" t="s">
        <v>14</v>
      </c>
      <c r="F45" s="60">
        <v>5.00590909090909</v>
      </c>
      <c r="G45" s="60">
        <v>0.98869362425608198</v>
      </c>
      <c r="H45" s="61">
        <v>5.2568292682926803</v>
      </c>
      <c r="I45" s="62">
        <v>5.3</v>
      </c>
      <c r="J45" s="37">
        <v>4.3170731707319554E-2</v>
      </c>
      <c r="K45" s="37">
        <v>0.82123138310216792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78</v>
      </c>
      <c r="D46" s="1" t="s">
        <v>2</v>
      </c>
      <c r="E46" s="59" t="s">
        <v>15</v>
      </c>
      <c r="F46" s="60">
        <v>4.9744444444444396</v>
      </c>
      <c r="G46" s="60">
        <v>1.36680252260612</v>
      </c>
      <c r="H46" s="61">
        <v>5.4114999999999904</v>
      </c>
      <c r="I46" s="62">
        <v>5.73</v>
      </c>
      <c r="J46" s="37">
        <v>0.31850000000001</v>
      </c>
      <c r="K46" s="37">
        <v>5.8856139702487393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78</v>
      </c>
      <c r="D47" s="1" t="s">
        <v>2</v>
      </c>
      <c r="E47" s="59" t="s">
        <v>16</v>
      </c>
      <c r="F47" s="60">
        <v>4.0955555555555501</v>
      </c>
      <c r="G47" s="60">
        <v>0.760405025278723</v>
      </c>
      <c r="H47" s="61">
        <v>4.3095121951219504</v>
      </c>
      <c r="I47" s="62">
        <v>4.24</v>
      </c>
      <c r="J47" s="37">
        <v>-6.9512195121950171E-2</v>
      </c>
      <c r="K47" s="37">
        <v>-1.6129945101590115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78</v>
      </c>
      <c r="D48" s="1" t="s">
        <v>2</v>
      </c>
      <c r="E48" s="59" t="s">
        <v>17</v>
      </c>
      <c r="F48" s="60">
        <v>4.3077777777777699</v>
      </c>
      <c r="G48" s="60">
        <v>1.02988648541453</v>
      </c>
      <c r="H48" s="61">
        <v>4.6574358974358896</v>
      </c>
      <c r="I48" s="62">
        <v>4.45</v>
      </c>
      <c r="J48" s="37">
        <v>-0.20743589743588942</v>
      </c>
      <c r="K48" s="37">
        <v>-4.4538647874915771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78</v>
      </c>
      <c r="D49" s="1" t="s">
        <v>2</v>
      </c>
      <c r="E49" s="59" t="s">
        <v>18</v>
      </c>
      <c r="F49" s="60">
        <v>1.75325581395348</v>
      </c>
      <c r="G49" s="60">
        <v>2.1210016307851801E-2</v>
      </c>
      <c r="H49" s="61">
        <v>1.7515384615384599</v>
      </c>
      <c r="I49" s="62">
        <v>1.61</v>
      </c>
      <c r="J49" s="37">
        <v>-0.14153846153845984</v>
      </c>
      <c r="K49" s="37">
        <v>-8.0808080808079907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78</v>
      </c>
      <c r="D50" s="1" t="s">
        <v>2</v>
      </c>
      <c r="E50" s="59" t="s">
        <v>19</v>
      </c>
      <c r="F50" s="60">
        <v>2.2702222222222201</v>
      </c>
      <c r="G50" s="60">
        <v>0.48472438394933398</v>
      </c>
      <c r="H50" s="61">
        <v>2.2935135135135098</v>
      </c>
      <c r="I50" s="62">
        <v>2.42</v>
      </c>
      <c r="J50" s="37">
        <v>0.12648648648649008</v>
      </c>
      <c r="K50" s="37">
        <v>5.5149658260666277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78</v>
      </c>
      <c r="D52" s="1" t="s">
        <v>2</v>
      </c>
      <c r="E52" s="59" t="s">
        <v>12</v>
      </c>
      <c r="F52" s="60">
        <v>2.9107500000000002</v>
      </c>
      <c r="G52" s="60">
        <v>0.41518903827052001</v>
      </c>
      <c r="H52" s="61">
        <v>2.9973684210526299</v>
      </c>
      <c r="I52" s="63">
        <v>3.04</v>
      </c>
      <c r="J52" s="58">
        <v>4.263157894737013E-2</v>
      </c>
      <c r="K52" s="58">
        <v>1.4223002633889954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78</v>
      </c>
      <c r="D53" s="1" t="s">
        <v>2</v>
      </c>
      <c r="E53" s="59" t="s">
        <v>13</v>
      </c>
      <c r="F53" s="60">
        <v>4.3447058823529403</v>
      </c>
      <c r="G53" s="60">
        <v>0.245323739218652</v>
      </c>
      <c r="H53" s="61">
        <v>4.3872727272727197</v>
      </c>
      <c r="I53" s="63">
        <v>4.01</v>
      </c>
      <c r="J53" s="58">
        <v>-0.37727272727271988</v>
      </c>
      <c r="K53" s="58">
        <v>-8.5992540406131912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78</v>
      </c>
      <c r="D54" s="1" t="s">
        <v>2</v>
      </c>
      <c r="E54" s="59" t="s">
        <v>14</v>
      </c>
      <c r="F54" s="60">
        <v>5.3002500000000001</v>
      </c>
      <c r="G54" s="60">
        <v>2.1152718501412499E-2</v>
      </c>
      <c r="H54" s="61">
        <v>5.2975757575757498</v>
      </c>
      <c r="I54" s="63">
        <v>5.24</v>
      </c>
      <c r="J54" s="58">
        <v>-5.757575757574962E-2</v>
      </c>
      <c r="K54" s="58">
        <v>-1.0868321702320902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78</v>
      </c>
      <c r="D55" s="1" t="s">
        <v>2</v>
      </c>
      <c r="E55" s="59" t="s">
        <v>15</v>
      </c>
      <c r="F55" s="60">
        <v>5.0959999999999903</v>
      </c>
      <c r="G55" s="60">
        <v>1.2988433315839101</v>
      </c>
      <c r="H55" s="61">
        <v>5.4936111111111101</v>
      </c>
      <c r="I55" s="63">
        <v>5.77</v>
      </c>
      <c r="J55" s="58">
        <v>0.27638888888888946</v>
      </c>
      <c r="K55" s="58">
        <v>5.0310967285230435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78</v>
      </c>
      <c r="D56" s="1" t="s">
        <v>2</v>
      </c>
      <c r="E56" s="59" t="s">
        <v>16</v>
      </c>
      <c r="F56" s="60">
        <v>4.2545000000000002</v>
      </c>
      <c r="G56" s="60">
        <v>0.43491349714627098</v>
      </c>
      <c r="H56" s="61">
        <v>4.3241025641025601</v>
      </c>
      <c r="I56" s="63">
        <v>4.1900000000000004</v>
      </c>
      <c r="J56" s="58">
        <v>-0.13410256410255972</v>
      </c>
      <c r="K56" s="58">
        <v>-3.1012808349145127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78</v>
      </c>
      <c r="D57" s="1" t="s">
        <v>2</v>
      </c>
      <c r="E57" s="59" t="s">
        <v>17</v>
      </c>
      <c r="F57" s="60">
        <v>4.5</v>
      </c>
      <c r="G57" s="60">
        <v>0.96028641560734296</v>
      </c>
      <c r="H57" s="61">
        <v>4.7966666666666598</v>
      </c>
      <c r="I57" s="63">
        <v>4.38</v>
      </c>
      <c r="J57" s="58">
        <v>-0.41666666666665986</v>
      </c>
      <c r="K57" s="58">
        <v>-8.6865879082695017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78</v>
      </c>
      <c r="D58" s="1" t="s">
        <v>2</v>
      </c>
      <c r="E58" s="59" t="s">
        <v>18</v>
      </c>
      <c r="F58" s="60">
        <v>1.7476923076923001</v>
      </c>
      <c r="G58" s="60">
        <v>1.9008977428564701E-2</v>
      </c>
      <c r="H58" s="61">
        <v>1.7490322580645099</v>
      </c>
      <c r="I58" s="63">
        <v>1.55</v>
      </c>
      <c r="J58" s="58">
        <v>-0.19903225806450986</v>
      </c>
      <c r="K58" s="58">
        <v>-11.379564736259365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78</v>
      </c>
      <c r="D59" s="1" t="s">
        <v>2</v>
      </c>
      <c r="E59" s="59" t="s">
        <v>19</v>
      </c>
      <c r="F59" s="60">
        <v>2.2570000000000001</v>
      </c>
      <c r="G59" s="60">
        <v>0.48999081624046797</v>
      </c>
      <c r="H59" s="61">
        <v>2.2533333333333299</v>
      </c>
      <c r="I59" s="63">
        <v>2.41</v>
      </c>
      <c r="J59" s="58">
        <v>0.15666666666667028</v>
      </c>
      <c r="K59" s="58">
        <v>6.9526627218936623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78</v>
      </c>
      <c r="D60" s="1" t="s">
        <v>2</v>
      </c>
      <c r="E60" s="59" t="s">
        <v>12</v>
      </c>
      <c r="F60" s="60">
        <v>2.9107500000000002</v>
      </c>
      <c r="G60" s="60">
        <v>0.41518903827052001</v>
      </c>
      <c r="H60" s="61">
        <v>2.9973684210526299</v>
      </c>
      <c r="I60" s="63">
        <v>2.99</v>
      </c>
      <c r="J60" s="58">
        <v>-7.3684210526296923E-3</v>
      </c>
      <c r="K60" s="58">
        <v>-0.24582967515358076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78</v>
      </c>
      <c r="D61" s="1" t="s">
        <v>2</v>
      </c>
      <c r="E61" s="59" t="s">
        <v>13</v>
      </c>
      <c r="F61" s="60">
        <v>4.3447058823529403</v>
      </c>
      <c r="G61" s="60">
        <v>0.245323739218652</v>
      </c>
      <c r="H61" s="61">
        <v>4.3872727272727197</v>
      </c>
      <c r="I61" s="63">
        <v>4.18</v>
      </c>
      <c r="J61" s="58">
        <v>-0.20727272727271995</v>
      </c>
      <c r="K61" s="58">
        <v>-4.7244094488187383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78</v>
      </c>
      <c r="D62" s="1" t="s">
        <v>2</v>
      </c>
      <c r="E62" s="59" t="s">
        <v>14</v>
      </c>
      <c r="F62" s="60">
        <v>5.3002500000000001</v>
      </c>
      <c r="G62" s="60">
        <v>2.1152718501412499E-2</v>
      </c>
      <c r="H62" s="61">
        <v>5.2975757575757498</v>
      </c>
      <c r="I62" s="63">
        <v>5.28</v>
      </c>
      <c r="J62" s="58">
        <v>-1.7575757575749584E-2</v>
      </c>
      <c r="K62" s="58">
        <v>-0.33176982038653308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78</v>
      </c>
      <c r="D63" s="1" t="s">
        <v>2</v>
      </c>
      <c r="E63" s="59" t="s">
        <v>15</v>
      </c>
      <c r="F63" s="60">
        <v>5.0959999999999903</v>
      </c>
      <c r="G63" s="60">
        <v>1.2988433315839101</v>
      </c>
      <c r="H63" s="61">
        <v>5.4936111111111101</v>
      </c>
      <c r="I63" s="63">
        <v>5.69</v>
      </c>
      <c r="J63" s="58">
        <v>0.19638888888889028</v>
      </c>
      <c r="K63" s="58">
        <v>3.5748596854932755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78</v>
      </c>
      <c r="D64" s="1" t="s">
        <v>2</v>
      </c>
      <c r="E64" s="59" t="s">
        <v>16</v>
      </c>
      <c r="F64" s="60">
        <v>4.2545000000000002</v>
      </c>
      <c r="G64" s="60">
        <v>0.43491349714627098</v>
      </c>
      <c r="H64" s="61">
        <v>4.3241025641025601</v>
      </c>
      <c r="I64" s="63">
        <v>4.22</v>
      </c>
      <c r="J64" s="58">
        <v>-0.10410256410256036</v>
      </c>
      <c r="K64" s="58">
        <v>-2.4074952561668987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78</v>
      </c>
      <c r="D65" s="1" t="s">
        <v>2</v>
      </c>
      <c r="E65" s="59" t="s">
        <v>17</v>
      </c>
      <c r="F65" s="60">
        <v>4.5</v>
      </c>
      <c r="G65" s="60">
        <v>0.96028641560734296</v>
      </c>
      <c r="H65" s="61">
        <v>4.7966666666666598</v>
      </c>
      <c r="I65" s="63">
        <v>4.3899999999999997</v>
      </c>
      <c r="J65" s="58">
        <v>-0.40666666666666007</v>
      </c>
      <c r="K65" s="58">
        <v>-8.478109798471035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78</v>
      </c>
      <c r="D66" s="1" t="s">
        <v>2</v>
      </c>
      <c r="E66" s="59" t="s">
        <v>18</v>
      </c>
      <c r="F66" s="60">
        <v>1.7476923076923001</v>
      </c>
      <c r="G66" s="60">
        <v>1.9008977428564701E-2</v>
      </c>
      <c r="H66" s="61">
        <v>1.7490322580645099</v>
      </c>
      <c r="I66" s="63">
        <v>1.62</v>
      </c>
      <c r="J66" s="58">
        <v>-0.1290322580645098</v>
      </c>
      <c r="K66" s="58">
        <v>-7.377351530800107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78</v>
      </c>
      <c r="D67" s="1" t="s">
        <v>2</v>
      </c>
      <c r="E67" s="59" t="s">
        <v>19</v>
      </c>
      <c r="F67" s="60">
        <v>2.2570000000000001</v>
      </c>
      <c r="G67" s="60">
        <v>0.48999081624046797</v>
      </c>
      <c r="H67" s="61">
        <v>2.2533333333333299</v>
      </c>
      <c r="I67" s="63">
        <v>2.44</v>
      </c>
      <c r="J67" s="58">
        <v>0.18666666666667009</v>
      </c>
      <c r="K67" s="58">
        <v>8.2840236686392181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78</v>
      </c>
      <c r="D68" s="1" t="s">
        <v>2</v>
      </c>
      <c r="E68" s="59" t="s">
        <v>12</v>
      </c>
      <c r="F68" s="60">
        <v>2.9107500000000002</v>
      </c>
      <c r="G68" s="60">
        <v>0.41518903827052001</v>
      </c>
      <c r="H68" s="61">
        <v>2.9973684210526299</v>
      </c>
      <c r="I68" s="63">
        <v>2.99</v>
      </c>
      <c r="J68" s="58">
        <v>-7.3684210526296923E-3</v>
      </c>
      <c r="K68" s="58">
        <v>-0.24582967515358076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78</v>
      </c>
      <c r="D69" s="1" t="s">
        <v>2</v>
      </c>
      <c r="E69" s="59" t="s">
        <v>13</v>
      </c>
      <c r="F69" s="60">
        <v>4.3447058823529403</v>
      </c>
      <c r="G69" s="60">
        <v>0.245323739218652</v>
      </c>
      <c r="H69" s="61">
        <v>4.3872727272727197</v>
      </c>
      <c r="I69" s="63">
        <v>4.1900000000000004</v>
      </c>
      <c r="J69" s="58">
        <v>-0.19727272727271927</v>
      </c>
      <c r="K69" s="58">
        <v>-4.496477414007285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78</v>
      </c>
      <c r="D70" s="1" t="s">
        <v>2</v>
      </c>
      <c r="E70" s="59" t="s">
        <v>14</v>
      </c>
      <c r="F70" s="60">
        <v>5.3002500000000001</v>
      </c>
      <c r="G70" s="60">
        <v>2.1152718501412499E-2</v>
      </c>
      <c r="H70" s="61">
        <v>5.2975757575757498</v>
      </c>
      <c r="I70" s="63">
        <v>5.3</v>
      </c>
      <c r="J70" s="58">
        <v>2.4242424242499894E-3</v>
      </c>
      <c r="K70" s="58">
        <v>4.5761354536237135E-2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78</v>
      </c>
      <c r="D71" s="1" t="s">
        <v>2</v>
      </c>
      <c r="E71" s="59" t="s">
        <v>15</v>
      </c>
      <c r="F71" s="60">
        <v>5.0959999999999903</v>
      </c>
      <c r="G71" s="60">
        <v>1.2988433315839101</v>
      </c>
      <c r="H71" s="61">
        <v>5.4936111111111101</v>
      </c>
      <c r="I71" s="63">
        <v>5.73</v>
      </c>
      <c r="J71" s="58">
        <v>0.23638888888889031</v>
      </c>
      <c r="K71" s="58">
        <v>4.3029782070081675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78</v>
      </c>
      <c r="D72" s="1" t="s">
        <v>2</v>
      </c>
      <c r="E72" s="59" t="s">
        <v>16</v>
      </c>
      <c r="F72" s="60">
        <v>4.2545000000000002</v>
      </c>
      <c r="G72" s="60">
        <v>0.43491349714627098</v>
      </c>
      <c r="H72" s="61">
        <v>4.3241025641025601</v>
      </c>
      <c r="I72" s="63">
        <v>4.24</v>
      </c>
      <c r="J72" s="58">
        <v>-8.4102564102559896E-2</v>
      </c>
      <c r="K72" s="58">
        <v>-1.9449715370018019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78</v>
      </c>
      <c r="D73" s="1" t="s">
        <v>2</v>
      </c>
      <c r="E73" s="59" t="s">
        <v>17</v>
      </c>
      <c r="F73" s="60">
        <v>4.5</v>
      </c>
      <c r="G73" s="60">
        <v>0.96028641560734296</v>
      </c>
      <c r="H73" s="61">
        <v>4.7966666666666598</v>
      </c>
      <c r="I73" s="63">
        <v>4.45</v>
      </c>
      <c r="J73" s="58">
        <v>-0.34666666666665957</v>
      </c>
      <c r="K73" s="58">
        <v>-7.2272411396801957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78</v>
      </c>
      <c r="D74" s="1" t="s">
        <v>2</v>
      </c>
      <c r="E74" s="59" t="s">
        <v>18</v>
      </c>
      <c r="F74" s="60">
        <v>1.7476923076923001</v>
      </c>
      <c r="G74" s="60">
        <v>1.9008977428564701E-2</v>
      </c>
      <c r="H74" s="61">
        <v>1.7490322580645099</v>
      </c>
      <c r="I74" s="63">
        <v>1.61</v>
      </c>
      <c r="J74" s="58">
        <v>-0.13903225806450981</v>
      </c>
      <c r="K74" s="58">
        <v>-7.9490962744371441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78</v>
      </c>
      <c r="D75" s="1" t="s">
        <v>2</v>
      </c>
      <c r="E75" s="59" t="s">
        <v>19</v>
      </c>
      <c r="F75" s="60">
        <v>2.2570000000000001</v>
      </c>
      <c r="G75" s="60">
        <v>0.48999081624046797</v>
      </c>
      <c r="H75" s="61">
        <v>2.2533333333333299</v>
      </c>
      <c r="I75" s="63">
        <v>2.42</v>
      </c>
      <c r="J75" s="58">
        <v>0.16666666666667007</v>
      </c>
      <c r="K75" s="58">
        <v>7.3964497041421744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78</v>
      </c>
      <c r="D77" s="1" t="s">
        <v>2</v>
      </c>
      <c r="E77" s="59" t="s">
        <v>12</v>
      </c>
      <c r="F77" s="60">
        <v>5.3217777777777702</v>
      </c>
      <c r="G77" s="60">
        <v>0.55962403605313005</v>
      </c>
      <c r="H77" s="61">
        <v>5.4680952380952297</v>
      </c>
      <c r="I77" s="62">
        <v>5.47</v>
      </c>
      <c r="J77" s="37">
        <v>1.9047619047700692E-3</v>
      </c>
      <c r="K77" s="37">
        <v>3.4834102586581484E-2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78</v>
      </c>
      <c r="D78" s="1" t="s">
        <v>2</v>
      </c>
      <c r="E78" s="59" t="s">
        <v>13</v>
      </c>
      <c r="F78" s="60">
        <v>5.7068888888888898</v>
      </c>
      <c r="G78" s="60">
        <v>0.75279574394304705</v>
      </c>
      <c r="H78" s="61">
        <v>5.8506976744186003</v>
      </c>
      <c r="I78" s="62">
        <v>5.98</v>
      </c>
      <c r="J78" s="37">
        <v>0.12930232558140009</v>
      </c>
      <c r="K78" s="37">
        <v>2.2100325940059657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78</v>
      </c>
      <c r="D79" s="1" t="s">
        <v>2</v>
      </c>
      <c r="E79" s="59" t="s">
        <v>14</v>
      </c>
      <c r="F79" s="60">
        <v>2.31355555555555</v>
      </c>
      <c r="G79" s="60">
        <v>0.496571156613276</v>
      </c>
      <c r="H79" s="61">
        <v>2.4660975609756002</v>
      </c>
      <c r="I79" s="62">
        <v>2.41</v>
      </c>
      <c r="J79" s="37">
        <v>-5.6097560975600036E-2</v>
      </c>
      <c r="K79" s="37">
        <v>-2.2747502719806256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78</v>
      </c>
      <c r="D80" s="1" t="s">
        <v>2</v>
      </c>
      <c r="E80" s="59" t="s">
        <v>15</v>
      </c>
      <c r="F80" s="60">
        <v>3.6784444444444402</v>
      </c>
      <c r="G80" s="60">
        <v>0.55826698334341596</v>
      </c>
      <c r="H80" s="61">
        <v>3.7934883720930199</v>
      </c>
      <c r="I80" s="62">
        <v>3.91</v>
      </c>
      <c r="J80" s="37">
        <v>0.11651162790698022</v>
      </c>
      <c r="K80" s="37">
        <v>3.0713585090731694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78</v>
      </c>
      <c r="D81" s="1" t="s">
        <v>2</v>
      </c>
      <c r="E81" s="59" t="s">
        <v>16</v>
      </c>
      <c r="F81" s="60">
        <v>4.5511111111111102</v>
      </c>
      <c r="G81" s="60">
        <v>0.659205657413095</v>
      </c>
      <c r="H81" s="61">
        <v>4.6499999999999897</v>
      </c>
      <c r="I81" s="62">
        <v>4.76</v>
      </c>
      <c r="J81" s="37">
        <v>0.11000000000001009</v>
      </c>
      <c r="K81" s="37">
        <v>2.3655913978496845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78</v>
      </c>
      <c r="D82" s="1" t="s">
        <v>2</v>
      </c>
      <c r="E82" s="59" t="s">
        <v>17</v>
      </c>
      <c r="F82" s="60">
        <v>1.24444444444444</v>
      </c>
      <c r="G82" s="60">
        <v>9.3608061275738702E-2</v>
      </c>
      <c r="H82" s="61">
        <v>1.2584090909090899</v>
      </c>
      <c r="I82" s="62">
        <v>1.37</v>
      </c>
      <c r="J82" s="37">
        <v>0.11159090909091018</v>
      </c>
      <c r="K82" s="37">
        <v>8.86761784359771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78</v>
      </c>
      <c r="D83" s="1" t="s">
        <v>2</v>
      </c>
      <c r="E83" s="59" t="s">
        <v>18</v>
      </c>
      <c r="F83" s="60">
        <v>3.7161363636363598</v>
      </c>
      <c r="G83" s="60">
        <v>0.87597534188284998</v>
      </c>
      <c r="H83" s="61">
        <v>4.0502631578947303</v>
      </c>
      <c r="I83" s="62">
        <v>3.98</v>
      </c>
      <c r="J83" s="37">
        <v>-7.0263157894730366E-2</v>
      </c>
      <c r="K83" s="37">
        <v>-1.7347800662723396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78</v>
      </c>
      <c r="D84" s="1" t="s">
        <v>2</v>
      </c>
      <c r="E84" s="59" t="s">
        <v>19</v>
      </c>
      <c r="F84" s="60"/>
      <c r="G84" s="60"/>
      <c r="H84" s="61"/>
      <c r="I84" s="62"/>
      <c r="J84" s="37"/>
      <c r="K84" s="37"/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78</v>
      </c>
      <c r="D85" s="1" t="s">
        <v>2</v>
      </c>
      <c r="E85" s="59" t="s">
        <v>12</v>
      </c>
      <c r="F85" s="60">
        <v>5.3217777777777702</v>
      </c>
      <c r="G85" s="60">
        <v>0.55962403605313005</v>
      </c>
      <c r="H85" s="61">
        <v>5.4680952380952297</v>
      </c>
      <c r="I85" s="62">
        <v>5.41</v>
      </c>
      <c r="J85" s="37">
        <v>-5.809523809522954E-2</v>
      </c>
      <c r="K85" s="37">
        <v>-1.0624401288860246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78</v>
      </c>
      <c r="D86" s="1" t="s">
        <v>2</v>
      </c>
      <c r="E86" s="59" t="s">
        <v>13</v>
      </c>
      <c r="F86" s="60">
        <v>5.7068888888888898</v>
      </c>
      <c r="G86" s="60">
        <v>0.75279574394304705</v>
      </c>
      <c r="H86" s="61">
        <v>5.8506976744186003</v>
      </c>
      <c r="I86" s="62">
        <v>5.96</v>
      </c>
      <c r="J86" s="37">
        <v>0.10930232558139963</v>
      </c>
      <c r="K86" s="37">
        <v>1.8681930201129613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78</v>
      </c>
      <c r="D87" s="1" t="s">
        <v>2</v>
      </c>
      <c r="E87" s="59" t="s">
        <v>14</v>
      </c>
      <c r="F87" s="60">
        <v>2.31355555555555</v>
      </c>
      <c r="G87" s="60">
        <v>0.496571156613276</v>
      </c>
      <c r="H87" s="61">
        <v>2.4660975609756002</v>
      </c>
      <c r="I87" s="62">
        <v>2.4300000000000002</v>
      </c>
      <c r="J87" s="37">
        <v>-3.6097560975600018E-2</v>
      </c>
      <c r="K87" s="37">
        <v>-1.4637523489265221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78</v>
      </c>
      <c r="D88" s="1" t="s">
        <v>2</v>
      </c>
      <c r="E88" s="59" t="s">
        <v>15</v>
      </c>
      <c r="F88" s="60">
        <v>3.6784444444444402</v>
      </c>
      <c r="G88" s="60">
        <v>0.55826698334341596</v>
      </c>
      <c r="H88" s="61">
        <v>3.7934883720930199</v>
      </c>
      <c r="I88" s="62">
        <v>3.89</v>
      </c>
      <c r="J88" s="37">
        <v>9.6511627906980202E-2</v>
      </c>
      <c r="K88" s="37">
        <v>2.5441392839628199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78</v>
      </c>
      <c r="D89" s="1" t="s">
        <v>2</v>
      </c>
      <c r="E89" s="59" t="s">
        <v>16</v>
      </c>
      <c r="F89" s="60">
        <v>4.5511111111111102</v>
      </c>
      <c r="G89" s="60">
        <v>0.659205657413095</v>
      </c>
      <c r="H89" s="61">
        <v>4.6499999999999897</v>
      </c>
      <c r="I89" s="62">
        <v>4.78</v>
      </c>
      <c r="J89" s="37">
        <v>0.13000000000001055</v>
      </c>
      <c r="K89" s="37">
        <v>2.7956989247314161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78</v>
      </c>
      <c r="D90" s="1" t="s">
        <v>2</v>
      </c>
      <c r="E90" s="59" t="s">
        <v>17</v>
      </c>
      <c r="F90" s="60">
        <v>1.24444444444444</v>
      </c>
      <c r="G90" s="60">
        <v>9.3608061275738702E-2</v>
      </c>
      <c r="H90" s="61">
        <v>1.2584090909090899</v>
      </c>
      <c r="I90" s="62">
        <v>1.38</v>
      </c>
      <c r="J90" s="37">
        <v>0.12159090909090997</v>
      </c>
      <c r="K90" s="37">
        <v>9.6622719884414714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78</v>
      </c>
      <c r="D91" s="1" t="s">
        <v>2</v>
      </c>
      <c r="E91" s="59" t="s">
        <v>18</v>
      </c>
      <c r="F91" s="60">
        <v>3.7161363636363598</v>
      </c>
      <c r="G91" s="60">
        <v>0.87597534188284998</v>
      </c>
      <c r="H91" s="61">
        <v>4.0502631578947303</v>
      </c>
      <c r="I91" s="62">
        <v>4.01</v>
      </c>
      <c r="J91" s="37">
        <v>-4.0263157894730561E-2</v>
      </c>
      <c r="K91" s="37">
        <v>-0.99408745370655816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78</v>
      </c>
      <c r="D92" s="1" t="s">
        <v>2</v>
      </c>
      <c r="E92" s="59" t="s">
        <v>19</v>
      </c>
      <c r="F92" s="60"/>
      <c r="G92" s="60"/>
      <c r="H92" s="61"/>
      <c r="I92" s="62"/>
      <c r="J92" s="37"/>
      <c r="K92" s="37"/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78</v>
      </c>
      <c r="D93" s="1" t="s">
        <v>2</v>
      </c>
      <c r="E93" s="59" t="s">
        <v>12</v>
      </c>
      <c r="F93" s="60">
        <v>5.3217777777777702</v>
      </c>
      <c r="G93" s="60">
        <v>0.55962403605313005</v>
      </c>
      <c r="H93" s="61">
        <v>5.4680952380952297</v>
      </c>
      <c r="I93" s="62">
        <v>5.45</v>
      </c>
      <c r="J93" s="37">
        <v>-1.8095238095229504E-2</v>
      </c>
      <c r="K93" s="37">
        <v>-0.33092397457094852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78</v>
      </c>
      <c r="D94" s="1" t="s">
        <v>2</v>
      </c>
      <c r="E94" s="59" t="s">
        <v>13</v>
      </c>
      <c r="F94" s="60">
        <v>5.7068888888888898</v>
      </c>
      <c r="G94" s="60">
        <v>0.75279574394304705</v>
      </c>
      <c r="H94" s="61">
        <v>5.8506976744186003</v>
      </c>
      <c r="I94" s="62">
        <v>6.03</v>
      </c>
      <c r="J94" s="37">
        <v>0.17930232558139991</v>
      </c>
      <c r="K94" s="37">
        <v>3.0646315287384538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78</v>
      </c>
      <c r="D95" s="1" t="s">
        <v>2</v>
      </c>
      <c r="E95" s="59" t="s">
        <v>14</v>
      </c>
      <c r="F95" s="60">
        <v>2.31355555555555</v>
      </c>
      <c r="G95" s="60">
        <v>0.496571156613276</v>
      </c>
      <c r="H95" s="61">
        <v>2.4660975609756002</v>
      </c>
      <c r="I95" s="62">
        <v>2.4500000000000002</v>
      </c>
      <c r="J95" s="37">
        <v>-1.60975609756E-2</v>
      </c>
      <c r="K95" s="37">
        <v>-0.65275442587241872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78</v>
      </c>
      <c r="D96" s="1" t="s">
        <v>2</v>
      </c>
      <c r="E96" s="59" t="s">
        <v>15</v>
      </c>
      <c r="F96" s="60">
        <v>3.6784444444444402</v>
      </c>
      <c r="G96" s="60">
        <v>0.55826698334341596</v>
      </c>
      <c r="H96" s="61">
        <v>3.7934883720930199</v>
      </c>
      <c r="I96" s="62">
        <v>3.92</v>
      </c>
      <c r="J96" s="37">
        <v>0.12651162790698001</v>
      </c>
      <c r="K96" s="37">
        <v>3.334968121628338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78</v>
      </c>
      <c r="D97" s="1" t="s">
        <v>2</v>
      </c>
      <c r="E97" s="59" t="s">
        <v>16</v>
      </c>
      <c r="F97" s="60">
        <v>4.5511111111111102</v>
      </c>
      <c r="G97" s="60">
        <v>0.659205657413095</v>
      </c>
      <c r="H97" s="61">
        <v>4.6499999999999897</v>
      </c>
      <c r="I97" s="62">
        <v>4.83</v>
      </c>
      <c r="J97" s="37">
        <v>0.18000000000001037</v>
      </c>
      <c r="K97" s="37">
        <v>3.8709677419357158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78</v>
      </c>
      <c r="D98" s="1" t="s">
        <v>2</v>
      </c>
      <c r="E98" s="59" t="s">
        <v>17</v>
      </c>
      <c r="F98" s="60">
        <v>1.24444444444444</v>
      </c>
      <c r="G98" s="60">
        <v>9.3608061275738702E-2</v>
      </c>
      <c r="H98" s="61">
        <v>1.2584090909090899</v>
      </c>
      <c r="I98" s="62">
        <v>1.4</v>
      </c>
      <c r="J98" s="37">
        <v>0.14159090909090999</v>
      </c>
      <c r="K98" s="37">
        <v>11.251580278129031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78</v>
      </c>
      <c r="D99" s="1" t="s">
        <v>2</v>
      </c>
      <c r="E99" s="59" t="s">
        <v>18</v>
      </c>
      <c r="F99" s="60">
        <v>3.7161363636363598</v>
      </c>
      <c r="G99" s="60">
        <v>0.87597534188284998</v>
      </c>
      <c r="H99" s="61">
        <v>4.0502631578947303</v>
      </c>
      <c r="I99" s="62">
        <v>3.97</v>
      </c>
      <c r="J99" s="37">
        <v>-8.0263157894730153E-2</v>
      </c>
      <c r="K99" s="37">
        <v>-1.9816776037942634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78</v>
      </c>
      <c r="D100" s="1" t="s">
        <v>2</v>
      </c>
      <c r="E100" s="59" t="s">
        <v>19</v>
      </c>
      <c r="F100" s="60"/>
      <c r="G100" s="60"/>
      <c r="H100" s="61"/>
      <c r="I100" s="62"/>
      <c r="J100" s="37"/>
      <c r="K100" s="37"/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78</v>
      </c>
      <c r="D102" s="1" t="s">
        <v>2</v>
      </c>
      <c r="E102" s="59" t="s">
        <v>12</v>
      </c>
      <c r="F102" s="60">
        <v>5.2559999999999896</v>
      </c>
      <c r="G102" s="60">
        <v>0.92708791384636202</v>
      </c>
      <c r="H102" s="61">
        <v>5.4682978723404201</v>
      </c>
      <c r="I102" s="62">
        <v>5.47</v>
      </c>
      <c r="J102" s="37">
        <v>1.7021276595796664E-3</v>
      </c>
      <c r="K102" s="37">
        <v>3.1127193494511651E-2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78</v>
      </c>
      <c r="D103" s="1" t="s">
        <v>2</v>
      </c>
      <c r="E103" s="59" t="s">
        <v>13</v>
      </c>
      <c r="F103" s="60">
        <v>5.6849999999999996</v>
      </c>
      <c r="G103" s="60">
        <v>0.685548685360857</v>
      </c>
      <c r="H103" s="61">
        <v>5.85234042553191</v>
      </c>
      <c r="I103" s="62">
        <v>5.98</v>
      </c>
      <c r="J103" s="37">
        <v>0.1276595744680904</v>
      </c>
      <c r="K103" s="37">
        <v>2.1813422525995252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78</v>
      </c>
      <c r="D104" s="1" t="s">
        <v>2</v>
      </c>
      <c r="E104" s="59" t="s">
        <v>14</v>
      </c>
      <c r="F104" s="60">
        <v>2.3617999999999899</v>
      </c>
      <c r="G104" s="60">
        <v>0.39441952284338</v>
      </c>
      <c r="H104" s="61">
        <v>2.4639130434782599</v>
      </c>
      <c r="I104" s="62">
        <v>2.41</v>
      </c>
      <c r="J104" s="37">
        <v>-5.3913043478259759E-2</v>
      </c>
      <c r="K104" s="37">
        <v>-2.1881065819657226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78</v>
      </c>
      <c r="D105" s="1" t="s">
        <v>2</v>
      </c>
      <c r="E105" s="59" t="s">
        <v>15</v>
      </c>
      <c r="F105" s="60">
        <v>3.5783999999999998</v>
      </c>
      <c r="G105" s="60">
        <v>0.73386200337665597</v>
      </c>
      <c r="H105" s="61">
        <v>3.7926086956521701</v>
      </c>
      <c r="I105" s="62">
        <v>3.91</v>
      </c>
      <c r="J105" s="37">
        <v>0.11739130434783007</v>
      </c>
      <c r="K105" s="37">
        <v>3.0952653903474658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78</v>
      </c>
      <c r="D106" s="1" t="s">
        <v>2</v>
      </c>
      <c r="E106" s="59" t="s">
        <v>16</v>
      </c>
      <c r="F106" s="60">
        <v>4.4161999999999999</v>
      </c>
      <c r="G106" s="60">
        <v>0.752653678659714</v>
      </c>
      <c r="H106" s="61">
        <v>4.6551111111111103</v>
      </c>
      <c r="I106" s="62">
        <v>4.76</v>
      </c>
      <c r="J106" s="37">
        <v>0.10488888888888948</v>
      </c>
      <c r="K106" s="37">
        <v>2.2531983960282735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78</v>
      </c>
      <c r="D107" s="1" t="s">
        <v>2</v>
      </c>
      <c r="E107" s="59" t="s">
        <v>17</v>
      </c>
      <c r="F107" s="60">
        <v>1.2374000000000001</v>
      </c>
      <c r="G107" s="60">
        <v>0.13173928798957399</v>
      </c>
      <c r="H107" s="61">
        <v>1.2561224489795899</v>
      </c>
      <c r="I107" s="62">
        <v>1.37</v>
      </c>
      <c r="J107" s="37">
        <v>0.11387755102041019</v>
      </c>
      <c r="K107" s="37">
        <v>9.0658001624697135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78</v>
      </c>
      <c r="D108" s="1" t="s">
        <v>2</v>
      </c>
      <c r="E108" s="59" t="s">
        <v>18</v>
      </c>
      <c r="F108" s="60">
        <v>3.9785714285714202</v>
      </c>
      <c r="G108" s="60">
        <v>0.37463996321910997</v>
      </c>
      <c r="H108" s="61">
        <v>4.0434042553191496</v>
      </c>
      <c r="I108" s="62">
        <v>3.98</v>
      </c>
      <c r="J108" s="37">
        <v>-6.3404255319149616E-2</v>
      </c>
      <c r="K108" s="37">
        <v>-1.5680909282256534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78</v>
      </c>
      <c r="D109" s="1" t="s">
        <v>2</v>
      </c>
      <c r="E109" s="59" t="s">
        <v>19</v>
      </c>
      <c r="F109" s="60"/>
      <c r="G109" s="60"/>
      <c r="H109" s="61"/>
      <c r="I109" s="62"/>
      <c r="J109" s="37"/>
      <c r="K109" s="37"/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78</v>
      </c>
      <c r="D110" s="1" t="s">
        <v>2</v>
      </c>
      <c r="E110" s="59" t="s">
        <v>12</v>
      </c>
      <c r="F110" s="60">
        <v>5.2559999999999896</v>
      </c>
      <c r="G110" s="60">
        <v>0.92708791384636202</v>
      </c>
      <c r="H110" s="61">
        <v>5.4682978723404201</v>
      </c>
      <c r="I110" s="62">
        <v>5.41</v>
      </c>
      <c r="J110" s="37">
        <v>-5.8297872340419943E-2</v>
      </c>
      <c r="K110" s="37">
        <v>-1.0661063771836661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78</v>
      </c>
      <c r="D111" s="1" t="s">
        <v>2</v>
      </c>
      <c r="E111" s="59" t="s">
        <v>13</v>
      </c>
      <c r="F111" s="60">
        <v>5.6849999999999996</v>
      </c>
      <c r="G111" s="60">
        <v>0.685548685360857</v>
      </c>
      <c r="H111" s="61">
        <v>5.85234042553191</v>
      </c>
      <c r="I111" s="62">
        <v>5.96</v>
      </c>
      <c r="J111" s="37">
        <v>0.10765957446808994</v>
      </c>
      <c r="K111" s="37">
        <v>1.8395986330256058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78</v>
      </c>
      <c r="D112" s="1" t="s">
        <v>2</v>
      </c>
      <c r="E112" s="59" t="s">
        <v>14</v>
      </c>
      <c r="F112" s="60">
        <v>2.3617999999999899</v>
      </c>
      <c r="G112" s="60">
        <v>0.39441952284338</v>
      </c>
      <c r="H112" s="61">
        <v>2.4639130434782599</v>
      </c>
      <c r="I112" s="62">
        <v>2.4300000000000002</v>
      </c>
      <c r="J112" s="37">
        <v>-3.3913043478259741E-2</v>
      </c>
      <c r="K112" s="37">
        <v>-1.3763896241397111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78</v>
      </c>
      <c r="D113" s="1" t="s">
        <v>2</v>
      </c>
      <c r="E113" s="59" t="s">
        <v>15</v>
      </c>
      <c r="F113" s="60">
        <v>3.5783999999999998</v>
      </c>
      <c r="G113" s="60">
        <v>0.73386200337665597</v>
      </c>
      <c r="H113" s="61">
        <v>3.7926086956521701</v>
      </c>
      <c r="I113" s="62">
        <v>3.89</v>
      </c>
      <c r="J113" s="37">
        <v>9.7391304347830054E-2</v>
      </c>
      <c r="K113" s="37">
        <v>2.5679238793993964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78</v>
      </c>
      <c r="D114" s="1" t="s">
        <v>2</v>
      </c>
      <c r="E114" s="59" t="s">
        <v>16</v>
      </c>
      <c r="F114" s="60">
        <v>4.4161999999999999</v>
      </c>
      <c r="G114" s="60">
        <v>0.752653678659714</v>
      </c>
      <c r="H114" s="61">
        <v>4.6551111111111103</v>
      </c>
      <c r="I114" s="62">
        <v>4.78</v>
      </c>
      <c r="J114" s="37">
        <v>0.12488888888888994</v>
      </c>
      <c r="K114" s="37">
        <v>2.6828336834065531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78</v>
      </c>
      <c r="D115" s="1" t="s">
        <v>2</v>
      </c>
      <c r="E115" s="59" t="s">
        <v>17</v>
      </c>
      <c r="F115" s="60">
        <v>1.2374000000000001</v>
      </c>
      <c r="G115" s="60">
        <v>0.13173928798957399</v>
      </c>
      <c r="H115" s="61">
        <v>1.2561224489795899</v>
      </c>
      <c r="I115" s="62">
        <v>1.38</v>
      </c>
      <c r="J115" s="37">
        <v>0.12387755102040998</v>
      </c>
      <c r="K115" s="37">
        <v>9.8619008935826127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78</v>
      </c>
      <c r="D116" s="1" t="s">
        <v>2</v>
      </c>
      <c r="E116" s="59" t="s">
        <v>18</v>
      </c>
      <c r="F116" s="60">
        <v>3.9785714285714202</v>
      </c>
      <c r="G116" s="60">
        <v>0.37463996321910997</v>
      </c>
      <c r="H116" s="61">
        <v>4.0434042553191496</v>
      </c>
      <c r="I116" s="62">
        <v>4.01</v>
      </c>
      <c r="J116" s="37">
        <v>-3.3404255319149811E-2</v>
      </c>
      <c r="K116" s="37">
        <v>-0.82614186487057506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78</v>
      </c>
      <c r="D117" s="1" t="s">
        <v>2</v>
      </c>
      <c r="E117" s="59" t="s">
        <v>19</v>
      </c>
      <c r="F117" s="60"/>
      <c r="G117" s="60"/>
      <c r="H117" s="61"/>
      <c r="I117" s="62"/>
      <c r="J117" s="37"/>
      <c r="K117" s="37"/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78</v>
      </c>
      <c r="D118" s="1" t="s">
        <v>2</v>
      </c>
      <c r="E118" s="59" t="s">
        <v>12</v>
      </c>
      <c r="F118" s="60">
        <v>5.2559999999999896</v>
      </c>
      <c r="G118" s="60">
        <v>0.92708791384636202</v>
      </c>
      <c r="H118" s="61">
        <v>5.4682978723404201</v>
      </c>
      <c r="I118" s="62">
        <v>5.45</v>
      </c>
      <c r="J118" s="37">
        <v>-1.8297872340419907E-2</v>
      </c>
      <c r="K118" s="37">
        <v>-0.33461733006487548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78</v>
      </c>
      <c r="D119" s="1" t="s">
        <v>2</v>
      </c>
      <c r="E119" s="59" t="s">
        <v>13</v>
      </c>
      <c r="F119" s="60">
        <v>5.6849999999999996</v>
      </c>
      <c r="G119" s="60">
        <v>0.685548685360857</v>
      </c>
      <c r="H119" s="61">
        <v>5.85234042553191</v>
      </c>
      <c r="I119" s="62">
        <v>6.03</v>
      </c>
      <c r="J119" s="37">
        <v>0.17765957446809022</v>
      </c>
      <c r="K119" s="37">
        <v>3.0357013015343006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78</v>
      </c>
      <c r="D120" s="1" t="s">
        <v>2</v>
      </c>
      <c r="E120" s="59" t="s">
        <v>14</v>
      </c>
      <c r="F120" s="60">
        <v>2.3617999999999899</v>
      </c>
      <c r="G120" s="60">
        <v>0.39441952284338</v>
      </c>
      <c r="H120" s="61">
        <v>2.4639130434782599</v>
      </c>
      <c r="I120" s="62">
        <v>2.4500000000000002</v>
      </c>
      <c r="J120" s="37">
        <v>-1.3913043478259723E-2</v>
      </c>
      <c r="K120" s="37">
        <v>-0.56467266631369994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78</v>
      </c>
      <c r="D121" s="1" t="s">
        <v>2</v>
      </c>
      <c r="E121" s="59" t="s">
        <v>15</v>
      </c>
      <c r="F121" s="60">
        <v>3.5783999999999998</v>
      </c>
      <c r="G121" s="60">
        <v>0.73386200337665597</v>
      </c>
      <c r="H121" s="61">
        <v>3.7926086956521701</v>
      </c>
      <c r="I121" s="62">
        <v>3.92</v>
      </c>
      <c r="J121" s="37">
        <v>0.12739130434782986</v>
      </c>
      <c r="K121" s="37">
        <v>3.3589361458214944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78</v>
      </c>
      <c r="D122" s="1" t="s">
        <v>2</v>
      </c>
      <c r="E122" s="59" t="s">
        <v>16</v>
      </c>
      <c r="F122" s="60">
        <v>4.4161999999999999</v>
      </c>
      <c r="G122" s="60">
        <v>0.752653678659714</v>
      </c>
      <c r="H122" s="61">
        <v>4.6551111111111103</v>
      </c>
      <c r="I122" s="62">
        <v>4.83</v>
      </c>
      <c r="J122" s="37">
        <v>0.17488888888888976</v>
      </c>
      <c r="K122" s="37">
        <v>3.7569219018522246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78</v>
      </c>
      <c r="D123" s="1" t="s">
        <v>2</v>
      </c>
      <c r="E123" s="59" t="s">
        <v>17</v>
      </c>
      <c r="F123" s="60">
        <v>1.2374000000000001</v>
      </c>
      <c r="G123" s="60">
        <v>0.13173928798957399</v>
      </c>
      <c r="H123" s="61">
        <v>1.2561224489795899</v>
      </c>
      <c r="I123" s="62">
        <v>1.4</v>
      </c>
      <c r="J123" s="37">
        <v>0.14387755102041</v>
      </c>
      <c r="K123" s="37">
        <v>11.45410235580845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78</v>
      </c>
      <c r="D124" s="1" t="s">
        <v>2</v>
      </c>
      <c r="E124" s="59" t="s">
        <v>18</v>
      </c>
      <c r="F124" s="60">
        <v>3.9785714285714202</v>
      </c>
      <c r="G124" s="60">
        <v>0.37463996321910997</v>
      </c>
      <c r="H124" s="61">
        <v>4.0434042553191496</v>
      </c>
      <c r="I124" s="62">
        <v>3.97</v>
      </c>
      <c r="J124" s="37">
        <v>-7.3404255319149403E-2</v>
      </c>
      <c r="K124" s="37">
        <v>-1.8154072826773424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78</v>
      </c>
      <c r="D125" s="1" t="s">
        <v>2</v>
      </c>
      <c r="E125" s="59" t="s">
        <v>19</v>
      </c>
      <c r="F125" s="60"/>
      <c r="G125" s="60"/>
      <c r="H125" s="61"/>
      <c r="I125" s="62"/>
      <c r="J125" s="37"/>
      <c r="K125" s="37"/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78</v>
      </c>
      <c r="D127" s="1" t="s">
        <v>2</v>
      </c>
      <c r="E127" s="59" t="s">
        <v>12</v>
      </c>
      <c r="F127" s="60">
        <v>5.3437999999999999</v>
      </c>
      <c r="G127" s="60">
        <v>0.67599967455613397</v>
      </c>
      <c r="H127" s="61">
        <v>5.4658333333333298</v>
      </c>
      <c r="I127" s="63">
        <v>5.47</v>
      </c>
      <c r="J127" s="58">
        <v>4.1666666666699825E-3</v>
      </c>
      <c r="K127" s="58">
        <v>7.623113279469404E-2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78</v>
      </c>
      <c r="D128" s="1" t="s">
        <v>2</v>
      </c>
      <c r="E128" s="59" t="s">
        <v>13</v>
      </c>
      <c r="F128" s="60">
        <v>5.3196000000000003</v>
      </c>
      <c r="G128" s="60">
        <v>1.44789773119512</v>
      </c>
      <c r="H128" s="61">
        <v>5.8327272727272703</v>
      </c>
      <c r="I128" s="63">
        <v>5.98</v>
      </c>
      <c r="J128" s="58">
        <v>0.14727272727273011</v>
      </c>
      <c r="K128" s="58">
        <v>2.5249376558603984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78</v>
      </c>
      <c r="D129" s="1" t="s">
        <v>2</v>
      </c>
      <c r="E129" s="59" t="s">
        <v>14</v>
      </c>
      <c r="F129" s="60">
        <v>2.3801999999999999</v>
      </c>
      <c r="G129" s="60">
        <v>0.33429023318068901</v>
      </c>
      <c r="H129" s="61">
        <v>2.45723404255319</v>
      </c>
      <c r="I129" s="63">
        <v>2.41</v>
      </c>
      <c r="J129" s="58">
        <v>-4.7234042553189859E-2</v>
      </c>
      <c r="K129" s="58">
        <v>-1.9222443501601219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78</v>
      </c>
      <c r="D130" s="1" t="s">
        <v>2</v>
      </c>
      <c r="E130" s="59" t="s">
        <v>15</v>
      </c>
      <c r="F130" s="60">
        <v>3.5933999999999999</v>
      </c>
      <c r="G130" s="60">
        <v>0.68171140521484497</v>
      </c>
      <c r="H130" s="61">
        <v>3.7895652173913001</v>
      </c>
      <c r="I130" s="63">
        <v>3.91</v>
      </c>
      <c r="J130" s="58">
        <v>0.1204347826087</v>
      </c>
      <c r="K130" s="58">
        <v>3.1780633318036982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78</v>
      </c>
      <c r="D131" s="1" t="s">
        <v>2</v>
      </c>
      <c r="E131" s="59" t="s">
        <v>16</v>
      </c>
      <c r="F131" s="60">
        <v>4.5481999999999996</v>
      </c>
      <c r="G131" s="60">
        <v>0.648918145839673</v>
      </c>
      <c r="H131" s="61">
        <v>4.6399999999999899</v>
      </c>
      <c r="I131" s="63">
        <v>4.76</v>
      </c>
      <c r="J131" s="58">
        <v>0.12000000000000988</v>
      </c>
      <c r="K131" s="58">
        <v>2.5862068965519427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78</v>
      </c>
      <c r="D132" s="1" t="s">
        <v>2</v>
      </c>
      <c r="E132" s="59" t="s">
        <v>17</v>
      </c>
      <c r="F132" s="60">
        <v>1.2363999999999999</v>
      </c>
      <c r="G132" s="60">
        <v>0.14099304947407801</v>
      </c>
      <c r="H132" s="61">
        <v>1.25979166666666</v>
      </c>
      <c r="I132" s="63">
        <v>1.37</v>
      </c>
      <c r="J132" s="58">
        <v>0.11020833333334012</v>
      </c>
      <c r="K132" s="58">
        <v>8.7481395733427387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78</v>
      </c>
      <c r="D133" s="1" t="s">
        <v>2</v>
      </c>
      <c r="E133" s="59" t="s">
        <v>18</v>
      </c>
      <c r="F133" s="60">
        <v>3.9426000000000001</v>
      </c>
      <c r="G133" s="60">
        <v>0.59667683045346998</v>
      </c>
      <c r="H133" s="61">
        <v>4.0639583333333302</v>
      </c>
      <c r="I133" s="63">
        <v>3.98</v>
      </c>
      <c r="J133" s="58">
        <v>-8.3958333333330248E-2</v>
      </c>
      <c r="K133" s="58">
        <v>-2.065925052545166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78</v>
      </c>
      <c r="D134" s="1" t="s">
        <v>2</v>
      </c>
      <c r="E134" s="59" t="s">
        <v>19</v>
      </c>
      <c r="F134" s="60"/>
      <c r="G134" s="60"/>
      <c r="H134" s="61"/>
      <c r="I134" s="63"/>
      <c r="J134" s="58"/>
      <c r="K134" s="58"/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78</v>
      </c>
      <c r="D135" s="1" t="s">
        <v>2</v>
      </c>
      <c r="E135" s="59" t="s">
        <v>12</v>
      </c>
      <c r="F135" s="60">
        <v>5.3437999999999999</v>
      </c>
      <c r="G135" s="60">
        <v>0.67599967455613397</v>
      </c>
      <c r="H135" s="61">
        <v>5.4658333333333298</v>
      </c>
      <c r="I135" s="63">
        <v>5.41</v>
      </c>
      <c r="J135" s="58">
        <v>-5.5833333333329627E-2</v>
      </c>
      <c r="K135" s="58">
        <v>-1.0214971794480194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78</v>
      </c>
      <c r="D136" s="1" t="s">
        <v>2</v>
      </c>
      <c r="E136" s="59" t="s">
        <v>13</v>
      </c>
      <c r="F136" s="60">
        <v>5.3196000000000003</v>
      </c>
      <c r="G136" s="60">
        <v>1.44789773119512</v>
      </c>
      <c r="H136" s="61">
        <v>5.8327272727272703</v>
      </c>
      <c r="I136" s="63">
        <v>5.96</v>
      </c>
      <c r="J136" s="58">
        <v>0.12727272727272965</v>
      </c>
      <c r="K136" s="58">
        <v>2.1820448877805902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78</v>
      </c>
      <c r="D137" s="1" t="s">
        <v>2</v>
      </c>
      <c r="E137" s="59" t="s">
        <v>14</v>
      </c>
      <c r="F137" s="60">
        <v>2.3801999999999999</v>
      </c>
      <c r="G137" s="60">
        <v>0.33429023318068901</v>
      </c>
      <c r="H137" s="61">
        <v>2.45723404255319</v>
      </c>
      <c r="I137" s="63">
        <v>2.4300000000000002</v>
      </c>
      <c r="J137" s="58">
        <v>-2.7234042553189841E-2</v>
      </c>
      <c r="K137" s="58">
        <v>-1.1083210667589602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78</v>
      </c>
      <c r="D138" s="1" t="s">
        <v>2</v>
      </c>
      <c r="E138" s="59" t="s">
        <v>15</v>
      </c>
      <c r="F138" s="60">
        <v>3.5933999999999999</v>
      </c>
      <c r="G138" s="60">
        <v>0.68171140521484497</v>
      </c>
      <c r="H138" s="61">
        <v>3.7895652173913001</v>
      </c>
      <c r="I138" s="63">
        <v>3.89</v>
      </c>
      <c r="J138" s="58">
        <v>0.10043478260869998</v>
      </c>
      <c r="K138" s="58">
        <v>2.6502983019734994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78</v>
      </c>
      <c r="D139" s="1" t="s">
        <v>2</v>
      </c>
      <c r="E139" s="59" t="s">
        <v>16</v>
      </c>
      <c r="F139" s="60">
        <v>4.5481999999999996</v>
      </c>
      <c r="G139" s="60">
        <v>0.648918145839673</v>
      </c>
      <c r="H139" s="61">
        <v>4.6399999999999899</v>
      </c>
      <c r="I139" s="63">
        <v>4.78</v>
      </c>
      <c r="J139" s="58">
        <v>0.14000000000001034</v>
      </c>
      <c r="K139" s="58">
        <v>3.0172413793105743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78</v>
      </c>
      <c r="D140" s="1" t="s">
        <v>2</v>
      </c>
      <c r="E140" s="59" t="s">
        <v>17</v>
      </c>
      <c r="F140" s="60">
        <v>1.2363999999999999</v>
      </c>
      <c r="G140" s="60">
        <v>0.14099304947407801</v>
      </c>
      <c r="H140" s="61">
        <v>1.25979166666666</v>
      </c>
      <c r="I140" s="63">
        <v>1.38</v>
      </c>
      <c r="J140" s="58">
        <v>0.12020833333333991</v>
      </c>
      <c r="K140" s="58">
        <v>9.541921614024055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78</v>
      </c>
      <c r="D141" s="1" t="s">
        <v>2</v>
      </c>
      <c r="E141" s="59" t="s">
        <v>18</v>
      </c>
      <c r="F141" s="60">
        <v>3.9426000000000001</v>
      </c>
      <c r="G141" s="60">
        <v>0.59667683045346998</v>
      </c>
      <c r="H141" s="61">
        <v>4.0639583333333302</v>
      </c>
      <c r="I141" s="63">
        <v>4.01</v>
      </c>
      <c r="J141" s="58">
        <v>-5.3958333333330444E-2</v>
      </c>
      <c r="K141" s="58">
        <v>-1.3277285077151091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78</v>
      </c>
      <c r="D142" s="1" t="s">
        <v>2</v>
      </c>
      <c r="E142" s="59" t="s">
        <v>19</v>
      </c>
      <c r="F142" s="60"/>
      <c r="G142" s="60"/>
      <c r="H142" s="61"/>
      <c r="I142" s="63"/>
      <c r="J142" s="58"/>
      <c r="K142" s="58"/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78</v>
      </c>
      <c r="D143" s="1" t="s">
        <v>2</v>
      </c>
      <c r="E143" s="59" t="s">
        <v>12</v>
      </c>
      <c r="F143" s="60">
        <v>5.3437999999999999</v>
      </c>
      <c r="G143" s="60">
        <v>0.67599967455613397</v>
      </c>
      <c r="H143" s="61">
        <v>5.4658333333333298</v>
      </c>
      <c r="I143" s="63">
        <v>5.45</v>
      </c>
      <c r="J143" s="58">
        <v>-1.5833333333329591E-2</v>
      </c>
      <c r="K143" s="58">
        <v>-0.28967830461953836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78</v>
      </c>
      <c r="D144" s="1" t="s">
        <v>2</v>
      </c>
      <c r="E144" s="59" t="s">
        <v>13</v>
      </c>
      <c r="F144" s="60">
        <v>5.3196000000000003</v>
      </c>
      <c r="G144" s="60">
        <v>1.44789773119512</v>
      </c>
      <c r="H144" s="61">
        <v>5.8327272727272703</v>
      </c>
      <c r="I144" s="63">
        <v>6.03</v>
      </c>
      <c r="J144" s="58">
        <v>0.19727272727272993</v>
      </c>
      <c r="K144" s="58">
        <v>3.3821695760598973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78</v>
      </c>
      <c r="D145" s="1" t="s">
        <v>2</v>
      </c>
      <c r="E145" s="59" t="s">
        <v>14</v>
      </c>
      <c r="F145" s="60">
        <v>2.3801999999999999</v>
      </c>
      <c r="G145" s="60">
        <v>0.33429023318068901</v>
      </c>
      <c r="H145" s="61">
        <v>2.45723404255319</v>
      </c>
      <c r="I145" s="63">
        <v>2.4500000000000002</v>
      </c>
      <c r="J145" s="58">
        <v>-7.2340425531898234E-3</v>
      </c>
      <c r="K145" s="58">
        <v>-0.29439778335779887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78</v>
      </c>
      <c r="D146" s="1" t="s">
        <v>2</v>
      </c>
      <c r="E146" s="59" t="s">
        <v>15</v>
      </c>
      <c r="F146" s="60">
        <v>3.5933999999999999</v>
      </c>
      <c r="G146" s="60">
        <v>0.68171140521484497</v>
      </c>
      <c r="H146" s="61">
        <v>3.7895652173913001</v>
      </c>
      <c r="I146" s="63">
        <v>3.92</v>
      </c>
      <c r="J146" s="58">
        <v>0.13043478260869978</v>
      </c>
      <c r="K146" s="58">
        <v>3.4419458467187916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78</v>
      </c>
      <c r="D147" s="1" t="s">
        <v>2</v>
      </c>
      <c r="E147" s="59" t="s">
        <v>16</v>
      </c>
      <c r="F147" s="60">
        <v>4.5481999999999996</v>
      </c>
      <c r="G147" s="60">
        <v>0.648918145839673</v>
      </c>
      <c r="H147" s="61">
        <v>4.6399999999999899</v>
      </c>
      <c r="I147" s="63">
        <v>4.83</v>
      </c>
      <c r="J147" s="58">
        <v>0.19000000000001016</v>
      </c>
      <c r="K147" s="58">
        <v>4.0948275862071251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78</v>
      </c>
      <c r="D148" s="1" t="s">
        <v>2</v>
      </c>
      <c r="E148" s="59" t="s">
        <v>17</v>
      </c>
      <c r="F148" s="60">
        <v>1.2363999999999999</v>
      </c>
      <c r="G148" s="60">
        <v>0.14099304947407801</v>
      </c>
      <c r="H148" s="61">
        <v>1.25979166666666</v>
      </c>
      <c r="I148" s="63">
        <v>1.4</v>
      </c>
      <c r="J148" s="58">
        <v>0.14020833333333993</v>
      </c>
      <c r="K148" s="58">
        <v>11.129485695386725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78</v>
      </c>
      <c r="D149" s="1" t="s">
        <v>2</v>
      </c>
      <c r="E149" s="59" t="s">
        <v>18</v>
      </c>
      <c r="F149" s="60">
        <v>3.9426000000000001</v>
      </c>
      <c r="G149" s="60">
        <v>0.59667683045346998</v>
      </c>
      <c r="H149" s="61">
        <v>4.0639583333333302</v>
      </c>
      <c r="I149" s="63">
        <v>3.97</v>
      </c>
      <c r="J149" s="58">
        <v>-9.3958333333330035E-2</v>
      </c>
      <c r="K149" s="58">
        <v>-2.3119905674885146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78</v>
      </c>
      <c r="D150" s="1" t="s">
        <v>2</v>
      </c>
      <c r="E150" s="59" t="s">
        <v>19</v>
      </c>
      <c r="F150" s="60"/>
      <c r="G150" s="60"/>
      <c r="H150" s="61"/>
      <c r="I150" s="63"/>
      <c r="J150" s="58"/>
      <c r="K150" s="58"/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78</v>
      </c>
      <c r="D152" s="1" t="s">
        <v>2</v>
      </c>
      <c r="E152" s="59" t="s">
        <v>12</v>
      </c>
      <c r="F152" s="60">
        <v>5.8297727272727196</v>
      </c>
      <c r="G152" s="60">
        <v>0.63710812781577697</v>
      </c>
      <c r="H152" s="61">
        <v>5.9649999999999901</v>
      </c>
      <c r="I152" s="62">
        <v>5.36</v>
      </c>
      <c r="J152" s="37">
        <v>-0.60499999999998977</v>
      </c>
      <c r="K152" s="37">
        <v>-10.142497904442427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78</v>
      </c>
      <c r="D153" s="1" t="s">
        <v>2</v>
      </c>
      <c r="E153" s="59" t="s">
        <v>13</v>
      </c>
      <c r="F153" s="60">
        <v>2.774</v>
      </c>
      <c r="G153" s="60">
        <v>0.133022972118018</v>
      </c>
      <c r="H153" s="61">
        <v>2.7938636363636302</v>
      </c>
      <c r="I153" s="62">
        <v>2.94</v>
      </c>
      <c r="J153" s="37">
        <v>0.14613636363636973</v>
      </c>
      <c r="K153" s="37">
        <v>5.2306190514929494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78</v>
      </c>
      <c r="D154" s="1" t="s">
        <v>2</v>
      </c>
      <c r="E154" s="59" t="s">
        <v>14</v>
      </c>
      <c r="F154" s="60">
        <v>4.4015555555555501</v>
      </c>
      <c r="G154" s="60">
        <v>0.32452327809371601</v>
      </c>
      <c r="H154" s="61">
        <v>4.4741463414634097</v>
      </c>
      <c r="I154" s="62">
        <v>4.8</v>
      </c>
      <c r="J154" s="37">
        <v>0.3258536585365901</v>
      </c>
      <c r="K154" s="37">
        <v>7.2830353249019888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78</v>
      </c>
      <c r="D155" s="1" t="s">
        <v>2</v>
      </c>
      <c r="E155" s="59" t="s">
        <v>15</v>
      </c>
      <c r="F155" s="60">
        <v>3.4922222222222201</v>
      </c>
      <c r="G155" s="60">
        <v>0.36189555822326402</v>
      </c>
      <c r="H155" s="61">
        <v>3.585</v>
      </c>
      <c r="I155" s="62">
        <v>3.73</v>
      </c>
      <c r="J155" s="37">
        <v>0.14500000000000002</v>
      </c>
      <c r="K155" s="37">
        <v>4.0446304044630415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78</v>
      </c>
      <c r="D156" s="1" t="s">
        <v>2</v>
      </c>
      <c r="E156" s="59" t="s">
        <v>16</v>
      </c>
      <c r="F156" s="60">
        <v>1.60466666666666</v>
      </c>
      <c r="G156" s="60">
        <v>0.20635029547942099</v>
      </c>
      <c r="H156" s="61">
        <v>1.63568181818181</v>
      </c>
      <c r="I156" s="62">
        <v>1.71</v>
      </c>
      <c r="J156" s="37">
        <v>7.4318181818189943E-2</v>
      </c>
      <c r="K156" s="37">
        <v>4.5435598165907658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78</v>
      </c>
      <c r="D157" s="1" t="s">
        <v>2</v>
      </c>
      <c r="E157" s="59" t="s">
        <v>17</v>
      </c>
      <c r="F157" s="60">
        <v>5.2555555555555502</v>
      </c>
      <c r="G157" s="60">
        <v>0.64290851450629505</v>
      </c>
      <c r="H157" s="61">
        <v>5.3853488372092997</v>
      </c>
      <c r="I157" s="62">
        <v>5.0599999999999996</v>
      </c>
      <c r="J157" s="37">
        <v>-0.32534883720930008</v>
      </c>
      <c r="K157" s="37">
        <v>-6.041369780196014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78</v>
      </c>
      <c r="D158" s="1" t="s">
        <v>2</v>
      </c>
      <c r="E158" s="59" t="s">
        <v>18</v>
      </c>
      <c r="F158" s="60">
        <v>1.91688888888888</v>
      </c>
      <c r="G158" s="60">
        <v>9.8518407128870403E-2</v>
      </c>
      <c r="H158" s="61">
        <v>1.9286046511627899</v>
      </c>
      <c r="I158" s="62">
        <v>1.69</v>
      </c>
      <c r="J158" s="37">
        <v>-0.23860465116278995</v>
      </c>
      <c r="K158" s="37">
        <v>-12.371879898709722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78</v>
      </c>
      <c r="D159" s="1" t="s">
        <v>2</v>
      </c>
      <c r="E159" s="59" t="s">
        <v>19</v>
      </c>
      <c r="F159" s="60">
        <v>1.63622222222222</v>
      </c>
      <c r="G159" s="60">
        <v>1.75485217976885E-2</v>
      </c>
      <c r="H159" s="61">
        <v>1.6365714285714199</v>
      </c>
      <c r="I159" s="62">
        <v>1.68</v>
      </c>
      <c r="J159" s="37">
        <v>4.3428571428580032E-2</v>
      </c>
      <c r="K159" s="37">
        <v>2.6536312849167407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78</v>
      </c>
      <c r="D160" s="1" t="s">
        <v>2</v>
      </c>
      <c r="E160" s="59" t="s">
        <v>12</v>
      </c>
      <c r="F160" s="60">
        <v>5.8297727272727196</v>
      </c>
      <c r="G160" s="60">
        <v>0.63710812781577697</v>
      </c>
      <c r="H160" s="61">
        <v>5.9649999999999901</v>
      </c>
      <c r="I160" s="62">
        <v>5.32</v>
      </c>
      <c r="J160" s="37">
        <v>-0.6449999999999898</v>
      </c>
      <c r="K160" s="37">
        <v>-10.813076278289872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78</v>
      </c>
      <c r="D161" s="1" t="s">
        <v>2</v>
      </c>
      <c r="E161" s="59" t="s">
        <v>13</v>
      </c>
      <c r="F161" s="60">
        <v>2.774</v>
      </c>
      <c r="G161" s="60">
        <v>0.133022972118018</v>
      </c>
      <c r="H161" s="61">
        <v>2.7938636363636302</v>
      </c>
      <c r="I161" s="62">
        <v>2.95</v>
      </c>
      <c r="J161" s="37">
        <v>0.15613636363636996</v>
      </c>
      <c r="K161" s="37">
        <v>5.5885463271783076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78</v>
      </c>
      <c r="D162" s="1" t="s">
        <v>2</v>
      </c>
      <c r="E162" s="59" t="s">
        <v>14</v>
      </c>
      <c r="F162" s="60">
        <v>4.4015555555555501</v>
      </c>
      <c r="G162" s="60">
        <v>0.32452327809371601</v>
      </c>
      <c r="H162" s="61">
        <v>4.4741463414634097</v>
      </c>
      <c r="I162" s="62">
        <v>4.8099999999999996</v>
      </c>
      <c r="J162" s="37">
        <v>0.33585365853658988</v>
      </c>
      <c r="K162" s="37">
        <v>7.5065416484955296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78</v>
      </c>
      <c r="D163" s="1" t="s">
        <v>2</v>
      </c>
      <c r="E163" s="59" t="s">
        <v>15</v>
      </c>
      <c r="F163" s="60">
        <v>3.4922222222222201</v>
      </c>
      <c r="G163" s="60">
        <v>0.36189555822326402</v>
      </c>
      <c r="H163" s="61">
        <v>3.585</v>
      </c>
      <c r="I163" s="62">
        <v>3.68</v>
      </c>
      <c r="J163" s="37">
        <v>9.5000000000000195E-2</v>
      </c>
      <c r="K163" s="37">
        <v>2.6499302649930319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78</v>
      </c>
      <c r="D164" s="1" t="s">
        <v>2</v>
      </c>
      <c r="E164" s="59" t="s">
        <v>16</v>
      </c>
      <c r="F164" s="60">
        <v>1.60466666666666</v>
      </c>
      <c r="G164" s="60">
        <v>0.20635029547942099</v>
      </c>
      <c r="H164" s="61">
        <v>1.63568181818181</v>
      </c>
      <c r="I164" s="62">
        <v>1.73</v>
      </c>
      <c r="J164" s="37">
        <v>9.4318181818189961E-2</v>
      </c>
      <c r="K164" s="37">
        <v>5.7662915103520618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78</v>
      </c>
      <c r="D165" s="1" t="s">
        <v>2</v>
      </c>
      <c r="E165" s="59" t="s">
        <v>17</v>
      </c>
      <c r="F165" s="60">
        <v>5.2555555555555502</v>
      </c>
      <c r="G165" s="60">
        <v>0.64290851450629505</v>
      </c>
      <c r="H165" s="61">
        <v>5.3853488372092997</v>
      </c>
      <c r="I165" s="62">
        <v>5.0599999999999996</v>
      </c>
      <c r="J165" s="37">
        <v>-0.32534883720930008</v>
      </c>
      <c r="K165" s="37">
        <v>-6.041369780196014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78</v>
      </c>
      <c r="D166" s="1" t="s">
        <v>2</v>
      </c>
      <c r="E166" s="59" t="s">
        <v>18</v>
      </c>
      <c r="F166" s="60">
        <v>1.91688888888888</v>
      </c>
      <c r="G166" s="60">
        <v>9.8518407128870403E-2</v>
      </c>
      <c r="H166" s="61">
        <v>1.9286046511627899</v>
      </c>
      <c r="I166" s="62">
        <v>1.74</v>
      </c>
      <c r="J166" s="37">
        <v>-0.1886046511627899</v>
      </c>
      <c r="K166" s="37">
        <v>-9.7793319667188818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78</v>
      </c>
      <c r="D167" s="1" t="s">
        <v>2</v>
      </c>
      <c r="E167" s="59" t="s">
        <v>19</v>
      </c>
      <c r="F167" s="60">
        <v>1.63622222222222</v>
      </c>
      <c r="G167" s="60">
        <v>1.75485217976885E-2</v>
      </c>
      <c r="H167" s="61">
        <v>1.6365714285714199</v>
      </c>
      <c r="I167" s="62">
        <v>1.74</v>
      </c>
      <c r="J167" s="37">
        <v>0.10342857142858009</v>
      </c>
      <c r="K167" s="37">
        <v>6.3198324022351997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78</v>
      </c>
      <c r="D168" s="1" t="s">
        <v>2</v>
      </c>
      <c r="E168" s="59" t="s">
        <v>12</v>
      </c>
      <c r="F168" s="60">
        <v>5.8297727272727196</v>
      </c>
      <c r="G168" s="60">
        <v>0.63710812781577697</v>
      </c>
      <c r="H168" s="61">
        <v>5.9649999999999901</v>
      </c>
      <c r="I168" s="62">
        <v>5.28</v>
      </c>
      <c r="J168" s="37">
        <v>-0.68499999999998984</v>
      </c>
      <c r="K168" s="37">
        <v>-11.483654652137318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78</v>
      </c>
      <c r="D169" s="1" t="s">
        <v>2</v>
      </c>
      <c r="E169" s="59" t="s">
        <v>13</v>
      </c>
      <c r="F169" s="60">
        <v>2.774</v>
      </c>
      <c r="G169" s="60">
        <v>0.133022972118018</v>
      </c>
      <c r="H169" s="61">
        <v>2.7938636363636302</v>
      </c>
      <c r="I169" s="62">
        <v>2.98</v>
      </c>
      <c r="J169" s="37">
        <v>0.18613636363636976</v>
      </c>
      <c r="K169" s="37">
        <v>6.6623281542343511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78</v>
      </c>
      <c r="D170" s="1" t="s">
        <v>2</v>
      </c>
      <c r="E170" s="59" t="s">
        <v>14</v>
      </c>
      <c r="F170" s="60">
        <v>4.4015555555555501</v>
      </c>
      <c r="G170" s="60">
        <v>0.32452327809371601</v>
      </c>
      <c r="H170" s="61">
        <v>4.4741463414634097</v>
      </c>
      <c r="I170" s="62">
        <v>4.83</v>
      </c>
      <c r="J170" s="37">
        <v>0.35585365853659034</v>
      </c>
      <c r="K170" s="37">
        <v>7.9535542956826317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78</v>
      </c>
      <c r="D171" s="1" t="s">
        <v>2</v>
      </c>
      <c r="E171" s="59" t="s">
        <v>15</v>
      </c>
      <c r="F171" s="60">
        <v>3.4922222222222201</v>
      </c>
      <c r="G171" s="60">
        <v>0.36189555822326402</v>
      </c>
      <c r="H171" s="61">
        <v>3.585</v>
      </c>
      <c r="I171" s="62">
        <v>3.71</v>
      </c>
      <c r="J171" s="37">
        <v>0.125</v>
      </c>
      <c r="K171" s="37">
        <v>3.4867503486750349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78</v>
      </c>
      <c r="D172" s="1" t="s">
        <v>2</v>
      </c>
      <c r="E172" s="59" t="s">
        <v>16</v>
      </c>
      <c r="F172" s="60">
        <v>1.60466666666666</v>
      </c>
      <c r="G172" s="60">
        <v>0.20635029547942099</v>
      </c>
      <c r="H172" s="61">
        <v>1.63568181818181</v>
      </c>
      <c r="I172" s="62">
        <v>1.74</v>
      </c>
      <c r="J172" s="37">
        <v>0.10431818181818997</v>
      </c>
      <c r="K172" s="37">
        <v>6.3776573572327102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78</v>
      </c>
      <c r="D173" s="1" t="s">
        <v>2</v>
      </c>
      <c r="E173" s="59" t="s">
        <v>17</v>
      </c>
      <c r="F173" s="60">
        <v>5.2555555555555502</v>
      </c>
      <c r="G173" s="60">
        <v>0.64290851450629505</v>
      </c>
      <c r="H173" s="61">
        <v>5.3853488372092997</v>
      </c>
      <c r="I173" s="62">
        <v>5.14</v>
      </c>
      <c r="J173" s="37">
        <v>-0.24534883720930001</v>
      </c>
      <c r="K173" s="37">
        <v>-4.5558578399619574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78</v>
      </c>
      <c r="D174" s="1" t="s">
        <v>2</v>
      </c>
      <c r="E174" s="59" t="s">
        <v>18</v>
      </c>
      <c r="F174" s="60">
        <v>1.91688888888888</v>
      </c>
      <c r="G174" s="60">
        <v>9.8518407128870403E-2</v>
      </c>
      <c r="H174" s="61">
        <v>1.9286046511627899</v>
      </c>
      <c r="I174" s="62">
        <v>1.7</v>
      </c>
      <c r="J174" s="37">
        <v>-0.22860465116278994</v>
      </c>
      <c r="K174" s="37">
        <v>-11.853370312311554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78</v>
      </c>
      <c r="D175" s="1" t="s">
        <v>2</v>
      </c>
      <c r="E175" s="59" t="s">
        <v>19</v>
      </c>
      <c r="F175" s="60">
        <v>1.63622222222222</v>
      </c>
      <c r="G175" s="60">
        <v>1.75485217976885E-2</v>
      </c>
      <c r="H175" s="61">
        <v>1.6365714285714199</v>
      </c>
      <c r="I175" s="62">
        <v>1.73</v>
      </c>
      <c r="J175" s="37">
        <v>9.3428571428580076E-2</v>
      </c>
      <c r="K175" s="37">
        <v>5.7087988826821228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78</v>
      </c>
      <c r="D177" s="1" t="s">
        <v>2</v>
      </c>
      <c r="E177" s="59" t="s">
        <v>12</v>
      </c>
      <c r="F177" s="60">
        <v>5.61899999999999</v>
      </c>
      <c r="G177" s="60">
        <v>1.0518312602314099</v>
      </c>
      <c r="H177" s="61">
        <v>5.9508888888888798</v>
      </c>
      <c r="I177" s="62">
        <v>5.36</v>
      </c>
      <c r="J177" s="37">
        <v>-0.59088888888887947</v>
      </c>
      <c r="K177" s="37">
        <v>-9.9294223085251954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78</v>
      </c>
      <c r="D178" s="1" t="s">
        <v>2</v>
      </c>
      <c r="E178" s="59" t="s">
        <v>13</v>
      </c>
      <c r="F178" s="60">
        <v>2.7688000000000001</v>
      </c>
      <c r="G178" s="60">
        <v>0.190469315114009</v>
      </c>
      <c r="H178" s="61">
        <v>2.7959183673469301</v>
      </c>
      <c r="I178" s="62">
        <v>2.94</v>
      </c>
      <c r="J178" s="37">
        <v>0.14408163265306984</v>
      </c>
      <c r="K178" s="37">
        <v>5.1532846715331706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78</v>
      </c>
      <c r="D179" s="1" t="s">
        <v>2</v>
      </c>
      <c r="E179" s="59" t="s">
        <v>14</v>
      </c>
      <c r="F179" s="60">
        <v>4.3845999999999901</v>
      </c>
      <c r="G179" s="60">
        <v>0.41025460387422802</v>
      </c>
      <c r="H179" s="61">
        <v>4.4670833333333304</v>
      </c>
      <c r="I179" s="62">
        <v>4.8</v>
      </c>
      <c r="J179" s="37">
        <v>0.33291666666666941</v>
      </c>
      <c r="K179" s="37">
        <v>7.4526629978547438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78</v>
      </c>
      <c r="D180" s="1" t="s">
        <v>2</v>
      </c>
      <c r="E180" s="59" t="s">
        <v>15</v>
      </c>
      <c r="F180" s="60">
        <v>3.472</v>
      </c>
      <c r="G180" s="60">
        <v>0.458397207670378</v>
      </c>
      <c r="H180" s="61">
        <v>3.5872340425531899</v>
      </c>
      <c r="I180" s="62">
        <v>3.73</v>
      </c>
      <c r="J180" s="37">
        <v>0.14276595744681009</v>
      </c>
      <c r="K180" s="37">
        <v>3.979833926453189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78</v>
      </c>
      <c r="D181" s="1" t="s">
        <v>2</v>
      </c>
      <c r="E181" s="59" t="s">
        <v>16</v>
      </c>
      <c r="F181" s="60">
        <v>1.61265306122449</v>
      </c>
      <c r="G181" s="60">
        <v>0.145234160121298</v>
      </c>
      <c r="H181" s="61">
        <v>1.63829787234042</v>
      </c>
      <c r="I181" s="62">
        <v>1.71</v>
      </c>
      <c r="J181" s="37">
        <v>7.1702127659579951E-2</v>
      </c>
      <c r="K181" s="37">
        <v>4.3766233766237264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78</v>
      </c>
      <c r="D182" s="1" t="s">
        <v>2</v>
      </c>
      <c r="E182" s="59" t="s">
        <v>17</v>
      </c>
      <c r="F182" s="60">
        <v>5.1869999999999896</v>
      </c>
      <c r="G182" s="60">
        <v>0.73122705092194096</v>
      </c>
      <c r="H182" s="61">
        <v>5.3971111111110996</v>
      </c>
      <c r="I182" s="62">
        <v>5.0599999999999996</v>
      </c>
      <c r="J182" s="37">
        <v>-0.33711111111110004</v>
      </c>
      <c r="K182" s="37">
        <v>-6.2461399102398545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78</v>
      </c>
      <c r="D183" s="1" t="s">
        <v>2</v>
      </c>
      <c r="E183" s="59" t="s">
        <v>18</v>
      </c>
      <c r="F183" s="60">
        <v>1.8626</v>
      </c>
      <c r="G183" s="60">
        <v>0.35463113230510301</v>
      </c>
      <c r="H183" s="61">
        <v>1.93479166666666</v>
      </c>
      <c r="I183" s="62">
        <v>1.69</v>
      </c>
      <c r="J183" s="37">
        <v>-0.24479166666666008</v>
      </c>
      <c r="K183" s="37">
        <v>-12.652094325400801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78</v>
      </c>
      <c r="D184" s="1" t="s">
        <v>2</v>
      </c>
      <c r="E184" s="59" t="s">
        <v>19</v>
      </c>
      <c r="F184" s="60">
        <v>1.6053999999999999</v>
      </c>
      <c r="G184" s="60">
        <v>0.19952152766055001</v>
      </c>
      <c r="H184" s="61">
        <v>1.64083333333333</v>
      </c>
      <c r="I184" s="62">
        <v>1.68</v>
      </c>
      <c r="J184" s="37">
        <v>3.9166666666669903E-2</v>
      </c>
      <c r="K184" s="37">
        <v>2.3869984763841532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78</v>
      </c>
      <c r="D185" s="1" t="s">
        <v>2</v>
      </c>
      <c r="E185" s="59" t="s">
        <v>12</v>
      </c>
      <c r="F185" s="60">
        <v>5.61899999999999</v>
      </c>
      <c r="G185" s="60">
        <v>1.0518312602314099</v>
      </c>
      <c r="H185" s="61">
        <v>5.9508888888888798</v>
      </c>
      <c r="I185" s="62">
        <v>5.32</v>
      </c>
      <c r="J185" s="37">
        <v>-0.63088888888887951</v>
      </c>
      <c r="K185" s="37">
        <v>-10.601590798760082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78</v>
      </c>
      <c r="D186" s="1" t="s">
        <v>2</v>
      </c>
      <c r="E186" s="59" t="s">
        <v>13</v>
      </c>
      <c r="F186" s="60">
        <v>2.7688000000000001</v>
      </c>
      <c r="G186" s="60">
        <v>0.190469315114009</v>
      </c>
      <c r="H186" s="61">
        <v>2.7959183673469301</v>
      </c>
      <c r="I186" s="62">
        <v>2.95</v>
      </c>
      <c r="J186" s="37">
        <v>0.15408163265307007</v>
      </c>
      <c r="K186" s="37">
        <v>5.5109489051098217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78</v>
      </c>
      <c r="D187" s="1" t="s">
        <v>2</v>
      </c>
      <c r="E187" s="59" t="s">
        <v>14</v>
      </c>
      <c r="F187" s="60">
        <v>4.3845999999999901</v>
      </c>
      <c r="G187" s="60">
        <v>0.41025460387422802</v>
      </c>
      <c r="H187" s="61">
        <v>4.4670833333333304</v>
      </c>
      <c r="I187" s="62">
        <v>4.8099999999999996</v>
      </c>
      <c r="J187" s="37">
        <v>0.3429166666666692</v>
      </c>
      <c r="K187" s="37">
        <v>7.6765227124336031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78</v>
      </c>
      <c r="D188" s="1" t="s">
        <v>2</v>
      </c>
      <c r="E188" s="59" t="s">
        <v>15</v>
      </c>
      <c r="F188" s="60">
        <v>3.472</v>
      </c>
      <c r="G188" s="60">
        <v>0.458397207670378</v>
      </c>
      <c r="H188" s="61">
        <v>3.5872340425531899</v>
      </c>
      <c r="I188" s="62">
        <v>3.68</v>
      </c>
      <c r="J188" s="37">
        <v>9.2765957446810265E-2</v>
      </c>
      <c r="K188" s="37">
        <v>2.5860023724792911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78</v>
      </c>
      <c r="D189" s="1" t="s">
        <v>2</v>
      </c>
      <c r="E189" s="59" t="s">
        <v>16</v>
      </c>
      <c r="F189" s="60">
        <v>1.61265306122449</v>
      </c>
      <c r="G189" s="60">
        <v>0.145234160121298</v>
      </c>
      <c r="H189" s="61">
        <v>1.63829787234042</v>
      </c>
      <c r="I189" s="62">
        <v>1.73</v>
      </c>
      <c r="J189" s="37">
        <v>9.1702127659579968E-2</v>
      </c>
      <c r="K189" s="37">
        <v>5.5974025974029518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78</v>
      </c>
      <c r="D190" s="1" t="s">
        <v>2</v>
      </c>
      <c r="E190" s="59" t="s">
        <v>17</v>
      </c>
      <c r="F190" s="60">
        <v>5.1869999999999896</v>
      </c>
      <c r="G190" s="60">
        <v>0.73122705092194096</v>
      </c>
      <c r="H190" s="61">
        <v>5.3971111111110996</v>
      </c>
      <c r="I190" s="62">
        <v>5.0599999999999996</v>
      </c>
      <c r="J190" s="37">
        <v>-0.33711111111110004</v>
      </c>
      <c r="K190" s="37">
        <v>-6.2461399102398545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78</v>
      </c>
      <c r="D191" s="1" t="s">
        <v>2</v>
      </c>
      <c r="E191" s="59" t="s">
        <v>18</v>
      </c>
      <c r="F191" s="60">
        <v>1.8626</v>
      </c>
      <c r="G191" s="60">
        <v>0.35463113230510301</v>
      </c>
      <c r="H191" s="61">
        <v>1.93479166666666</v>
      </c>
      <c r="I191" s="62">
        <v>1.74</v>
      </c>
      <c r="J191" s="37">
        <v>-0.19479166666666003</v>
      </c>
      <c r="K191" s="37">
        <v>-10.067836761063544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78</v>
      </c>
      <c r="D192" s="1" t="s">
        <v>2</v>
      </c>
      <c r="E192" s="59" t="s">
        <v>19</v>
      </c>
      <c r="F192" s="60">
        <v>1.6053999999999999</v>
      </c>
      <c r="G192" s="60">
        <v>0.19952152766055001</v>
      </c>
      <c r="H192" s="61">
        <v>1.64083333333333</v>
      </c>
      <c r="I192" s="62">
        <v>1.74</v>
      </c>
      <c r="J192" s="37">
        <v>9.9166666666669956E-2</v>
      </c>
      <c r="K192" s="37">
        <v>6.0436769933978765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78</v>
      </c>
      <c r="D193" s="1" t="s">
        <v>2</v>
      </c>
      <c r="E193" s="59" t="s">
        <v>12</v>
      </c>
      <c r="F193" s="60">
        <v>5.61899999999999</v>
      </c>
      <c r="G193" s="60">
        <v>1.0518312602314099</v>
      </c>
      <c r="H193" s="61">
        <v>5.9508888888888798</v>
      </c>
      <c r="I193" s="62">
        <v>5.28</v>
      </c>
      <c r="J193" s="37">
        <v>-0.67088888888887954</v>
      </c>
      <c r="K193" s="37">
        <v>-11.273759288994968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78</v>
      </c>
      <c r="D194" s="1" t="s">
        <v>2</v>
      </c>
      <c r="E194" s="59" t="s">
        <v>13</v>
      </c>
      <c r="F194" s="60">
        <v>2.7688000000000001</v>
      </c>
      <c r="G194" s="60">
        <v>0.190469315114009</v>
      </c>
      <c r="H194" s="61">
        <v>2.7959183673469301</v>
      </c>
      <c r="I194" s="62">
        <v>2.98</v>
      </c>
      <c r="J194" s="37">
        <v>0.18408163265306987</v>
      </c>
      <c r="K194" s="37">
        <v>6.5839416058397449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78</v>
      </c>
      <c r="D195" s="1" t="s">
        <v>2</v>
      </c>
      <c r="E195" s="59" t="s">
        <v>14</v>
      </c>
      <c r="F195" s="60">
        <v>4.3845999999999901</v>
      </c>
      <c r="G195" s="60">
        <v>0.41025460387422802</v>
      </c>
      <c r="H195" s="61">
        <v>4.4670833333333304</v>
      </c>
      <c r="I195" s="62">
        <v>4.83</v>
      </c>
      <c r="J195" s="37">
        <v>0.36291666666666966</v>
      </c>
      <c r="K195" s="37">
        <v>8.1242421415913419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78</v>
      </c>
      <c r="D196" s="1" t="s">
        <v>2</v>
      </c>
      <c r="E196" s="59" t="s">
        <v>15</v>
      </c>
      <c r="F196" s="60">
        <v>3.472</v>
      </c>
      <c r="G196" s="60">
        <v>0.458397207670378</v>
      </c>
      <c r="H196" s="61">
        <v>3.5872340425531899</v>
      </c>
      <c r="I196" s="62">
        <v>3.71</v>
      </c>
      <c r="J196" s="37">
        <v>0.12276595744681007</v>
      </c>
      <c r="K196" s="37">
        <v>3.4223013048636273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78</v>
      </c>
      <c r="D197" s="1" t="s">
        <v>2</v>
      </c>
      <c r="E197" s="59" t="s">
        <v>16</v>
      </c>
      <c r="F197" s="60">
        <v>1.61265306122449</v>
      </c>
      <c r="G197" s="60">
        <v>0.145234160121298</v>
      </c>
      <c r="H197" s="61">
        <v>1.63829787234042</v>
      </c>
      <c r="I197" s="62">
        <v>1.74</v>
      </c>
      <c r="J197" s="37">
        <v>0.10170212765957998</v>
      </c>
      <c r="K197" s="37">
        <v>6.2077922077925649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78</v>
      </c>
      <c r="D198" s="1" t="s">
        <v>2</v>
      </c>
      <c r="E198" s="59" t="s">
        <v>17</v>
      </c>
      <c r="F198" s="60">
        <v>5.1869999999999896</v>
      </c>
      <c r="G198" s="60">
        <v>0.73122705092194096</v>
      </c>
      <c r="H198" s="61">
        <v>5.3971111111110996</v>
      </c>
      <c r="I198" s="62">
        <v>5.14</v>
      </c>
      <c r="J198" s="37">
        <v>-0.25711111111109997</v>
      </c>
      <c r="K198" s="37">
        <v>-4.7638654424175577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78</v>
      </c>
      <c r="D199" s="1" t="s">
        <v>2</v>
      </c>
      <c r="E199" s="59" t="s">
        <v>18</v>
      </c>
      <c r="F199" s="60">
        <v>1.8626</v>
      </c>
      <c r="G199" s="60">
        <v>0.35463113230510301</v>
      </c>
      <c r="H199" s="61">
        <v>1.93479166666666</v>
      </c>
      <c r="I199" s="62">
        <v>1.7</v>
      </c>
      <c r="J199" s="37">
        <v>-0.23479166666666007</v>
      </c>
      <c r="K199" s="37">
        <v>-12.135242812533351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78</v>
      </c>
      <c r="D200" s="1" t="s">
        <v>2</v>
      </c>
      <c r="E200" s="59" t="s">
        <v>19</v>
      </c>
      <c r="F200" s="60">
        <v>1.6053999999999999</v>
      </c>
      <c r="G200" s="60">
        <v>0.19952152766055001</v>
      </c>
      <c r="H200" s="61">
        <v>1.64083333333333</v>
      </c>
      <c r="I200" s="62">
        <v>1.73</v>
      </c>
      <c r="J200" s="37">
        <v>8.9166666666669947E-2</v>
      </c>
      <c r="K200" s="37">
        <v>5.4342305738955892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78</v>
      </c>
      <c r="D202" s="1" t="s">
        <v>2</v>
      </c>
      <c r="E202" s="59" t="s">
        <v>12</v>
      </c>
      <c r="F202" s="60">
        <v>5.7982499999999897</v>
      </c>
      <c r="G202" s="60">
        <v>0.81020950222766397</v>
      </c>
      <c r="H202" s="61">
        <v>5.92794871794871</v>
      </c>
      <c r="I202" s="63">
        <v>5.36</v>
      </c>
      <c r="J202" s="58">
        <v>-0.56794871794870971</v>
      </c>
      <c r="K202" s="58">
        <v>-9.5808642242310249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78</v>
      </c>
      <c r="D203" s="1" t="s">
        <v>2</v>
      </c>
      <c r="E203" s="59" t="s">
        <v>13</v>
      </c>
      <c r="F203" s="60">
        <v>2.6577500000000001</v>
      </c>
      <c r="G203" s="60">
        <v>0.45858743713712802</v>
      </c>
      <c r="H203" s="61">
        <v>2.7743243243243199</v>
      </c>
      <c r="I203" s="63">
        <v>2.94</v>
      </c>
      <c r="J203" s="58">
        <v>0.16567567567568009</v>
      </c>
      <c r="K203" s="58">
        <v>5.9717486604970027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78</v>
      </c>
      <c r="D204" s="1" t="s">
        <v>2</v>
      </c>
      <c r="E204" s="59" t="s">
        <v>14</v>
      </c>
      <c r="F204" s="60">
        <v>3.9942499999999899</v>
      </c>
      <c r="G204" s="60">
        <v>1.0843151928752</v>
      </c>
      <c r="H204" s="61">
        <v>4.3705714285714201</v>
      </c>
      <c r="I204" s="63">
        <v>4.8</v>
      </c>
      <c r="J204" s="58">
        <v>0.42942857142857971</v>
      </c>
      <c r="K204" s="58">
        <v>9.8254559717593768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78</v>
      </c>
      <c r="D205" s="1" t="s">
        <v>2</v>
      </c>
      <c r="E205" s="59" t="s">
        <v>15</v>
      </c>
      <c r="F205" s="60">
        <v>3.3964999999999899</v>
      </c>
      <c r="G205" s="60">
        <v>0.66956161030931205</v>
      </c>
      <c r="H205" s="61">
        <v>3.57567567567567</v>
      </c>
      <c r="I205" s="63">
        <v>3.73</v>
      </c>
      <c r="J205" s="58">
        <v>0.15432432432432996</v>
      </c>
      <c r="K205" s="58">
        <v>4.3159486016630524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78</v>
      </c>
      <c r="D206" s="1" t="s">
        <v>2</v>
      </c>
      <c r="E206" s="59" t="s">
        <v>16</v>
      </c>
      <c r="F206" s="60">
        <v>1.64025</v>
      </c>
      <c r="G206" s="60">
        <v>1.8906017560554499E-2</v>
      </c>
      <c r="H206" s="61">
        <v>1.63919999999999</v>
      </c>
      <c r="I206" s="63">
        <v>1.71</v>
      </c>
      <c r="J206" s="58">
        <v>7.0800000000009966E-2</v>
      </c>
      <c r="K206" s="58">
        <v>4.3191800878483653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78</v>
      </c>
      <c r="D207" s="1" t="s">
        <v>2</v>
      </c>
      <c r="E207" s="59" t="s">
        <v>17</v>
      </c>
      <c r="F207" s="60">
        <v>5.3247499999999999</v>
      </c>
      <c r="G207" s="60">
        <v>0.59960815329680095</v>
      </c>
      <c r="H207" s="61">
        <v>5.4197435897435797</v>
      </c>
      <c r="I207" s="63">
        <v>5.0599999999999996</v>
      </c>
      <c r="J207" s="58">
        <v>-0.35974358974358012</v>
      </c>
      <c r="K207" s="58">
        <v>-6.6376496191510856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78</v>
      </c>
      <c r="D208" s="1" t="s">
        <v>2</v>
      </c>
      <c r="E208" s="59" t="s">
        <v>18</v>
      </c>
      <c r="F208" s="60">
        <v>1.83574999999999</v>
      </c>
      <c r="G208" s="60">
        <v>0.32982485882661999</v>
      </c>
      <c r="H208" s="61">
        <v>1.94166666666666</v>
      </c>
      <c r="I208" s="63">
        <v>1.69</v>
      </c>
      <c r="J208" s="58">
        <v>-0.25166666666666004</v>
      </c>
      <c r="K208" s="58">
        <v>-12.961373390557643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78</v>
      </c>
      <c r="D209" s="1" t="s">
        <v>2</v>
      </c>
      <c r="E209" s="59" t="s">
        <v>19</v>
      </c>
      <c r="F209" s="60">
        <v>1.6219999999999899</v>
      </c>
      <c r="G209" s="60">
        <v>0.108517279730004</v>
      </c>
      <c r="H209" s="61">
        <v>1.6452631578947301</v>
      </c>
      <c r="I209" s="63">
        <v>1.68</v>
      </c>
      <c r="J209" s="58">
        <v>3.4736842105269838E-2</v>
      </c>
      <c r="K209" s="58">
        <v>2.1113243762000309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78</v>
      </c>
      <c r="D210" s="1" t="s">
        <v>2</v>
      </c>
      <c r="E210" s="59" t="s">
        <v>12</v>
      </c>
      <c r="F210" s="60">
        <v>5.7982499999999897</v>
      </c>
      <c r="G210" s="60">
        <v>0.81020950222766397</v>
      </c>
      <c r="H210" s="61">
        <v>5.92794871794871</v>
      </c>
      <c r="I210" s="63">
        <v>5.32</v>
      </c>
      <c r="J210" s="58">
        <v>-0.60794871794870975</v>
      </c>
      <c r="K210" s="58">
        <v>-10.255633894199452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78</v>
      </c>
      <c r="D211" s="1" t="s">
        <v>2</v>
      </c>
      <c r="E211" s="59" t="s">
        <v>13</v>
      </c>
      <c r="F211" s="60">
        <v>2.6577500000000001</v>
      </c>
      <c r="G211" s="60">
        <v>0.45858743713712802</v>
      </c>
      <c r="H211" s="61">
        <v>2.7743243243243199</v>
      </c>
      <c r="I211" s="63">
        <v>2.95</v>
      </c>
      <c r="J211" s="58">
        <v>0.17567567567568032</v>
      </c>
      <c r="K211" s="58">
        <v>6.3321967851925791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78</v>
      </c>
      <c r="D212" s="1" t="s">
        <v>2</v>
      </c>
      <c r="E212" s="59" t="s">
        <v>14</v>
      </c>
      <c r="F212" s="60">
        <v>3.9942499999999899</v>
      </c>
      <c r="G212" s="60">
        <v>1.0843151928752</v>
      </c>
      <c r="H212" s="61">
        <v>4.3705714285714201</v>
      </c>
      <c r="I212" s="63">
        <v>4.8099999999999996</v>
      </c>
      <c r="J212" s="58">
        <v>0.4394285714285795</v>
      </c>
      <c r="K212" s="58">
        <v>10.05425900503387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78</v>
      </c>
      <c r="D213" s="1" t="s">
        <v>2</v>
      </c>
      <c r="E213" s="59" t="s">
        <v>15</v>
      </c>
      <c r="F213" s="60">
        <v>3.3964999999999899</v>
      </c>
      <c r="G213" s="60">
        <v>0.66956161030931205</v>
      </c>
      <c r="H213" s="61">
        <v>3.57567567567567</v>
      </c>
      <c r="I213" s="63">
        <v>3.68</v>
      </c>
      <c r="J213" s="58">
        <v>0.10432432432433014</v>
      </c>
      <c r="K213" s="58">
        <v>2.9176114890402278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78</v>
      </c>
      <c r="D214" s="1" t="s">
        <v>2</v>
      </c>
      <c r="E214" s="59" t="s">
        <v>16</v>
      </c>
      <c r="F214" s="60">
        <v>1.64025</v>
      </c>
      <c r="G214" s="60">
        <v>1.8906017560554499E-2</v>
      </c>
      <c r="H214" s="61">
        <v>1.63919999999999</v>
      </c>
      <c r="I214" s="63">
        <v>1.73</v>
      </c>
      <c r="J214" s="58">
        <v>9.0800000000009984E-2</v>
      </c>
      <c r="K214" s="58">
        <v>5.5392874572968847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78</v>
      </c>
      <c r="D215" s="1" t="s">
        <v>2</v>
      </c>
      <c r="E215" s="59" t="s">
        <v>17</v>
      </c>
      <c r="F215" s="60">
        <v>5.3247499999999999</v>
      </c>
      <c r="G215" s="60">
        <v>0.59960815329680095</v>
      </c>
      <c r="H215" s="61">
        <v>5.4197435897435797</v>
      </c>
      <c r="I215" s="63">
        <v>5.0599999999999996</v>
      </c>
      <c r="J215" s="58">
        <v>-0.35974358974358012</v>
      </c>
      <c r="K215" s="58">
        <v>-6.6376496191510856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78</v>
      </c>
      <c r="D216" s="1" t="s">
        <v>2</v>
      </c>
      <c r="E216" s="59" t="s">
        <v>18</v>
      </c>
      <c r="F216" s="60">
        <v>1.83574999999999</v>
      </c>
      <c r="G216" s="60">
        <v>0.32982485882661999</v>
      </c>
      <c r="H216" s="61">
        <v>1.94166666666666</v>
      </c>
      <c r="I216" s="63">
        <v>1.74</v>
      </c>
      <c r="J216" s="58">
        <v>-0.20166666666666</v>
      </c>
      <c r="K216" s="58">
        <v>-10.386266094420293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78</v>
      </c>
      <c r="D217" s="1" t="s">
        <v>2</v>
      </c>
      <c r="E217" s="59" t="s">
        <v>19</v>
      </c>
      <c r="F217" s="60">
        <v>1.6219999999999899</v>
      </c>
      <c r="G217" s="60">
        <v>0.108517279730004</v>
      </c>
      <c r="H217" s="61">
        <v>1.6452631578947301</v>
      </c>
      <c r="I217" s="63">
        <v>1.74</v>
      </c>
      <c r="J217" s="58">
        <v>9.4736842105269892E-2</v>
      </c>
      <c r="K217" s="58">
        <v>5.7581573896357501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78</v>
      </c>
      <c r="D218" s="1" t="s">
        <v>2</v>
      </c>
      <c r="E218" s="59" t="s">
        <v>12</v>
      </c>
      <c r="F218" s="60">
        <v>5.7982499999999897</v>
      </c>
      <c r="G218" s="60">
        <v>0.81020950222766397</v>
      </c>
      <c r="H218" s="61">
        <v>5.92794871794871</v>
      </c>
      <c r="I218" s="63">
        <v>5.28</v>
      </c>
      <c r="J218" s="58">
        <v>-0.64794871794870978</v>
      </c>
      <c r="K218" s="58">
        <v>-10.930403564167877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78</v>
      </c>
      <c r="D219" s="1" t="s">
        <v>2</v>
      </c>
      <c r="E219" s="59" t="s">
        <v>13</v>
      </c>
      <c r="F219" s="60">
        <v>2.6577500000000001</v>
      </c>
      <c r="G219" s="60">
        <v>0.45858743713712802</v>
      </c>
      <c r="H219" s="61">
        <v>2.7743243243243199</v>
      </c>
      <c r="I219" s="63">
        <v>2.98</v>
      </c>
      <c r="J219" s="58">
        <v>0.20567567567568013</v>
      </c>
      <c r="K219" s="58">
        <v>7.4135411592792755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78</v>
      </c>
      <c r="D220" s="1" t="s">
        <v>2</v>
      </c>
      <c r="E220" s="59" t="s">
        <v>14</v>
      </c>
      <c r="F220" s="60">
        <v>3.9942499999999899</v>
      </c>
      <c r="G220" s="60">
        <v>1.0843151928752</v>
      </c>
      <c r="H220" s="61">
        <v>4.3705714285714201</v>
      </c>
      <c r="I220" s="63">
        <v>4.83</v>
      </c>
      <c r="J220" s="58">
        <v>0.45942857142857996</v>
      </c>
      <c r="K220" s="58">
        <v>10.511865071582879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78</v>
      </c>
      <c r="D221" s="1" t="s">
        <v>2</v>
      </c>
      <c r="E221" s="59" t="s">
        <v>15</v>
      </c>
      <c r="F221" s="60">
        <v>3.3964999999999899</v>
      </c>
      <c r="G221" s="60">
        <v>0.66956161030931205</v>
      </c>
      <c r="H221" s="61">
        <v>3.57567567567567</v>
      </c>
      <c r="I221" s="63">
        <v>3.71</v>
      </c>
      <c r="J221" s="58">
        <v>0.13432432432432995</v>
      </c>
      <c r="K221" s="58">
        <v>3.7566137566139197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78</v>
      </c>
      <c r="D222" s="1" t="s">
        <v>2</v>
      </c>
      <c r="E222" s="59" t="s">
        <v>16</v>
      </c>
      <c r="F222" s="60">
        <v>1.64025</v>
      </c>
      <c r="G222" s="60">
        <v>1.8906017560554499E-2</v>
      </c>
      <c r="H222" s="61">
        <v>1.63919999999999</v>
      </c>
      <c r="I222" s="63">
        <v>1.74</v>
      </c>
      <c r="J222" s="58">
        <v>0.10080000000000999</v>
      </c>
      <c r="K222" s="58">
        <v>6.1493411420211448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78</v>
      </c>
      <c r="D223" s="1" t="s">
        <v>2</v>
      </c>
      <c r="E223" s="59" t="s">
        <v>17</v>
      </c>
      <c r="F223" s="60">
        <v>5.3247499999999999</v>
      </c>
      <c r="G223" s="60">
        <v>0.59960815329680095</v>
      </c>
      <c r="H223" s="61">
        <v>5.4197435897435797</v>
      </c>
      <c r="I223" s="63">
        <v>5.14</v>
      </c>
      <c r="J223" s="58">
        <v>-0.27974358974358005</v>
      </c>
      <c r="K223" s="58">
        <v>-5.1615650281495205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78</v>
      </c>
      <c r="D224" s="1" t="s">
        <v>2</v>
      </c>
      <c r="E224" s="59" t="s">
        <v>18</v>
      </c>
      <c r="F224" s="60">
        <v>1.83574999999999</v>
      </c>
      <c r="G224" s="60">
        <v>0.32982485882661999</v>
      </c>
      <c r="H224" s="61">
        <v>1.94166666666666</v>
      </c>
      <c r="I224" s="63">
        <v>1.7</v>
      </c>
      <c r="J224" s="58">
        <v>-0.24166666666666003</v>
      </c>
      <c r="K224" s="58">
        <v>-12.446351931330174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78</v>
      </c>
      <c r="D225" s="1" t="s">
        <v>2</v>
      </c>
      <c r="E225" s="59" t="s">
        <v>19</v>
      </c>
      <c r="F225" s="60">
        <v>1.6219999999999899</v>
      </c>
      <c r="G225" s="60">
        <v>0.108517279730004</v>
      </c>
      <c r="H225" s="61">
        <v>1.6452631578947301</v>
      </c>
      <c r="I225" s="63">
        <v>1.73</v>
      </c>
      <c r="J225" s="58">
        <v>8.4736842105269883E-2</v>
      </c>
      <c r="K225" s="58">
        <v>5.1503518873964627</v>
      </c>
      <c r="L225" s="1" t="s">
        <v>69</v>
      </c>
      <c r="M225" s="1">
        <v>3</v>
      </c>
    </row>
    <row r="227" spans="1:13" x14ac:dyDescent="0.3">
      <c r="A227">
        <v>6</v>
      </c>
      <c r="B227">
        <v>1</v>
      </c>
      <c r="C227" t="s">
        <v>78</v>
      </c>
      <c r="D227" s="1" t="s">
        <v>2</v>
      </c>
      <c r="E227" s="59" t="s">
        <v>12</v>
      </c>
      <c r="F227" s="60">
        <v>1.93474999999999</v>
      </c>
      <c r="G227" s="60">
        <v>0.21517420268238399</v>
      </c>
      <c r="H227" s="61">
        <v>1.9834210526315701</v>
      </c>
      <c r="I227" s="62">
        <v>1.95</v>
      </c>
      <c r="J227" s="37">
        <v>-3.3421052631570136E-2</v>
      </c>
      <c r="K227" s="37">
        <v>-1.685020565211186</v>
      </c>
      <c r="L227" s="1" t="s">
        <v>23</v>
      </c>
      <c r="M227" s="1">
        <v>1</v>
      </c>
    </row>
    <row r="228" spans="1:13" x14ac:dyDescent="0.3">
      <c r="A228">
        <v>6</v>
      </c>
      <c r="B228">
        <v>1</v>
      </c>
      <c r="C228" t="s">
        <v>78</v>
      </c>
      <c r="D228" s="1" t="s">
        <v>2</v>
      </c>
      <c r="E228" s="59" t="s">
        <v>13</v>
      </c>
      <c r="F228" s="60">
        <v>3.5467647058823499</v>
      </c>
      <c r="G228" s="60">
        <v>2.4219655148282601E-2</v>
      </c>
      <c r="H228" s="61">
        <v>3.5507692307692298</v>
      </c>
      <c r="I228" s="62">
        <v>3.4</v>
      </c>
      <c r="J228" s="37">
        <v>-0.15076923076922988</v>
      </c>
      <c r="K228" s="37">
        <v>-4.2461005199306516</v>
      </c>
      <c r="L228" s="1" t="s">
        <v>23</v>
      </c>
      <c r="M228" s="1">
        <v>1</v>
      </c>
    </row>
    <row r="229" spans="1:13" x14ac:dyDescent="0.3">
      <c r="A229">
        <v>6</v>
      </c>
      <c r="B229">
        <v>1</v>
      </c>
      <c r="C229" t="s">
        <v>78</v>
      </c>
      <c r="D229" s="1" t="s">
        <v>2</v>
      </c>
      <c r="E229" s="59" t="s">
        <v>14</v>
      </c>
      <c r="F229" s="60">
        <v>4.5359999999999996</v>
      </c>
      <c r="G229" s="60">
        <v>0.91645185361807202</v>
      </c>
      <c r="H229" s="61">
        <v>4.7889189189189096</v>
      </c>
      <c r="I229" s="62">
        <v>4.83</v>
      </c>
      <c r="J229" s="37">
        <v>4.1081081081090431E-2</v>
      </c>
      <c r="K229" s="37">
        <v>0.85783622100589696</v>
      </c>
      <c r="L229" s="1" t="s">
        <v>23</v>
      </c>
      <c r="M229" s="1">
        <v>1</v>
      </c>
    </row>
    <row r="230" spans="1:13" x14ac:dyDescent="0.3">
      <c r="A230">
        <v>6</v>
      </c>
      <c r="B230">
        <v>1</v>
      </c>
      <c r="C230" t="s">
        <v>78</v>
      </c>
      <c r="D230" s="1" t="s">
        <v>2</v>
      </c>
      <c r="E230" s="59" t="s">
        <v>15</v>
      </c>
      <c r="F230" s="60">
        <v>5.0362499999999999</v>
      </c>
      <c r="G230" s="60">
        <v>1.07334683933013</v>
      </c>
      <c r="H230" s="61">
        <v>5.32189189189189</v>
      </c>
      <c r="I230" s="62">
        <v>5.42</v>
      </c>
      <c r="J230" s="37">
        <v>9.8108108108109882E-2</v>
      </c>
      <c r="K230" s="37">
        <v>1.8434817937128978</v>
      </c>
      <c r="L230" s="1" t="s">
        <v>23</v>
      </c>
      <c r="M230" s="1">
        <v>1</v>
      </c>
    </row>
    <row r="231" spans="1:13" x14ac:dyDescent="0.3">
      <c r="A231">
        <v>6</v>
      </c>
      <c r="B231">
        <v>1</v>
      </c>
      <c r="C231" t="s">
        <v>78</v>
      </c>
      <c r="D231" s="1" t="s">
        <v>2</v>
      </c>
      <c r="E231" s="59" t="s">
        <v>16</v>
      </c>
      <c r="F231" s="60">
        <v>3.8041025641025601</v>
      </c>
      <c r="G231" s="60">
        <v>0.48275766574916101</v>
      </c>
      <c r="H231" s="61">
        <v>3.9424999999999999</v>
      </c>
      <c r="I231" s="62">
        <v>3.92</v>
      </c>
      <c r="J231" s="37">
        <v>-2.2499999999999964E-2</v>
      </c>
      <c r="K231" s="37">
        <v>-0.57070386810399409</v>
      </c>
      <c r="L231" s="1" t="s">
        <v>23</v>
      </c>
      <c r="M231" s="1">
        <v>1</v>
      </c>
    </row>
    <row r="232" spans="1:13" x14ac:dyDescent="0.3">
      <c r="A232">
        <v>6</v>
      </c>
      <c r="B232">
        <v>1</v>
      </c>
      <c r="C232" t="s">
        <v>78</v>
      </c>
      <c r="D232" s="1" t="s">
        <v>2</v>
      </c>
      <c r="E232" s="59" t="s">
        <v>17</v>
      </c>
      <c r="F232" s="60">
        <v>4.1537499999999996</v>
      </c>
      <c r="G232" s="60">
        <v>0.18996956993160699</v>
      </c>
      <c r="H232" s="61">
        <v>4.1841025641025604</v>
      </c>
      <c r="I232" s="62">
        <v>4.3499999999999996</v>
      </c>
      <c r="J232" s="37">
        <v>0.16589743589743922</v>
      </c>
      <c r="K232" s="37">
        <v>3.964946684642809</v>
      </c>
      <c r="L232" s="1" t="s">
        <v>23</v>
      </c>
      <c r="M232" s="1">
        <v>1</v>
      </c>
    </row>
    <row r="233" spans="1:13" x14ac:dyDescent="0.3">
      <c r="A233">
        <v>6</v>
      </c>
      <c r="B233">
        <v>1</v>
      </c>
      <c r="C233" t="s">
        <v>78</v>
      </c>
      <c r="D233" s="1" t="s">
        <v>2</v>
      </c>
      <c r="E233" s="59" t="s">
        <v>18</v>
      </c>
      <c r="F233" s="60">
        <v>1.8429166666666601</v>
      </c>
      <c r="G233" s="60">
        <v>2.8059336928888502E-2</v>
      </c>
      <c r="H233" s="61">
        <v>1.845</v>
      </c>
      <c r="I233" s="62">
        <v>1.86</v>
      </c>
      <c r="J233" s="37">
        <v>1.5000000000000124E-2</v>
      </c>
      <c r="K233" s="37">
        <v>0.81300813008130746</v>
      </c>
      <c r="L233" s="1" t="s">
        <v>23</v>
      </c>
      <c r="M233" s="1">
        <v>1</v>
      </c>
    </row>
    <row r="234" spans="1:13" x14ac:dyDescent="0.3">
      <c r="A234">
        <v>6</v>
      </c>
      <c r="B234">
        <v>1</v>
      </c>
      <c r="C234" t="s">
        <v>78</v>
      </c>
      <c r="D234" s="1" t="s">
        <v>2</v>
      </c>
      <c r="E234" s="59" t="s">
        <v>19</v>
      </c>
      <c r="F234" s="60">
        <v>2.5117500000000001</v>
      </c>
      <c r="G234" s="60">
        <v>0.48192783432792002</v>
      </c>
      <c r="H234" s="61">
        <v>2.6362162162162099</v>
      </c>
      <c r="I234" s="62">
        <v>2.73</v>
      </c>
      <c r="J234" s="37">
        <v>9.3783783783790042E-2</v>
      </c>
      <c r="K234" s="37">
        <v>3.5575148656963709</v>
      </c>
      <c r="L234" s="1" t="s">
        <v>23</v>
      </c>
      <c r="M234" s="1">
        <v>1</v>
      </c>
    </row>
    <row r="235" spans="1:13" x14ac:dyDescent="0.3">
      <c r="A235">
        <v>6</v>
      </c>
      <c r="B235">
        <v>1</v>
      </c>
      <c r="C235" t="s">
        <v>78</v>
      </c>
      <c r="D235" s="1" t="s">
        <v>2</v>
      </c>
      <c r="E235" s="59" t="s">
        <v>12</v>
      </c>
      <c r="F235" s="60">
        <v>1.93474999999999</v>
      </c>
      <c r="G235" s="60">
        <v>0.21517420268238399</v>
      </c>
      <c r="H235" s="61">
        <v>1.9834210526315701</v>
      </c>
      <c r="I235" s="62">
        <v>1.94</v>
      </c>
      <c r="J235" s="37">
        <v>-4.3421052631570145E-2</v>
      </c>
      <c r="K235" s="37">
        <v>-2.1891999469280519</v>
      </c>
      <c r="L235" s="1" t="s">
        <v>68</v>
      </c>
      <c r="M235" s="1">
        <v>1</v>
      </c>
    </row>
    <row r="236" spans="1:13" x14ac:dyDescent="0.3">
      <c r="A236">
        <v>6</v>
      </c>
      <c r="B236">
        <v>1</v>
      </c>
      <c r="C236" t="s">
        <v>78</v>
      </c>
      <c r="D236" s="1" t="s">
        <v>2</v>
      </c>
      <c r="E236" s="59" t="s">
        <v>13</v>
      </c>
      <c r="F236" s="60">
        <v>3.5467647058823499</v>
      </c>
      <c r="G236" s="60">
        <v>2.4219655148282601E-2</v>
      </c>
      <c r="H236" s="61">
        <v>3.5507692307692298</v>
      </c>
      <c r="I236" s="62">
        <v>3.45</v>
      </c>
      <c r="J236" s="37">
        <v>-0.10076923076922961</v>
      </c>
      <c r="K236" s="37">
        <v>-2.8379549393413894</v>
      </c>
      <c r="L236" s="1" t="s">
        <v>68</v>
      </c>
      <c r="M236" s="1">
        <v>1</v>
      </c>
    </row>
    <row r="237" spans="1:13" x14ac:dyDescent="0.3">
      <c r="A237">
        <v>6</v>
      </c>
      <c r="B237">
        <v>1</v>
      </c>
      <c r="C237" t="s">
        <v>78</v>
      </c>
      <c r="D237" s="1" t="s">
        <v>2</v>
      </c>
      <c r="E237" s="59" t="s">
        <v>14</v>
      </c>
      <c r="F237" s="60">
        <v>4.5359999999999996</v>
      </c>
      <c r="G237" s="60">
        <v>0.91645185361807202</v>
      </c>
      <c r="H237" s="61">
        <v>4.7889189189189096</v>
      </c>
      <c r="I237" s="62">
        <v>4.8499999999999996</v>
      </c>
      <c r="J237" s="37">
        <v>6.1081081081090005E-2</v>
      </c>
      <c r="K237" s="37">
        <v>1.2754670128112955</v>
      </c>
      <c r="L237" s="1" t="s">
        <v>68</v>
      </c>
      <c r="M237" s="1">
        <v>1</v>
      </c>
    </row>
    <row r="238" spans="1:13" x14ac:dyDescent="0.3">
      <c r="A238">
        <v>6</v>
      </c>
      <c r="B238">
        <v>1</v>
      </c>
      <c r="C238" t="s">
        <v>78</v>
      </c>
      <c r="D238" s="1" t="s">
        <v>2</v>
      </c>
      <c r="E238" s="59" t="s">
        <v>15</v>
      </c>
      <c r="F238" s="60">
        <v>5.0362499999999999</v>
      </c>
      <c r="G238" s="60">
        <v>1.07334683933013</v>
      </c>
      <c r="H238" s="61">
        <v>5.32189189189189</v>
      </c>
      <c r="I238" s="62">
        <v>5.37</v>
      </c>
      <c r="J238" s="37">
        <v>4.8108108108110059E-2</v>
      </c>
      <c r="K238" s="37">
        <v>0.90396627901075255</v>
      </c>
      <c r="L238" s="1" t="s">
        <v>68</v>
      </c>
      <c r="M238" s="1">
        <v>1</v>
      </c>
    </row>
    <row r="239" spans="1:13" x14ac:dyDescent="0.3">
      <c r="A239">
        <v>6</v>
      </c>
      <c r="B239">
        <v>1</v>
      </c>
      <c r="C239" t="s">
        <v>78</v>
      </c>
      <c r="D239" s="1" t="s">
        <v>2</v>
      </c>
      <c r="E239" s="59" t="s">
        <v>16</v>
      </c>
      <c r="F239" s="60">
        <v>3.8041025641025601</v>
      </c>
      <c r="G239" s="60">
        <v>0.48275766574916101</v>
      </c>
      <c r="H239" s="61">
        <v>3.9424999999999999</v>
      </c>
      <c r="I239" s="62">
        <v>3.93</v>
      </c>
      <c r="J239" s="37">
        <v>-1.2499999999999734E-2</v>
      </c>
      <c r="K239" s="37">
        <v>-0.31705770450221266</v>
      </c>
      <c r="L239" s="1" t="s">
        <v>68</v>
      </c>
      <c r="M239" s="1">
        <v>1</v>
      </c>
    </row>
    <row r="240" spans="1:13" x14ac:dyDescent="0.3">
      <c r="A240">
        <v>6</v>
      </c>
      <c r="B240">
        <v>1</v>
      </c>
      <c r="C240" t="s">
        <v>78</v>
      </c>
      <c r="D240" s="1" t="s">
        <v>2</v>
      </c>
      <c r="E240" s="59" t="s">
        <v>17</v>
      </c>
      <c r="F240" s="60">
        <v>4.1537499999999996</v>
      </c>
      <c r="G240" s="60">
        <v>0.18996956993160699</v>
      </c>
      <c r="H240" s="61">
        <v>4.1841025641025604</v>
      </c>
      <c r="I240" s="62">
        <v>4.3499999999999996</v>
      </c>
      <c r="J240" s="37">
        <v>0.16589743589743922</v>
      </c>
      <c r="K240" s="37">
        <v>3.964946684642809</v>
      </c>
      <c r="L240" s="1" t="s">
        <v>68</v>
      </c>
      <c r="M240" s="1">
        <v>1</v>
      </c>
    </row>
    <row r="241" spans="1:13" x14ac:dyDescent="0.3">
      <c r="A241">
        <v>6</v>
      </c>
      <c r="B241">
        <v>1</v>
      </c>
      <c r="C241" t="s">
        <v>78</v>
      </c>
      <c r="D241" s="1" t="s">
        <v>2</v>
      </c>
      <c r="E241" s="59" t="s">
        <v>18</v>
      </c>
      <c r="F241" s="60">
        <v>1.8429166666666601</v>
      </c>
      <c r="G241" s="60">
        <v>2.8059336928888502E-2</v>
      </c>
      <c r="H241" s="61">
        <v>1.845</v>
      </c>
      <c r="I241" s="62">
        <v>1.76</v>
      </c>
      <c r="J241" s="37">
        <v>-8.4999999999999964E-2</v>
      </c>
      <c r="K241" s="37">
        <v>-4.6070460704607026</v>
      </c>
      <c r="L241" s="1" t="s">
        <v>68</v>
      </c>
      <c r="M241" s="1">
        <v>1</v>
      </c>
    </row>
    <row r="242" spans="1:13" x14ac:dyDescent="0.3">
      <c r="A242">
        <v>6</v>
      </c>
      <c r="B242">
        <v>1</v>
      </c>
      <c r="C242" t="s">
        <v>78</v>
      </c>
      <c r="D242" s="1" t="s">
        <v>2</v>
      </c>
      <c r="E242" s="59" t="s">
        <v>19</v>
      </c>
      <c r="F242" s="60">
        <v>2.5117500000000001</v>
      </c>
      <c r="G242" s="60">
        <v>0.48192783432792002</v>
      </c>
      <c r="H242" s="61">
        <v>2.6362162162162099</v>
      </c>
      <c r="I242" s="62">
        <v>2.64</v>
      </c>
      <c r="J242" s="37">
        <v>3.7837837837901844E-3</v>
      </c>
      <c r="K242" s="37">
        <v>0.14353085913495711</v>
      </c>
      <c r="L242" s="1" t="s">
        <v>68</v>
      </c>
      <c r="M242" s="1">
        <v>1</v>
      </c>
    </row>
    <row r="243" spans="1:13" x14ac:dyDescent="0.3">
      <c r="A243">
        <v>6</v>
      </c>
      <c r="B243">
        <v>1</v>
      </c>
      <c r="C243" t="s">
        <v>78</v>
      </c>
      <c r="D243" s="1" t="s">
        <v>2</v>
      </c>
      <c r="E243" s="59" t="s">
        <v>12</v>
      </c>
      <c r="F243" s="60">
        <v>1.93474999999999</v>
      </c>
      <c r="G243" s="60">
        <v>0.21517420268238399</v>
      </c>
      <c r="H243" s="61">
        <v>1.9834210526315701</v>
      </c>
      <c r="I243" s="62">
        <v>1.87</v>
      </c>
      <c r="J243" s="37">
        <v>-0.11342105263156999</v>
      </c>
      <c r="K243" s="37">
        <v>-5.7184556189461038</v>
      </c>
      <c r="L243" s="1" t="s">
        <v>69</v>
      </c>
      <c r="M243" s="1">
        <v>1</v>
      </c>
    </row>
    <row r="244" spans="1:13" x14ac:dyDescent="0.3">
      <c r="A244">
        <v>6</v>
      </c>
      <c r="B244">
        <v>1</v>
      </c>
      <c r="C244" t="s">
        <v>78</v>
      </c>
      <c r="D244" s="1" t="s">
        <v>2</v>
      </c>
      <c r="E244" s="59" t="s">
        <v>13</v>
      </c>
      <c r="F244" s="60">
        <v>3.5467647058823499</v>
      </c>
      <c r="G244" s="60">
        <v>2.4219655148282601E-2</v>
      </c>
      <c r="H244" s="61">
        <v>3.5507692307692298</v>
      </c>
      <c r="I244" s="62">
        <v>3.49</v>
      </c>
      <c r="J244" s="37">
        <v>-6.0769230769229576E-2</v>
      </c>
      <c r="K244" s="37">
        <v>-1.7114384748699842</v>
      </c>
      <c r="L244" s="1" t="s">
        <v>69</v>
      </c>
      <c r="M244" s="1">
        <v>1</v>
      </c>
    </row>
    <row r="245" spans="1:13" x14ac:dyDescent="0.3">
      <c r="A245">
        <v>6</v>
      </c>
      <c r="B245">
        <v>1</v>
      </c>
      <c r="C245" t="s">
        <v>78</v>
      </c>
      <c r="D245" s="1" t="s">
        <v>2</v>
      </c>
      <c r="E245" s="59" t="s">
        <v>14</v>
      </c>
      <c r="F245" s="60">
        <v>4.5359999999999996</v>
      </c>
      <c r="G245" s="60">
        <v>0.91645185361807202</v>
      </c>
      <c r="H245" s="61">
        <v>4.7889189189189096</v>
      </c>
      <c r="I245" s="62">
        <v>4.88</v>
      </c>
      <c r="J245" s="37">
        <v>9.1081081081090254E-2</v>
      </c>
      <c r="K245" s="37">
        <v>1.9019132005194122</v>
      </c>
      <c r="L245" s="1" t="s">
        <v>69</v>
      </c>
      <c r="M245" s="1">
        <v>1</v>
      </c>
    </row>
    <row r="246" spans="1:13" x14ac:dyDescent="0.3">
      <c r="A246">
        <v>6</v>
      </c>
      <c r="B246">
        <v>1</v>
      </c>
      <c r="C246" t="s">
        <v>78</v>
      </c>
      <c r="D246" s="1" t="s">
        <v>2</v>
      </c>
      <c r="E246" s="59" t="s">
        <v>15</v>
      </c>
      <c r="F246" s="60">
        <v>5.0362499999999999</v>
      </c>
      <c r="G246" s="60">
        <v>1.07334683933013</v>
      </c>
      <c r="H246" s="61">
        <v>5.32189189189189</v>
      </c>
      <c r="I246" s="62">
        <v>5.41</v>
      </c>
      <c r="J246" s="37">
        <v>8.8108108108110095E-2</v>
      </c>
      <c r="K246" s="37">
        <v>1.6555786907724721</v>
      </c>
      <c r="L246" s="1" t="s">
        <v>69</v>
      </c>
      <c r="M246" s="1">
        <v>1</v>
      </c>
    </row>
    <row r="247" spans="1:13" x14ac:dyDescent="0.3">
      <c r="A247">
        <v>6</v>
      </c>
      <c r="B247">
        <v>1</v>
      </c>
      <c r="C247" t="s">
        <v>78</v>
      </c>
      <c r="D247" s="1" t="s">
        <v>2</v>
      </c>
      <c r="E247" s="59" t="s">
        <v>16</v>
      </c>
      <c r="F247" s="60">
        <v>3.8041025641025601</v>
      </c>
      <c r="G247" s="60">
        <v>0.48275766574916101</v>
      </c>
      <c r="H247" s="61">
        <v>3.9424999999999999</v>
      </c>
      <c r="I247" s="62">
        <v>3.97</v>
      </c>
      <c r="J247" s="37">
        <v>2.7500000000000302E-2</v>
      </c>
      <c r="K247" s="37">
        <v>0.69752694990489039</v>
      </c>
      <c r="L247" s="1" t="s">
        <v>69</v>
      </c>
      <c r="M247" s="1">
        <v>1</v>
      </c>
    </row>
    <row r="248" spans="1:13" x14ac:dyDescent="0.3">
      <c r="A248">
        <v>6</v>
      </c>
      <c r="B248">
        <v>1</v>
      </c>
      <c r="C248" t="s">
        <v>78</v>
      </c>
      <c r="D248" s="1" t="s">
        <v>2</v>
      </c>
      <c r="E248" s="59" t="s">
        <v>17</v>
      </c>
      <c r="F248" s="60">
        <v>4.1537499999999996</v>
      </c>
      <c r="G248" s="60">
        <v>0.18996956993160699</v>
      </c>
      <c r="H248" s="61">
        <v>4.1841025641025604</v>
      </c>
      <c r="I248" s="62">
        <v>4.4000000000000004</v>
      </c>
      <c r="J248" s="37">
        <v>0.21589743589743993</v>
      </c>
      <c r="K248" s="37">
        <v>5.1599460718226284</v>
      </c>
      <c r="L248" s="1" t="s">
        <v>69</v>
      </c>
      <c r="M248" s="1">
        <v>1</v>
      </c>
    </row>
    <row r="249" spans="1:13" x14ac:dyDescent="0.3">
      <c r="A249">
        <v>6</v>
      </c>
      <c r="B249">
        <v>1</v>
      </c>
      <c r="C249" t="s">
        <v>78</v>
      </c>
      <c r="D249" s="1" t="s">
        <v>2</v>
      </c>
      <c r="E249" s="59" t="s">
        <v>18</v>
      </c>
      <c r="F249" s="60">
        <v>1.8429166666666601</v>
      </c>
      <c r="G249" s="60">
        <v>2.8059336928888502E-2</v>
      </c>
      <c r="H249" s="61">
        <v>1.845</v>
      </c>
      <c r="I249" s="62">
        <v>1.76</v>
      </c>
      <c r="J249" s="37">
        <v>-8.4999999999999964E-2</v>
      </c>
      <c r="K249" s="37">
        <v>-4.6070460704607026</v>
      </c>
      <c r="L249" s="1" t="s">
        <v>69</v>
      </c>
      <c r="M249" s="1">
        <v>1</v>
      </c>
    </row>
    <row r="250" spans="1:13" x14ac:dyDescent="0.3">
      <c r="A250">
        <v>6</v>
      </c>
      <c r="B250">
        <v>1</v>
      </c>
      <c r="C250" t="s">
        <v>78</v>
      </c>
      <c r="D250" s="1" t="s">
        <v>2</v>
      </c>
      <c r="E250" s="59" t="s">
        <v>19</v>
      </c>
      <c r="F250" s="60">
        <v>2.5117500000000001</v>
      </c>
      <c r="G250" s="60">
        <v>0.48192783432792002</v>
      </c>
      <c r="H250" s="61">
        <v>2.6362162162162099</v>
      </c>
      <c r="I250" s="62">
        <v>2.66</v>
      </c>
      <c r="J250" s="37">
        <v>2.3783783783790202E-2</v>
      </c>
      <c r="K250" s="37">
        <v>0.90219397170416205</v>
      </c>
      <c r="L250" s="1" t="s">
        <v>69</v>
      </c>
      <c r="M250" s="1">
        <v>1</v>
      </c>
    </row>
    <row r="252" spans="1:13" x14ac:dyDescent="0.3">
      <c r="A252">
        <v>6</v>
      </c>
      <c r="B252">
        <v>1</v>
      </c>
      <c r="C252" t="s">
        <v>78</v>
      </c>
      <c r="D252" s="1" t="s">
        <v>2</v>
      </c>
      <c r="E252" s="59" t="s">
        <v>12</v>
      </c>
      <c r="F252" s="60">
        <v>1.9975999999999901</v>
      </c>
      <c r="G252" s="60">
        <v>2.2676860452893299E-2</v>
      </c>
      <c r="H252" s="61">
        <v>1.99781249999999</v>
      </c>
      <c r="I252" s="62">
        <v>1.95</v>
      </c>
      <c r="J252" s="37">
        <v>-4.7812499999990044E-2</v>
      </c>
      <c r="K252" s="37">
        <v>-2.3932426091032211</v>
      </c>
      <c r="L252" s="1" t="s">
        <v>23</v>
      </c>
      <c r="M252" s="1">
        <v>2</v>
      </c>
    </row>
    <row r="253" spans="1:13" x14ac:dyDescent="0.3">
      <c r="A253">
        <v>6</v>
      </c>
      <c r="B253">
        <v>1</v>
      </c>
      <c r="C253" t="s">
        <v>78</v>
      </c>
      <c r="D253" s="1" t="s">
        <v>2</v>
      </c>
      <c r="E253" s="59" t="s">
        <v>13</v>
      </c>
      <c r="F253" s="60">
        <v>3.5414634146341402</v>
      </c>
      <c r="G253" s="60">
        <v>3.0886177791759398E-2</v>
      </c>
      <c r="H253" s="61">
        <v>3.5447999999999902</v>
      </c>
      <c r="I253" s="62">
        <v>3.4</v>
      </c>
      <c r="J253" s="37">
        <v>-0.14479999999999027</v>
      </c>
      <c r="K253" s="37">
        <v>-4.084856691491499</v>
      </c>
      <c r="L253" s="1" t="s">
        <v>23</v>
      </c>
      <c r="M253" s="1">
        <v>2</v>
      </c>
    </row>
    <row r="254" spans="1:13" x14ac:dyDescent="0.3">
      <c r="A254">
        <v>6</v>
      </c>
      <c r="B254">
        <v>1</v>
      </c>
      <c r="C254" t="s">
        <v>78</v>
      </c>
      <c r="D254" s="1" t="s">
        <v>2</v>
      </c>
      <c r="E254" s="59" t="s">
        <v>14</v>
      </c>
      <c r="F254" s="60">
        <v>4.4285714285714297</v>
      </c>
      <c r="G254" s="60">
        <v>1.0129407581847201</v>
      </c>
      <c r="H254" s="61">
        <v>4.79</v>
      </c>
      <c r="I254" s="62">
        <v>4.83</v>
      </c>
      <c r="J254" s="37">
        <v>4.0000000000000036E-2</v>
      </c>
      <c r="K254" s="37">
        <v>0.83507306889352895</v>
      </c>
      <c r="L254" s="1" t="s">
        <v>23</v>
      </c>
      <c r="M254" s="1">
        <v>2</v>
      </c>
    </row>
    <row r="255" spans="1:13" x14ac:dyDescent="0.3">
      <c r="A255">
        <v>6</v>
      </c>
      <c r="B255">
        <v>1</v>
      </c>
      <c r="C255" t="s">
        <v>78</v>
      </c>
      <c r="D255" s="1" t="s">
        <v>2</v>
      </c>
      <c r="E255" s="59" t="s">
        <v>15</v>
      </c>
      <c r="F255" s="60">
        <v>5.1619999999999999</v>
      </c>
      <c r="G255" s="60">
        <v>0.70727081093453803</v>
      </c>
      <c r="H255" s="61">
        <v>5.3658695652173902</v>
      </c>
      <c r="I255" s="62">
        <v>5.42</v>
      </c>
      <c r="J255" s="37">
        <v>5.4130434782609704E-2</v>
      </c>
      <c r="K255" s="37">
        <v>1.0087914759146162</v>
      </c>
      <c r="L255" s="1" t="s">
        <v>23</v>
      </c>
      <c r="M255" s="1">
        <v>2</v>
      </c>
    </row>
    <row r="256" spans="1:13" x14ac:dyDescent="0.3">
      <c r="A256">
        <v>6</v>
      </c>
      <c r="B256">
        <v>1</v>
      </c>
      <c r="C256" t="s">
        <v>78</v>
      </c>
      <c r="D256" s="1" t="s">
        <v>2</v>
      </c>
      <c r="E256" s="59" t="s">
        <v>16</v>
      </c>
      <c r="F256" s="60">
        <v>3.77204081632653</v>
      </c>
      <c r="G256" s="60">
        <v>0.67758870069801103</v>
      </c>
      <c r="H256" s="61">
        <v>3.9384782608695601</v>
      </c>
      <c r="I256" s="62">
        <v>3.92</v>
      </c>
      <c r="J256" s="37">
        <v>-1.847826086956017E-2</v>
      </c>
      <c r="K256" s="37">
        <v>-0.46917260032001373</v>
      </c>
      <c r="L256" s="1" t="s">
        <v>23</v>
      </c>
      <c r="M256" s="1">
        <v>2</v>
      </c>
    </row>
    <row r="257" spans="1:13" x14ac:dyDescent="0.3">
      <c r="A257">
        <v>6</v>
      </c>
      <c r="B257">
        <v>1</v>
      </c>
      <c r="C257" t="s">
        <v>78</v>
      </c>
      <c r="D257" s="1" t="s">
        <v>2</v>
      </c>
      <c r="E257" s="59" t="s">
        <v>17</v>
      </c>
      <c r="F257" s="60">
        <v>3.9117999999999902</v>
      </c>
      <c r="G257" s="60">
        <v>0.88795425557851704</v>
      </c>
      <c r="H257" s="61">
        <v>4.1671739130434702</v>
      </c>
      <c r="I257" s="62">
        <v>4.3499999999999996</v>
      </c>
      <c r="J257" s="37">
        <v>0.18282608695652947</v>
      </c>
      <c r="K257" s="37">
        <v>4.3872919818458822</v>
      </c>
      <c r="L257" s="1" t="s">
        <v>23</v>
      </c>
      <c r="M257" s="1">
        <v>2</v>
      </c>
    </row>
    <row r="258" spans="1:13" x14ac:dyDescent="0.3">
      <c r="A258">
        <v>6</v>
      </c>
      <c r="B258">
        <v>1</v>
      </c>
      <c r="C258" t="s">
        <v>78</v>
      </c>
      <c r="D258" s="1" t="s">
        <v>2</v>
      </c>
      <c r="E258" s="59" t="s">
        <v>18</v>
      </c>
      <c r="F258" s="60">
        <v>1.7567999999999999</v>
      </c>
      <c r="G258" s="60">
        <v>0.35159886234173099</v>
      </c>
      <c r="H258" s="61">
        <v>1.82833333333333</v>
      </c>
      <c r="I258" s="62">
        <v>1.86</v>
      </c>
      <c r="J258" s="37">
        <v>3.1666666666670062E-2</v>
      </c>
      <c r="K258" s="37">
        <v>1.7319963536920759</v>
      </c>
      <c r="L258" s="1" t="s">
        <v>23</v>
      </c>
      <c r="M258" s="1">
        <v>2</v>
      </c>
    </row>
    <row r="259" spans="1:13" x14ac:dyDescent="0.3">
      <c r="A259">
        <v>6</v>
      </c>
      <c r="B259">
        <v>1</v>
      </c>
      <c r="C259" t="s">
        <v>78</v>
      </c>
      <c r="D259" s="1" t="s">
        <v>2</v>
      </c>
      <c r="E259" s="59" t="s">
        <v>19</v>
      </c>
      <c r="F259" s="60">
        <v>2.653</v>
      </c>
      <c r="G259" s="60">
        <v>1.71172427686236E-2</v>
      </c>
      <c r="H259" s="61">
        <v>2.6529729729729699</v>
      </c>
      <c r="I259" s="62">
        <v>2.73</v>
      </c>
      <c r="J259" s="37">
        <v>7.7027027027030126E-2</v>
      </c>
      <c r="K259" s="37">
        <v>2.9034229828852056</v>
      </c>
      <c r="L259" s="1" t="s">
        <v>23</v>
      </c>
      <c r="M259" s="1">
        <v>2</v>
      </c>
    </row>
    <row r="260" spans="1:13" x14ac:dyDescent="0.3">
      <c r="A260">
        <v>6</v>
      </c>
      <c r="B260">
        <v>1</v>
      </c>
      <c r="C260" t="s">
        <v>78</v>
      </c>
      <c r="D260" s="1" t="s">
        <v>2</v>
      </c>
      <c r="E260" s="59" t="s">
        <v>12</v>
      </c>
      <c r="F260" s="60">
        <v>1.9975999999999901</v>
      </c>
      <c r="G260" s="60">
        <v>2.2676860452893299E-2</v>
      </c>
      <c r="H260" s="61">
        <v>1.99781249999999</v>
      </c>
      <c r="I260" s="62">
        <v>1.94</v>
      </c>
      <c r="J260" s="37">
        <v>-5.7812499999990052E-2</v>
      </c>
      <c r="K260" s="37">
        <v>-2.8937900829026919</v>
      </c>
      <c r="L260" s="1" t="s">
        <v>68</v>
      </c>
      <c r="M260" s="1">
        <v>2</v>
      </c>
    </row>
    <row r="261" spans="1:13" x14ac:dyDescent="0.3">
      <c r="A261">
        <v>6</v>
      </c>
      <c r="B261">
        <v>1</v>
      </c>
      <c r="C261" t="s">
        <v>78</v>
      </c>
      <c r="D261" s="1" t="s">
        <v>2</v>
      </c>
      <c r="E261" s="59" t="s">
        <v>13</v>
      </c>
      <c r="F261" s="60">
        <v>3.5414634146341402</v>
      </c>
      <c r="G261" s="60">
        <v>3.0886177791759398E-2</v>
      </c>
      <c r="H261" s="61">
        <v>3.5447999999999902</v>
      </c>
      <c r="I261" s="62">
        <v>3.45</v>
      </c>
      <c r="J261" s="37">
        <v>-9.4799999999990003E-2</v>
      </c>
      <c r="K261" s="37">
        <v>-2.6743398781310725</v>
      </c>
      <c r="L261" s="1" t="s">
        <v>68</v>
      </c>
      <c r="M261" s="1">
        <v>2</v>
      </c>
    </row>
    <row r="262" spans="1:13" x14ac:dyDescent="0.3">
      <c r="A262">
        <v>6</v>
      </c>
      <c r="B262">
        <v>1</v>
      </c>
      <c r="C262" t="s">
        <v>78</v>
      </c>
      <c r="D262" s="1" t="s">
        <v>2</v>
      </c>
      <c r="E262" s="59" t="s">
        <v>14</v>
      </c>
      <c r="F262" s="60">
        <v>4.4285714285714297</v>
      </c>
      <c r="G262" s="60">
        <v>1.0129407581847201</v>
      </c>
      <c r="H262" s="61">
        <v>4.79</v>
      </c>
      <c r="I262" s="62">
        <v>4.8499999999999996</v>
      </c>
      <c r="J262" s="37">
        <v>5.9999999999999609E-2</v>
      </c>
      <c r="K262" s="37">
        <v>1.2526096033402843</v>
      </c>
      <c r="L262" s="1" t="s">
        <v>68</v>
      </c>
      <c r="M262" s="1">
        <v>2</v>
      </c>
    </row>
    <row r="263" spans="1:13" x14ac:dyDescent="0.3">
      <c r="A263">
        <v>6</v>
      </c>
      <c r="B263">
        <v>1</v>
      </c>
      <c r="C263" t="s">
        <v>78</v>
      </c>
      <c r="D263" s="1" t="s">
        <v>2</v>
      </c>
      <c r="E263" s="59" t="s">
        <v>15</v>
      </c>
      <c r="F263" s="60">
        <v>5.1619999999999999</v>
      </c>
      <c r="G263" s="60">
        <v>0.70727081093453803</v>
      </c>
      <c r="H263" s="61">
        <v>5.3658695652173902</v>
      </c>
      <c r="I263" s="62">
        <v>5.37</v>
      </c>
      <c r="J263" s="37">
        <v>4.1304347826098819E-3</v>
      </c>
      <c r="K263" s="37">
        <v>7.6976056395111861E-2</v>
      </c>
      <c r="L263" s="1" t="s">
        <v>68</v>
      </c>
      <c r="M263" s="1">
        <v>2</v>
      </c>
    </row>
    <row r="264" spans="1:13" x14ac:dyDescent="0.3">
      <c r="A264">
        <v>6</v>
      </c>
      <c r="B264">
        <v>1</v>
      </c>
      <c r="C264" t="s">
        <v>78</v>
      </c>
      <c r="D264" s="1" t="s">
        <v>2</v>
      </c>
      <c r="E264" s="59" t="s">
        <v>16</v>
      </c>
      <c r="F264" s="60">
        <v>3.77204081632653</v>
      </c>
      <c r="G264" s="60">
        <v>0.67758870069801103</v>
      </c>
      <c r="H264" s="61">
        <v>3.9384782608695601</v>
      </c>
      <c r="I264" s="62">
        <v>3.93</v>
      </c>
      <c r="J264" s="37">
        <v>-8.4782608695599393E-3</v>
      </c>
      <c r="K264" s="37">
        <v>-0.21526742838204874</v>
      </c>
      <c r="L264" s="1" t="s">
        <v>68</v>
      </c>
      <c r="M264" s="1">
        <v>2</v>
      </c>
    </row>
    <row r="265" spans="1:13" x14ac:dyDescent="0.3">
      <c r="A265">
        <v>6</v>
      </c>
      <c r="B265">
        <v>1</v>
      </c>
      <c r="C265" t="s">
        <v>78</v>
      </c>
      <c r="D265" s="1" t="s">
        <v>2</v>
      </c>
      <c r="E265" s="59" t="s">
        <v>17</v>
      </c>
      <c r="F265" s="60">
        <v>3.9117999999999902</v>
      </c>
      <c r="G265" s="60">
        <v>0.88795425557851704</v>
      </c>
      <c r="H265" s="61">
        <v>4.1671739130434702</v>
      </c>
      <c r="I265" s="62">
        <v>4.3499999999999996</v>
      </c>
      <c r="J265" s="37">
        <v>0.18282608695652947</v>
      </c>
      <c r="K265" s="37">
        <v>4.3872919818458822</v>
      </c>
      <c r="L265" s="1" t="s">
        <v>68</v>
      </c>
      <c r="M265" s="1">
        <v>2</v>
      </c>
    </row>
    <row r="266" spans="1:13" x14ac:dyDescent="0.3">
      <c r="A266">
        <v>6</v>
      </c>
      <c r="B266">
        <v>1</v>
      </c>
      <c r="C266" t="s">
        <v>78</v>
      </c>
      <c r="D266" s="1" t="s">
        <v>2</v>
      </c>
      <c r="E266" s="59" t="s">
        <v>18</v>
      </c>
      <c r="F266" s="60">
        <v>1.7567999999999999</v>
      </c>
      <c r="G266" s="60">
        <v>0.35159886234173099</v>
      </c>
      <c r="H266" s="61">
        <v>1.82833333333333</v>
      </c>
      <c r="I266" s="62">
        <v>1.76</v>
      </c>
      <c r="J266" s="37">
        <v>-6.8333333333330026E-2</v>
      </c>
      <c r="K266" s="37">
        <v>-3.7374658158612664</v>
      </c>
      <c r="L266" s="1" t="s">
        <v>68</v>
      </c>
      <c r="M266" s="1">
        <v>2</v>
      </c>
    </row>
    <row r="267" spans="1:13" x14ac:dyDescent="0.3">
      <c r="A267">
        <v>6</v>
      </c>
      <c r="B267">
        <v>1</v>
      </c>
      <c r="C267" t="s">
        <v>78</v>
      </c>
      <c r="D267" s="1" t="s">
        <v>2</v>
      </c>
      <c r="E267" s="59" t="s">
        <v>19</v>
      </c>
      <c r="F267" s="60">
        <v>2.653</v>
      </c>
      <c r="G267" s="60">
        <v>1.71172427686236E-2</v>
      </c>
      <c r="H267" s="61">
        <v>2.6529729729729699</v>
      </c>
      <c r="I267" s="62">
        <v>2.64</v>
      </c>
      <c r="J267" s="37">
        <v>-1.2972972972969732E-2</v>
      </c>
      <c r="K267" s="37">
        <v>-0.48899755501210335</v>
      </c>
      <c r="L267" s="1" t="s">
        <v>68</v>
      </c>
      <c r="M267" s="1">
        <v>2</v>
      </c>
    </row>
    <row r="268" spans="1:13" x14ac:dyDescent="0.3">
      <c r="A268">
        <v>6</v>
      </c>
      <c r="B268">
        <v>1</v>
      </c>
      <c r="C268" t="s">
        <v>78</v>
      </c>
      <c r="D268" s="1" t="s">
        <v>2</v>
      </c>
      <c r="E268" s="59" t="s">
        <v>12</v>
      </c>
      <c r="F268" s="60">
        <v>1.9975999999999901</v>
      </c>
      <c r="G268" s="60">
        <v>2.2676860452893299E-2</v>
      </c>
      <c r="H268" s="61">
        <v>1.99781249999999</v>
      </c>
      <c r="I268" s="62">
        <v>1.87</v>
      </c>
      <c r="J268" s="37">
        <v>-0.12781249999998989</v>
      </c>
      <c r="K268" s="37">
        <v>-6.397622399498978</v>
      </c>
      <c r="L268" s="1" t="s">
        <v>69</v>
      </c>
      <c r="M268" s="1">
        <v>2</v>
      </c>
    </row>
    <row r="269" spans="1:13" x14ac:dyDescent="0.3">
      <c r="A269">
        <v>6</v>
      </c>
      <c r="B269">
        <v>1</v>
      </c>
      <c r="C269" t="s">
        <v>78</v>
      </c>
      <c r="D269" s="1" t="s">
        <v>2</v>
      </c>
      <c r="E269" s="59" t="s">
        <v>13</v>
      </c>
      <c r="F269" s="60">
        <v>3.5414634146341402</v>
      </c>
      <c r="G269" s="60">
        <v>3.0886177791759398E-2</v>
      </c>
      <c r="H269" s="61">
        <v>3.5447999999999902</v>
      </c>
      <c r="I269" s="62">
        <v>3.49</v>
      </c>
      <c r="J269" s="37">
        <v>-5.4799999999989968E-2</v>
      </c>
      <c r="K269" s="37">
        <v>-1.5459264274427362</v>
      </c>
      <c r="L269" s="1" t="s">
        <v>69</v>
      </c>
      <c r="M269" s="1">
        <v>2</v>
      </c>
    </row>
    <row r="270" spans="1:13" x14ac:dyDescent="0.3">
      <c r="A270">
        <v>6</v>
      </c>
      <c r="B270">
        <v>1</v>
      </c>
      <c r="C270" t="s">
        <v>78</v>
      </c>
      <c r="D270" s="1" t="s">
        <v>2</v>
      </c>
      <c r="E270" s="59" t="s">
        <v>14</v>
      </c>
      <c r="F270" s="60">
        <v>4.4285714285714297</v>
      </c>
      <c r="G270" s="60">
        <v>1.0129407581847201</v>
      </c>
      <c r="H270" s="61">
        <v>4.79</v>
      </c>
      <c r="I270" s="62">
        <v>4.88</v>
      </c>
      <c r="J270" s="37">
        <v>8.9999999999999858E-2</v>
      </c>
      <c r="K270" s="37">
        <v>1.8789144050104356</v>
      </c>
      <c r="L270" s="1" t="s">
        <v>69</v>
      </c>
      <c r="M270" s="1">
        <v>2</v>
      </c>
    </row>
    <row r="271" spans="1:13" x14ac:dyDescent="0.3">
      <c r="A271">
        <v>6</v>
      </c>
      <c r="B271">
        <v>1</v>
      </c>
      <c r="C271" t="s">
        <v>78</v>
      </c>
      <c r="D271" s="1" t="s">
        <v>2</v>
      </c>
      <c r="E271" s="59" t="s">
        <v>15</v>
      </c>
      <c r="F271" s="60">
        <v>5.1619999999999999</v>
      </c>
      <c r="G271" s="60">
        <v>0.70727081093453803</v>
      </c>
      <c r="H271" s="61">
        <v>5.3658695652173902</v>
      </c>
      <c r="I271" s="62">
        <v>5.41</v>
      </c>
      <c r="J271" s="37">
        <v>4.4130434782609917E-2</v>
      </c>
      <c r="K271" s="37">
        <v>0.8224283920107186</v>
      </c>
      <c r="L271" s="1" t="s">
        <v>69</v>
      </c>
      <c r="M271" s="1">
        <v>2</v>
      </c>
    </row>
    <row r="272" spans="1:13" x14ac:dyDescent="0.3">
      <c r="A272">
        <v>6</v>
      </c>
      <c r="B272">
        <v>1</v>
      </c>
      <c r="C272" t="s">
        <v>78</v>
      </c>
      <c r="D272" s="1" t="s">
        <v>2</v>
      </c>
      <c r="E272" s="59" t="s">
        <v>16</v>
      </c>
      <c r="F272" s="60">
        <v>3.77204081632653</v>
      </c>
      <c r="G272" s="60">
        <v>0.67758870069801103</v>
      </c>
      <c r="H272" s="61">
        <v>3.9384782608695601</v>
      </c>
      <c r="I272" s="62">
        <v>3.97</v>
      </c>
      <c r="J272" s="37">
        <v>3.1521739130440096E-2</v>
      </c>
      <c r="K272" s="37">
        <v>0.80035325936978885</v>
      </c>
      <c r="L272" s="1" t="s">
        <v>69</v>
      </c>
      <c r="M272" s="1">
        <v>2</v>
      </c>
    </row>
    <row r="273" spans="1:13" x14ac:dyDescent="0.3">
      <c r="A273">
        <v>6</v>
      </c>
      <c r="B273">
        <v>1</v>
      </c>
      <c r="C273" t="s">
        <v>78</v>
      </c>
      <c r="D273" s="1" t="s">
        <v>2</v>
      </c>
      <c r="E273" s="59" t="s">
        <v>17</v>
      </c>
      <c r="F273" s="60">
        <v>3.9117999999999902</v>
      </c>
      <c r="G273" s="60">
        <v>0.88795425557851704</v>
      </c>
      <c r="H273" s="61">
        <v>4.1671739130434702</v>
      </c>
      <c r="I273" s="62">
        <v>4.4000000000000004</v>
      </c>
      <c r="J273" s="37">
        <v>0.23282608695653018</v>
      </c>
      <c r="K273" s="37">
        <v>5.5871459126717138</v>
      </c>
      <c r="L273" s="1" t="s">
        <v>69</v>
      </c>
      <c r="M273" s="1">
        <v>2</v>
      </c>
    </row>
    <row r="274" spans="1:13" x14ac:dyDescent="0.3">
      <c r="A274">
        <v>6</v>
      </c>
      <c r="B274">
        <v>1</v>
      </c>
      <c r="C274" t="s">
        <v>78</v>
      </c>
      <c r="D274" s="1" t="s">
        <v>2</v>
      </c>
      <c r="E274" s="59" t="s">
        <v>18</v>
      </c>
      <c r="F274" s="60">
        <v>1.7567999999999999</v>
      </c>
      <c r="G274" s="60">
        <v>0.35159886234173099</v>
      </c>
      <c r="H274" s="61">
        <v>1.82833333333333</v>
      </c>
      <c r="I274" s="62">
        <v>1.76</v>
      </c>
      <c r="J274" s="37">
        <v>-6.8333333333330026E-2</v>
      </c>
      <c r="K274" s="37">
        <v>-3.7374658158612664</v>
      </c>
      <c r="L274" s="1" t="s">
        <v>69</v>
      </c>
      <c r="M274" s="1">
        <v>2</v>
      </c>
    </row>
    <row r="275" spans="1:13" x14ac:dyDescent="0.3">
      <c r="A275">
        <v>6</v>
      </c>
      <c r="B275">
        <v>1</v>
      </c>
      <c r="C275" t="s">
        <v>78</v>
      </c>
      <c r="D275" s="1" t="s">
        <v>2</v>
      </c>
      <c r="E275" s="59" t="s">
        <v>19</v>
      </c>
      <c r="F275" s="60">
        <v>2.653</v>
      </c>
      <c r="G275" s="60">
        <v>1.71172427686236E-2</v>
      </c>
      <c r="H275" s="61">
        <v>2.6529729729729699</v>
      </c>
      <c r="I275" s="62">
        <v>2.66</v>
      </c>
      <c r="J275" s="37">
        <v>7.0270270270302859E-3</v>
      </c>
      <c r="K275" s="37">
        <v>0.26487367563174502</v>
      </c>
      <c r="L275" s="1" t="s">
        <v>69</v>
      </c>
      <c r="M275" s="1">
        <v>2</v>
      </c>
    </row>
    <row r="277" spans="1:13" x14ac:dyDescent="0.3">
      <c r="A277">
        <v>6</v>
      </c>
      <c r="B277">
        <v>1</v>
      </c>
      <c r="C277" t="s">
        <v>78</v>
      </c>
      <c r="D277" s="1" t="s">
        <v>2</v>
      </c>
      <c r="E277" s="59" t="s">
        <v>12</v>
      </c>
      <c r="F277" s="60">
        <v>2.0027999999999899</v>
      </c>
      <c r="G277" s="60">
        <v>2.3327237298917301E-2</v>
      </c>
      <c r="H277" s="61">
        <v>2.0013888888888798</v>
      </c>
      <c r="I277" s="62">
        <v>1.95</v>
      </c>
      <c r="J277" s="37">
        <v>-5.1388888888879825E-2</v>
      </c>
      <c r="K277" s="37">
        <v>-2.5676613462868589</v>
      </c>
      <c r="L277" s="1" t="s">
        <v>23</v>
      </c>
      <c r="M277" s="1">
        <v>3</v>
      </c>
    </row>
    <row r="278" spans="1:13" x14ac:dyDescent="0.3">
      <c r="A278">
        <v>6</v>
      </c>
      <c r="B278">
        <v>1</v>
      </c>
      <c r="C278" t="s">
        <v>78</v>
      </c>
      <c r="D278" s="1" t="s">
        <v>2</v>
      </c>
      <c r="E278" s="59" t="s">
        <v>13</v>
      </c>
      <c r="F278" s="60">
        <v>3.3469047619047601</v>
      </c>
      <c r="G278" s="60">
        <v>0.62902603510066801</v>
      </c>
      <c r="H278" s="61">
        <v>3.53763157894736</v>
      </c>
      <c r="I278" s="62">
        <v>3.4</v>
      </c>
      <c r="J278" s="37">
        <v>-0.13763157894736011</v>
      </c>
      <c r="K278" s="37">
        <v>-3.8905006322991125</v>
      </c>
      <c r="L278" s="1" t="s">
        <v>23</v>
      </c>
      <c r="M278" s="1">
        <v>3</v>
      </c>
    </row>
    <row r="279" spans="1:13" x14ac:dyDescent="0.3">
      <c r="A279">
        <v>6</v>
      </c>
      <c r="B279">
        <v>1</v>
      </c>
      <c r="C279" t="s">
        <v>78</v>
      </c>
      <c r="D279" s="1" t="s">
        <v>2</v>
      </c>
      <c r="E279" s="59" t="s">
        <v>14</v>
      </c>
      <c r="F279" s="60">
        <v>4.5774999999999997</v>
      </c>
      <c r="G279" s="60">
        <v>0.77191995483124098</v>
      </c>
      <c r="H279" s="61">
        <v>4.78909090909091</v>
      </c>
      <c r="I279" s="62">
        <v>4.83</v>
      </c>
      <c r="J279" s="37">
        <v>4.0909090909090118E-2</v>
      </c>
      <c r="K279" s="37">
        <v>0.85421412300681709</v>
      </c>
      <c r="L279" s="1" t="s">
        <v>23</v>
      </c>
      <c r="M279" s="1">
        <v>3</v>
      </c>
    </row>
    <row r="280" spans="1:13" x14ac:dyDescent="0.3">
      <c r="A280">
        <v>6</v>
      </c>
      <c r="B280">
        <v>1</v>
      </c>
      <c r="C280" t="s">
        <v>78</v>
      </c>
      <c r="D280" s="1" t="s">
        <v>2</v>
      </c>
      <c r="E280" s="59" t="s">
        <v>15</v>
      </c>
      <c r="F280" s="60">
        <v>4.9108000000000001</v>
      </c>
      <c r="G280" s="60">
        <v>1.23684249603577</v>
      </c>
      <c r="H280" s="61">
        <v>5.3084444444444401</v>
      </c>
      <c r="I280" s="62">
        <v>5.42</v>
      </c>
      <c r="J280" s="37">
        <v>0.11155555555555985</v>
      </c>
      <c r="K280" s="37">
        <v>2.1014735432016902</v>
      </c>
      <c r="L280" s="1" t="s">
        <v>23</v>
      </c>
      <c r="M280" s="1">
        <v>3</v>
      </c>
    </row>
    <row r="281" spans="1:13" x14ac:dyDescent="0.3">
      <c r="A281">
        <v>6</v>
      </c>
      <c r="B281">
        <v>1</v>
      </c>
      <c r="C281" t="s">
        <v>78</v>
      </c>
      <c r="D281" s="1" t="s">
        <v>2</v>
      </c>
      <c r="E281" s="59" t="s">
        <v>16</v>
      </c>
      <c r="F281" s="60">
        <v>3.8338775510204002</v>
      </c>
      <c r="G281" s="60">
        <v>0.49689573630828099</v>
      </c>
      <c r="H281" s="61">
        <v>3.9430434782608699</v>
      </c>
      <c r="I281" s="62">
        <v>3.92</v>
      </c>
      <c r="J281" s="37">
        <v>-2.3043478260869943E-2</v>
      </c>
      <c r="K281" s="37">
        <v>-0.58440842430257878</v>
      </c>
      <c r="L281" s="1" t="s">
        <v>23</v>
      </c>
      <c r="M281" s="1">
        <v>3</v>
      </c>
    </row>
    <row r="282" spans="1:13" x14ac:dyDescent="0.3">
      <c r="A282">
        <v>6</v>
      </c>
      <c r="B282">
        <v>1</v>
      </c>
      <c r="C282" t="s">
        <v>78</v>
      </c>
      <c r="D282" s="1" t="s">
        <v>2</v>
      </c>
      <c r="E282" s="59" t="s">
        <v>17</v>
      </c>
      <c r="F282" s="60">
        <v>4.1089795918367296</v>
      </c>
      <c r="G282" s="60">
        <v>0.31865946828293601</v>
      </c>
      <c r="H282" s="61">
        <v>4.1858695652173896</v>
      </c>
      <c r="I282" s="62">
        <v>4.3499999999999996</v>
      </c>
      <c r="J282" s="37">
        <v>0.16413043478261002</v>
      </c>
      <c r="K282" s="37">
        <v>3.9210594650740402</v>
      </c>
      <c r="L282" s="1" t="s">
        <v>23</v>
      </c>
      <c r="M282" s="1">
        <v>3</v>
      </c>
    </row>
    <row r="283" spans="1:13" x14ac:dyDescent="0.3">
      <c r="A283">
        <v>6</v>
      </c>
      <c r="B283">
        <v>1</v>
      </c>
      <c r="C283" t="s">
        <v>78</v>
      </c>
      <c r="D283" s="1" t="s">
        <v>2</v>
      </c>
      <c r="E283" s="59" t="s">
        <v>18</v>
      </c>
      <c r="F283" s="60">
        <v>1.81555555555555</v>
      </c>
      <c r="G283" s="60">
        <v>2.6573912762447499E-2</v>
      </c>
      <c r="H283" s="61">
        <v>1.8147368421052601</v>
      </c>
      <c r="I283" s="62">
        <v>1.86</v>
      </c>
      <c r="J283" s="37">
        <v>4.5263157894740003E-2</v>
      </c>
      <c r="K283" s="37">
        <v>2.4941995359630553</v>
      </c>
      <c r="L283" s="1" t="s">
        <v>23</v>
      </c>
      <c r="M283" s="1">
        <v>3</v>
      </c>
    </row>
    <row r="284" spans="1:13" x14ac:dyDescent="0.3">
      <c r="A284">
        <v>6</v>
      </c>
      <c r="B284">
        <v>1</v>
      </c>
      <c r="C284" t="s">
        <v>78</v>
      </c>
      <c r="D284" s="1" t="s">
        <v>2</v>
      </c>
      <c r="E284" s="59" t="s">
        <v>19</v>
      </c>
      <c r="F284" s="60">
        <v>2.5797959183673398</v>
      </c>
      <c r="G284" s="60">
        <v>0.25713880787223098</v>
      </c>
      <c r="H284" s="61">
        <v>2.6524444444444399</v>
      </c>
      <c r="I284" s="62">
        <v>2.73</v>
      </c>
      <c r="J284" s="37">
        <v>7.7555555555560041E-2</v>
      </c>
      <c r="K284" s="37">
        <v>2.9239276139411929</v>
      </c>
      <c r="L284" s="1" t="s">
        <v>23</v>
      </c>
      <c r="M284" s="1">
        <v>3</v>
      </c>
    </row>
    <row r="285" spans="1:13" x14ac:dyDescent="0.3">
      <c r="A285">
        <v>6</v>
      </c>
      <c r="B285">
        <v>1</v>
      </c>
      <c r="C285" t="s">
        <v>78</v>
      </c>
      <c r="D285" s="1" t="s">
        <v>2</v>
      </c>
      <c r="E285" s="59" t="s">
        <v>12</v>
      </c>
      <c r="F285" s="60">
        <v>2.0027999999999899</v>
      </c>
      <c r="G285" s="60">
        <v>2.3327237298917301E-2</v>
      </c>
      <c r="H285" s="61">
        <v>2.0013888888888798</v>
      </c>
      <c r="I285" s="62">
        <v>1.94</v>
      </c>
      <c r="J285" s="37">
        <v>-6.1388888888879833E-2</v>
      </c>
      <c r="K285" s="37">
        <v>-3.0673143650238504</v>
      </c>
      <c r="L285" s="1" t="s">
        <v>68</v>
      </c>
      <c r="M285" s="1">
        <v>3</v>
      </c>
    </row>
    <row r="286" spans="1:13" x14ac:dyDescent="0.3">
      <c r="A286">
        <v>6</v>
      </c>
      <c r="B286">
        <v>1</v>
      </c>
      <c r="C286" t="s">
        <v>78</v>
      </c>
      <c r="D286" s="1" t="s">
        <v>2</v>
      </c>
      <c r="E286" s="59" t="s">
        <v>13</v>
      </c>
      <c r="F286" s="60">
        <v>3.3469047619047601</v>
      </c>
      <c r="G286" s="60">
        <v>0.62902603510066801</v>
      </c>
      <c r="H286" s="61">
        <v>3.53763157894736</v>
      </c>
      <c r="I286" s="62">
        <v>3.45</v>
      </c>
      <c r="J286" s="37">
        <v>-8.7631578947359845E-2</v>
      </c>
      <c r="K286" s="37">
        <v>-2.4771256415976208</v>
      </c>
      <c r="L286" s="1" t="s">
        <v>68</v>
      </c>
      <c r="M286" s="1">
        <v>3</v>
      </c>
    </row>
    <row r="287" spans="1:13" x14ac:dyDescent="0.3">
      <c r="A287">
        <v>6</v>
      </c>
      <c r="B287">
        <v>1</v>
      </c>
      <c r="C287" t="s">
        <v>78</v>
      </c>
      <c r="D287" s="1" t="s">
        <v>2</v>
      </c>
      <c r="E287" s="59" t="s">
        <v>14</v>
      </c>
      <c r="F287" s="60">
        <v>4.5774999999999997</v>
      </c>
      <c r="G287" s="60">
        <v>0.77191995483124098</v>
      </c>
      <c r="H287" s="61">
        <v>4.78909090909091</v>
      </c>
      <c r="I287" s="62">
        <v>4.8499999999999996</v>
      </c>
      <c r="J287" s="37">
        <v>6.0909090909089691E-2</v>
      </c>
      <c r="K287" s="37">
        <v>1.2718299164768156</v>
      </c>
      <c r="L287" s="1" t="s">
        <v>68</v>
      </c>
      <c r="M287" s="1">
        <v>3</v>
      </c>
    </row>
    <row r="288" spans="1:13" x14ac:dyDescent="0.3">
      <c r="A288">
        <v>6</v>
      </c>
      <c r="B288">
        <v>1</v>
      </c>
      <c r="C288" t="s">
        <v>78</v>
      </c>
      <c r="D288" s="1" t="s">
        <v>2</v>
      </c>
      <c r="E288" s="59" t="s">
        <v>15</v>
      </c>
      <c r="F288" s="60">
        <v>4.9108000000000001</v>
      </c>
      <c r="G288" s="60">
        <v>1.23684249603577</v>
      </c>
      <c r="H288" s="61">
        <v>5.3084444444444401</v>
      </c>
      <c r="I288" s="62">
        <v>5.37</v>
      </c>
      <c r="J288" s="37">
        <v>6.1555555555560026E-2</v>
      </c>
      <c r="K288" s="37">
        <v>1.1595780308105339</v>
      </c>
      <c r="L288" s="1" t="s">
        <v>68</v>
      </c>
      <c r="M288" s="1">
        <v>3</v>
      </c>
    </row>
    <row r="289" spans="1:13" x14ac:dyDescent="0.3">
      <c r="A289">
        <v>6</v>
      </c>
      <c r="B289">
        <v>1</v>
      </c>
      <c r="C289" t="s">
        <v>78</v>
      </c>
      <c r="D289" s="1" t="s">
        <v>2</v>
      </c>
      <c r="E289" s="59" t="s">
        <v>16</v>
      </c>
      <c r="F289" s="60">
        <v>3.8338775510204002</v>
      </c>
      <c r="G289" s="60">
        <v>0.49689573630828099</v>
      </c>
      <c r="H289" s="61">
        <v>3.9430434782608699</v>
      </c>
      <c r="I289" s="62">
        <v>3.93</v>
      </c>
      <c r="J289" s="37">
        <v>-1.3043478260869712E-2</v>
      </c>
      <c r="K289" s="37">
        <v>-0.33079722130334471</v>
      </c>
      <c r="L289" s="1" t="s">
        <v>68</v>
      </c>
      <c r="M289" s="1">
        <v>3</v>
      </c>
    </row>
    <row r="290" spans="1:13" x14ac:dyDescent="0.3">
      <c r="A290">
        <v>6</v>
      </c>
      <c r="B290">
        <v>1</v>
      </c>
      <c r="C290" t="s">
        <v>78</v>
      </c>
      <c r="D290" s="1" t="s">
        <v>2</v>
      </c>
      <c r="E290" s="59" t="s">
        <v>17</v>
      </c>
      <c r="F290" s="60">
        <v>4.1089795918367296</v>
      </c>
      <c r="G290" s="60">
        <v>0.31865946828293601</v>
      </c>
      <c r="H290" s="61">
        <v>4.1858695652173896</v>
      </c>
      <c r="I290" s="62">
        <v>4.3499999999999996</v>
      </c>
      <c r="J290" s="37">
        <v>0.16413043478261002</v>
      </c>
      <c r="K290" s="37">
        <v>3.9210594650740402</v>
      </c>
      <c r="L290" s="1" t="s">
        <v>68</v>
      </c>
      <c r="M290" s="1">
        <v>3</v>
      </c>
    </row>
    <row r="291" spans="1:13" x14ac:dyDescent="0.3">
      <c r="A291">
        <v>6</v>
      </c>
      <c r="B291">
        <v>1</v>
      </c>
      <c r="C291" t="s">
        <v>78</v>
      </c>
      <c r="D291" s="1" t="s">
        <v>2</v>
      </c>
      <c r="E291" s="59" t="s">
        <v>18</v>
      </c>
      <c r="F291" s="60">
        <v>1.81555555555555</v>
      </c>
      <c r="G291" s="60">
        <v>2.6573912762447499E-2</v>
      </c>
      <c r="H291" s="61">
        <v>1.8147368421052601</v>
      </c>
      <c r="I291" s="62">
        <v>1.76</v>
      </c>
      <c r="J291" s="37">
        <v>-5.4736842105260086E-2</v>
      </c>
      <c r="K291" s="37">
        <v>-3.0162412993037799</v>
      </c>
      <c r="L291" s="1" t="s">
        <v>68</v>
      </c>
      <c r="M291" s="1">
        <v>3</v>
      </c>
    </row>
    <row r="292" spans="1:13" x14ac:dyDescent="0.3">
      <c r="A292">
        <v>6</v>
      </c>
      <c r="B292">
        <v>1</v>
      </c>
      <c r="C292" t="s">
        <v>78</v>
      </c>
      <c r="D292" s="1" t="s">
        <v>2</v>
      </c>
      <c r="E292" s="59" t="s">
        <v>19</v>
      </c>
      <c r="F292" s="60">
        <v>2.5797959183673398</v>
      </c>
      <c r="G292" s="60">
        <v>0.25713880787223098</v>
      </c>
      <c r="H292" s="61">
        <v>2.6524444444444399</v>
      </c>
      <c r="I292" s="62">
        <v>2.64</v>
      </c>
      <c r="J292" s="37">
        <v>-1.2444444444439817E-2</v>
      </c>
      <c r="K292" s="37">
        <v>-0.46916890080411588</v>
      </c>
      <c r="L292" s="1" t="s">
        <v>68</v>
      </c>
      <c r="M292" s="1">
        <v>3</v>
      </c>
    </row>
    <row r="293" spans="1:13" x14ac:dyDescent="0.3">
      <c r="A293">
        <v>6</v>
      </c>
      <c r="B293">
        <v>1</v>
      </c>
      <c r="C293" t="s">
        <v>78</v>
      </c>
      <c r="D293" s="1" t="s">
        <v>2</v>
      </c>
      <c r="E293" s="59" t="s">
        <v>12</v>
      </c>
      <c r="F293" s="60">
        <v>2.0027999999999899</v>
      </c>
      <c r="G293" s="60">
        <v>2.3327237298917301E-2</v>
      </c>
      <c r="H293" s="61">
        <v>2.0013888888888798</v>
      </c>
      <c r="I293" s="62">
        <v>1.87</v>
      </c>
      <c r="J293" s="37">
        <v>-0.13138888888887967</v>
      </c>
      <c r="K293" s="37">
        <v>-6.5648854961827752</v>
      </c>
      <c r="L293" s="1" t="s">
        <v>69</v>
      </c>
      <c r="M293" s="1">
        <v>3</v>
      </c>
    </row>
    <row r="294" spans="1:13" x14ac:dyDescent="0.3">
      <c r="A294">
        <v>6</v>
      </c>
      <c r="B294">
        <v>1</v>
      </c>
      <c r="C294" t="s">
        <v>78</v>
      </c>
      <c r="D294" s="1" t="s">
        <v>2</v>
      </c>
      <c r="E294" s="59" t="s">
        <v>13</v>
      </c>
      <c r="F294" s="60">
        <v>3.3469047619047601</v>
      </c>
      <c r="G294" s="60">
        <v>0.62902603510066801</v>
      </c>
      <c r="H294" s="61">
        <v>3.53763157894736</v>
      </c>
      <c r="I294" s="62">
        <v>3.49</v>
      </c>
      <c r="J294" s="37">
        <v>-4.7631578947359809E-2</v>
      </c>
      <c r="K294" s="37">
        <v>-1.3464256490364332</v>
      </c>
      <c r="L294" s="1" t="s">
        <v>69</v>
      </c>
      <c r="M294" s="1">
        <v>3</v>
      </c>
    </row>
    <row r="295" spans="1:13" x14ac:dyDescent="0.3">
      <c r="A295">
        <v>6</v>
      </c>
      <c r="B295">
        <v>1</v>
      </c>
      <c r="C295" t="s">
        <v>78</v>
      </c>
      <c r="D295" s="1" t="s">
        <v>2</v>
      </c>
      <c r="E295" s="59" t="s">
        <v>14</v>
      </c>
      <c r="F295" s="60">
        <v>4.5774999999999997</v>
      </c>
      <c r="G295" s="60">
        <v>0.77191995483124098</v>
      </c>
      <c r="H295" s="61">
        <v>4.78909090909091</v>
      </c>
      <c r="I295" s="62">
        <v>4.88</v>
      </c>
      <c r="J295" s="37">
        <v>9.090909090908994E-2</v>
      </c>
      <c r="K295" s="37">
        <v>1.8982536066818323</v>
      </c>
      <c r="L295" s="1" t="s">
        <v>69</v>
      </c>
      <c r="M295" s="1">
        <v>3</v>
      </c>
    </row>
    <row r="296" spans="1:13" x14ac:dyDescent="0.3">
      <c r="A296">
        <v>6</v>
      </c>
      <c r="B296">
        <v>1</v>
      </c>
      <c r="C296" t="s">
        <v>78</v>
      </c>
      <c r="D296" s="1" t="s">
        <v>2</v>
      </c>
      <c r="E296" s="59" t="s">
        <v>15</v>
      </c>
      <c r="F296" s="60">
        <v>4.9108000000000001</v>
      </c>
      <c r="G296" s="60">
        <v>1.23684249603577</v>
      </c>
      <c r="H296" s="61">
        <v>5.3084444444444401</v>
      </c>
      <c r="I296" s="62">
        <v>5.41</v>
      </c>
      <c r="J296" s="37">
        <v>0.10155555555556006</v>
      </c>
      <c r="K296" s="37">
        <v>1.9130944407234622</v>
      </c>
      <c r="L296" s="1" t="s">
        <v>69</v>
      </c>
      <c r="M296" s="1">
        <v>3</v>
      </c>
    </row>
    <row r="297" spans="1:13" x14ac:dyDescent="0.3">
      <c r="A297">
        <v>6</v>
      </c>
      <c r="B297">
        <v>1</v>
      </c>
      <c r="C297" t="s">
        <v>78</v>
      </c>
      <c r="D297" s="1" t="s">
        <v>2</v>
      </c>
      <c r="E297" s="59" t="s">
        <v>16</v>
      </c>
      <c r="F297" s="60">
        <v>3.8338775510204002</v>
      </c>
      <c r="G297" s="60">
        <v>0.49689573630828099</v>
      </c>
      <c r="H297" s="61">
        <v>3.9430434782608699</v>
      </c>
      <c r="I297" s="62">
        <v>3.97</v>
      </c>
      <c r="J297" s="37">
        <v>2.6956521739130324E-2</v>
      </c>
      <c r="K297" s="37">
        <v>0.68364759069356862</v>
      </c>
      <c r="L297" s="1" t="s">
        <v>69</v>
      </c>
      <c r="M297" s="1">
        <v>3</v>
      </c>
    </row>
    <row r="298" spans="1:13" x14ac:dyDescent="0.3">
      <c r="A298">
        <v>6</v>
      </c>
      <c r="B298">
        <v>1</v>
      </c>
      <c r="C298" t="s">
        <v>78</v>
      </c>
      <c r="D298" s="1" t="s">
        <v>2</v>
      </c>
      <c r="E298" s="59" t="s">
        <v>17</v>
      </c>
      <c r="F298" s="60">
        <v>4.1089795918367296</v>
      </c>
      <c r="G298" s="60">
        <v>0.31865946828293601</v>
      </c>
      <c r="H298" s="61">
        <v>4.1858695652173896</v>
      </c>
      <c r="I298" s="62">
        <v>4.4000000000000004</v>
      </c>
      <c r="J298" s="37">
        <v>0.21413043478261073</v>
      </c>
      <c r="K298" s="37">
        <v>5.1155544014542187</v>
      </c>
      <c r="L298" s="1" t="s">
        <v>69</v>
      </c>
      <c r="M298" s="1">
        <v>3</v>
      </c>
    </row>
    <row r="299" spans="1:13" x14ac:dyDescent="0.3">
      <c r="A299">
        <v>6</v>
      </c>
      <c r="B299">
        <v>1</v>
      </c>
      <c r="C299" t="s">
        <v>78</v>
      </c>
      <c r="D299" s="1" t="s">
        <v>2</v>
      </c>
      <c r="E299" s="59" t="s">
        <v>18</v>
      </c>
      <c r="F299" s="60">
        <v>1.81555555555555</v>
      </c>
      <c r="G299" s="60">
        <v>2.6573912762447499E-2</v>
      </c>
      <c r="H299" s="61">
        <v>1.8147368421052601</v>
      </c>
      <c r="I299" s="62">
        <v>1.76</v>
      </c>
      <c r="J299" s="37">
        <v>-5.4736842105260086E-2</v>
      </c>
      <c r="K299" s="37">
        <v>-3.0162412993037799</v>
      </c>
      <c r="L299" s="1" t="s">
        <v>69</v>
      </c>
      <c r="M299" s="1">
        <v>3</v>
      </c>
    </row>
    <row r="300" spans="1:13" x14ac:dyDescent="0.3">
      <c r="A300">
        <v>6</v>
      </c>
      <c r="B300">
        <v>1</v>
      </c>
      <c r="C300" t="s">
        <v>78</v>
      </c>
      <c r="D300" s="1" t="s">
        <v>2</v>
      </c>
      <c r="E300" s="59" t="s">
        <v>19</v>
      </c>
      <c r="F300" s="60">
        <v>2.5797959183673398</v>
      </c>
      <c r="G300" s="60">
        <v>0.25713880787223098</v>
      </c>
      <c r="H300" s="61">
        <v>2.6524444444444399</v>
      </c>
      <c r="I300" s="62">
        <v>2.66</v>
      </c>
      <c r="J300" s="37">
        <v>7.5555555555602005E-3</v>
      </c>
      <c r="K300" s="37">
        <v>0.28485254691706569</v>
      </c>
      <c r="L300" s="1" t="s">
        <v>69</v>
      </c>
      <c r="M300" s="1">
        <v>3</v>
      </c>
    </row>
    <row r="302" spans="1:13" x14ac:dyDescent="0.3">
      <c r="A302">
        <v>8</v>
      </c>
      <c r="B302">
        <v>1</v>
      </c>
      <c r="C302" t="s">
        <v>78</v>
      </c>
      <c r="D302" s="1" t="s">
        <v>2</v>
      </c>
      <c r="E302" s="59" t="s">
        <v>12</v>
      </c>
      <c r="F302" s="60">
        <v>4.9660000000000002</v>
      </c>
      <c r="G302" s="60">
        <v>0.43367268763434902</v>
      </c>
      <c r="H302" s="61">
        <v>5.0753191489361704</v>
      </c>
      <c r="I302" s="62">
        <v>5.07</v>
      </c>
      <c r="J302" s="37">
        <v>-5.3191489361701372E-3</v>
      </c>
      <c r="K302" s="37">
        <v>-0.10480422570637898</v>
      </c>
      <c r="L302" s="1" t="s">
        <v>23</v>
      </c>
      <c r="M302" s="1">
        <v>1</v>
      </c>
    </row>
    <row r="303" spans="1:13" x14ac:dyDescent="0.3">
      <c r="A303">
        <v>8</v>
      </c>
      <c r="B303">
        <v>1</v>
      </c>
      <c r="C303" t="s">
        <v>78</v>
      </c>
      <c r="D303" s="1" t="s">
        <v>2</v>
      </c>
      <c r="E303" s="59" t="s">
        <v>13</v>
      </c>
      <c r="F303" s="60">
        <v>5.3931914893617003</v>
      </c>
      <c r="G303" s="60">
        <v>0.45953772508754098</v>
      </c>
      <c r="H303" s="61">
        <v>5.5</v>
      </c>
      <c r="I303" s="62">
        <v>5.65</v>
      </c>
      <c r="J303" s="37">
        <v>0.15000000000000036</v>
      </c>
      <c r="K303" s="37">
        <v>2.7272727272727337</v>
      </c>
      <c r="L303" s="1" t="s">
        <v>23</v>
      </c>
      <c r="M303" s="1">
        <v>1</v>
      </c>
    </row>
    <row r="304" spans="1:13" x14ac:dyDescent="0.3">
      <c r="A304">
        <v>8</v>
      </c>
      <c r="B304">
        <v>1</v>
      </c>
      <c r="C304" t="s">
        <v>78</v>
      </c>
      <c r="D304" s="1" t="s">
        <v>2</v>
      </c>
      <c r="E304" s="59" t="s">
        <v>14</v>
      </c>
      <c r="F304" s="60">
        <v>1.3488</v>
      </c>
      <c r="G304" s="60">
        <v>0.124412861071514</v>
      </c>
      <c r="H304" s="61">
        <v>1.370625</v>
      </c>
      <c r="I304" s="62">
        <v>1.37</v>
      </c>
      <c r="J304" s="37">
        <v>-6.2499999999987566E-4</v>
      </c>
      <c r="K304" s="37">
        <v>-4.5599635202909307E-2</v>
      </c>
      <c r="L304" s="1" t="s">
        <v>23</v>
      </c>
      <c r="M304" s="1">
        <v>1</v>
      </c>
    </row>
    <row r="305" spans="1:13" x14ac:dyDescent="0.3">
      <c r="A305">
        <v>8</v>
      </c>
      <c r="B305">
        <v>1</v>
      </c>
      <c r="C305" t="s">
        <v>78</v>
      </c>
      <c r="D305" s="1" t="s">
        <v>2</v>
      </c>
      <c r="E305" s="59" t="s">
        <v>15</v>
      </c>
      <c r="F305" s="60">
        <v>3.36673469387754</v>
      </c>
      <c r="G305" s="60">
        <v>1.8559089868391301E-2</v>
      </c>
      <c r="H305" s="61">
        <v>3.3657142857142799</v>
      </c>
      <c r="I305" s="62">
        <v>3.57</v>
      </c>
      <c r="J305" s="37">
        <v>0.20428571428571995</v>
      </c>
      <c r="K305" s="37">
        <v>6.069609507640247</v>
      </c>
      <c r="L305" s="1" t="s">
        <v>23</v>
      </c>
      <c r="M305" s="1">
        <v>1</v>
      </c>
    </row>
    <row r="306" spans="1:13" x14ac:dyDescent="0.3">
      <c r="A306">
        <v>8</v>
      </c>
      <c r="B306">
        <v>1</v>
      </c>
      <c r="C306" t="s">
        <v>78</v>
      </c>
      <c r="D306" s="1" t="s">
        <v>2</v>
      </c>
      <c r="E306" s="59" t="s">
        <v>16</v>
      </c>
      <c r="F306" s="60">
        <v>4.4563888888888901</v>
      </c>
      <c r="G306" s="60">
        <v>0.27408588250337501</v>
      </c>
      <c r="H306" s="61">
        <v>4.5214705882352897</v>
      </c>
      <c r="I306" s="62">
        <v>4.6500000000000004</v>
      </c>
      <c r="J306" s="37">
        <v>0.12852941176471067</v>
      </c>
      <c r="K306" s="37">
        <v>2.8426461978795077</v>
      </c>
      <c r="L306" s="1" t="s">
        <v>23</v>
      </c>
      <c r="M306" s="1">
        <v>1</v>
      </c>
    </row>
    <row r="307" spans="1:13" x14ac:dyDescent="0.3">
      <c r="A307">
        <v>8</v>
      </c>
      <c r="B307">
        <v>1</v>
      </c>
      <c r="C307" t="s">
        <v>78</v>
      </c>
      <c r="D307" s="1" t="s">
        <v>2</v>
      </c>
      <c r="E307" s="59" t="s">
        <v>17</v>
      </c>
      <c r="F307" s="60">
        <v>1.0324</v>
      </c>
      <c r="G307" s="60">
        <v>0.16215498758903399</v>
      </c>
      <c r="H307" s="61">
        <v>1.0649999999999999</v>
      </c>
      <c r="I307" s="62">
        <v>1.3</v>
      </c>
      <c r="J307" s="37">
        <v>0.2350000000000001</v>
      </c>
      <c r="K307" s="37">
        <v>22.065727699530527</v>
      </c>
      <c r="L307" s="1" t="s">
        <v>23</v>
      </c>
      <c r="M307" s="1">
        <v>1</v>
      </c>
    </row>
    <row r="308" spans="1:13" x14ac:dyDescent="0.3">
      <c r="A308">
        <v>8</v>
      </c>
      <c r="B308">
        <v>1</v>
      </c>
      <c r="C308" t="s">
        <v>78</v>
      </c>
      <c r="D308" s="1" t="s">
        <v>2</v>
      </c>
      <c r="E308" s="59" t="s">
        <v>18</v>
      </c>
      <c r="F308" s="60">
        <v>4.0392000000000001</v>
      </c>
      <c r="G308" s="60">
        <v>0.24208957020078301</v>
      </c>
      <c r="H308" s="61">
        <v>4.0736734693877503</v>
      </c>
      <c r="I308" s="62">
        <v>4.17</v>
      </c>
      <c r="J308" s="37">
        <v>9.6326530612249606E-2</v>
      </c>
      <c r="K308" s="37">
        <v>2.364610991433413</v>
      </c>
      <c r="L308" s="1" t="s">
        <v>23</v>
      </c>
      <c r="M308" s="1">
        <v>1</v>
      </c>
    </row>
    <row r="309" spans="1:13" x14ac:dyDescent="0.3">
      <c r="A309">
        <v>8</v>
      </c>
      <c r="B309">
        <v>1</v>
      </c>
      <c r="C309" t="s">
        <v>78</v>
      </c>
      <c r="D309" s="1" t="s">
        <v>2</v>
      </c>
      <c r="E309" s="59" t="s">
        <v>19</v>
      </c>
      <c r="F309" s="60">
        <v>2.91</v>
      </c>
      <c r="G309" s="60">
        <v>6.4148265759878503E-2</v>
      </c>
      <c r="H309" s="61">
        <v>2.9135714285714198</v>
      </c>
      <c r="I309" s="62">
        <v>2.82</v>
      </c>
      <c r="J309" s="37">
        <v>-9.3571428571419979E-2</v>
      </c>
      <c r="K309" s="37">
        <v>-3.2115714635937329</v>
      </c>
      <c r="L309" s="1" t="s">
        <v>23</v>
      </c>
      <c r="M309" s="1">
        <v>1</v>
      </c>
    </row>
    <row r="310" spans="1:13" x14ac:dyDescent="0.3">
      <c r="A310">
        <v>8</v>
      </c>
      <c r="B310">
        <v>1</v>
      </c>
      <c r="C310" t="s">
        <v>78</v>
      </c>
      <c r="D310" s="1" t="s">
        <v>2</v>
      </c>
      <c r="E310" s="59" t="s">
        <v>12</v>
      </c>
      <c r="F310" s="60">
        <v>4.9660000000000002</v>
      </c>
      <c r="G310" s="60">
        <v>0.43367268763434902</v>
      </c>
      <c r="H310" s="61">
        <v>5.0753191489361704</v>
      </c>
      <c r="I310" s="62">
        <v>4.95</v>
      </c>
      <c r="J310" s="37">
        <v>-0.12531914893617024</v>
      </c>
      <c r="K310" s="37">
        <v>-2.469187557642325</v>
      </c>
      <c r="L310" s="1" t="s">
        <v>68</v>
      </c>
      <c r="M310" s="1">
        <v>1</v>
      </c>
    </row>
    <row r="311" spans="1:13" x14ac:dyDescent="0.3">
      <c r="A311">
        <v>8</v>
      </c>
      <c r="B311">
        <v>1</v>
      </c>
      <c r="C311" t="s">
        <v>78</v>
      </c>
      <c r="D311" s="1" t="s">
        <v>2</v>
      </c>
      <c r="E311" s="59" t="s">
        <v>13</v>
      </c>
      <c r="F311" s="60">
        <v>5.3931914893617003</v>
      </c>
      <c r="G311" s="60">
        <v>0.45953772508754098</v>
      </c>
      <c r="H311" s="61">
        <v>5.5</v>
      </c>
      <c r="I311" s="62">
        <v>5.51</v>
      </c>
      <c r="J311" s="37">
        <v>9.9999999999997868E-3</v>
      </c>
      <c r="K311" s="37">
        <v>0.18181818181817794</v>
      </c>
      <c r="L311" s="1" t="s">
        <v>68</v>
      </c>
      <c r="M311" s="1">
        <v>1</v>
      </c>
    </row>
    <row r="312" spans="1:13" x14ac:dyDescent="0.3">
      <c r="A312">
        <v>8</v>
      </c>
      <c r="B312">
        <v>1</v>
      </c>
      <c r="C312" t="s">
        <v>78</v>
      </c>
      <c r="D312" s="1" t="s">
        <v>2</v>
      </c>
      <c r="E312" s="59" t="s">
        <v>14</v>
      </c>
      <c r="F312" s="60">
        <v>1.3488</v>
      </c>
      <c r="G312" s="60">
        <v>0.124412861071514</v>
      </c>
      <c r="H312" s="61">
        <v>1.370625</v>
      </c>
      <c r="I312" s="62">
        <v>1.27</v>
      </c>
      <c r="J312" s="37">
        <v>-0.10062499999999996</v>
      </c>
      <c r="K312" s="37">
        <v>-7.3415412676698555</v>
      </c>
      <c r="L312" s="1" t="s">
        <v>68</v>
      </c>
      <c r="M312" s="1">
        <v>1</v>
      </c>
    </row>
    <row r="313" spans="1:13" x14ac:dyDescent="0.3">
      <c r="A313">
        <v>8</v>
      </c>
      <c r="B313">
        <v>1</v>
      </c>
      <c r="C313" t="s">
        <v>78</v>
      </c>
      <c r="D313" s="1" t="s">
        <v>2</v>
      </c>
      <c r="E313" s="59" t="s">
        <v>15</v>
      </c>
      <c r="F313" s="60">
        <v>3.36673469387754</v>
      </c>
      <c r="G313" s="60">
        <v>1.8559089868391301E-2</v>
      </c>
      <c r="H313" s="61">
        <v>3.3657142857142799</v>
      </c>
      <c r="I313" s="62">
        <v>3.39</v>
      </c>
      <c r="J313" s="37">
        <v>2.4285714285720239E-2</v>
      </c>
      <c r="K313" s="37">
        <v>0.72156196943990647</v>
      </c>
      <c r="L313" s="1" t="s">
        <v>68</v>
      </c>
      <c r="M313" s="1">
        <v>1</v>
      </c>
    </row>
    <row r="314" spans="1:13" x14ac:dyDescent="0.3">
      <c r="A314">
        <v>8</v>
      </c>
      <c r="B314">
        <v>1</v>
      </c>
      <c r="C314" t="s">
        <v>78</v>
      </c>
      <c r="D314" s="1" t="s">
        <v>2</v>
      </c>
      <c r="E314" s="59" t="s">
        <v>16</v>
      </c>
      <c r="F314" s="60">
        <v>4.4563888888888901</v>
      </c>
      <c r="G314" s="60">
        <v>0.27408588250337501</v>
      </c>
      <c r="H314" s="61">
        <v>4.5214705882352897</v>
      </c>
      <c r="I314" s="62">
        <v>4.53</v>
      </c>
      <c r="J314" s="37">
        <v>8.5294117647105594E-3</v>
      </c>
      <c r="K314" s="37">
        <v>0.18864242503100195</v>
      </c>
      <c r="L314" s="1" t="s">
        <v>68</v>
      </c>
      <c r="M314" s="1">
        <v>1</v>
      </c>
    </row>
    <row r="315" spans="1:13" x14ac:dyDescent="0.3">
      <c r="A315">
        <v>8</v>
      </c>
      <c r="B315">
        <v>1</v>
      </c>
      <c r="C315" t="s">
        <v>78</v>
      </c>
      <c r="D315" s="1" t="s">
        <v>2</v>
      </c>
      <c r="E315" s="59" t="s">
        <v>17</v>
      </c>
      <c r="F315" s="60">
        <v>1.0324</v>
      </c>
      <c r="G315" s="60">
        <v>0.16215498758903399</v>
      </c>
      <c r="H315" s="61">
        <v>1.0649999999999999</v>
      </c>
      <c r="I315" s="62">
        <v>1.21</v>
      </c>
      <c r="J315" s="37">
        <v>0.14500000000000002</v>
      </c>
      <c r="K315" s="37">
        <v>13.615023474178406</v>
      </c>
      <c r="L315" s="1" t="s">
        <v>68</v>
      </c>
      <c r="M315" s="1">
        <v>1</v>
      </c>
    </row>
    <row r="316" spans="1:13" x14ac:dyDescent="0.3">
      <c r="A316">
        <v>8</v>
      </c>
      <c r="B316">
        <v>1</v>
      </c>
      <c r="C316" t="s">
        <v>78</v>
      </c>
      <c r="D316" s="1" t="s">
        <v>2</v>
      </c>
      <c r="E316" s="59" t="s">
        <v>18</v>
      </c>
      <c r="F316" s="60">
        <v>4.0392000000000001</v>
      </c>
      <c r="G316" s="60">
        <v>0.24208957020078301</v>
      </c>
      <c r="H316" s="61">
        <v>4.0736734693877503</v>
      </c>
      <c r="I316" s="62">
        <v>4.07</v>
      </c>
      <c r="J316" s="37">
        <v>-3.6734693877500391E-3</v>
      </c>
      <c r="K316" s="37">
        <v>-9.0175842893518432E-2</v>
      </c>
      <c r="L316" s="1" t="s">
        <v>68</v>
      </c>
      <c r="M316" s="1">
        <v>1</v>
      </c>
    </row>
    <row r="317" spans="1:13" x14ac:dyDescent="0.3">
      <c r="A317">
        <v>8</v>
      </c>
      <c r="B317">
        <v>1</v>
      </c>
      <c r="C317" t="s">
        <v>78</v>
      </c>
      <c r="D317" s="1" t="s">
        <v>2</v>
      </c>
      <c r="E317" s="59" t="s">
        <v>19</v>
      </c>
      <c r="F317" s="60">
        <v>2.91</v>
      </c>
      <c r="G317" s="60">
        <v>6.4148265759878503E-2</v>
      </c>
      <c r="H317" s="61">
        <v>2.9135714285714198</v>
      </c>
      <c r="I317" s="62">
        <v>2.74</v>
      </c>
      <c r="J317" s="37">
        <v>-0.17357142857141961</v>
      </c>
      <c r="K317" s="37">
        <v>-5.9573424859031183</v>
      </c>
      <c r="L317" s="1" t="s">
        <v>68</v>
      </c>
      <c r="M317" s="1">
        <v>1</v>
      </c>
    </row>
    <row r="318" spans="1:13" x14ac:dyDescent="0.3">
      <c r="A318">
        <v>8</v>
      </c>
      <c r="B318">
        <v>1</v>
      </c>
      <c r="C318" t="s">
        <v>78</v>
      </c>
      <c r="D318" s="1" t="s">
        <v>2</v>
      </c>
      <c r="E318" s="59" t="s">
        <v>12</v>
      </c>
      <c r="F318" s="60">
        <v>4.9660000000000002</v>
      </c>
      <c r="G318" s="60">
        <v>0.43367268763434902</v>
      </c>
      <c r="H318" s="61">
        <v>5.0753191489361704</v>
      </c>
      <c r="I318" s="62">
        <v>4.93</v>
      </c>
      <c r="J318" s="37">
        <v>-0.14531914893617071</v>
      </c>
      <c r="K318" s="37">
        <v>-2.8632514462983245</v>
      </c>
      <c r="L318" s="1" t="s">
        <v>69</v>
      </c>
      <c r="M318" s="1">
        <v>1</v>
      </c>
    </row>
    <row r="319" spans="1:13" x14ac:dyDescent="0.3">
      <c r="A319">
        <v>8</v>
      </c>
      <c r="B319">
        <v>1</v>
      </c>
      <c r="C319" t="s">
        <v>78</v>
      </c>
      <c r="D319" s="1" t="s">
        <v>2</v>
      </c>
      <c r="E319" s="59" t="s">
        <v>13</v>
      </c>
      <c r="F319" s="60">
        <v>5.3931914893617003</v>
      </c>
      <c r="G319" s="60">
        <v>0.45953772508754098</v>
      </c>
      <c r="H319" s="61">
        <v>5.5</v>
      </c>
      <c r="I319" s="62">
        <v>5.56</v>
      </c>
      <c r="J319" s="37">
        <v>5.9999999999999609E-2</v>
      </c>
      <c r="K319" s="37">
        <v>1.0909090909090839</v>
      </c>
      <c r="L319" s="1" t="s">
        <v>69</v>
      </c>
      <c r="M319" s="1">
        <v>1</v>
      </c>
    </row>
    <row r="320" spans="1:13" x14ac:dyDescent="0.3">
      <c r="A320">
        <v>8</v>
      </c>
      <c r="B320">
        <v>1</v>
      </c>
      <c r="C320" t="s">
        <v>78</v>
      </c>
      <c r="D320" s="1" t="s">
        <v>2</v>
      </c>
      <c r="E320" s="59" t="s">
        <v>14</v>
      </c>
      <c r="F320" s="60">
        <v>1.3488</v>
      </c>
      <c r="G320" s="60">
        <v>0.124412861071514</v>
      </c>
      <c r="H320" s="61">
        <v>1.370625</v>
      </c>
      <c r="I320" s="62">
        <v>1.32</v>
      </c>
      <c r="J320" s="37">
        <v>-5.062499999999992E-2</v>
      </c>
      <c r="K320" s="37">
        <v>-3.6935704514363827</v>
      </c>
      <c r="L320" s="1" t="s">
        <v>69</v>
      </c>
      <c r="M320" s="1">
        <v>1</v>
      </c>
    </row>
    <row r="321" spans="1:13" x14ac:dyDescent="0.3">
      <c r="A321">
        <v>8</v>
      </c>
      <c r="B321">
        <v>1</v>
      </c>
      <c r="C321" t="s">
        <v>78</v>
      </c>
      <c r="D321" s="1" t="s">
        <v>2</v>
      </c>
      <c r="E321" s="59" t="s">
        <v>15</v>
      </c>
      <c r="F321" s="60">
        <v>3.36673469387754</v>
      </c>
      <c r="G321" s="60">
        <v>1.8559089868391301E-2</v>
      </c>
      <c r="H321" s="61">
        <v>3.3657142857142799</v>
      </c>
      <c r="I321" s="62">
        <v>3.44</v>
      </c>
      <c r="J321" s="37">
        <v>7.4285714285720061E-2</v>
      </c>
      <c r="K321" s="37">
        <v>2.2071307300511092</v>
      </c>
      <c r="L321" s="1" t="s">
        <v>69</v>
      </c>
      <c r="M321" s="1">
        <v>1</v>
      </c>
    </row>
    <row r="322" spans="1:13" x14ac:dyDescent="0.3">
      <c r="A322">
        <v>8</v>
      </c>
      <c r="B322">
        <v>1</v>
      </c>
      <c r="C322" t="s">
        <v>78</v>
      </c>
      <c r="D322" s="1" t="s">
        <v>2</v>
      </c>
      <c r="E322" s="59" t="s">
        <v>16</v>
      </c>
      <c r="F322" s="60">
        <v>4.4563888888888901</v>
      </c>
      <c r="G322" s="60">
        <v>0.27408588250337501</v>
      </c>
      <c r="H322" s="61">
        <v>4.5214705882352897</v>
      </c>
      <c r="I322" s="62">
        <v>4.59</v>
      </c>
      <c r="J322" s="37">
        <v>6.8529411764710169E-2</v>
      </c>
      <c r="K322" s="37">
        <v>1.5156443114552449</v>
      </c>
      <c r="L322" s="1" t="s">
        <v>69</v>
      </c>
      <c r="M322" s="1">
        <v>1</v>
      </c>
    </row>
    <row r="323" spans="1:13" x14ac:dyDescent="0.3">
      <c r="A323">
        <v>8</v>
      </c>
      <c r="B323">
        <v>1</v>
      </c>
      <c r="C323" t="s">
        <v>78</v>
      </c>
      <c r="D323" s="1" t="s">
        <v>2</v>
      </c>
      <c r="E323" s="59" t="s">
        <v>17</v>
      </c>
      <c r="F323" s="60">
        <v>1.0324</v>
      </c>
      <c r="G323" s="60">
        <v>0.16215498758903399</v>
      </c>
      <c r="H323" s="61">
        <v>1.0649999999999999</v>
      </c>
      <c r="I323" s="62">
        <v>1.25</v>
      </c>
      <c r="J323" s="37">
        <v>0.18500000000000005</v>
      </c>
      <c r="K323" s="37">
        <v>17.370892018779351</v>
      </c>
      <c r="L323" s="1" t="s">
        <v>69</v>
      </c>
      <c r="M323" s="1">
        <v>1</v>
      </c>
    </row>
    <row r="324" spans="1:13" x14ac:dyDescent="0.3">
      <c r="A324">
        <v>8</v>
      </c>
      <c r="B324">
        <v>1</v>
      </c>
      <c r="C324" t="s">
        <v>78</v>
      </c>
      <c r="D324" s="1" t="s">
        <v>2</v>
      </c>
      <c r="E324" s="59" t="s">
        <v>18</v>
      </c>
      <c r="F324" s="60">
        <v>4.0392000000000001</v>
      </c>
      <c r="G324" s="60">
        <v>0.24208957020078301</v>
      </c>
      <c r="H324" s="61">
        <v>4.0736734693877503</v>
      </c>
      <c r="I324" s="62">
        <v>4.05</v>
      </c>
      <c r="J324" s="37">
        <v>-2.3673469387750501E-2</v>
      </c>
      <c r="K324" s="37">
        <v>-0.58113320975891791</v>
      </c>
      <c r="L324" s="1" t="s">
        <v>69</v>
      </c>
      <c r="M324" s="1">
        <v>1</v>
      </c>
    </row>
    <row r="325" spans="1:13" x14ac:dyDescent="0.3">
      <c r="A325">
        <v>8</v>
      </c>
      <c r="B325">
        <v>1</v>
      </c>
      <c r="C325" t="s">
        <v>78</v>
      </c>
      <c r="D325" s="1" t="s">
        <v>2</v>
      </c>
      <c r="E325" s="59" t="s">
        <v>19</v>
      </c>
      <c r="F325" s="60">
        <v>2.91</v>
      </c>
      <c r="G325" s="60">
        <v>6.4148265759878503E-2</v>
      </c>
      <c r="H325" s="61">
        <v>2.9135714285714198</v>
      </c>
      <c r="I325" s="62">
        <v>2.72</v>
      </c>
      <c r="J325" s="37">
        <v>-0.19357142857141962</v>
      </c>
      <c r="K325" s="37">
        <v>-6.6437852414804679</v>
      </c>
      <c r="L325" s="1" t="s">
        <v>69</v>
      </c>
      <c r="M325" s="1">
        <v>1</v>
      </c>
    </row>
    <row r="327" spans="1:13" x14ac:dyDescent="0.3">
      <c r="A327">
        <v>8</v>
      </c>
      <c r="B327">
        <v>1</v>
      </c>
      <c r="C327" t="s">
        <v>78</v>
      </c>
      <c r="D327" s="1" t="s">
        <v>2</v>
      </c>
      <c r="E327" s="59" t="s">
        <v>12</v>
      </c>
      <c r="F327" s="60">
        <v>4.7182000000000004</v>
      </c>
      <c r="G327" s="60">
        <v>1.0032102272205901</v>
      </c>
      <c r="H327" s="61">
        <v>5.0620454545454496</v>
      </c>
      <c r="I327" s="62">
        <v>5.07</v>
      </c>
      <c r="J327" s="37">
        <v>7.9545454545506544E-3</v>
      </c>
      <c r="K327" s="37">
        <v>0.15714093296827061</v>
      </c>
      <c r="L327" s="1" t="s">
        <v>23</v>
      </c>
      <c r="M327" s="1">
        <v>2</v>
      </c>
    </row>
    <row r="328" spans="1:13" x14ac:dyDescent="0.3">
      <c r="A328">
        <v>8</v>
      </c>
      <c r="B328">
        <v>1</v>
      </c>
      <c r="C328" t="s">
        <v>78</v>
      </c>
      <c r="D328" s="1" t="s">
        <v>2</v>
      </c>
      <c r="E328" s="59" t="s">
        <v>13</v>
      </c>
      <c r="F328" s="60">
        <v>5.1563999999999997</v>
      </c>
      <c r="G328" s="60">
        <v>1.14797344917031</v>
      </c>
      <c r="H328" s="61">
        <v>5.47</v>
      </c>
      <c r="I328" s="62">
        <v>5.65</v>
      </c>
      <c r="J328" s="37">
        <v>0.1800000000000006</v>
      </c>
      <c r="K328" s="37">
        <v>3.2906764168190237</v>
      </c>
      <c r="L328" s="1" t="s">
        <v>23</v>
      </c>
      <c r="M328" s="1">
        <v>2</v>
      </c>
    </row>
    <row r="329" spans="1:13" x14ac:dyDescent="0.3">
      <c r="A329">
        <v>8</v>
      </c>
      <c r="B329">
        <v>1</v>
      </c>
      <c r="C329" t="s">
        <v>78</v>
      </c>
      <c r="D329" s="1" t="s">
        <v>2</v>
      </c>
      <c r="E329" s="59" t="s">
        <v>14</v>
      </c>
      <c r="F329" s="60">
        <v>1.3517999999999999</v>
      </c>
      <c r="G329" s="60">
        <v>0.10224852077169599</v>
      </c>
      <c r="H329" s="61">
        <v>1.36591836734693</v>
      </c>
      <c r="I329" s="62">
        <v>1.37</v>
      </c>
      <c r="J329" s="37">
        <v>4.0816326530701552E-3</v>
      </c>
      <c r="K329" s="37">
        <v>0.29881966233443735</v>
      </c>
      <c r="L329" s="1" t="s">
        <v>23</v>
      </c>
      <c r="M329" s="1">
        <v>2</v>
      </c>
    </row>
    <row r="330" spans="1:13" x14ac:dyDescent="0.3">
      <c r="A330">
        <v>8</v>
      </c>
      <c r="B330">
        <v>1</v>
      </c>
      <c r="C330" t="s">
        <v>78</v>
      </c>
      <c r="D330" s="1" t="s">
        <v>2</v>
      </c>
      <c r="E330" s="59" t="s">
        <v>15</v>
      </c>
      <c r="F330" s="60">
        <v>3.1245833333333302</v>
      </c>
      <c r="G330" s="60">
        <v>0.66406562907759503</v>
      </c>
      <c r="H330" s="61">
        <v>3.3297674418604601</v>
      </c>
      <c r="I330" s="62">
        <v>3.57</v>
      </c>
      <c r="J330" s="37">
        <v>0.2402325581395397</v>
      </c>
      <c r="K330" s="37">
        <v>7.2146947897752636</v>
      </c>
      <c r="L330" s="1" t="s">
        <v>23</v>
      </c>
      <c r="M330" s="1">
        <v>2</v>
      </c>
    </row>
    <row r="331" spans="1:13" x14ac:dyDescent="0.3">
      <c r="A331">
        <v>8</v>
      </c>
      <c r="B331">
        <v>1</v>
      </c>
      <c r="C331" t="s">
        <v>78</v>
      </c>
      <c r="D331" s="1" t="s">
        <v>2</v>
      </c>
      <c r="E331" s="59" t="s">
        <v>16</v>
      </c>
      <c r="F331" s="60">
        <v>4.52475</v>
      </c>
      <c r="G331" s="60">
        <v>0.14931489376482099</v>
      </c>
      <c r="H331" s="61">
        <v>4.5186111111111096</v>
      </c>
      <c r="I331" s="62">
        <v>4.6500000000000004</v>
      </c>
      <c r="J331" s="37">
        <v>0.13138888888889078</v>
      </c>
      <c r="K331" s="37">
        <v>2.907727300670111</v>
      </c>
      <c r="L331" s="1" t="s">
        <v>23</v>
      </c>
      <c r="M331" s="1">
        <v>2</v>
      </c>
    </row>
    <row r="332" spans="1:13" x14ac:dyDescent="0.3">
      <c r="A332">
        <v>8</v>
      </c>
      <c r="B332">
        <v>1</v>
      </c>
      <c r="C332" t="s">
        <v>78</v>
      </c>
      <c r="D332" s="1" t="s">
        <v>2</v>
      </c>
      <c r="E332" s="59" t="s">
        <v>17</v>
      </c>
      <c r="F332" s="60">
        <v>1.0656000000000001</v>
      </c>
      <c r="G332" s="60">
        <v>2.3846173697262201E-2</v>
      </c>
      <c r="H332" s="61">
        <v>1.0634375</v>
      </c>
      <c r="I332" s="62">
        <v>1.3</v>
      </c>
      <c r="J332" s="37">
        <v>0.23656250000000001</v>
      </c>
      <c r="K332" s="37">
        <v>22.245077872465473</v>
      </c>
      <c r="L332" s="1" t="s">
        <v>23</v>
      </c>
      <c r="M332" s="1">
        <v>2</v>
      </c>
    </row>
    <row r="333" spans="1:13" x14ac:dyDescent="0.3">
      <c r="A333">
        <v>8</v>
      </c>
      <c r="B333">
        <v>1</v>
      </c>
      <c r="C333" t="s">
        <v>78</v>
      </c>
      <c r="D333" s="1" t="s">
        <v>2</v>
      </c>
      <c r="E333" s="59" t="s">
        <v>18</v>
      </c>
      <c r="F333" s="60">
        <v>3.9441999999999999</v>
      </c>
      <c r="G333" s="60">
        <v>0.58464720986249397</v>
      </c>
      <c r="H333" s="61">
        <v>4.0776595744680799</v>
      </c>
      <c r="I333" s="62">
        <v>4.17</v>
      </c>
      <c r="J333" s="37">
        <v>9.2340425531920012E-2</v>
      </c>
      <c r="K333" s="37">
        <v>2.2645447430212609</v>
      </c>
      <c r="L333" s="1" t="s">
        <v>23</v>
      </c>
      <c r="M333" s="1">
        <v>2</v>
      </c>
    </row>
    <row r="334" spans="1:13" x14ac:dyDescent="0.3">
      <c r="A334">
        <v>8</v>
      </c>
      <c r="B334">
        <v>1</v>
      </c>
      <c r="C334" t="s">
        <v>78</v>
      </c>
      <c r="D334" s="1" t="s">
        <v>2</v>
      </c>
      <c r="E334" s="59" t="s">
        <v>19</v>
      </c>
      <c r="F334" s="60">
        <v>2.82</v>
      </c>
      <c r="G334" s="60">
        <v>0.39107466542770802</v>
      </c>
      <c r="H334" s="61">
        <v>2.8878124999999999</v>
      </c>
      <c r="I334" s="62">
        <v>2.82</v>
      </c>
      <c r="J334" s="37">
        <v>-6.7812500000000053E-2</v>
      </c>
      <c r="K334" s="37">
        <v>-2.3482307109620191</v>
      </c>
      <c r="L334" s="1" t="s">
        <v>23</v>
      </c>
      <c r="M334" s="1">
        <v>2</v>
      </c>
    </row>
    <row r="335" spans="1:13" x14ac:dyDescent="0.3">
      <c r="A335">
        <v>8</v>
      </c>
      <c r="B335">
        <v>1</v>
      </c>
      <c r="C335" t="s">
        <v>78</v>
      </c>
      <c r="D335" s="1" t="s">
        <v>2</v>
      </c>
      <c r="E335" s="59" t="s">
        <v>12</v>
      </c>
      <c r="F335" s="60">
        <v>4.7182000000000004</v>
      </c>
      <c r="G335" s="60">
        <v>1.0032102272205901</v>
      </c>
      <c r="H335" s="61">
        <v>5.0620454545454496</v>
      </c>
      <c r="I335" s="62">
        <v>4.95</v>
      </c>
      <c r="J335" s="37">
        <v>-0.11204545454544945</v>
      </c>
      <c r="K335" s="37">
        <v>-2.2134422843800929</v>
      </c>
      <c r="L335" s="1" t="s">
        <v>68</v>
      </c>
      <c r="M335" s="1">
        <v>2</v>
      </c>
    </row>
    <row r="336" spans="1:13" x14ac:dyDescent="0.3">
      <c r="A336">
        <v>8</v>
      </c>
      <c r="B336">
        <v>1</v>
      </c>
      <c r="C336" t="s">
        <v>78</v>
      </c>
      <c r="D336" s="1" t="s">
        <v>2</v>
      </c>
      <c r="E336" s="59" t="s">
        <v>13</v>
      </c>
      <c r="F336" s="60">
        <v>5.1563999999999997</v>
      </c>
      <c r="G336" s="60">
        <v>1.14797344917031</v>
      </c>
      <c r="H336" s="61">
        <v>5.47</v>
      </c>
      <c r="I336" s="62">
        <v>5.51</v>
      </c>
      <c r="J336" s="37">
        <v>4.0000000000000036E-2</v>
      </c>
      <c r="K336" s="37">
        <v>0.73126142595978127</v>
      </c>
      <c r="L336" s="1" t="s">
        <v>68</v>
      </c>
      <c r="M336" s="1">
        <v>2</v>
      </c>
    </row>
    <row r="337" spans="1:13" x14ac:dyDescent="0.3">
      <c r="A337">
        <v>8</v>
      </c>
      <c r="B337">
        <v>1</v>
      </c>
      <c r="C337" t="s">
        <v>78</v>
      </c>
      <c r="D337" s="1" t="s">
        <v>2</v>
      </c>
      <c r="E337" s="59" t="s">
        <v>14</v>
      </c>
      <c r="F337" s="60">
        <v>1.3517999999999999</v>
      </c>
      <c r="G337" s="60">
        <v>0.10224852077169599</v>
      </c>
      <c r="H337" s="61">
        <v>1.36591836734693</v>
      </c>
      <c r="I337" s="62">
        <v>1.27</v>
      </c>
      <c r="J337" s="37">
        <v>-9.5918367346929934E-2</v>
      </c>
      <c r="K337" s="37">
        <v>-7.0222620648432654</v>
      </c>
      <c r="L337" s="1" t="s">
        <v>68</v>
      </c>
      <c r="M337" s="1">
        <v>2</v>
      </c>
    </row>
    <row r="338" spans="1:13" x14ac:dyDescent="0.3">
      <c r="A338">
        <v>8</v>
      </c>
      <c r="B338">
        <v>1</v>
      </c>
      <c r="C338" t="s">
        <v>78</v>
      </c>
      <c r="D338" s="1" t="s">
        <v>2</v>
      </c>
      <c r="E338" s="59" t="s">
        <v>15</v>
      </c>
      <c r="F338" s="60">
        <v>3.1245833333333302</v>
      </c>
      <c r="G338" s="60">
        <v>0.66406562907759503</v>
      </c>
      <c r="H338" s="61">
        <v>3.3297674418604601</v>
      </c>
      <c r="I338" s="62">
        <v>3.39</v>
      </c>
      <c r="J338" s="37">
        <v>6.0232558139539982E-2</v>
      </c>
      <c r="K338" s="37">
        <v>1.8089118591983679</v>
      </c>
      <c r="L338" s="1" t="s">
        <v>68</v>
      </c>
      <c r="M338" s="1">
        <v>2</v>
      </c>
    </row>
    <row r="339" spans="1:13" x14ac:dyDescent="0.3">
      <c r="A339">
        <v>8</v>
      </c>
      <c r="B339">
        <v>1</v>
      </c>
      <c r="C339" t="s">
        <v>78</v>
      </c>
      <c r="D339" s="1" t="s">
        <v>2</v>
      </c>
      <c r="E339" s="59" t="s">
        <v>16</v>
      </c>
      <c r="F339" s="60">
        <v>4.52475</v>
      </c>
      <c r="G339" s="60">
        <v>0.14931489376482099</v>
      </c>
      <c r="H339" s="61">
        <v>4.5186111111111096</v>
      </c>
      <c r="I339" s="62">
        <v>4.53</v>
      </c>
      <c r="J339" s="37">
        <v>1.1388888888890669E-2</v>
      </c>
      <c r="K339" s="37">
        <v>0.25204401549152533</v>
      </c>
      <c r="L339" s="1" t="s">
        <v>68</v>
      </c>
      <c r="M339" s="1">
        <v>2</v>
      </c>
    </row>
    <row r="340" spans="1:13" x14ac:dyDescent="0.3">
      <c r="A340">
        <v>8</v>
      </c>
      <c r="B340">
        <v>1</v>
      </c>
      <c r="C340" t="s">
        <v>78</v>
      </c>
      <c r="D340" s="1" t="s">
        <v>2</v>
      </c>
      <c r="E340" s="59" t="s">
        <v>17</v>
      </c>
      <c r="F340" s="60">
        <v>1.0656000000000001</v>
      </c>
      <c r="G340" s="60">
        <v>2.3846173697262201E-2</v>
      </c>
      <c r="H340" s="61">
        <v>1.0634375</v>
      </c>
      <c r="I340" s="62">
        <v>1.21</v>
      </c>
      <c r="J340" s="37">
        <v>0.14656249999999993</v>
      </c>
      <c r="K340" s="37">
        <v>13.781957096679392</v>
      </c>
      <c r="L340" s="1" t="s">
        <v>68</v>
      </c>
      <c r="M340" s="1">
        <v>2</v>
      </c>
    </row>
    <row r="341" spans="1:13" x14ac:dyDescent="0.3">
      <c r="A341">
        <v>8</v>
      </c>
      <c r="B341">
        <v>1</v>
      </c>
      <c r="C341" t="s">
        <v>78</v>
      </c>
      <c r="D341" s="1" t="s">
        <v>2</v>
      </c>
      <c r="E341" s="59" t="s">
        <v>18</v>
      </c>
      <c r="F341" s="60">
        <v>3.9441999999999999</v>
      </c>
      <c r="G341" s="60">
        <v>0.58464720986249397</v>
      </c>
      <c r="H341" s="61">
        <v>4.0776595744680799</v>
      </c>
      <c r="I341" s="62">
        <v>4.07</v>
      </c>
      <c r="J341" s="37">
        <v>-7.6595744680796329E-3</v>
      </c>
      <c r="K341" s="37">
        <v>-0.18784242107995991</v>
      </c>
      <c r="L341" s="1" t="s">
        <v>68</v>
      </c>
      <c r="M341" s="1">
        <v>2</v>
      </c>
    </row>
    <row r="342" spans="1:13" x14ac:dyDescent="0.3">
      <c r="A342">
        <v>8</v>
      </c>
      <c r="B342">
        <v>1</v>
      </c>
      <c r="C342" t="s">
        <v>78</v>
      </c>
      <c r="D342" s="1" t="s">
        <v>2</v>
      </c>
      <c r="E342" s="59" t="s">
        <v>19</v>
      </c>
      <c r="F342" s="60">
        <v>2.82</v>
      </c>
      <c r="G342" s="60">
        <v>0.39107466542770802</v>
      </c>
      <c r="H342" s="61">
        <v>2.8878124999999999</v>
      </c>
      <c r="I342" s="62">
        <v>2.74</v>
      </c>
      <c r="J342" s="37">
        <v>-0.14781249999999968</v>
      </c>
      <c r="K342" s="37">
        <v>-5.1184936695162753</v>
      </c>
      <c r="L342" s="1" t="s">
        <v>68</v>
      </c>
      <c r="M342" s="1">
        <v>2</v>
      </c>
    </row>
    <row r="343" spans="1:13" x14ac:dyDescent="0.3">
      <c r="A343">
        <v>8</v>
      </c>
      <c r="B343">
        <v>1</v>
      </c>
      <c r="C343" t="s">
        <v>78</v>
      </c>
      <c r="D343" s="1" t="s">
        <v>2</v>
      </c>
      <c r="E343" s="59" t="s">
        <v>12</v>
      </c>
      <c r="F343" s="60">
        <v>4.7182000000000004</v>
      </c>
      <c r="G343" s="60">
        <v>1.0032102272205901</v>
      </c>
      <c r="H343" s="61">
        <v>5.0620454545454496</v>
      </c>
      <c r="I343" s="62">
        <v>4.93</v>
      </c>
      <c r="J343" s="37">
        <v>-0.13204545454544991</v>
      </c>
      <c r="K343" s="37">
        <v>-2.6085394872714955</v>
      </c>
      <c r="L343" s="1" t="s">
        <v>69</v>
      </c>
      <c r="M343" s="1">
        <v>2</v>
      </c>
    </row>
    <row r="344" spans="1:13" x14ac:dyDescent="0.3">
      <c r="A344">
        <v>8</v>
      </c>
      <c r="B344">
        <v>1</v>
      </c>
      <c r="C344" t="s">
        <v>78</v>
      </c>
      <c r="D344" s="1" t="s">
        <v>2</v>
      </c>
      <c r="E344" s="59" t="s">
        <v>13</v>
      </c>
      <c r="F344" s="60">
        <v>5.1563999999999997</v>
      </c>
      <c r="G344" s="60">
        <v>1.14797344917031</v>
      </c>
      <c r="H344" s="61">
        <v>5.47</v>
      </c>
      <c r="I344" s="62">
        <v>5.56</v>
      </c>
      <c r="J344" s="37">
        <v>8.9999999999999858E-2</v>
      </c>
      <c r="K344" s="37">
        <v>1.6453382084095038</v>
      </c>
      <c r="L344" s="1" t="s">
        <v>69</v>
      </c>
      <c r="M344" s="1">
        <v>2</v>
      </c>
    </row>
    <row r="345" spans="1:13" x14ac:dyDescent="0.3">
      <c r="A345">
        <v>8</v>
      </c>
      <c r="B345">
        <v>1</v>
      </c>
      <c r="C345" t="s">
        <v>78</v>
      </c>
      <c r="D345" s="1" t="s">
        <v>2</v>
      </c>
      <c r="E345" s="59" t="s">
        <v>14</v>
      </c>
      <c r="F345" s="60">
        <v>1.3517999999999999</v>
      </c>
      <c r="G345" s="60">
        <v>0.10224852077169599</v>
      </c>
      <c r="H345" s="61">
        <v>1.36591836734693</v>
      </c>
      <c r="I345" s="62">
        <v>1.32</v>
      </c>
      <c r="J345" s="37">
        <v>-4.5918367346929889E-2</v>
      </c>
      <c r="K345" s="37">
        <v>-3.3617212012544142</v>
      </c>
      <c r="L345" s="1" t="s">
        <v>69</v>
      </c>
      <c r="M345" s="1">
        <v>2</v>
      </c>
    </row>
    <row r="346" spans="1:13" x14ac:dyDescent="0.3">
      <c r="A346">
        <v>8</v>
      </c>
      <c r="B346">
        <v>1</v>
      </c>
      <c r="C346" t="s">
        <v>78</v>
      </c>
      <c r="D346" s="1" t="s">
        <v>2</v>
      </c>
      <c r="E346" s="59" t="s">
        <v>15</v>
      </c>
      <c r="F346" s="60">
        <v>3.1245833333333302</v>
      </c>
      <c r="G346" s="60">
        <v>0.66406562907759503</v>
      </c>
      <c r="H346" s="61">
        <v>3.3297674418604601</v>
      </c>
      <c r="I346" s="62">
        <v>3.44</v>
      </c>
      <c r="J346" s="37">
        <v>0.1102325581395398</v>
      </c>
      <c r="K346" s="37">
        <v>3.3105182288030583</v>
      </c>
      <c r="L346" s="1" t="s">
        <v>69</v>
      </c>
      <c r="M346" s="1">
        <v>2</v>
      </c>
    </row>
    <row r="347" spans="1:13" x14ac:dyDescent="0.3">
      <c r="A347">
        <v>8</v>
      </c>
      <c r="B347">
        <v>1</v>
      </c>
      <c r="C347" t="s">
        <v>78</v>
      </c>
      <c r="D347" s="1" t="s">
        <v>2</v>
      </c>
      <c r="E347" s="59" t="s">
        <v>16</v>
      </c>
      <c r="F347" s="60">
        <v>4.52475</v>
      </c>
      <c r="G347" s="60">
        <v>0.14931489376482099</v>
      </c>
      <c r="H347" s="61">
        <v>4.5186111111111096</v>
      </c>
      <c r="I347" s="62">
        <v>4.59</v>
      </c>
      <c r="J347" s="37">
        <v>7.1388888888890278E-2</v>
      </c>
      <c r="K347" s="37">
        <v>1.5798856580808083</v>
      </c>
      <c r="L347" s="1" t="s">
        <v>69</v>
      </c>
      <c r="M347" s="1">
        <v>2</v>
      </c>
    </row>
    <row r="348" spans="1:13" x14ac:dyDescent="0.3">
      <c r="A348">
        <v>8</v>
      </c>
      <c r="B348">
        <v>1</v>
      </c>
      <c r="C348" t="s">
        <v>78</v>
      </c>
      <c r="D348" s="1" t="s">
        <v>2</v>
      </c>
      <c r="E348" s="59" t="s">
        <v>17</v>
      </c>
      <c r="F348" s="60">
        <v>1.0656000000000001</v>
      </c>
      <c r="G348" s="60">
        <v>2.3846173697262201E-2</v>
      </c>
      <c r="H348" s="61">
        <v>1.0634375</v>
      </c>
      <c r="I348" s="62">
        <v>1.25</v>
      </c>
      <c r="J348" s="37">
        <v>0.18656249999999996</v>
      </c>
      <c r="K348" s="37">
        <v>17.543344108139873</v>
      </c>
      <c r="L348" s="1" t="s">
        <v>69</v>
      </c>
      <c r="M348" s="1">
        <v>2</v>
      </c>
    </row>
    <row r="349" spans="1:13" x14ac:dyDescent="0.3">
      <c r="A349">
        <v>8</v>
      </c>
      <c r="B349">
        <v>1</v>
      </c>
      <c r="C349" t="s">
        <v>78</v>
      </c>
      <c r="D349" s="1" t="s">
        <v>2</v>
      </c>
      <c r="E349" s="59" t="s">
        <v>18</v>
      </c>
      <c r="F349" s="60">
        <v>3.9441999999999999</v>
      </c>
      <c r="G349" s="60">
        <v>0.58464720986249397</v>
      </c>
      <c r="H349" s="61">
        <v>4.0776595744680799</v>
      </c>
      <c r="I349" s="62">
        <v>4.05</v>
      </c>
      <c r="J349" s="37">
        <v>-2.7659574468080095E-2</v>
      </c>
      <c r="K349" s="37">
        <v>-0.6783198539002171</v>
      </c>
      <c r="L349" s="1" t="s">
        <v>69</v>
      </c>
      <c r="M349" s="1">
        <v>2</v>
      </c>
    </row>
    <row r="350" spans="1:13" x14ac:dyDescent="0.3">
      <c r="A350">
        <v>8</v>
      </c>
      <c r="B350">
        <v>1</v>
      </c>
      <c r="C350" t="s">
        <v>78</v>
      </c>
      <c r="D350" s="1" t="s">
        <v>2</v>
      </c>
      <c r="E350" s="59" t="s">
        <v>19</v>
      </c>
      <c r="F350" s="60">
        <v>2.82</v>
      </c>
      <c r="G350" s="60">
        <v>0.39107466542770802</v>
      </c>
      <c r="H350" s="61">
        <v>2.8878124999999999</v>
      </c>
      <c r="I350" s="62">
        <v>2.72</v>
      </c>
      <c r="J350" s="37">
        <v>-0.1678124999999997</v>
      </c>
      <c r="K350" s="37">
        <v>-5.8110594091548426</v>
      </c>
      <c r="L350" s="1" t="s">
        <v>69</v>
      </c>
      <c r="M350" s="1">
        <v>2</v>
      </c>
    </row>
    <row r="352" spans="1:13" x14ac:dyDescent="0.3">
      <c r="A352">
        <v>8</v>
      </c>
      <c r="B352">
        <v>1</v>
      </c>
      <c r="C352" t="s">
        <v>78</v>
      </c>
      <c r="D352" s="1" t="s">
        <v>2</v>
      </c>
      <c r="E352" s="59" t="s">
        <v>12</v>
      </c>
      <c r="F352" s="60">
        <v>4.9184444444444404</v>
      </c>
      <c r="G352" s="60">
        <v>0.68452077496451802</v>
      </c>
      <c r="H352" s="61">
        <v>5.0611627906976704</v>
      </c>
      <c r="I352" s="63">
        <v>5.07</v>
      </c>
      <c r="J352" s="58">
        <v>8.8372093023298959E-3</v>
      </c>
      <c r="K352" s="58">
        <v>0.1746082801085263</v>
      </c>
      <c r="L352" s="1" t="s">
        <v>23</v>
      </c>
      <c r="M352" s="1">
        <v>3</v>
      </c>
    </row>
    <row r="353" spans="1:13" x14ac:dyDescent="0.3">
      <c r="A353">
        <v>8</v>
      </c>
      <c r="B353">
        <v>1</v>
      </c>
      <c r="C353" t="s">
        <v>78</v>
      </c>
      <c r="D353" s="1" t="s">
        <v>2</v>
      </c>
      <c r="E353" s="59" t="s">
        <v>13</v>
      </c>
      <c r="F353" s="60">
        <v>5.1757777777777703</v>
      </c>
      <c r="G353" s="60">
        <v>1.1633867970310501</v>
      </c>
      <c r="H353" s="61">
        <v>5.4840476190476197</v>
      </c>
      <c r="I353" s="63">
        <v>5.65</v>
      </c>
      <c r="J353" s="58">
        <v>0.16595238095238063</v>
      </c>
      <c r="K353" s="58">
        <v>3.0260929970042918</v>
      </c>
      <c r="L353" s="1" t="s">
        <v>23</v>
      </c>
      <c r="M353" s="1">
        <v>3</v>
      </c>
    </row>
    <row r="354" spans="1:13" x14ac:dyDescent="0.3">
      <c r="A354">
        <v>8</v>
      </c>
      <c r="B354">
        <v>1</v>
      </c>
      <c r="C354" t="s">
        <v>78</v>
      </c>
      <c r="D354" s="1" t="s">
        <v>2</v>
      </c>
      <c r="E354" s="59" t="s">
        <v>14</v>
      </c>
      <c r="F354" s="60">
        <v>1.36977777777777</v>
      </c>
      <c r="G354" s="60">
        <v>2.6540442003259598E-2</v>
      </c>
      <c r="H354" s="61">
        <v>1.36333333333333</v>
      </c>
      <c r="I354" s="63">
        <v>1.37</v>
      </c>
      <c r="J354" s="58">
        <v>6.6666666666701513E-3</v>
      </c>
      <c r="K354" s="58">
        <v>0.48899755501248177</v>
      </c>
      <c r="L354" s="1" t="s">
        <v>23</v>
      </c>
      <c r="M354" s="1">
        <v>3</v>
      </c>
    </row>
    <row r="355" spans="1:13" x14ac:dyDescent="0.3">
      <c r="A355">
        <v>8</v>
      </c>
      <c r="B355">
        <v>1</v>
      </c>
      <c r="C355" t="s">
        <v>78</v>
      </c>
      <c r="D355" s="1" t="s">
        <v>2</v>
      </c>
      <c r="E355" s="59" t="s">
        <v>15</v>
      </c>
      <c r="F355" s="60">
        <v>3.2488888888888798</v>
      </c>
      <c r="G355" s="60">
        <v>0.38986164054114297</v>
      </c>
      <c r="H355" s="61">
        <v>3.3682926829268198</v>
      </c>
      <c r="I355" s="63">
        <v>3.57</v>
      </c>
      <c r="J355" s="58">
        <v>0.20170731707318001</v>
      </c>
      <c r="K355" s="58">
        <v>5.9884141926143402</v>
      </c>
      <c r="L355" s="1" t="s">
        <v>23</v>
      </c>
      <c r="M355" s="1">
        <v>3</v>
      </c>
    </row>
    <row r="356" spans="1:13" x14ac:dyDescent="0.3">
      <c r="A356">
        <v>8</v>
      </c>
      <c r="B356">
        <v>1</v>
      </c>
      <c r="C356" t="s">
        <v>78</v>
      </c>
      <c r="D356" s="1" t="s">
        <v>2</v>
      </c>
      <c r="E356" s="59" t="s">
        <v>16</v>
      </c>
      <c r="F356" s="60">
        <v>4.39970588235294</v>
      </c>
      <c r="G356" s="60">
        <v>0.61193754628526698</v>
      </c>
      <c r="H356" s="61">
        <v>4.5496875000000001</v>
      </c>
      <c r="I356" s="63">
        <v>4.6500000000000004</v>
      </c>
      <c r="J356" s="58">
        <v>0.10031250000000025</v>
      </c>
      <c r="K356" s="58">
        <v>2.2048217597362512</v>
      </c>
      <c r="L356" s="1" t="s">
        <v>23</v>
      </c>
      <c r="M356" s="1">
        <v>3</v>
      </c>
    </row>
    <row r="357" spans="1:13" x14ac:dyDescent="0.3">
      <c r="A357">
        <v>8</v>
      </c>
      <c r="B357">
        <v>1</v>
      </c>
      <c r="C357" t="s">
        <v>78</v>
      </c>
      <c r="D357" s="1" t="s">
        <v>2</v>
      </c>
      <c r="E357" s="59" t="s">
        <v>17</v>
      </c>
      <c r="F357" s="60">
        <v>1.0308888888888801</v>
      </c>
      <c r="G357" s="60">
        <v>0.169113009187771</v>
      </c>
      <c r="H357" s="61">
        <v>1.0658139534883699</v>
      </c>
      <c r="I357" s="63">
        <v>1.3</v>
      </c>
      <c r="J357" s="58">
        <v>0.23418604651163011</v>
      </c>
      <c r="K357" s="58">
        <v>21.972507091425079</v>
      </c>
      <c r="L357" s="1" t="s">
        <v>23</v>
      </c>
      <c r="M357" s="1">
        <v>3</v>
      </c>
    </row>
    <row r="358" spans="1:13" x14ac:dyDescent="0.3">
      <c r="A358">
        <v>8</v>
      </c>
      <c r="B358">
        <v>1</v>
      </c>
      <c r="C358" t="s">
        <v>78</v>
      </c>
      <c r="D358" s="1" t="s">
        <v>2</v>
      </c>
      <c r="E358" s="59" t="s">
        <v>18</v>
      </c>
      <c r="F358" s="60">
        <v>3.85466666666666</v>
      </c>
      <c r="G358" s="60">
        <v>0.74086316025445698</v>
      </c>
      <c r="H358" s="61">
        <v>4.07951219512195</v>
      </c>
      <c r="I358" s="63">
        <v>4.17</v>
      </c>
      <c r="J358" s="58">
        <v>9.0487804878049971E-2</v>
      </c>
      <c r="K358" s="58">
        <v>2.2181035513571983</v>
      </c>
      <c r="L358" s="1" t="s">
        <v>23</v>
      </c>
      <c r="M358" s="1">
        <v>3</v>
      </c>
    </row>
    <row r="359" spans="1:13" x14ac:dyDescent="0.3">
      <c r="A359">
        <v>8</v>
      </c>
      <c r="B359">
        <v>1</v>
      </c>
      <c r="C359" t="s">
        <v>78</v>
      </c>
      <c r="D359" s="1" t="s">
        <v>2</v>
      </c>
      <c r="E359" s="59" t="s">
        <v>19</v>
      </c>
      <c r="F359" s="60">
        <v>2.8318181818181798</v>
      </c>
      <c r="G359" s="60">
        <v>0.39785374612511198</v>
      </c>
      <c r="H359" s="61">
        <v>2.9012500000000001</v>
      </c>
      <c r="I359" s="63">
        <v>2.82</v>
      </c>
      <c r="J359" s="58">
        <v>-8.1250000000000266E-2</v>
      </c>
      <c r="K359" s="58">
        <v>-2.8005170185265063</v>
      </c>
      <c r="L359" s="1" t="s">
        <v>23</v>
      </c>
      <c r="M359" s="1">
        <v>3</v>
      </c>
    </row>
    <row r="360" spans="1:13" x14ac:dyDescent="0.3">
      <c r="A360">
        <v>8</v>
      </c>
      <c r="B360">
        <v>1</v>
      </c>
      <c r="C360" t="s">
        <v>78</v>
      </c>
      <c r="D360" s="1" t="s">
        <v>2</v>
      </c>
      <c r="E360" s="59" t="s">
        <v>12</v>
      </c>
      <c r="F360" s="60">
        <v>4.9184444444444404</v>
      </c>
      <c r="G360" s="60">
        <v>0.68452077496451802</v>
      </c>
      <c r="H360" s="61">
        <v>5.0611627906976704</v>
      </c>
      <c r="I360" s="63">
        <v>4.95</v>
      </c>
      <c r="J360" s="58">
        <v>-0.11116279069767021</v>
      </c>
      <c r="K360" s="58">
        <v>-2.1963883655745176</v>
      </c>
      <c r="L360" s="1" t="s">
        <v>68</v>
      </c>
      <c r="M360" s="1">
        <v>3</v>
      </c>
    </row>
    <row r="361" spans="1:13" x14ac:dyDescent="0.3">
      <c r="A361">
        <v>8</v>
      </c>
      <c r="B361">
        <v>1</v>
      </c>
      <c r="C361" t="s">
        <v>78</v>
      </c>
      <c r="D361" s="1" t="s">
        <v>2</v>
      </c>
      <c r="E361" s="59" t="s">
        <v>13</v>
      </c>
      <c r="F361" s="60">
        <v>5.1757777777777703</v>
      </c>
      <c r="G361" s="60">
        <v>1.1633867970310501</v>
      </c>
      <c r="H361" s="61">
        <v>5.4840476190476197</v>
      </c>
      <c r="I361" s="63">
        <v>5.51</v>
      </c>
      <c r="J361" s="58">
        <v>2.5952380952380061E-2</v>
      </c>
      <c r="K361" s="58">
        <v>0.47323405548559128</v>
      </c>
      <c r="L361" s="1" t="s">
        <v>68</v>
      </c>
      <c r="M361" s="1">
        <v>3</v>
      </c>
    </row>
    <row r="362" spans="1:13" x14ac:dyDescent="0.3">
      <c r="A362">
        <v>8</v>
      </c>
      <c r="B362">
        <v>1</v>
      </c>
      <c r="C362" t="s">
        <v>78</v>
      </c>
      <c r="D362" s="1" t="s">
        <v>2</v>
      </c>
      <c r="E362" s="59" t="s">
        <v>14</v>
      </c>
      <c r="F362" s="60">
        <v>1.36977777777777</v>
      </c>
      <c r="G362" s="60">
        <v>2.6540442003259598E-2</v>
      </c>
      <c r="H362" s="61">
        <v>1.36333333333333</v>
      </c>
      <c r="I362" s="63">
        <v>1.27</v>
      </c>
      <c r="J362" s="58">
        <v>-9.3333333333329938E-2</v>
      </c>
      <c r="K362" s="58">
        <v>-6.8459657701709169</v>
      </c>
      <c r="L362" s="1" t="s">
        <v>68</v>
      </c>
      <c r="M362" s="1">
        <v>3</v>
      </c>
    </row>
    <row r="363" spans="1:13" x14ac:dyDescent="0.3">
      <c r="A363">
        <v>8</v>
      </c>
      <c r="B363">
        <v>1</v>
      </c>
      <c r="C363" t="s">
        <v>78</v>
      </c>
      <c r="D363" s="1" t="s">
        <v>2</v>
      </c>
      <c r="E363" s="59" t="s">
        <v>15</v>
      </c>
      <c r="F363" s="60">
        <v>3.2488888888888798</v>
      </c>
      <c r="G363" s="60">
        <v>0.38986164054114297</v>
      </c>
      <c r="H363" s="61">
        <v>3.3682926829268198</v>
      </c>
      <c r="I363" s="63">
        <v>3.39</v>
      </c>
      <c r="J363" s="58">
        <v>2.1707317073180299E-2</v>
      </c>
      <c r="K363" s="58">
        <v>0.64446053584387741</v>
      </c>
      <c r="L363" s="1" t="s">
        <v>68</v>
      </c>
      <c r="M363" s="1">
        <v>3</v>
      </c>
    </row>
    <row r="364" spans="1:13" x14ac:dyDescent="0.3">
      <c r="A364">
        <v>8</v>
      </c>
      <c r="B364">
        <v>1</v>
      </c>
      <c r="C364" t="s">
        <v>78</v>
      </c>
      <c r="D364" s="1" t="s">
        <v>2</v>
      </c>
      <c r="E364" s="59" t="s">
        <v>16</v>
      </c>
      <c r="F364" s="60">
        <v>4.39970588235294</v>
      </c>
      <c r="G364" s="60">
        <v>0.61193754628526698</v>
      </c>
      <c r="H364" s="61">
        <v>4.5496875000000001</v>
      </c>
      <c r="I364" s="63">
        <v>4.53</v>
      </c>
      <c r="J364" s="58">
        <v>-1.9687499999999858E-2</v>
      </c>
      <c r="K364" s="58">
        <v>-0.43272202761178341</v>
      </c>
      <c r="L364" s="1" t="s">
        <v>68</v>
      </c>
      <c r="M364" s="1">
        <v>3</v>
      </c>
    </row>
    <row r="365" spans="1:13" x14ac:dyDescent="0.3">
      <c r="A365">
        <v>8</v>
      </c>
      <c r="B365">
        <v>1</v>
      </c>
      <c r="C365" t="s">
        <v>78</v>
      </c>
      <c r="D365" s="1" t="s">
        <v>2</v>
      </c>
      <c r="E365" s="59" t="s">
        <v>17</v>
      </c>
      <c r="F365" s="60">
        <v>1.0308888888888801</v>
      </c>
      <c r="G365" s="60">
        <v>0.169113009187771</v>
      </c>
      <c r="H365" s="61">
        <v>1.0658139534883699</v>
      </c>
      <c r="I365" s="63">
        <v>1.21</v>
      </c>
      <c r="J365" s="58">
        <v>0.14418604651163003</v>
      </c>
      <c r="K365" s="58">
        <v>13.528256600480262</v>
      </c>
      <c r="L365" s="1" t="s">
        <v>68</v>
      </c>
      <c r="M365" s="1">
        <v>3</v>
      </c>
    </row>
    <row r="366" spans="1:13" x14ac:dyDescent="0.3">
      <c r="A366">
        <v>8</v>
      </c>
      <c r="B366">
        <v>1</v>
      </c>
      <c r="C366" t="s">
        <v>78</v>
      </c>
      <c r="D366" s="1" t="s">
        <v>2</v>
      </c>
      <c r="E366" s="59" t="s">
        <v>18</v>
      </c>
      <c r="F366" s="60">
        <v>3.85466666666666</v>
      </c>
      <c r="G366" s="60">
        <v>0.74086316025445698</v>
      </c>
      <c r="H366" s="61">
        <v>4.07951219512195</v>
      </c>
      <c r="I366" s="63">
        <v>4.07</v>
      </c>
      <c r="J366" s="58">
        <v>-9.5121951219496736E-3</v>
      </c>
      <c r="K366" s="58">
        <v>-0.23316991510219823</v>
      </c>
      <c r="L366" s="1" t="s">
        <v>68</v>
      </c>
      <c r="M366" s="1">
        <v>3</v>
      </c>
    </row>
    <row r="367" spans="1:13" x14ac:dyDescent="0.3">
      <c r="A367">
        <v>8</v>
      </c>
      <c r="B367">
        <v>1</v>
      </c>
      <c r="C367" t="s">
        <v>78</v>
      </c>
      <c r="D367" s="1" t="s">
        <v>2</v>
      </c>
      <c r="E367" s="59" t="s">
        <v>19</v>
      </c>
      <c r="F367" s="60">
        <v>2.8318181818181798</v>
      </c>
      <c r="G367" s="60">
        <v>0.39785374612511198</v>
      </c>
      <c r="H367" s="61">
        <v>2.9012500000000001</v>
      </c>
      <c r="I367" s="63">
        <v>2.74</v>
      </c>
      <c r="J367" s="58">
        <v>-0.16124999999999989</v>
      </c>
      <c r="K367" s="58">
        <v>-5.55794915984489</v>
      </c>
      <c r="L367" s="1" t="s">
        <v>68</v>
      </c>
      <c r="M367" s="1">
        <v>3</v>
      </c>
    </row>
    <row r="368" spans="1:13" x14ac:dyDescent="0.3">
      <c r="A368">
        <v>8</v>
      </c>
      <c r="B368">
        <v>1</v>
      </c>
      <c r="C368" t="s">
        <v>78</v>
      </c>
      <c r="D368" s="1" t="s">
        <v>2</v>
      </c>
      <c r="E368" s="59" t="s">
        <v>12</v>
      </c>
      <c r="F368" s="60">
        <v>4.9184444444444404</v>
      </c>
      <c r="G368" s="60">
        <v>0.68452077496451802</v>
      </c>
      <c r="H368" s="61">
        <v>5.0611627906976704</v>
      </c>
      <c r="I368" s="63">
        <v>4.93</v>
      </c>
      <c r="J368" s="58">
        <v>-0.13116279069767067</v>
      </c>
      <c r="K368" s="58">
        <v>-2.5915544731883671</v>
      </c>
      <c r="L368" s="1" t="s">
        <v>69</v>
      </c>
      <c r="M368" s="1">
        <v>3</v>
      </c>
    </row>
    <row r="369" spans="1:13" x14ac:dyDescent="0.3">
      <c r="A369">
        <v>8</v>
      </c>
      <c r="B369">
        <v>1</v>
      </c>
      <c r="C369" t="s">
        <v>78</v>
      </c>
      <c r="D369" s="1" t="s">
        <v>2</v>
      </c>
      <c r="E369" s="59" t="s">
        <v>13</v>
      </c>
      <c r="F369" s="60">
        <v>5.1757777777777703</v>
      </c>
      <c r="G369" s="60">
        <v>1.1633867970310501</v>
      </c>
      <c r="H369" s="61">
        <v>5.4840476190476197</v>
      </c>
      <c r="I369" s="63">
        <v>5.56</v>
      </c>
      <c r="J369" s="58">
        <v>7.5952380952379883E-2</v>
      </c>
      <c r="K369" s="58">
        <v>1.384969391742263</v>
      </c>
      <c r="L369" s="1" t="s">
        <v>69</v>
      </c>
      <c r="M369" s="1">
        <v>3</v>
      </c>
    </row>
    <row r="370" spans="1:13" x14ac:dyDescent="0.3">
      <c r="A370">
        <v>8</v>
      </c>
      <c r="B370">
        <v>1</v>
      </c>
      <c r="C370" t="s">
        <v>78</v>
      </c>
      <c r="D370" s="1" t="s">
        <v>2</v>
      </c>
      <c r="E370" s="59" t="s">
        <v>14</v>
      </c>
      <c r="F370" s="60">
        <v>1.36977777777777</v>
      </c>
      <c r="G370" s="60">
        <v>2.6540442003259598E-2</v>
      </c>
      <c r="H370" s="61">
        <v>1.36333333333333</v>
      </c>
      <c r="I370" s="63">
        <v>1.32</v>
      </c>
      <c r="J370" s="58">
        <v>-4.3333333333329893E-2</v>
      </c>
      <c r="K370" s="58">
        <v>-3.1784841075792181</v>
      </c>
      <c r="L370" s="1" t="s">
        <v>69</v>
      </c>
      <c r="M370" s="1">
        <v>3</v>
      </c>
    </row>
    <row r="371" spans="1:13" x14ac:dyDescent="0.3">
      <c r="A371">
        <v>8</v>
      </c>
      <c r="B371">
        <v>1</v>
      </c>
      <c r="C371" t="s">
        <v>78</v>
      </c>
      <c r="D371" s="1" t="s">
        <v>2</v>
      </c>
      <c r="E371" s="59" t="s">
        <v>15</v>
      </c>
      <c r="F371" s="60">
        <v>3.2488888888888798</v>
      </c>
      <c r="G371" s="60">
        <v>0.38986164054114297</v>
      </c>
      <c r="H371" s="61">
        <v>3.3682926829268198</v>
      </c>
      <c r="I371" s="63">
        <v>3.44</v>
      </c>
      <c r="J371" s="58">
        <v>7.1707317073180121E-2</v>
      </c>
      <c r="K371" s="58">
        <v>2.128892107169003</v>
      </c>
      <c r="L371" s="1" t="s">
        <v>69</v>
      </c>
      <c r="M371" s="1">
        <v>3</v>
      </c>
    </row>
    <row r="372" spans="1:13" x14ac:dyDescent="0.3">
      <c r="A372">
        <v>8</v>
      </c>
      <c r="B372">
        <v>1</v>
      </c>
      <c r="C372" t="s">
        <v>78</v>
      </c>
      <c r="D372" s="1" t="s">
        <v>2</v>
      </c>
      <c r="E372" s="59" t="s">
        <v>16</v>
      </c>
      <c r="F372" s="60">
        <v>4.39970588235294</v>
      </c>
      <c r="G372" s="60">
        <v>0.61193754628526698</v>
      </c>
      <c r="H372" s="61">
        <v>4.5496875000000001</v>
      </c>
      <c r="I372" s="63">
        <v>4.59</v>
      </c>
      <c r="J372" s="58">
        <v>4.0312499999999751E-2</v>
      </c>
      <c r="K372" s="58">
        <v>0.88604986606222402</v>
      </c>
      <c r="L372" s="1" t="s">
        <v>69</v>
      </c>
      <c r="M372" s="1">
        <v>3</v>
      </c>
    </row>
    <row r="373" spans="1:13" x14ac:dyDescent="0.3">
      <c r="A373">
        <v>8</v>
      </c>
      <c r="B373">
        <v>1</v>
      </c>
      <c r="C373" t="s">
        <v>78</v>
      </c>
      <c r="D373" s="1" t="s">
        <v>2</v>
      </c>
      <c r="E373" s="59" t="s">
        <v>17</v>
      </c>
      <c r="F373" s="60">
        <v>1.0308888888888801</v>
      </c>
      <c r="G373" s="60">
        <v>0.169113009187771</v>
      </c>
      <c r="H373" s="61">
        <v>1.0658139534883699</v>
      </c>
      <c r="I373" s="63">
        <v>1.25</v>
      </c>
      <c r="J373" s="58">
        <v>0.18418604651163006</v>
      </c>
      <c r="K373" s="58">
        <v>17.28125681867796</v>
      </c>
      <c r="L373" s="1" t="s">
        <v>69</v>
      </c>
      <c r="M373" s="1">
        <v>3</v>
      </c>
    </row>
    <row r="374" spans="1:13" x14ac:dyDescent="0.3">
      <c r="A374">
        <v>8</v>
      </c>
      <c r="B374">
        <v>1</v>
      </c>
      <c r="C374" t="s">
        <v>78</v>
      </c>
      <c r="D374" s="1" t="s">
        <v>2</v>
      </c>
      <c r="E374" s="59" t="s">
        <v>18</v>
      </c>
      <c r="F374" s="60">
        <v>3.85466666666666</v>
      </c>
      <c r="G374" s="60">
        <v>0.74086316025445698</v>
      </c>
      <c r="H374" s="61">
        <v>4.07951219512195</v>
      </c>
      <c r="I374" s="63">
        <v>4.05</v>
      </c>
      <c r="J374" s="58">
        <v>-2.9512195121950136E-2</v>
      </c>
      <c r="K374" s="58">
        <v>-0.72342460839409062</v>
      </c>
      <c r="L374" s="1" t="s">
        <v>69</v>
      </c>
      <c r="M374" s="1">
        <v>3</v>
      </c>
    </row>
    <row r="375" spans="1:13" x14ac:dyDescent="0.3">
      <c r="A375">
        <v>8</v>
      </c>
      <c r="B375">
        <v>1</v>
      </c>
      <c r="C375" t="s">
        <v>78</v>
      </c>
      <c r="D375" s="1" t="s">
        <v>2</v>
      </c>
      <c r="E375" s="59" t="s">
        <v>19</v>
      </c>
      <c r="F375" s="60">
        <v>2.8318181818181798</v>
      </c>
      <c r="G375" s="60">
        <v>0.39785374612511198</v>
      </c>
      <c r="H375" s="61">
        <v>2.9012500000000001</v>
      </c>
      <c r="I375" s="63">
        <v>2.72</v>
      </c>
      <c r="J375" s="58">
        <v>-0.18124999999999991</v>
      </c>
      <c r="K375" s="58">
        <v>-6.2473071951744901</v>
      </c>
      <c r="L375" s="1" t="s">
        <v>69</v>
      </c>
      <c r="M375" s="1">
        <v>3</v>
      </c>
    </row>
    <row r="377" spans="1:13" x14ac:dyDescent="0.3">
      <c r="A377">
        <v>10</v>
      </c>
      <c r="B377">
        <v>1</v>
      </c>
      <c r="C377" t="s">
        <v>78</v>
      </c>
      <c r="D377" s="1" t="s">
        <v>2</v>
      </c>
      <c r="E377" s="59" t="s">
        <v>12</v>
      </c>
      <c r="F377" s="60"/>
      <c r="G377" s="60"/>
      <c r="H377" s="61"/>
      <c r="I377" s="62"/>
      <c r="J377" s="37"/>
      <c r="K377" s="37"/>
      <c r="L377" s="1" t="s">
        <v>23</v>
      </c>
      <c r="M377" s="1">
        <v>1</v>
      </c>
    </row>
    <row r="378" spans="1:13" x14ac:dyDescent="0.3">
      <c r="A378">
        <v>10</v>
      </c>
      <c r="B378">
        <v>1</v>
      </c>
      <c r="C378" t="s">
        <v>78</v>
      </c>
      <c r="D378" s="1" t="s">
        <v>2</v>
      </c>
      <c r="E378" s="59" t="s">
        <v>13</v>
      </c>
      <c r="F378" s="60">
        <v>2.2944444444444398</v>
      </c>
      <c r="G378" s="60">
        <v>0.12737618049707899</v>
      </c>
      <c r="H378" s="61">
        <v>2.3134090909090901</v>
      </c>
      <c r="I378" s="62">
        <v>2.5</v>
      </c>
      <c r="J378" s="37">
        <v>0.18659090909090992</v>
      </c>
      <c r="K378" s="37">
        <v>8.0656253070046571</v>
      </c>
      <c r="L378" s="1" t="s">
        <v>23</v>
      </c>
      <c r="M378" s="1">
        <v>1</v>
      </c>
    </row>
    <row r="379" spans="1:13" x14ac:dyDescent="0.3">
      <c r="A379">
        <v>10</v>
      </c>
      <c r="B379">
        <v>1</v>
      </c>
      <c r="C379" t="s">
        <v>78</v>
      </c>
      <c r="D379" s="1" t="s">
        <v>2</v>
      </c>
      <c r="E379" s="59" t="s">
        <v>14</v>
      </c>
      <c r="F379" s="60">
        <v>3.8348888888888801</v>
      </c>
      <c r="G379" s="60">
        <v>0.50591445136382995</v>
      </c>
      <c r="H379" s="61">
        <v>3.9712195121951201</v>
      </c>
      <c r="I379" s="62">
        <v>4.05</v>
      </c>
      <c r="J379" s="37">
        <v>7.8780487804879673E-2</v>
      </c>
      <c r="K379" s="37">
        <v>1.9837857757032724</v>
      </c>
      <c r="L379" s="1" t="s">
        <v>23</v>
      </c>
      <c r="M379" s="1">
        <v>1</v>
      </c>
    </row>
    <row r="380" spans="1:13" x14ac:dyDescent="0.3">
      <c r="A380">
        <v>10</v>
      </c>
      <c r="B380">
        <v>1</v>
      </c>
      <c r="C380" t="s">
        <v>78</v>
      </c>
      <c r="D380" s="1" t="s">
        <v>2</v>
      </c>
      <c r="E380" s="59" t="s">
        <v>15</v>
      </c>
      <c r="F380" s="60">
        <v>3.6364444444444399</v>
      </c>
      <c r="G380" s="60">
        <v>0.501185951543627</v>
      </c>
      <c r="H380" s="61">
        <v>3.7444186046511598</v>
      </c>
      <c r="I380" s="62">
        <v>3.84</v>
      </c>
      <c r="J380" s="37">
        <v>9.5581395348840026E-2</v>
      </c>
      <c r="K380" s="37">
        <v>2.5526364822061516</v>
      </c>
      <c r="L380" s="1" t="s">
        <v>23</v>
      </c>
      <c r="M380" s="1">
        <v>1</v>
      </c>
    </row>
    <row r="381" spans="1:13" x14ac:dyDescent="0.3">
      <c r="A381">
        <v>10</v>
      </c>
      <c r="B381">
        <v>1</v>
      </c>
      <c r="C381" t="s">
        <v>78</v>
      </c>
      <c r="D381" s="1" t="s">
        <v>2</v>
      </c>
      <c r="E381" s="59" t="s">
        <v>16</v>
      </c>
      <c r="F381" s="60">
        <v>2.1015909090909002</v>
      </c>
      <c r="G381" s="60">
        <v>2.32518994158817E-2</v>
      </c>
      <c r="H381" s="61">
        <v>2.1021874999999901</v>
      </c>
      <c r="I381" s="62">
        <v>2.25</v>
      </c>
      <c r="J381" s="37">
        <v>0.14781250000000989</v>
      </c>
      <c r="K381" s="37">
        <v>7.031366136465496</v>
      </c>
      <c r="L381" s="1" t="s">
        <v>23</v>
      </c>
      <c r="M381" s="1">
        <v>1</v>
      </c>
    </row>
    <row r="382" spans="1:13" x14ac:dyDescent="0.3">
      <c r="A382">
        <v>10</v>
      </c>
      <c r="B382">
        <v>1</v>
      </c>
      <c r="C382" t="s">
        <v>78</v>
      </c>
      <c r="D382" s="1" t="s">
        <v>2</v>
      </c>
      <c r="E382" s="59" t="s">
        <v>17</v>
      </c>
      <c r="F382" s="60">
        <v>4.1149999999999904</v>
      </c>
      <c r="G382" s="60">
        <v>0.60643474112067097</v>
      </c>
      <c r="H382" s="61">
        <v>4.2070731707317002</v>
      </c>
      <c r="I382" s="62">
        <v>4.26</v>
      </c>
      <c r="J382" s="37">
        <v>5.2926829268299613E-2</v>
      </c>
      <c r="K382" s="37">
        <v>1.258043944576664</v>
      </c>
      <c r="L382" s="1" t="s">
        <v>23</v>
      </c>
      <c r="M382" s="1">
        <v>1</v>
      </c>
    </row>
    <row r="383" spans="1:13" x14ac:dyDescent="0.3">
      <c r="A383">
        <v>10</v>
      </c>
      <c r="B383">
        <v>1</v>
      </c>
      <c r="C383" t="s">
        <v>78</v>
      </c>
      <c r="D383" s="1" t="s">
        <v>2</v>
      </c>
      <c r="E383" s="59" t="s">
        <v>18</v>
      </c>
      <c r="F383" s="60">
        <v>0.93644444444444397</v>
      </c>
      <c r="G383" s="60">
        <v>1.7017057528068098E-2</v>
      </c>
      <c r="H383" s="61">
        <v>0.93500000000000005</v>
      </c>
      <c r="I383" s="62">
        <v>1.27</v>
      </c>
      <c r="J383" s="37">
        <v>0.33499999999999996</v>
      </c>
      <c r="K383" s="37">
        <v>35.828877005347586</v>
      </c>
      <c r="L383" s="1" t="s">
        <v>23</v>
      </c>
      <c r="M383" s="1">
        <v>1</v>
      </c>
    </row>
    <row r="384" spans="1:13" x14ac:dyDescent="0.3">
      <c r="A384">
        <v>10</v>
      </c>
      <c r="B384">
        <v>1</v>
      </c>
      <c r="C384" t="s">
        <v>78</v>
      </c>
      <c r="D384" s="1" t="s">
        <v>2</v>
      </c>
      <c r="E384" s="59" t="s">
        <v>19</v>
      </c>
      <c r="F384" s="60">
        <v>1.33622222222222</v>
      </c>
      <c r="G384" s="60">
        <v>0.111460783116033</v>
      </c>
      <c r="H384" s="61">
        <v>1.3597674418604599</v>
      </c>
      <c r="I384" s="62">
        <v>1.64</v>
      </c>
      <c r="J384" s="37">
        <v>0.28023255813953996</v>
      </c>
      <c r="K384" s="37">
        <v>20.608859244057232</v>
      </c>
      <c r="L384" s="1" t="s">
        <v>23</v>
      </c>
      <c r="M384" s="1">
        <v>1</v>
      </c>
    </row>
    <row r="385" spans="1:13" x14ac:dyDescent="0.3">
      <c r="A385">
        <v>10</v>
      </c>
      <c r="B385">
        <v>1</v>
      </c>
      <c r="C385" t="s">
        <v>78</v>
      </c>
      <c r="D385" s="1" t="s">
        <v>2</v>
      </c>
      <c r="E385" s="59" t="s">
        <v>12</v>
      </c>
      <c r="F385" s="60"/>
      <c r="G385" s="60"/>
      <c r="H385" s="61"/>
      <c r="I385" s="62"/>
      <c r="J385" s="37"/>
      <c r="K385" s="37"/>
      <c r="L385" s="1" t="s">
        <v>68</v>
      </c>
      <c r="M385" s="1">
        <v>1</v>
      </c>
    </row>
    <row r="386" spans="1:13" x14ac:dyDescent="0.3">
      <c r="A386">
        <v>10</v>
      </c>
      <c r="B386">
        <v>1</v>
      </c>
      <c r="C386" t="s">
        <v>78</v>
      </c>
      <c r="D386" s="1" t="s">
        <v>2</v>
      </c>
      <c r="E386" s="59" t="s">
        <v>13</v>
      </c>
      <c r="F386" s="60">
        <v>2.2944444444444398</v>
      </c>
      <c r="G386" s="60">
        <v>0.12737618049707899</v>
      </c>
      <c r="H386" s="61">
        <v>2.3134090909090901</v>
      </c>
      <c r="I386" s="62">
        <v>2.38</v>
      </c>
      <c r="J386" s="37">
        <v>6.6590909090909811E-2</v>
      </c>
      <c r="K386" s="37">
        <v>2.878475292268428</v>
      </c>
      <c r="L386" s="1" t="s">
        <v>68</v>
      </c>
      <c r="M386" s="1">
        <v>1</v>
      </c>
    </row>
    <row r="387" spans="1:13" x14ac:dyDescent="0.3">
      <c r="A387">
        <v>10</v>
      </c>
      <c r="B387">
        <v>1</v>
      </c>
      <c r="C387" t="s">
        <v>78</v>
      </c>
      <c r="D387" s="1" t="s">
        <v>2</v>
      </c>
      <c r="E387" s="59" t="s">
        <v>14</v>
      </c>
      <c r="F387" s="60">
        <v>3.8348888888888801</v>
      </c>
      <c r="G387" s="60">
        <v>0.50591445136382995</v>
      </c>
      <c r="H387" s="61">
        <v>3.9712195121951201</v>
      </c>
      <c r="I387" s="62">
        <v>3.96</v>
      </c>
      <c r="J387" s="37">
        <v>-1.1219512195120185E-2</v>
      </c>
      <c r="K387" s="37">
        <v>-0.28252057486790799</v>
      </c>
      <c r="L387" s="1" t="s">
        <v>68</v>
      </c>
      <c r="M387" s="1">
        <v>1</v>
      </c>
    </row>
    <row r="388" spans="1:13" x14ac:dyDescent="0.3">
      <c r="A388">
        <v>10</v>
      </c>
      <c r="B388">
        <v>1</v>
      </c>
      <c r="C388" t="s">
        <v>78</v>
      </c>
      <c r="D388" s="1" t="s">
        <v>2</v>
      </c>
      <c r="E388" s="59" t="s">
        <v>15</v>
      </c>
      <c r="F388" s="60">
        <v>3.6364444444444399</v>
      </c>
      <c r="G388" s="60">
        <v>0.501185951543627</v>
      </c>
      <c r="H388" s="61">
        <v>3.7444186046511598</v>
      </c>
      <c r="I388" s="62">
        <v>3.68</v>
      </c>
      <c r="J388" s="37">
        <v>-6.4418604651159672E-2</v>
      </c>
      <c r="K388" s="37">
        <v>-1.7203900378857637</v>
      </c>
      <c r="L388" s="1" t="s">
        <v>68</v>
      </c>
      <c r="M388" s="1">
        <v>1</v>
      </c>
    </row>
    <row r="389" spans="1:13" x14ac:dyDescent="0.3">
      <c r="A389">
        <v>10</v>
      </c>
      <c r="B389">
        <v>1</v>
      </c>
      <c r="C389" t="s">
        <v>78</v>
      </c>
      <c r="D389" s="1" t="s">
        <v>2</v>
      </c>
      <c r="E389" s="59" t="s">
        <v>16</v>
      </c>
      <c r="F389" s="60">
        <v>2.1015909090909002</v>
      </c>
      <c r="G389" s="60">
        <v>2.32518994158817E-2</v>
      </c>
      <c r="H389" s="61">
        <v>2.1021874999999901</v>
      </c>
      <c r="I389" s="62">
        <v>2.14</v>
      </c>
      <c r="J389" s="37">
        <v>3.7812500000010019E-2</v>
      </c>
      <c r="K389" s="37">
        <v>1.7987215697938552</v>
      </c>
      <c r="L389" s="1" t="s">
        <v>68</v>
      </c>
      <c r="M389" s="1">
        <v>1</v>
      </c>
    </row>
    <row r="390" spans="1:13" x14ac:dyDescent="0.3">
      <c r="A390">
        <v>10</v>
      </c>
      <c r="B390">
        <v>1</v>
      </c>
      <c r="C390" t="s">
        <v>78</v>
      </c>
      <c r="D390" s="1" t="s">
        <v>2</v>
      </c>
      <c r="E390" s="59" t="s">
        <v>17</v>
      </c>
      <c r="F390" s="60">
        <v>4.1149999999999904</v>
      </c>
      <c r="G390" s="60">
        <v>0.60643474112067097</v>
      </c>
      <c r="H390" s="61">
        <v>4.2070731707317002</v>
      </c>
      <c r="I390" s="62">
        <v>4.1100000000000003</v>
      </c>
      <c r="J390" s="37">
        <v>-9.7073170731699854E-2</v>
      </c>
      <c r="K390" s="37">
        <v>-2.3073801379788397</v>
      </c>
      <c r="L390" s="1" t="s">
        <v>68</v>
      </c>
      <c r="M390" s="1">
        <v>1</v>
      </c>
    </row>
    <row r="391" spans="1:13" x14ac:dyDescent="0.3">
      <c r="A391">
        <v>10</v>
      </c>
      <c r="B391">
        <v>1</v>
      </c>
      <c r="C391" t="s">
        <v>78</v>
      </c>
      <c r="D391" s="1" t="s">
        <v>2</v>
      </c>
      <c r="E391" s="59" t="s">
        <v>18</v>
      </c>
      <c r="F391" s="60">
        <v>0.93644444444444397</v>
      </c>
      <c r="G391" s="60">
        <v>1.7017057528068098E-2</v>
      </c>
      <c r="H391" s="61">
        <v>0.93500000000000005</v>
      </c>
      <c r="I391" s="62">
        <v>1.1399999999999999</v>
      </c>
      <c r="J391" s="37">
        <v>0.20499999999999985</v>
      </c>
      <c r="K391" s="37">
        <v>21.925133689839555</v>
      </c>
      <c r="L391" s="1" t="s">
        <v>68</v>
      </c>
      <c r="M391" s="1">
        <v>1</v>
      </c>
    </row>
    <row r="392" spans="1:13" x14ac:dyDescent="0.3">
      <c r="A392">
        <v>10</v>
      </c>
      <c r="B392">
        <v>1</v>
      </c>
      <c r="C392" t="s">
        <v>78</v>
      </c>
      <c r="D392" s="1" t="s">
        <v>2</v>
      </c>
      <c r="E392" s="59" t="s">
        <v>19</v>
      </c>
      <c r="F392" s="60">
        <v>1.33622222222222</v>
      </c>
      <c r="G392" s="60">
        <v>0.111460783116033</v>
      </c>
      <c r="H392" s="61">
        <v>1.3597674418604599</v>
      </c>
      <c r="I392" s="62">
        <v>1.5</v>
      </c>
      <c r="J392" s="37">
        <v>0.14023255813954005</v>
      </c>
      <c r="K392" s="37">
        <v>10.312981015906011</v>
      </c>
      <c r="L392" s="1" t="s">
        <v>68</v>
      </c>
      <c r="M392" s="1">
        <v>1</v>
      </c>
    </row>
    <row r="393" spans="1:13" x14ac:dyDescent="0.3">
      <c r="A393">
        <v>10</v>
      </c>
      <c r="B393">
        <v>1</v>
      </c>
      <c r="C393" t="s">
        <v>78</v>
      </c>
      <c r="D393" s="1" t="s">
        <v>2</v>
      </c>
      <c r="E393" s="59" t="s">
        <v>12</v>
      </c>
      <c r="F393" s="60"/>
      <c r="G393" s="60"/>
      <c r="H393" s="61"/>
      <c r="I393" s="62"/>
      <c r="J393" s="37"/>
      <c r="K393" s="37"/>
      <c r="L393" s="1" t="s">
        <v>69</v>
      </c>
      <c r="M393" s="1">
        <v>1</v>
      </c>
    </row>
    <row r="394" spans="1:13" x14ac:dyDescent="0.3">
      <c r="A394">
        <v>10</v>
      </c>
      <c r="B394">
        <v>1</v>
      </c>
      <c r="C394" t="s">
        <v>78</v>
      </c>
      <c r="D394" s="1" t="s">
        <v>2</v>
      </c>
      <c r="E394" s="59" t="s">
        <v>13</v>
      </c>
      <c r="F394" s="60">
        <v>2.2944444444444398</v>
      </c>
      <c r="G394" s="60">
        <v>0.12737618049707899</v>
      </c>
      <c r="H394" s="61">
        <v>2.3134090909090901</v>
      </c>
      <c r="I394" s="62">
        <v>2.44</v>
      </c>
      <c r="J394" s="37">
        <v>0.12659090909090986</v>
      </c>
      <c r="K394" s="37">
        <v>5.4720502996365417</v>
      </c>
      <c r="L394" s="1" t="s">
        <v>69</v>
      </c>
      <c r="M394" s="1">
        <v>1</v>
      </c>
    </row>
    <row r="395" spans="1:13" x14ac:dyDescent="0.3">
      <c r="A395">
        <v>10</v>
      </c>
      <c r="B395">
        <v>1</v>
      </c>
      <c r="C395" t="s">
        <v>78</v>
      </c>
      <c r="D395" s="1" t="s">
        <v>2</v>
      </c>
      <c r="E395" s="59" t="s">
        <v>14</v>
      </c>
      <c r="F395" s="60">
        <v>3.8348888888888801</v>
      </c>
      <c r="G395" s="60">
        <v>0.50591445136382995</v>
      </c>
      <c r="H395" s="61">
        <v>3.9712195121951201</v>
      </c>
      <c r="I395" s="62">
        <v>3.99</v>
      </c>
      <c r="J395" s="37">
        <v>1.8780487804880064E-2</v>
      </c>
      <c r="K395" s="37">
        <v>0.47291487532249293</v>
      </c>
      <c r="L395" s="1" t="s">
        <v>69</v>
      </c>
      <c r="M395" s="1">
        <v>1</v>
      </c>
    </row>
    <row r="396" spans="1:13" x14ac:dyDescent="0.3">
      <c r="A396">
        <v>10</v>
      </c>
      <c r="B396">
        <v>1</v>
      </c>
      <c r="C396" t="s">
        <v>78</v>
      </c>
      <c r="D396" s="1" t="s">
        <v>2</v>
      </c>
      <c r="E396" s="59" t="s">
        <v>15</v>
      </c>
      <c r="F396" s="60">
        <v>3.6364444444444399</v>
      </c>
      <c r="G396" s="60">
        <v>0.501185951543627</v>
      </c>
      <c r="H396" s="61">
        <v>3.7444186046511598</v>
      </c>
      <c r="I396" s="62">
        <v>3.75</v>
      </c>
      <c r="J396" s="37">
        <v>5.581395348840168E-3</v>
      </c>
      <c r="K396" s="37">
        <v>0.14905906465444843</v>
      </c>
      <c r="L396" s="1" t="s">
        <v>69</v>
      </c>
      <c r="M396" s="1">
        <v>1</v>
      </c>
    </row>
    <row r="397" spans="1:13" x14ac:dyDescent="0.3">
      <c r="A397">
        <v>10</v>
      </c>
      <c r="B397">
        <v>1</v>
      </c>
      <c r="C397" t="s">
        <v>78</v>
      </c>
      <c r="D397" s="1" t="s">
        <v>2</v>
      </c>
      <c r="E397" s="59" t="s">
        <v>16</v>
      </c>
      <c r="F397" s="60">
        <v>2.1015909090909002</v>
      </c>
      <c r="G397" s="60">
        <v>2.32518994158817E-2</v>
      </c>
      <c r="H397" s="61">
        <v>2.1021874999999901</v>
      </c>
      <c r="I397" s="62">
        <v>2.2000000000000002</v>
      </c>
      <c r="J397" s="37">
        <v>9.7812500000010072E-2</v>
      </c>
      <c r="K397" s="37">
        <v>4.6528913334329376</v>
      </c>
      <c r="L397" s="1" t="s">
        <v>69</v>
      </c>
      <c r="M397" s="1">
        <v>1</v>
      </c>
    </row>
    <row r="398" spans="1:13" x14ac:dyDescent="0.3">
      <c r="A398">
        <v>10</v>
      </c>
      <c r="B398">
        <v>1</v>
      </c>
      <c r="C398" t="s">
        <v>78</v>
      </c>
      <c r="D398" s="1" t="s">
        <v>2</v>
      </c>
      <c r="E398" s="59" t="s">
        <v>17</v>
      </c>
      <c r="F398" s="60">
        <v>4.1149999999999904</v>
      </c>
      <c r="G398" s="60">
        <v>0.60643474112067097</v>
      </c>
      <c r="H398" s="61">
        <v>4.2070731707317002</v>
      </c>
      <c r="I398" s="62">
        <v>4.25</v>
      </c>
      <c r="J398" s="37">
        <v>4.2926829268299826E-2</v>
      </c>
      <c r="K398" s="37">
        <v>1.0203490057396347</v>
      </c>
      <c r="L398" s="1" t="s">
        <v>69</v>
      </c>
      <c r="M398" s="1">
        <v>1</v>
      </c>
    </row>
    <row r="399" spans="1:13" x14ac:dyDescent="0.3">
      <c r="A399">
        <v>10</v>
      </c>
      <c r="B399">
        <v>1</v>
      </c>
      <c r="C399" t="s">
        <v>78</v>
      </c>
      <c r="D399" s="1" t="s">
        <v>2</v>
      </c>
      <c r="E399" s="59" t="s">
        <v>18</v>
      </c>
      <c r="F399" s="60">
        <v>0.93644444444444397</v>
      </c>
      <c r="G399" s="60">
        <v>1.7017057528068098E-2</v>
      </c>
      <c r="H399" s="61">
        <v>0.93500000000000005</v>
      </c>
      <c r="I399" s="62">
        <v>1.1599999999999999</v>
      </c>
      <c r="J399" s="37">
        <v>0.22499999999999987</v>
      </c>
      <c r="K399" s="37">
        <v>24.064171122994637</v>
      </c>
      <c r="L399" s="1" t="s">
        <v>69</v>
      </c>
      <c r="M399" s="1">
        <v>1</v>
      </c>
    </row>
    <row r="400" spans="1:13" x14ac:dyDescent="0.3">
      <c r="A400">
        <v>10</v>
      </c>
      <c r="B400">
        <v>1</v>
      </c>
      <c r="C400" t="s">
        <v>78</v>
      </c>
      <c r="D400" s="1" t="s">
        <v>2</v>
      </c>
      <c r="E400" s="59" t="s">
        <v>19</v>
      </c>
      <c r="F400" s="60">
        <v>1.33622222222222</v>
      </c>
      <c r="G400" s="60">
        <v>0.111460783116033</v>
      </c>
      <c r="H400" s="61">
        <v>1.3597674418604599</v>
      </c>
      <c r="I400" s="62">
        <v>1.51</v>
      </c>
      <c r="J400" s="37">
        <v>0.15023255813954006</v>
      </c>
      <c r="K400" s="37">
        <v>11.048400889345386</v>
      </c>
      <c r="L400" s="1" t="s">
        <v>69</v>
      </c>
      <c r="M400" s="1">
        <v>1</v>
      </c>
    </row>
    <row r="401" spans="1:13" x14ac:dyDescent="0.3">
      <c r="D401" s="1"/>
      <c r="E401" s="59"/>
      <c r="F401" s="60"/>
      <c r="G401" s="60"/>
      <c r="H401" s="61"/>
      <c r="I401" s="62"/>
      <c r="J401" s="37"/>
      <c r="K401" s="37"/>
      <c r="L401" s="1"/>
      <c r="M401" s="1"/>
    </row>
    <row r="402" spans="1:13" x14ac:dyDescent="0.3">
      <c r="A402">
        <v>10</v>
      </c>
      <c r="B402">
        <v>1</v>
      </c>
      <c r="C402" t="s">
        <v>78</v>
      </c>
      <c r="D402" s="1" t="s">
        <v>2</v>
      </c>
      <c r="E402" s="59" t="s">
        <v>12</v>
      </c>
      <c r="F402" s="60"/>
      <c r="G402" s="60"/>
      <c r="H402" s="61"/>
      <c r="I402" s="62"/>
      <c r="J402" s="37"/>
      <c r="K402" s="37"/>
      <c r="L402" s="1" t="s">
        <v>23</v>
      </c>
      <c r="M402" s="1">
        <v>2</v>
      </c>
    </row>
    <row r="403" spans="1:13" x14ac:dyDescent="0.3">
      <c r="A403">
        <v>10</v>
      </c>
      <c r="B403">
        <v>1</v>
      </c>
      <c r="C403" t="s">
        <v>78</v>
      </c>
      <c r="D403" s="1" t="s">
        <v>2</v>
      </c>
      <c r="E403" s="59" t="s">
        <v>13</v>
      </c>
      <c r="F403" s="60">
        <v>2.27511111111111</v>
      </c>
      <c r="G403" s="60">
        <v>0.235217367293623</v>
      </c>
      <c r="H403" s="61">
        <v>2.3104545454545402</v>
      </c>
      <c r="I403" s="62">
        <v>2.5</v>
      </c>
      <c r="J403" s="37">
        <v>0.18954545454545979</v>
      </c>
      <c r="K403" s="37">
        <v>8.2038166437145872</v>
      </c>
      <c r="L403" s="1" t="s">
        <v>23</v>
      </c>
      <c r="M403" s="1">
        <v>2</v>
      </c>
    </row>
    <row r="404" spans="1:13" x14ac:dyDescent="0.3">
      <c r="A404">
        <v>10</v>
      </c>
      <c r="B404">
        <v>1</v>
      </c>
      <c r="C404" t="s">
        <v>78</v>
      </c>
      <c r="D404" s="1" t="s">
        <v>2</v>
      </c>
      <c r="E404" s="59" t="s">
        <v>14</v>
      </c>
      <c r="F404" s="60">
        <v>3.7553333333333301</v>
      </c>
      <c r="G404" s="60">
        <v>0.62476520033974003</v>
      </c>
      <c r="H404" s="61">
        <v>3.9604999999999899</v>
      </c>
      <c r="I404" s="62">
        <v>4.05</v>
      </c>
      <c r="J404" s="37">
        <v>8.9500000000009905E-2</v>
      </c>
      <c r="K404" s="37">
        <v>2.2598156798386602</v>
      </c>
      <c r="L404" s="1" t="s">
        <v>23</v>
      </c>
      <c r="M404" s="1">
        <v>2</v>
      </c>
    </row>
    <row r="405" spans="1:13" x14ac:dyDescent="0.3">
      <c r="A405">
        <v>10</v>
      </c>
      <c r="B405">
        <v>1</v>
      </c>
      <c r="C405" t="s">
        <v>78</v>
      </c>
      <c r="D405" s="1" t="s">
        <v>2</v>
      </c>
      <c r="E405" s="59" t="s">
        <v>15</v>
      </c>
      <c r="F405" s="60">
        <v>3.64688888888888</v>
      </c>
      <c r="G405" s="60">
        <v>0.39966553918229702</v>
      </c>
      <c r="H405" s="61">
        <v>3.73209302325581</v>
      </c>
      <c r="I405" s="62">
        <v>3.84</v>
      </c>
      <c r="J405" s="37">
        <v>0.10790697674418981</v>
      </c>
      <c r="K405" s="37">
        <v>2.8913260219343013</v>
      </c>
      <c r="L405" s="1" t="s">
        <v>23</v>
      </c>
      <c r="M405" s="1">
        <v>2</v>
      </c>
    </row>
    <row r="406" spans="1:13" x14ac:dyDescent="0.3">
      <c r="A406">
        <v>10</v>
      </c>
      <c r="B406">
        <v>1</v>
      </c>
      <c r="C406" t="s">
        <v>78</v>
      </c>
      <c r="D406" s="1" t="s">
        <v>2</v>
      </c>
      <c r="E406" s="59" t="s">
        <v>16</v>
      </c>
      <c r="F406" s="60">
        <v>2.0956818181818102</v>
      </c>
      <c r="G406" s="60">
        <v>2.57079513055898E-2</v>
      </c>
      <c r="H406" s="61">
        <v>2.0974999999999899</v>
      </c>
      <c r="I406" s="62">
        <v>2.25</v>
      </c>
      <c r="J406" s="37">
        <v>0.15250000000001007</v>
      </c>
      <c r="K406" s="37">
        <v>7.2705601907037325</v>
      </c>
      <c r="L406" s="1" t="s">
        <v>23</v>
      </c>
      <c r="M406" s="1">
        <v>2</v>
      </c>
    </row>
    <row r="407" spans="1:13" x14ac:dyDescent="0.3">
      <c r="A407">
        <v>10</v>
      </c>
      <c r="B407">
        <v>1</v>
      </c>
      <c r="C407" t="s">
        <v>78</v>
      </c>
      <c r="D407" s="1" t="s">
        <v>2</v>
      </c>
      <c r="E407" s="59" t="s">
        <v>17</v>
      </c>
      <c r="F407" s="60">
        <v>3.9554999999999998</v>
      </c>
      <c r="G407" s="60">
        <v>0.83386734556522801</v>
      </c>
      <c r="H407" s="61">
        <v>4.1827027027027004</v>
      </c>
      <c r="I407" s="62">
        <v>4.26</v>
      </c>
      <c r="J407" s="37">
        <v>7.7297297297299394E-2</v>
      </c>
      <c r="K407" s="37">
        <v>1.848022744895373</v>
      </c>
      <c r="L407" s="1" t="s">
        <v>23</v>
      </c>
      <c r="M407" s="1">
        <v>2</v>
      </c>
    </row>
    <row r="408" spans="1:13" x14ac:dyDescent="0.3">
      <c r="A408">
        <v>10</v>
      </c>
      <c r="B408">
        <v>1</v>
      </c>
      <c r="C408" t="s">
        <v>78</v>
      </c>
      <c r="D408" s="1" t="s">
        <v>2</v>
      </c>
      <c r="E408" s="59" t="s">
        <v>18</v>
      </c>
      <c r="F408" s="60">
        <v>0.94711111111111101</v>
      </c>
      <c r="G408" s="60">
        <v>2.0615228699216101E-2</v>
      </c>
      <c r="H408" s="61">
        <v>0.94406250000000003</v>
      </c>
      <c r="I408" s="62">
        <v>1.27</v>
      </c>
      <c r="J408" s="37">
        <v>0.32593749999999999</v>
      </c>
      <c r="K408" s="37">
        <v>34.524991724594507</v>
      </c>
      <c r="L408" s="1" t="s">
        <v>23</v>
      </c>
      <c r="M408" s="1">
        <v>2</v>
      </c>
    </row>
    <row r="409" spans="1:13" x14ac:dyDescent="0.3">
      <c r="A409">
        <v>10</v>
      </c>
      <c r="B409">
        <v>1</v>
      </c>
      <c r="C409" t="s">
        <v>78</v>
      </c>
      <c r="D409" s="1" t="s">
        <v>2</v>
      </c>
      <c r="E409" s="59" t="s">
        <v>19</v>
      </c>
      <c r="F409" s="60">
        <v>1.33177777777777</v>
      </c>
      <c r="G409" s="60">
        <v>0.153192527942076</v>
      </c>
      <c r="H409" s="61">
        <v>1.3644186046511599</v>
      </c>
      <c r="I409" s="62">
        <v>1.64</v>
      </c>
      <c r="J409" s="37">
        <v>0.27558139534883996</v>
      </c>
      <c r="K409" s="37">
        <v>20.197716038861671</v>
      </c>
      <c r="L409" s="1" t="s">
        <v>23</v>
      </c>
      <c r="M409" s="1">
        <v>2</v>
      </c>
    </row>
    <row r="410" spans="1:13" x14ac:dyDescent="0.3">
      <c r="A410">
        <v>10</v>
      </c>
      <c r="B410">
        <v>1</v>
      </c>
      <c r="C410" t="s">
        <v>78</v>
      </c>
      <c r="D410" s="1" t="s">
        <v>2</v>
      </c>
      <c r="E410" s="59" t="s">
        <v>12</v>
      </c>
      <c r="F410" s="60"/>
      <c r="G410" s="60"/>
      <c r="H410" s="61"/>
      <c r="I410" s="62"/>
      <c r="J410" s="37"/>
      <c r="K410" s="37"/>
      <c r="L410" s="1" t="s">
        <v>68</v>
      </c>
      <c r="M410" s="1">
        <v>2</v>
      </c>
    </row>
    <row r="411" spans="1:13" x14ac:dyDescent="0.3">
      <c r="A411">
        <v>10</v>
      </c>
      <c r="B411">
        <v>1</v>
      </c>
      <c r="C411" t="s">
        <v>78</v>
      </c>
      <c r="D411" s="1" t="s">
        <v>2</v>
      </c>
      <c r="E411" s="59" t="s">
        <v>13</v>
      </c>
      <c r="F411" s="60">
        <v>2.27511111111111</v>
      </c>
      <c r="G411" s="60">
        <v>0.235217367293623</v>
      </c>
      <c r="H411" s="61">
        <v>2.3104545454545402</v>
      </c>
      <c r="I411" s="62">
        <v>2.38</v>
      </c>
      <c r="J411" s="37">
        <v>6.9545454545459684E-2</v>
      </c>
      <c r="K411" s="37">
        <v>3.0100334448162829</v>
      </c>
      <c r="L411" s="1" t="s">
        <v>68</v>
      </c>
      <c r="M411" s="1">
        <v>2</v>
      </c>
    </row>
    <row r="412" spans="1:13" x14ac:dyDescent="0.3">
      <c r="A412">
        <v>10</v>
      </c>
      <c r="B412">
        <v>1</v>
      </c>
      <c r="C412" t="s">
        <v>78</v>
      </c>
      <c r="D412" s="1" t="s">
        <v>2</v>
      </c>
      <c r="E412" s="59" t="s">
        <v>14</v>
      </c>
      <c r="F412" s="60">
        <v>3.7553333333333301</v>
      </c>
      <c r="G412" s="60">
        <v>0.62476520033974003</v>
      </c>
      <c r="H412" s="61">
        <v>3.9604999999999899</v>
      </c>
      <c r="I412" s="62">
        <v>3.96</v>
      </c>
      <c r="J412" s="37">
        <v>-4.9999999998995293E-4</v>
      </c>
      <c r="K412" s="37">
        <v>-1.2624668602195535E-2</v>
      </c>
      <c r="L412" s="1" t="s">
        <v>68</v>
      </c>
      <c r="M412" s="1">
        <v>2</v>
      </c>
    </row>
    <row r="413" spans="1:13" x14ac:dyDescent="0.3">
      <c r="A413">
        <v>10</v>
      </c>
      <c r="B413">
        <v>1</v>
      </c>
      <c r="C413" t="s">
        <v>78</v>
      </c>
      <c r="D413" s="1" t="s">
        <v>2</v>
      </c>
      <c r="E413" s="59" t="s">
        <v>15</v>
      </c>
      <c r="F413" s="60">
        <v>3.64688888888888</v>
      </c>
      <c r="G413" s="60">
        <v>0.39966553918229702</v>
      </c>
      <c r="H413" s="61">
        <v>3.73209302325581</v>
      </c>
      <c r="I413" s="62">
        <v>3.68</v>
      </c>
      <c r="J413" s="37">
        <v>-5.2093023255809889E-2</v>
      </c>
      <c r="K413" s="37">
        <v>-1.3958125623129534</v>
      </c>
      <c r="L413" s="1" t="s">
        <v>68</v>
      </c>
      <c r="M413" s="1">
        <v>2</v>
      </c>
    </row>
    <row r="414" spans="1:13" x14ac:dyDescent="0.3">
      <c r="A414">
        <v>10</v>
      </c>
      <c r="B414">
        <v>1</v>
      </c>
      <c r="C414" t="s">
        <v>78</v>
      </c>
      <c r="D414" s="1" t="s">
        <v>2</v>
      </c>
      <c r="E414" s="59" t="s">
        <v>16</v>
      </c>
      <c r="F414" s="60">
        <v>2.0956818181818102</v>
      </c>
      <c r="G414" s="60">
        <v>2.57079513055898E-2</v>
      </c>
      <c r="H414" s="61">
        <v>2.0974999999999899</v>
      </c>
      <c r="I414" s="62">
        <v>2.14</v>
      </c>
      <c r="J414" s="37">
        <v>4.2500000000010196E-2</v>
      </c>
      <c r="K414" s="37">
        <v>2.0262216924915566</v>
      </c>
      <c r="L414" s="1" t="s">
        <v>68</v>
      </c>
      <c r="M414" s="1">
        <v>2</v>
      </c>
    </row>
    <row r="415" spans="1:13" x14ac:dyDescent="0.3">
      <c r="A415">
        <v>10</v>
      </c>
      <c r="B415">
        <v>1</v>
      </c>
      <c r="C415" t="s">
        <v>78</v>
      </c>
      <c r="D415" s="1" t="s">
        <v>2</v>
      </c>
      <c r="E415" s="59" t="s">
        <v>17</v>
      </c>
      <c r="F415" s="60">
        <v>3.9554999999999998</v>
      </c>
      <c r="G415" s="60">
        <v>0.83386734556522801</v>
      </c>
      <c r="H415" s="61">
        <v>4.1827027027027004</v>
      </c>
      <c r="I415" s="62">
        <v>4.1100000000000003</v>
      </c>
      <c r="J415" s="37">
        <v>-7.2702702702700073E-2</v>
      </c>
      <c r="K415" s="37">
        <v>-1.7381752390798038</v>
      </c>
      <c r="L415" s="1" t="s">
        <v>68</v>
      </c>
      <c r="M415" s="1">
        <v>2</v>
      </c>
    </row>
    <row r="416" spans="1:13" x14ac:dyDescent="0.3">
      <c r="A416">
        <v>10</v>
      </c>
      <c r="B416">
        <v>1</v>
      </c>
      <c r="C416" t="s">
        <v>78</v>
      </c>
      <c r="D416" s="1" t="s">
        <v>2</v>
      </c>
      <c r="E416" s="59" t="s">
        <v>18</v>
      </c>
      <c r="F416" s="60">
        <v>0.94711111111111101</v>
      </c>
      <c r="G416" s="60">
        <v>2.0615228699216101E-2</v>
      </c>
      <c r="H416" s="61">
        <v>0.94406250000000003</v>
      </c>
      <c r="I416" s="62">
        <v>1.1399999999999999</v>
      </c>
      <c r="J416" s="37">
        <v>0.19593749999999988</v>
      </c>
      <c r="K416" s="37">
        <v>20.754716981132063</v>
      </c>
      <c r="L416" s="1" t="s">
        <v>68</v>
      </c>
      <c r="M416" s="1">
        <v>2</v>
      </c>
    </row>
    <row r="417" spans="1:13" x14ac:dyDescent="0.3">
      <c r="A417">
        <v>10</v>
      </c>
      <c r="B417">
        <v>1</v>
      </c>
      <c r="C417" t="s">
        <v>78</v>
      </c>
      <c r="D417" s="1" t="s">
        <v>2</v>
      </c>
      <c r="E417" s="59" t="s">
        <v>19</v>
      </c>
      <c r="F417" s="60">
        <v>1.33177777777777</v>
      </c>
      <c r="G417" s="60">
        <v>0.153192527942076</v>
      </c>
      <c r="H417" s="61">
        <v>1.3644186046511599</v>
      </c>
      <c r="I417" s="62">
        <v>1.5</v>
      </c>
      <c r="J417" s="37">
        <v>0.13558139534884006</v>
      </c>
      <c r="K417" s="37">
        <v>9.9369354013978786</v>
      </c>
      <c r="L417" s="1" t="s">
        <v>68</v>
      </c>
      <c r="M417" s="1">
        <v>2</v>
      </c>
    </row>
    <row r="418" spans="1:13" x14ac:dyDescent="0.3">
      <c r="A418">
        <v>10</v>
      </c>
      <c r="B418">
        <v>1</v>
      </c>
      <c r="C418" t="s">
        <v>78</v>
      </c>
      <c r="D418" s="1" t="s">
        <v>2</v>
      </c>
      <c r="E418" s="59" t="s">
        <v>12</v>
      </c>
      <c r="F418" s="60"/>
      <c r="G418" s="60"/>
      <c r="H418" s="61"/>
      <c r="I418" s="62"/>
      <c r="J418" s="37"/>
      <c r="K418" s="37"/>
      <c r="L418" s="1" t="s">
        <v>69</v>
      </c>
      <c r="M418" s="1">
        <v>2</v>
      </c>
    </row>
    <row r="419" spans="1:13" x14ac:dyDescent="0.3">
      <c r="A419">
        <v>10</v>
      </c>
      <c r="B419">
        <v>1</v>
      </c>
      <c r="C419" t="s">
        <v>78</v>
      </c>
      <c r="D419" s="1" t="s">
        <v>2</v>
      </c>
      <c r="E419" s="59" t="s">
        <v>13</v>
      </c>
      <c r="F419" s="60">
        <v>2.27511111111111</v>
      </c>
      <c r="G419" s="60">
        <v>0.235217367293623</v>
      </c>
      <c r="H419" s="61">
        <v>2.3104545454545402</v>
      </c>
      <c r="I419" s="62">
        <v>2.44</v>
      </c>
      <c r="J419" s="37">
        <v>0.12954545454545974</v>
      </c>
      <c r="K419" s="37">
        <v>5.6069250442654353</v>
      </c>
      <c r="L419" s="1" t="s">
        <v>69</v>
      </c>
      <c r="M419" s="1">
        <v>2</v>
      </c>
    </row>
    <row r="420" spans="1:13" x14ac:dyDescent="0.3">
      <c r="A420">
        <v>10</v>
      </c>
      <c r="B420">
        <v>1</v>
      </c>
      <c r="C420" t="s">
        <v>78</v>
      </c>
      <c r="D420" s="1" t="s">
        <v>2</v>
      </c>
      <c r="E420" s="59" t="s">
        <v>14</v>
      </c>
      <c r="F420" s="60">
        <v>3.7553333333333301</v>
      </c>
      <c r="G420" s="60">
        <v>0.62476520033974003</v>
      </c>
      <c r="H420" s="61">
        <v>3.9604999999999899</v>
      </c>
      <c r="I420" s="62">
        <v>3.99</v>
      </c>
      <c r="J420" s="37">
        <v>2.9500000000010296E-2</v>
      </c>
      <c r="K420" s="37">
        <v>0.74485544754476385</v>
      </c>
      <c r="L420" s="1" t="s">
        <v>69</v>
      </c>
      <c r="M420" s="1">
        <v>2</v>
      </c>
    </row>
    <row r="421" spans="1:13" x14ac:dyDescent="0.3">
      <c r="A421">
        <v>10</v>
      </c>
      <c r="B421">
        <v>1</v>
      </c>
      <c r="C421" t="s">
        <v>78</v>
      </c>
      <c r="D421" s="1" t="s">
        <v>2</v>
      </c>
      <c r="E421" s="59" t="s">
        <v>15</v>
      </c>
      <c r="F421" s="60">
        <v>3.64688888888888</v>
      </c>
      <c r="G421" s="60">
        <v>0.39966553918229702</v>
      </c>
      <c r="H421" s="61">
        <v>3.73209302325581</v>
      </c>
      <c r="I421" s="62">
        <v>3.75</v>
      </c>
      <c r="J421" s="37">
        <v>1.7906976744189951E-2</v>
      </c>
      <c r="K421" s="37">
        <v>0.47981056829521979</v>
      </c>
      <c r="L421" s="1" t="s">
        <v>69</v>
      </c>
      <c r="M421" s="1">
        <v>2</v>
      </c>
    </row>
    <row r="422" spans="1:13" x14ac:dyDescent="0.3">
      <c r="A422">
        <v>10</v>
      </c>
      <c r="B422">
        <v>1</v>
      </c>
      <c r="C422" t="s">
        <v>78</v>
      </c>
      <c r="D422" s="1" t="s">
        <v>2</v>
      </c>
      <c r="E422" s="59" t="s">
        <v>16</v>
      </c>
      <c r="F422" s="60">
        <v>2.0956818181818102</v>
      </c>
      <c r="G422" s="60">
        <v>2.57079513055898E-2</v>
      </c>
      <c r="H422" s="61">
        <v>2.0974999999999899</v>
      </c>
      <c r="I422" s="62">
        <v>2.2000000000000002</v>
      </c>
      <c r="J422" s="37">
        <v>0.10250000000001025</v>
      </c>
      <c r="K422" s="37">
        <v>4.8867699642436593</v>
      </c>
      <c r="L422" s="1" t="s">
        <v>69</v>
      </c>
      <c r="M422" s="1">
        <v>2</v>
      </c>
    </row>
    <row r="423" spans="1:13" x14ac:dyDescent="0.3">
      <c r="A423">
        <v>10</v>
      </c>
      <c r="B423">
        <v>1</v>
      </c>
      <c r="C423" t="s">
        <v>78</v>
      </c>
      <c r="D423" s="1" t="s">
        <v>2</v>
      </c>
      <c r="E423" s="59" t="s">
        <v>17</v>
      </c>
      <c r="F423" s="60">
        <v>3.9554999999999998</v>
      </c>
      <c r="G423" s="60">
        <v>0.83386734556522801</v>
      </c>
      <c r="H423" s="61">
        <v>4.1827027027027004</v>
      </c>
      <c r="I423" s="62">
        <v>4.25</v>
      </c>
      <c r="J423" s="37">
        <v>6.7297297297299608E-2</v>
      </c>
      <c r="K423" s="37">
        <v>1.6089428792970322</v>
      </c>
      <c r="L423" s="1" t="s">
        <v>69</v>
      </c>
      <c r="M423" s="1">
        <v>2</v>
      </c>
    </row>
    <row r="424" spans="1:13" x14ac:dyDescent="0.3">
      <c r="A424">
        <v>10</v>
      </c>
      <c r="B424">
        <v>1</v>
      </c>
      <c r="C424" t="s">
        <v>78</v>
      </c>
      <c r="D424" s="1" t="s">
        <v>2</v>
      </c>
      <c r="E424" s="59" t="s">
        <v>18</v>
      </c>
      <c r="F424" s="60">
        <v>0.94711111111111101</v>
      </c>
      <c r="G424" s="60">
        <v>2.0615228699216101E-2</v>
      </c>
      <c r="H424" s="61">
        <v>0.94406250000000003</v>
      </c>
      <c r="I424" s="62">
        <v>1.1599999999999999</v>
      </c>
      <c r="J424" s="37">
        <v>0.21593749999999989</v>
      </c>
      <c r="K424" s="37">
        <v>22.873220787818589</v>
      </c>
      <c r="L424" s="1" t="s">
        <v>69</v>
      </c>
      <c r="M424" s="1">
        <v>2</v>
      </c>
    </row>
    <row r="425" spans="1:13" x14ac:dyDescent="0.3">
      <c r="A425">
        <v>10</v>
      </c>
      <c r="B425">
        <v>1</v>
      </c>
      <c r="C425" t="s">
        <v>78</v>
      </c>
      <c r="D425" s="1" t="s">
        <v>2</v>
      </c>
      <c r="E425" s="59" t="s">
        <v>19</v>
      </c>
      <c r="F425" s="60">
        <v>1.33177777777777</v>
      </c>
      <c r="G425" s="60">
        <v>0.153192527942076</v>
      </c>
      <c r="H425" s="61">
        <v>1.3644186046511599</v>
      </c>
      <c r="I425" s="62">
        <v>1.51</v>
      </c>
      <c r="J425" s="37">
        <v>0.14558139534884007</v>
      </c>
      <c r="K425" s="37">
        <v>10.669848304073865</v>
      </c>
      <c r="L425" s="1" t="s">
        <v>69</v>
      </c>
      <c r="M425" s="1">
        <v>2</v>
      </c>
    </row>
    <row r="426" spans="1:13" x14ac:dyDescent="0.3">
      <c r="D426" s="1"/>
      <c r="E426" s="59"/>
      <c r="F426" s="60"/>
      <c r="G426" s="60"/>
      <c r="H426" s="61"/>
      <c r="I426" s="62"/>
      <c r="J426" s="37"/>
      <c r="K426" s="37"/>
      <c r="L426" s="1"/>
      <c r="M426" s="1"/>
    </row>
    <row r="427" spans="1:13" x14ac:dyDescent="0.3">
      <c r="A427">
        <v>10</v>
      </c>
      <c r="B427">
        <v>1</v>
      </c>
      <c r="C427" t="s">
        <v>78</v>
      </c>
      <c r="D427" s="1" t="s">
        <v>2</v>
      </c>
      <c r="E427" s="59" t="s">
        <v>12</v>
      </c>
      <c r="F427" s="60"/>
      <c r="G427" s="60"/>
      <c r="H427" s="61"/>
      <c r="I427" s="63"/>
      <c r="J427" s="58"/>
      <c r="K427" s="58"/>
      <c r="L427" s="1" t="s">
        <v>23</v>
      </c>
      <c r="M427" s="1">
        <v>3</v>
      </c>
    </row>
    <row r="428" spans="1:13" x14ac:dyDescent="0.3">
      <c r="A428">
        <v>10</v>
      </c>
      <c r="B428">
        <v>1</v>
      </c>
      <c r="C428" t="s">
        <v>78</v>
      </c>
      <c r="D428" s="1" t="s">
        <v>2</v>
      </c>
      <c r="E428" s="59" t="s">
        <v>13</v>
      </c>
      <c r="F428" s="60">
        <v>2.2791999999999901</v>
      </c>
      <c r="G428" s="60">
        <v>0.25226050027699498</v>
      </c>
      <c r="H428" s="61">
        <v>2.3151020408163201</v>
      </c>
      <c r="I428" s="63">
        <v>2.5</v>
      </c>
      <c r="J428" s="58">
        <v>0.18489795918367991</v>
      </c>
      <c r="K428" s="58">
        <v>7.9866008462626414</v>
      </c>
      <c r="L428" s="1" t="s">
        <v>23</v>
      </c>
      <c r="M428" s="1">
        <v>3</v>
      </c>
    </row>
    <row r="429" spans="1:13" x14ac:dyDescent="0.3">
      <c r="A429">
        <v>10</v>
      </c>
      <c r="B429">
        <v>1</v>
      </c>
      <c r="C429" t="s">
        <v>78</v>
      </c>
      <c r="D429" s="1" t="s">
        <v>2</v>
      </c>
      <c r="E429" s="59" t="s">
        <v>14</v>
      </c>
      <c r="F429" s="60">
        <v>3.89759999999999</v>
      </c>
      <c r="G429" s="60">
        <v>0.37968176147926802</v>
      </c>
      <c r="H429" s="61">
        <v>3.9785106382978701</v>
      </c>
      <c r="I429" s="63">
        <v>4.05</v>
      </c>
      <c r="J429" s="58">
        <v>7.1489361702129717E-2</v>
      </c>
      <c r="K429" s="58">
        <v>1.796887534092785</v>
      </c>
      <c r="L429" s="1" t="s">
        <v>23</v>
      </c>
      <c r="M429" s="1">
        <v>3</v>
      </c>
    </row>
    <row r="430" spans="1:13" x14ac:dyDescent="0.3">
      <c r="A430">
        <v>10</v>
      </c>
      <c r="B430">
        <v>1</v>
      </c>
      <c r="C430" t="s">
        <v>78</v>
      </c>
      <c r="D430" s="1" t="s">
        <v>2</v>
      </c>
      <c r="E430" s="59" t="s">
        <v>15</v>
      </c>
      <c r="F430" s="60">
        <v>3.6763999999999899</v>
      </c>
      <c r="G430" s="60">
        <v>0.461435846028459</v>
      </c>
      <c r="H430" s="61">
        <v>3.7422448979591798</v>
      </c>
      <c r="I430" s="63">
        <v>3.84</v>
      </c>
      <c r="J430" s="58">
        <v>9.7755102040820052E-2</v>
      </c>
      <c r="K430" s="58">
        <v>2.6122048317610229</v>
      </c>
      <c r="L430" s="1" t="s">
        <v>23</v>
      </c>
      <c r="M430" s="1">
        <v>3</v>
      </c>
    </row>
    <row r="431" spans="1:13" x14ac:dyDescent="0.3">
      <c r="A431">
        <v>10</v>
      </c>
      <c r="B431">
        <v>1</v>
      </c>
      <c r="C431" t="s">
        <v>78</v>
      </c>
      <c r="D431" s="1" t="s">
        <v>2</v>
      </c>
      <c r="E431" s="59" t="s">
        <v>16</v>
      </c>
      <c r="F431" s="60">
        <v>2.06612244897959</v>
      </c>
      <c r="G431" s="60">
        <v>0.22270889140842501</v>
      </c>
      <c r="H431" s="61">
        <v>2.0981249999999898</v>
      </c>
      <c r="I431" s="63">
        <v>2.25</v>
      </c>
      <c r="J431" s="58">
        <v>0.1518750000000102</v>
      </c>
      <c r="K431" s="58">
        <v>7.2386058981238453</v>
      </c>
      <c r="L431" s="1" t="s">
        <v>23</v>
      </c>
      <c r="M431" s="1">
        <v>3</v>
      </c>
    </row>
    <row r="432" spans="1:13" x14ac:dyDescent="0.3">
      <c r="A432">
        <v>10</v>
      </c>
      <c r="B432">
        <v>1</v>
      </c>
      <c r="C432" t="s">
        <v>78</v>
      </c>
      <c r="D432" s="1" t="s">
        <v>2</v>
      </c>
      <c r="E432" s="59" t="s">
        <v>17</v>
      </c>
      <c r="F432" s="60">
        <v>4.1317777777777698</v>
      </c>
      <c r="G432" s="60">
        <v>0.62484589705120697</v>
      </c>
      <c r="H432" s="61">
        <v>4.2249999999999996</v>
      </c>
      <c r="I432" s="63">
        <v>4.26</v>
      </c>
      <c r="J432" s="58">
        <v>3.5000000000000142E-2</v>
      </c>
      <c r="K432" s="58">
        <v>0.82840236686390878</v>
      </c>
      <c r="L432" s="1" t="s">
        <v>23</v>
      </c>
      <c r="M432" s="1">
        <v>3</v>
      </c>
    </row>
    <row r="433" spans="1:13" x14ac:dyDescent="0.3">
      <c r="A433">
        <v>10</v>
      </c>
      <c r="B433">
        <v>1</v>
      </c>
      <c r="C433" t="s">
        <v>78</v>
      </c>
      <c r="D433" s="1" t="s">
        <v>2</v>
      </c>
      <c r="E433" s="59" t="s">
        <v>18</v>
      </c>
      <c r="F433" s="60">
        <v>0.925399999999999</v>
      </c>
      <c r="G433" s="60">
        <v>0.12264110240861301</v>
      </c>
      <c r="H433" s="61">
        <v>0.94937499999999897</v>
      </c>
      <c r="I433" s="63">
        <v>1.27</v>
      </c>
      <c r="J433" s="58">
        <v>0.32062500000000105</v>
      </c>
      <c r="K433" s="58">
        <v>33.772218564845438</v>
      </c>
      <c r="L433" s="1" t="s">
        <v>23</v>
      </c>
      <c r="M433" s="1">
        <v>3</v>
      </c>
    </row>
    <row r="434" spans="1:13" x14ac:dyDescent="0.3">
      <c r="A434">
        <v>10</v>
      </c>
      <c r="B434">
        <v>1</v>
      </c>
      <c r="C434" t="s">
        <v>78</v>
      </c>
      <c r="D434" s="1" t="s">
        <v>2</v>
      </c>
      <c r="E434" s="59" t="s">
        <v>19</v>
      </c>
      <c r="F434" s="60">
        <v>1.341</v>
      </c>
      <c r="G434" s="60">
        <v>0.16434415109762801</v>
      </c>
      <c r="H434" s="61">
        <v>1.3642857142857101</v>
      </c>
      <c r="I434" s="63">
        <v>1.64</v>
      </c>
      <c r="J434" s="58">
        <v>0.2757142857142898</v>
      </c>
      <c r="K434" s="58">
        <v>20.209424083769996</v>
      </c>
      <c r="L434" s="1" t="s">
        <v>23</v>
      </c>
      <c r="M434" s="1">
        <v>3</v>
      </c>
    </row>
    <row r="435" spans="1:13" x14ac:dyDescent="0.3">
      <c r="A435">
        <v>10</v>
      </c>
      <c r="B435">
        <v>1</v>
      </c>
      <c r="C435" t="s">
        <v>78</v>
      </c>
      <c r="D435" s="1" t="s">
        <v>2</v>
      </c>
      <c r="E435" s="59" t="s">
        <v>12</v>
      </c>
      <c r="F435" s="60"/>
      <c r="G435" s="60"/>
      <c r="H435" s="61"/>
      <c r="I435" s="63"/>
      <c r="J435" s="58"/>
      <c r="K435" s="58"/>
      <c r="L435" s="1" t="s">
        <v>68</v>
      </c>
      <c r="M435" s="1">
        <v>3</v>
      </c>
    </row>
    <row r="436" spans="1:13" x14ac:dyDescent="0.3">
      <c r="A436">
        <v>10</v>
      </c>
      <c r="B436">
        <v>1</v>
      </c>
      <c r="C436" t="s">
        <v>78</v>
      </c>
      <c r="D436" s="1" t="s">
        <v>2</v>
      </c>
      <c r="E436" s="59" t="s">
        <v>13</v>
      </c>
      <c r="F436" s="60">
        <v>2.2791999999999901</v>
      </c>
      <c r="G436" s="60">
        <v>0.25226050027699498</v>
      </c>
      <c r="H436" s="61">
        <v>2.3151020408163201</v>
      </c>
      <c r="I436" s="63">
        <v>2.38</v>
      </c>
      <c r="J436" s="58">
        <v>6.4897959183679799E-2</v>
      </c>
      <c r="K436" s="58">
        <v>2.8032440056420302</v>
      </c>
      <c r="L436" s="1" t="s">
        <v>68</v>
      </c>
      <c r="M436" s="1">
        <v>3</v>
      </c>
    </row>
    <row r="437" spans="1:13" x14ac:dyDescent="0.3">
      <c r="A437">
        <v>10</v>
      </c>
      <c r="B437">
        <v>1</v>
      </c>
      <c r="C437" t="s">
        <v>78</v>
      </c>
      <c r="D437" s="1" t="s">
        <v>2</v>
      </c>
      <c r="E437" s="59" t="s">
        <v>14</v>
      </c>
      <c r="F437" s="60">
        <v>3.89759999999999</v>
      </c>
      <c r="G437" s="60">
        <v>0.37968176147926802</v>
      </c>
      <c r="H437" s="61">
        <v>3.9785106382978701</v>
      </c>
      <c r="I437" s="63">
        <v>3.96</v>
      </c>
      <c r="J437" s="58">
        <v>-1.8510638297870141E-2</v>
      </c>
      <c r="K437" s="58">
        <v>-0.46526552222038459</v>
      </c>
      <c r="L437" s="1" t="s">
        <v>68</v>
      </c>
      <c r="M437" s="1">
        <v>3</v>
      </c>
    </row>
    <row r="438" spans="1:13" x14ac:dyDescent="0.3">
      <c r="A438">
        <v>10</v>
      </c>
      <c r="B438">
        <v>1</v>
      </c>
      <c r="C438" t="s">
        <v>78</v>
      </c>
      <c r="D438" s="1" t="s">
        <v>2</v>
      </c>
      <c r="E438" s="59" t="s">
        <v>15</v>
      </c>
      <c r="F438" s="60">
        <v>3.6763999999999899</v>
      </c>
      <c r="G438" s="60">
        <v>0.461435846028459</v>
      </c>
      <c r="H438" s="61">
        <v>3.7422448979591798</v>
      </c>
      <c r="I438" s="63">
        <v>3.68</v>
      </c>
      <c r="J438" s="58">
        <v>-6.2244897959179646E-2</v>
      </c>
      <c r="K438" s="58">
        <v>-1.6633037028956785</v>
      </c>
      <c r="L438" s="1" t="s">
        <v>68</v>
      </c>
      <c r="M438" s="1">
        <v>3</v>
      </c>
    </row>
    <row r="439" spans="1:13" x14ac:dyDescent="0.3">
      <c r="A439">
        <v>10</v>
      </c>
      <c r="B439">
        <v>1</v>
      </c>
      <c r="C439" t="s">
        <v>78</v>
      </c>
      <c r="D439" s="1" t="s">
        <v>2</v>
      </c>
      <c r="E439" s="59" t="s">
        <v>16</v>
      </c>
      <c r="F439" s="60">
        <v>2.06612244897959</v>
      </c>
      <c r="G439" s="60">
        <v>0.22270889140842501</v>
      </c>
      <c r="H439" s="61">
        <v>2.0981249999999898</v>
      </c>
      <c r="I439" s="63">
        <v>2.14</v>
      </c>
      <c r="J439" s="58">
        <v>4.1875000000010321E-2</v>
      </c>
      <c r="K439" s="58">
        <v>1.9958296097711301</v>
      </c>
      <c r="L439" s="1" t="s">
        <v>68</v>
      </c>
      <c r="M439" s="1">
        <v>3</v>
      </c>
    </row>
    <row r="440" spans="1:13" x14ac:dyDescent="0.3">
      <c r="A440">
        <v>10</v>
      </c>
      <c r="B440">
        <v>1</v>
      </c>
      <c r="C440" t="s">
        <v>78</v>
      </c>
      <c r="D440" s="1" t="s">
        <v>2</v>
      </c>
      <c r="E440" s="59" t="s">
        <v>17</v>
      </c>
      <c r="F440" s="60">
        <v>4.1317777777777698</v>
      </c>
      <c r="G440" s="60">
        <v>0.62484589705120697</v>
      </c>
      <c r="H440" s="61">
        <v>4.2249999999999996</v>
      </c>
      <c r="I440" s="63">
        <v>4.1100000000000003</v>
      </c>
      <c r="J440" s="58">
        <v>-0.11499999999999932</v>
      </c>
      <c r="K440" s="58">
        <v>-2.7218934911242445</v>
      </c>
      <c r="L440" s="1" t="s">
        <v>68</v>
      </c>
      <c r="M440" s="1">
        <v>3</v>
      </c>
    </row>
    <row r="441" spans="1:13" x14ac:dyDescent="0.3">
      <c r="A441">
        <v>10</v>
      </c>
      <c r="B441">
        <v>1</v>
      </c>
      <c r="C441" t="s">
        <v>78</v>
      </c>
      <c r="D441" s="1" t="s">
        <v>2</v>
      </c>
      <c r="E441" s="59" t="s">
        <v>18</v>
      </c>
      <c r="F441" s="60">
        <v>0.925399999999999</v>
      </c>
      <c r="G441" s="60">
        <v>0.12264110240861301</v>
      </c>
      <c r="H441" s="61">
        <v>0.94937499999999897</v>
      </c>
      <c r="I441" s="63">
        <v>1.1399999999999999</v>
      </c>
      <c r="J441" s="58">
        <v>0.19062500000000093</v>
      </c>
      <c r="K441" s="58">
        <v>20.078999341672272</v>
      </c>
      <c r="L441" s="1" t="s">
        <v>68</v>
      </c>
      <c r="M441" s="1">
        <v>3</v>
      </c>
    </row>
    <row r="442" spans="1:13" x14ac:dyDescent="0.3">
      <c r="A442">
        <v>10</v>
      </c>
      <c r="B442">
        <v>1</v>
      </c>
      <c r="C442" t="s">
        <v>78</v>
      </c>
      <c r="D442" s="1" t="s">
        <v>2</v>
      </c>
      <c r="E442" s="59" t="s">
        <v>19</v>
      </c>
      <c r="F442" s="60">
        <v>1.341</v>
      </c>
      <c r="G442" s="60">
        <v>0.16434415109762801</v>
      </c>
      <c r="H442" s="61">
        <v>1.3642857142857101</v>
      </c>
      <c r="I442" s="63">
        <v>1.5</v>
      </c>
      <c r="J442" s="58">
        <v>0.1357142857142899</v>
      </c>
      <c r="K442" s="58">
        <v>9.9476439790579274</v>
      </c>
      <c r="L442" s="1" t="s">
        <v>68</v>
      </c>
      <c r="M442" s="1">
        <v>3</v>
      </c>
    </row>
    <row r="443" spans="1:13" x14ac:dyDescent="0.3">
      <c r="A443">
        <v>10</v>
      </c>
      <c r="B443">
        <v>1</v>
      </c>
      <c r="C443" t="s">
        <v>78</v>
      </c>
      <c r="D443" s="1" t="s">
        <v>2</v>
      </c>
      <c r="E443" s="59" t="s">
        <v>12</v>
      </c>
      <c r="F443" s="60"/>
      <c r="G443" s="60"/>
      <c r="H443" s="61"/>
      <c r="I443" s="63"/>
      <c r="J443" s="58"/>
      <c r="K443" s="58"/>
      <c r="L443" s="1" t="s">
        <v>69</v>
      </c>
      <c r="M443" s="1">
        <v>3</v>
      </c>
    </row>
    <row r="444" spans="1:13" x14ac:dyDescent="0.3">
      <c r="A444">
        <v>10</v>
      </c>
      <c r="B444">
        <v>1</v>
      </c>
      <c r="C444" t="s">
        <v>78</v>
      </c>
      <c r="D444" s="1" t="s">
        <v>2</v>
      </c>
      <c r="E444" s="59" t="s">
        <v>13</v>
      </c>
      <c r="F444" s="60">
        <v>2.2791999999999901</v>
      </c>
      <c r="G444" s="60">
        <v>0.25226050027699498</v>
      </c>
      <c r="H444" s="61">
        <v>2.3151020408163201</v>
      </c>
      <c r="I444" s="63">
        <v>2.44</v>
      </c>
      <c r="J444" s="58">
        <v>0.12489795918367985</v>
      </c>
      <c r="K444" s="58">
        <v>5.3949224259523358</v>
      </c>
      <c r="L444" s="1" t="s">
        <v>69</v>
      </c>
      <c r="M444" s="1">
        <v>3</v>
      </c>
    </row>
    <row r="445" spans="1:13" x14ac:dyDescent="0.3">
      <c r="A445">
        <v>10</v>
      </c>
      <c r="B445">
        <v>1</v>
      </c>
      <c r="C445" t="s">
        <v>78</v>
      </c>
      <c r="D445" s="1" t="s">
        <v>2</v>
      </c>
      <c r="E445" s="59" t="s">
        <v>14</v>
      </c>
      <c r="F445" s="60">
        <v>3.89759999999999</v>
      </c>
      <c r="G445" s="60">
        <v>0.37968176147926802</v>
      </c>
      <c r="H445" s="61">
        <v>3.9785106382978701</v>
      </c>
      <c r="I445" s="63">
        <v>3.99</v>
      </c>
      <c r="J445" s="58">
        <v>1.1489361702130108E-2</v>
      </c>
      <c r="K445" s="58">
        <v>0.28878549655067937</v>
      </c>
      <c r="L445" s="1" t="s">
        <v>69</v>
      </c>
      <c r="M445" s="1">
        <v>3</v>
      </c>
    </row>
    <row r="446" spans="1:13" x14ac:dyDescent="0.3">
      <c r="A446">
        <v>10</v>
      </c>
      <c r="B446">
        <v>1</v>
      </c>
      <c r="C446" t="s">
        <v>78</v>
      </c>
      <c r="D446" s="1" t="s">
        <v>2</v>
      </c>
      <c r="E446" s="59" t="s">
        <v>15</v>
      </c>
      <c r="F446" s="60">
        <v>3.6763999999999899</v>
      </c>
      <c r="G446" s="60">
        <v>0.461435846028459</v>
      </c>
      <c r="H446" s="61">
        <v>3.7422448979591798</v>
      </c>
      <c r="I446" s="63">
        <v>3.75</v>
      </c>
      <c r="J446" s="58">
        <v>7.7551020408201943E-3</v>
      </c>
      <c r="K446" s="58">
        <v>0.20723128101662755</v>
      </c>
      <c r="L446" s="1" t="s">
        <v>69</v>
      </c>
      <c r="M446" s="1">
        <v>3</v>
      </c>
    </row>
    <row r="447" spans="1:13" x14ac:dyDescent="0.3">
      <c r="A447">
        <v>10</v>
      </c>
      <c r="B447">
        <v>1</v>
      </c>
      <c r="C447" t="s">
        <v>78</v>
      </c>
      <c r="D447" s="1" t="s">
        <v>2</v>
      </c>
      <c r="E447" s="59" t="s">
        <v>16</v>
      </c>
      <c r="F447" s="60">
        <v>2.06612244897959</v>
      </c>
      <c r="G447" s="60">
        <v>0.22270889140842501</v>
      </c>
      <c r="H447" s="61">
        <v>2.0981249999999898</v>
      </c>
      <c r="I447" s="63">
        <v>2.2000000000000002</v>
      </c>
      <c r="J447" s="58">
        <v>0.10187500000001037</v>
      </c>
      <c r="K447" s="58">
        <v>4.8555257670544352</v>
      </c>
      <c r="L447" s="1" t="s">
        <v>69</v>
      </c>
      <c r="M447" s="1">
        <v>3</v>
      </c>
    </row>
    <row r="448" spans="1:13" x14ac:dyDescent="0.3">
      <c r="A448">
        <v>10</v>
      </c>
      <c r="B448">
        <v>1</v>
      </c>
      <c r="C448" t="s">
        <v>78</v>
      </c>
      <c r="D448" s="1" t="s">
        <v>2</v>
      </c>
      <c r="E448" s="59" t="s">
        <v>17</v>
      </c>
      <c r="F448" s="60">
        <v>4.1317777777777698</v>
      </c>
      <c r="G448" s="60">
        <v>0.62484589705120697</v>
      </c>
      <c r="H448" s="61">
        <v>4.2249999999999996</v>
      </c>
      <c r="I448" s="63">
        <v>4.25</v>
      </c>
      <c r="J448" s="58">
        <v>2.5000000000000355E-2</v>
      </c>
      <c r="K448" s="58">
        <v>0.59171597633136941</v>
      </c>
      <c r="L448" s="1" t="s">
        <v>69</v>
      </c>
      <c r="M448" s="1">
        <v>3</v>
      </c>
    </row>
    <row r="449" spans="1:13" x14ac:dyDescent="0.3">
      <c r="A449">
        <v>10</v>
      </c>
      <c r="B449">
        <v>1</v>
      </c>
      <c r="C449" t="s">
        <v>78</v>
      </c>
      <c r="D449" s="1" t="s">
        <v>2</v>
      </c>
      <c r="E449" s="59" t="s">
        <v>18</v>
      </c>
      <c r="F449" s="60">
        <v>0.925399999999999</v>
      </c>
      <c r="G449" s="60">
        <v>0.12264110240861301</v>
      </c>
      <c r="H449" s="61">
        <v>0.94937499999999897</v>
      </c>
      <c r="I449" s="63">
        <v>1.1599999999999999</v>
      </c>
      <c r="J449" s="58">
        <v>0.21062500000000095</v>
      </c>
      <c r="K449" s="58">
        <v>22.185648452929684</v>
      </c>
      <c r="L449" s="1" t="s">
        <v>69</v>
      </c>
      <c r="M449" s="1">
        <v>3</v>
      </c>
    </row>
    <row r="450" spans="1:13" x14ac:dyDescent="0.3">
      <c r="A450">
        <v>10</v>
      </c>
      <c r="B450">
        <v>1</v>
      </c>
      <c r="C450" t="s">
        <v>78</v>
      </c>
      <c r="D450" s="1" t="s">
        <v>2</v>
      </c>
      <c r="E450" s="59" t="s">
        <v>19</v>
      </c>
      <c r="F450" s="60">
        <v>1.341</v>
      </c>
      <c r="G450" s="60">
        <v>0.16434415109762801</v>
      </c>
      <c r="H450" s="61">
        <v>1.3642857142857101</v>
      </c>
      <c r="I450" s="63">
        <v>1.51</v>
      </c>
      <c r="J450" s="58">
        <v>0.1457142857142899</v>
      </c>
      <c r="K450" s="58">
        <v>10.680628272251649</v>
      </c>
      <c r="L450" s="1" t="s">
        <v>69</v>
      </c>
      <c r="M450" s="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8A4F-2239-4620-AB15-2138F60F613F}">
  <dimension ref="A1:M225"/>
  <sheetViews>
    <sheetView topLeftCell="A205" workbookViewId="0">
      <selection activeCell="F230" sqref="F230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78</v>
      </c>
      <c r="D2" s="1" t="s">
        <v>2</v>
      </c>
      <c r="E2" s="59" t="s">
        <v>12</v>
      </c>
      <c r="F2" s="60">
        <v>2.8821999999999997</v>
      </c>
      <c r="G2" s="60">
        <v>0.479631193348239</v>
      </c>
      <c r="H2" s="61">
        <v>3.0019565217391304</v>
      </c>
      <c r="I2" s="62">
        <v>3.04</v>
      </c>
      <c r="J2" s="37">
        <v>3.8043478260869623E-2</v>
      </c>
      <c r="K2" s="37">
        <v>1.267289448910133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78</v>
      </c>
      <c r="D3" s="1" t="s">
        <v>2</v>
      </c>
      <c r="E3" s="59" t="s">
        <v>13</v>
      </c>
      <c r="F3" s="60">
        <v>4.2893749999999988</v>
      </c>
      <c r="G3" s="60">
        <v>0.54140638863942103</v>
      </c>
      <c r="H3" s="61">
        <v>4.3963043478260859</v>
      </c>
      <c r="I3" s="62">
        <v>4.01</v>
      </c>
      <c r="J3" s="37">
        <v>-0.38630434782608614</v>
      </c>
      <c r="K3" s="37">
        <v>-8.7870246748751253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78</v>
      </c>
      <c r="D4" s="1" t="s">
        <v>2</v>
      </c>
      <c r="E4" s="59" t="s">
        <v>14</v>
      </c>
      <c r="F4" s="60">
        <v>5.1958000000000002</v>
      </c>
      <c r="G4" s="60">
        <v>0.46422676548850378</v>
      </c>
      <c r="H4" s="61">
        <v>5.2955319148936173</v>
      </c>
      <c r="I4" s="62">
        <v>5.24</v>
      </c>
      <c r="J4" s="37">
        <v>-5.5531914893617085E-2</v>
      </c>
      <c r="K4" s="37">
        <v>-1.0486560327855692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78</v>
      </c>
      <c r="D5" s="1" t="s">
        <v>2</v>
      </c>
      <c r="E5" s="59" t="s">
        <v>15</v>
      </c>
      <c r="F5" s="60">
        <v>4.9467346938775512</v>
      </c>
      <c r="G5" s="60">
        <v>1.3693328481342966</v>
      </c>
      <c r="H5" s="61">
        <v>5.3624999999999998</v>
      </c>
      <c r="I5" s="62">
        <v>5.77</v>
      </c>
      <c r="J5" s="37">
        <v>0.40749999999999975</v>
      </c>
      <c r="K5" s="37">
        <v>7.5990675990675953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78</v>
      </c>
      <c r="D6" s="1" t="s">
        <v>2</v>
      </c>
      <c r="E6" s="59" t="s">
        <v>16</v>
      </c>
      <c r="F6" s="60">
        <v>4.0396000000000019</v>
      </c>
      <c r="G6" s="60">
        <v>0.81081707340842502</v>
      </c>
      <c r="H6" s="61">
        <v>4.3236363636363642</v>
      </c>
      <c r="I6" s="62">
        <v>4.1900000000000004</v>
      </c>
      <c r="J6" s="37">
        <v>-0.13363636363636378</v>
      </c>
      <c r="K6" s="37">
        <v>-3.0908326324642585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78</v>
      </c>
      <c r="D7" s="1" t="s">
        <v>2</v>
      </c>
      <c r="E7" s="59" t="s">
        <v>17</v>
      </c>
      <c r="F7" s="60">
        <v>4.5356000000000014</v>
      </c>
      <c r="G7" s="60">
        <v>0.90124666491498961</v>
      </c>
      <c r="H7" s="61">
        <v>4.807333333333335</v>
      </c>
      <c r="I7" s="62">
        <v>4.38</v>
      </c>
      <c r="J7" s="37">
        <v>-0.42733333333333512</v>
      </c>
      <c r="K7" s="37">
        <v>-8.8891970600471844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78</v>
      </c>
      <c r="D8" s="1" t="s">
        <v>2</v>
      </c>
      <c r="E8" s="59" t="s">
        <v>18</v>
      </c>
      <c r="F8" s="60">
        <v>1.7265999999999997</v>
      </c>
      <c r="G8" s="60">
        <v>0.22157700094310825</v>
      </c>
      <c r="H8" s="61">
        <v>1.7577551020408162</v>
      </c>
      <c r="I8" s="62">
        <v>1.55</v>
      </c>
      <c r="J8" s="37">
        <v>-0.20775510204081615</v>
      </c>
      <c r="K8" s="37">
        <v>-11.819342853825605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78</v>
      </c>
      <c r="D9" s="1" t="s">
        <v>2</v>
      </c>
      <c r="E9" s="59" t="s">
        <v>19</v>
      </c>
      <c r="F9" s="60">
        <v>2.2914000000000003</v>
      </c>
      <c r="G9" s="60">
        <v>0.29508220923004014</v>
      </c>
      <c r="H9" s="61">
        <v>2.2547727272727278</v>
      </c>
      <c r="I9" s="62">
        <v>2.41</v>
      </c>
      <c r="J9" s="37">
        <v>0.15522727272727233</v>
      </c>
      <c r="K9" s="37">
        <v>6.8843866545710926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78</v>
      </c>
      <c r="D10" s="1" t="s">
        <v>2</v>
      </c>
      <c r="E10" s="59" t="s">
        <v>12</v>
      </c>
      <c r="F10" s="60">
        <v>2.8821999999999997</v>
      </c>
      <c r="G10" s="60">
        <v>0.479631193348239</v>
      </c>
      <c r="H10" s="61">
        <v>3.0019565217391304</v>
      </c>
      <c r="I10" s="62">
        <v>2.99</v>
      </c>
      <c r="J10" s="37">
        <v>-1.1956521739130199E-2</v>
      </c>
      <c r="K10" s="37">
        <v>-0.39829096965746191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78</v>
      </c>
      <c r="D11" s="1" t="s">
        <v>2</v>
      </c>
      <c r="E11" s="59" t="s">
        <v>13</v>
      </c>
      <c r="F11" s="60">
        <v>4.2893749999999988</v>
      </c>
      <c r="G11" s="60">
        <v>0.54140638863942103</v>
      </c>
      <c r="H11" s="61">
        <v>4.3963043478260859</v>
      </c>
      <c r="I11" s="62">
        <v>4.18</v>
      </c>
      <c r="J11" s="37">
        <v>-0.21630434782608621</v>
      </c>
      <c r="K11" s="37">
        <v>-4.9201404341591104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78</v>
      </c>
      <c r="D12" s="1" t="s">
        <v>2</v>
      </c>
      <c r="E12" s="59" t="s">
        <v>14</v>
      </c>
      <c r="F12" s="60">
        <v>5.1958000000000002</v>
      </c>
      <c r="G12" s="60">
        <v>0.46422676548850378</v>
      </c>
      <c r="H12" s="61">
        <v>5.2955319148936173</v>
      </c>
      <c r="I12" s="62">
        <v>5.28</v>
      </c>
      <c r="J12" s="37">
        <v>-1.5531914893617049E-2</v>
      </c>
      <c r="K12" s="37">
        <v>-0.29330226204347354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78</v>
      </c>
      <c r="D13" s="1" t="s">
        <v>2</v>
      </c>
      <c r="E13" s="59" t="s">
        <v>15</v>
      </c>
      <c r="F13" s="60">
        <v>4.9467346938775512</v>
      </c>
      <c r="G13" s="60">
        <v>1.3693328481342966</v>
      </c>
      <c r="H13" s="61">
        <v>5.3624999999999998</v>
      </c>
      <c r="I13" s="62">
        <v>5.69</v>
      </c>
      <c r="J13" s="37">
        <v>0.32750000000000057</v>
      </c>
      <c r="K13" s="37">
        <v>6.1072261072261176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78</v>
      </c>
      <c r="D14" s="1" t="s">
        <v>2</v>
      </c>
      <c r="E14" s="59" t="s">
        <v>16</v>
      </c>
      <c r="F14" s="60">
        <v>4.0396000000000019</v>
      </c>
      <c r="G14" s="60">
        <v>0.81081707340842502</v>
      </c>
      <c r="H14" s="61">
        <v>4.3236363636363642</v>
      </c>
      <c r="I14" s="62">
        <v>4.22</v>
      </c>
      <c r="J14" s="37">
        <v>-0.10363636363636441</v>
      </c>
      <c r="K14" s="37">
        <v>-2.3969722455845428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78</v>
      </c>
      <c r="D15" s="1" t="s">
        <v>2</v>
      </c>
      <c r="E15" s="59" t="s">
        <v>17</v>
      </c>
      <c r="F15" s="60">
        <v>4.5356000000000014</v>
      </c>
      <c r="G15" s="60">
        <v>0.90124666491498961</v>
      </c>
      <c r="H15" s="61">
        <v>4.807333333333335</v>
      </c>
      <c r="I15" s="62">
        <v>4.3899999999999997</v>
      </c>
      <c r="J15" s="37">
        <v>-0.41733333333333533</v>
      </c>
      <c r="K15" s="37">
        <v>-8.6811815282208116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78</v>
      </c>
      <c r="D16" s="1" t="s">
        <v>2</v>
      </c>
      <c r="E16" s="59" t="s">
        <v>18</v>
      </c>
      <c r="F16" s="60">
        <v>1.7265999999999997</v>
      </c>
      <c r="G16" s="60">
        <v>0.22157700094310825</v>
      </c>
      <c r="H16" s="61">
        <v>1.7577551020408162</v>
      </c>
      <c r="I16" s="62">
        <v>1.62</v>
      </c>
      <c r="J16" s="37">
        <v>-0.13775510204081609</v>
      </c>
      <c r="K16" s="37">
        <v>-7.8369905956112724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78</v>
      </c>
      <c r="D17" s="1" t="s">
        <v>2</v>
      </c>
      <c r="E17" s="59" t="s">
        <v>19</v>
      </c>
      <c r="F17" s="60">
        <v>2.2914000000000003</v>
      </c>
      <c r="G17" s="60">
        <v>0.29508220923004014</v>
      </c>
      <c r="H17" s="61">
        <v>2.2547727272727278</v>
      </c>
      <c r="I17" s="62">
        <v>2.44</v>
      </c>
      <c r="J17" s="37">
        <v>0.18522727272727213</v>
      </c>
      <c r="K17" s="37">
        <v>8.2148976917649144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78</v>
      </c>
      <c r="D18" s="1" t="s">
        <v>2</v>
      </c>
      <c r="E18" s="59" t="s">
        <v>12</v>
      </c>
      <c r="F18" s="60">
        <v>2.8821999999999997</v>
      </c>
      <c r="G18" s="60">
        <v>0.479631193348239</v>
      </c>
      <c r="H18" s="61">
        <v>3.0019565217391304</v>
      </c>
      <c r="I18" s="62">
        <v>2.99</v>
      </c>
      <c r="J18" s="37">
        <v>-1.1956521739130199E-2</v>
      </c>
      <c r="K18" s="37">
        <v>-0.39829096965746191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78</v>
      </c>
      <c r="D19" s="1" t="s">
        <v>2</v>
      </c>
      <c r="E19" s="59" t="s">
        <v>13</v>
      </c>
      <c r="F19" s="60">
        <v>4.2893749999999988</v>
      </c>
      <c r="G19" s="60">
        <v>0.54140638863942103</v>
      </c>
      <c r="H19" s="61">
        <v>4.3963043478260859</v>
      </c>
      <c r="I19" s="62">
        <v>4.1900000000000004</v>
      </c>
      <c r="J19" s="37">
        <v>-0.20630434782608553</v>
      </c>
      <c r="K19" s="37">
        <v>-4.6926766552934467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78</v>
      </c>
      <c r="D20" s="1" t="s">
        <v>2</v>
      </c>
      <c r="E20" s="59" t="s">
        <v>14</v>
      </c>
      <c r="F20" s="60">
        <v>5.1958000000000002</v>
      </c>
      <c r="G20" s="60">
        <v>0.46422676548850378</v>
      </c>
      <c r="H20" s="61">
        <v>5.2955319148936173</v>
      </c>
      <c r="I20" s="62">
        <v>5.3</v>
      </c>
      <c r="J20" s="37">
        <v>4.4680851063825244E-3</v>
      </c>
      <c r="K20" s="37">
        <v>8.4374623327565845E-2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78</v>
      </c>
      <c r="D21" s="1" t="s">
        <v>2</v>
      </c>
      <c r="E21" s="59" t="s">
        <v>15</v>
      </c>
      <c r="F21" s="60">
        <v>4.9467346938775512</v>
      </c>
      <c r="G21" s="60">
        <v>1.3693328481342966</v>
      </c>
      <c r="H21" s="61">
        <v>5.3624999999999998</v>
      </c>
      <c r="I21" s="62">
        <v>5.73</v>
      </c>
      <c r="J21" s="37">
        <v>0.3675000000000006</v>
      </c>
      <c r="K21" s="37">
        <v>6.8531468531468649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78</v>
      </c>
      <c r="D22" s="1" t="s">
        <v>2</v>
      </c>
      <c r="E22" s="59" t="s">
        <v>16</v>
      </c>
      <c r="F22" s="60">
        <v>4.0396000000000019</v>
      </c>
      <c r="G22" s="60">
        <v>0.81081707340842502</v>
      </c>
      <c r="H22" s="61">
        <v>4.3236363636363642</v>
      </c>
      <c r="I22" s="62">
        <v>4.24</v>
      </c>
      <c r="J22" s="37">
        <v>-8.3636363636363953E-2</v>
      </c>
      <c r="K22" s="37">
        <v>-1.934398654331378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78</v>
      </c>
      <c r="D23" s="1" t="s">
        <v>2</v>
      </c>
      <c r="E23" s="59" t="s">
        <v>17</v>
      </c>
      <c r="F23" s="60">
        <v>4.5356000000000014</v>
      </c>
      <c r="G23" s="60">
        <v>0.90124666491498961</v>
      </c>
      <c r="H23" s="61">
        <v>4.807333333333335</v>
      </c>
      <c r="I23" s="62">
        <v>4.45</v>
      </c>
      <c r="J23" s="37">
        <v>-0.35733333333333483</v>
      </c>
      <c r="K23" s="37">
        <v>-7.4330883372625447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78</v>
      </c>
      <c r="D24" s="1" t="s">
        <v>2</v>
      </c>
      <c r="E24" s="59" t="s">
        <v>18</v>
      </c>
      <c r="F24" s="60">
        <v>1.7265999999999997</v>
      </c>
      <c r="G24" s="60">
        <v>0.22157700094310825</v>
      </c>
      <c r="H24" s="61">
        <v>1.7577551020408162</v>
      </c>
      <c r="I24" s="62">
        <v>1.61</v>
      </c>
      <c r="J24" s="37">
        <v>-0.1477551020408161</v>
      </c>
      <c r="K24" s="37">
        <v>-8.405898061070463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78</v>
      </c>
      <c r="D25" s="1" t="s">
        <v>2</v>
      </c>
      <c r="E25" s="59" t="s">
        <v>19</v>
      </c>
      <c r="F25" s="60">
        <v>2.2914000000000003</v>
      </c>
      <c r="G25" s="60">
        <v>0.29508220923004014</v>
      </c>
      <c r="H25" s="61">
        <v>2.2547727272727278</v>
      </c>
      <c r="I25" s="62">
        <v>2.42</v>
      </c>
      <c r="J25" s="37">
        <v>0.16522727272727211</v>
      </c>
      <c r="K25" s="37">
        <v>7.3278903336356933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78</v>
      </c>
      <c r="D27" s="1" t="s">
        <v>2</v>
      </c>
      <c r="E27" s="59" t="s">
        <v>12</v>
      </c>
      <c r="F27" s="60">
        <v>2.8634090909090899</v>
      </c>
      <c r="G27" s="60">
        <v>0.60566621163587697</v>
      </c>
      <c r="H27" s="61">
        <v>2.99547619047619</v>
      </c>
      <c r="I27" s="62">
        <v>3.04</v>
      </c>
      <c r="J27" s="37">
        <v>4.4523809523810076E-2</v>
      </c>
      <c r="K27" s="37">
        <v>1.4863683332008772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78</v>
      </c>
      <c r="D28" s="1" t="s">
        <v>2</v>
      </c>
      <c r="E28" s="59" t="s">
        <v>13</v>
      </c>
      <c r="F28" s="60">
        <v>4.3536585365853604</v>
      </c>
      <c r="G28" s="60">
        <v>0.21854012410026799</v>
      </c>
      <c r="H28" s="61">
        <v>4.3879999999999901</v>
      </c>
      <c r="I28" s="62">
        <v>4.01</v>
      </c>
      <c r="J28" s="37">
        <v>-0.37799999999999034</v>
      </c>
      <c r="K28" s="37">
        <v>-8.6144029170462897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78</v>
      </c>
      <c r="D29" s="1" t="s">
        <v>2</v>
      </c>
      <c r="E29" s="59" t="s">
        <v>14</v>
      </c>
      <c r="F29" s="60">
        <v>5.00590909090909</v>
      </c>
      <c r="G29" s="60">
        <v>0.98869362425608198</v>
      </c>
      <c r="H29" s="61">
        <v>5.2568292682926803</v>
      </c>
      <c r="I29" s="62">
        <v>5.24</v>
      </c>
      <c r="J29" s="37">
        <v>-1.6829268292680055E-2</v>
      </c>
      <c r="K29" s="37">
        <v>-0.32014104764992468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78</v>
      </c>
      <c r="D30" s="1" t="s">
        <v>2</v>
      </c>
      <c r="E30" s="59" t="s">
        <v>15</v>
      </c>
      <c r="F30" s="60">
        <v>4.9744444444444396</v>
      </c>
      <c r="G30" s="60">
        <v>1.36680252260612</v>
      </c>
      <c r="H30" s="61">
        <v>5.4114999999999904</v>
      </c>
      <c r="I30" s="62">
        <v>5.77</v>
      </c>
      <c r="J30" s="37">
        <v>0.35850000000000914</v>
      </c>
      <c r="K30" s="37">
        <v>6.6247805599188716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78</v>
      </c>
      <c r="D31" s="1" t="s">
        <v>2</v>
      </c>
      <c r="E31" s="59" t="s">
        <v>16</v>
      </c>
      <c r="F31" s="60">
        <v>4.0955555555555501</v>
      </c>
      <c r="G31" s="60">
        <v>0.760405025278723</v>
      </c>
      <c r="H31" s="61">
        <v>4.3095121951219504</v>
      </c>
      <c r="I31" s="62">
        <v>4.1900000000000004</v>
      </c>
      <c r="J31" s="37">
        <v>-0.11951219512194999</v>
      </c>
      <c r="K31" s="37">
        <v>-2.773218631501472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78</v>
      </c>
      <c r="D32" s="1" t="s">
        <v>2</v>
      </c>
      <c r="E32" s="59" t="s">
        <v>17</v>
      </c>
      <c r="F32" s="60">
        <v>4.3077777777777699</v>
      </c>
      <c r="G32" s="60">
        <v>1.02988648541453</v>
      </c>
      <c r="H32" s="61">
        <v>4.6574358974358896</v>
      </c>
      <c r="I32" s="62">
        <v>4.38</v>
      </c>
      <c r="J32" s="37">
        <v>-0.2774358974358897</v>
      </c>
      <c r="K32" s="37">
        <v>-5.9568377009467719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78</v>
      </c>
      <c r="D33" s="1" t="s">
        <v>2</v>
      </c>
      <c r="E33" s="59" t="s">
        <v>18</v>
      </c>
      <c r="F33" s="60">
        <v>1.75325581395348</v>
      </c>
      <c r="G33" s="60">
        <v>2.1210016307851801E-2</v>
      </c>
      <c r="H33" s="61">
        <v>1.7515384615384599</v>
      </c>
      <c r="I33" s="62">
        <v>1.55</v>
      </c>
      <c r="J33" s="37">
        <v>-0.20153846153845989</v>
      </c>
      <c r="K33" s="37">
        <v>-11.506368028107076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78</v>
      </c>
      <c r="D34" s="1" t="s">
        <v>2</v>
      </c>
      <c r="E34" s="59" t="s">
        <v>19</v>
      </c>
      <c r="F34" s="60">
        <v>2.2702222222222201</v>
      </c>
      <c r="G34" s="60">
        <v>0.48472438394933398</v>
      </c>
      <c r="H34" s="61">
        <v>2.2935135135135098</v>
      </c>
      <c r="I34" s="62">
        <v>2.41</v>
      </c>
      <c r="J34" s="37">
        <v>0.11648648648649029</v>
      </c>
      <c r="K34" s="37">
        <v>5.0789535705870223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78</v>
      </c>
      <c r="D35" s="1" t="s">
        <v>2</v>
      </c>
      <c r="E35" s="59" t="s">
        <v>12</v>
      </c>
      <c r="F35" s="60">
        <v>2.8634090909090899</v>
      </c>
      <c r="G35" s="60">
        <v>0.60566621163587697</v>
      </c>
      <c r="H35" s="61">
        <v>2.99547619047619</v>
      </c>
      <c r="I35" s="62">
        <v>2.99</v>
      </c>
      <c r="J35" s="37">
        <v>-5.4761904761897462E-3</v>
      </c>
      <c r="K35" s="37">
        <v>-0.18281535648992084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78</v>
      </c>
      <c r="D36" s="1" t="s">
        <v>2</v>
      </c>
      <c r="E36" s="59" t="s">
        <v>13</v>
      </c>
      <c r="F36" s="60">
        <v>4.3536585365853604</v>
      </c>
      <c r="G36" s="60">
        <v>0.21854012410026799</v>
      </c>
      <c r="H36" s="61">
        <v>4.3879999999999901</v>
      </c>
      <c r="I36" s="62">
        <v>4.18</v>
      </c>
      <c r="J36" s="37">
        <v>-0.20799999999999041</v>
      </c>
      <c r="K36" s="37">
        <v>-4.7402005469460091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78</v>
      </c>
      <c r="D37" s="1" t="s">
        <v>2</v>
      </c>
      <c r="E37" s="59" t="s">
        <v>14</v>
      </c>
      <c r="F37" s="60">
        <v>5.00590909090909</v>
      </c>
      <c r="G37" s="60">
        <v>0.98869362425608198</v>
      </c>
      <c r="H37" s="61">
        <v>5.2568292682926803</v>
      </c>
      <c r="I37" s="62">
        <v>5.28</v>
      </c>
      <c r="J37" s="37">
        <v>2.317073170731998E-2</v>
      </c>
      <c r="K37" s="37">
        <v>0.44077390618480944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78</v>
      </c>
      <c r="D38" s="1" t="s">
        <v>2</v>
      </c>
      <c r="E38" s="59" t="s">
        <v>15</v>
      </c>
      <c r="F38" s="60">
        <v>4.9744444444444396</v>
      </c>
      <c r="G38" s="60">
        <v>1.36680252260612</v>
      </c>
      <c r="H38" s="61">
        <v>5.4114999999999904</v>
      </c>
      <c r="I38" s="62">
        <v>5.69</v>
      </c>
      <c r="J38" s="37">
        <v>0.27850000000000996</v>
      </c>
      <c r="K38" s="37">
        <v>5.1464473805785911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78</v>
      </c>
      <c r="D39" s="1" t="s">
        <v>2</v>
      </c>
      <c r="E39" s="59" t="s">
        <v>16</v>
      </c>
      <c r="F39" s="60">
        <v>4.0955555555555501</v>
      </c>
      <c r="G39" s="60">
        <v>0.760405025278723</v>
      </c>
      <c r="H39" s="61">
        <v>4.3095121951219504</v>
      </c>
      <c r="I39" s="62">
        <v>4.22</v>
      </c>
      <c r="J39" s="37">
        <v>-8.9512195121950633E-2</v>
      </c>
      <c r="K39" s="37">
        <v>-2.077084158696008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78</v>
      </c>
      <c r="D40" s="1" t="s">
        <v>2</v>
      </c>
      <c r="E40" s="59" t="s">
        <v>17</v>
      </c>
      <c r="F40" s="60">
        <v>4.3077777777777699</v>
      </c>
      <c r="G40" s="60">
        <v>1.02988648541453</v>
      </c>
      <c r="H40" s="61">
        <v>4.6574358974358896</v>
      </c>
      <c r="I40" s="62">
        <v>4.3899999999999997</v>
      </c>
      <c r="J40" s="37">
        <v>-0.26743589743588991</v>
      </c>
      <c r="K40" s="37">
        <v>-5.7421272847388929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78</v>
      </c>
      <c r="D41" s="1" t="s">
        <v>2</v>
      </c>
      <c r="E41" s="59" t="s">
        <v>18</v>
      </c>
      <c r="F41" s="60">
        <v>1.75325581395348</v>
      </c>
      <c r="G41" s="60">
        <v>2.1210016307851801E-2</v>
      </c>
      <c r="H41" s="61">
        <v>1.7515384615384599</v>
      </c>
      <c r="I41" s="62">
        <v>1.62</v>
      </c>
      <c r="J41" s="37">
        <v>-0.13153846153845983</v>
      </c>
      <c r="K41" s="37">
        <v>-7.5098814229248108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78</v>
      </c>
      <c r="D42" s="1" t="s">
        <v>2</v>
      </c>
      <c r="E42" s="59" t="s">
        <v>19</v>
      </c>
      <c r="F42" s="60">
        <v>2.2702222222222201</v>
      </c>
      <c r="G42" s="60">
        <v>0.48472438394933398</v>
      </c>
      <c r="H42" s="61">
        <v>2.2935135135135098</v>
      </c>
      <c r="I42" s="62">
        <v>2.44</v>
      </c>
      <c r="J42" s="37">
        <v>0.1464864864864901</v>
      </c>
      <c r="K42" s="37">
        <v>6.3869903370258569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78</v>
      </c>
      <c r="D43" s="1" t="s">
        <v>2</v>
      </c>
      <c r="E43" s="59" t="s">
        <v>12</v>
      </c>
      <c r="F43" s="60">
        <v>2.8634090909090899</v>
      </c>
      <c r="G43" s="60">
        <v>0.60566621163587697</v>
      </c>
      <c r="H43" s="61">
        <v>2.99547619047619</v>
      </c>
      <c r="I43" s="62">
        <v>2.99</v>
      </c>
      <c r="J43" s="37">
        <v>-5.4761904761897462E-3</v>
      </c>
      <c r="K43" s="37">
        <v>-0.18281535648992084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78</v>
      </c>
      <c r="D44" s="1" t="s">
        <v>2</v>
      </c>
      <c r="E44" s="59" t="s">
        <v>13</v>
      </c>
      <c r="F44" s="60">
        <v>4.3536585365853604</v>
      </c>
      <c r="G44" s="60">
        <v>0.21854012410026799</v>
      </c>
      <c r="H44" s="61">
        <v>4.3879999999999901</v>
      </c>
      <c r="I44" s="62">
        <v>4.1900000000000004</v>
      </c>
      <c r="J44" s="37">
        <v>-0.19799999999998974</v>
      </c>
      <c r="K44" s="37">
        <v>-4.5123062898812707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78</v>
      </c>
      <c r="D45" s="1" t="s">
        <v>2</v>
      </c>
      <c r="E45" s="59" t="s">
        <v>14</v>
      </c>
      <c r="F45" s="60">
        <v>5.00590909090909</v>
      </c>
      <c r="G45" s="60">
        <v>0.98869362425608198</v>
      </c>
      <c r="H45" s="61">
        <v>5.2568292682926803</v>
      </c>
      <c r="I45" s="62">
        <v>5.3</v>
      </c>
      <c r="J45" s="37">
        <v>4.3170731707319554E-2</v>
      </c>
      <c r="K45" s="37">
        <v>0.82123138310216792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78</v>
      </c>
      <c r="D46" s="1" t="s">
        <v>2</v>
      </c>
      <c r="E46" s="59" t="s">
        <v>15</v>
      </c>
      <c r="F46" s="60">
        <v>4.9744444444444396</v>
      </c>
      <c r="G46" s="60">
        <v>1.36680252260612</v>
      </c>
      <c r="H46" s="61">
        <v>5.4114999999999904</v>
      </c>
      <c r="I46" s="62">
        <v>5.73</v>
      </c>
      <c r="J46" s="37">
        <v>0.31850000000001</v>
      </c>
      <c r="K46" s="37">
        <v>5.8856139702487393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78</v>
      </c>
      <c r="D47" s="1" t="s">
        <v>2</v>
      </c>
      <c r="E47" s="59" t="s">
        <v>16</v>
      </c>
      <c r="F47" s="60">
        <v>4.0955555555555501</v>
      </c>
      <c r="G47" s="60">
        <v>0.760405025278723</v>
      </c>
      <c r="H47" s="61">
        <v>4.3095121951219504</v>
      </c>
      <c r="I47" s="62">
        <v>4.24</v>
      </c>
      <c r="J47" s="37">
        <v>-6.9512195121950171E-2</v>
      </c>
      <c r="K47" s="37">
        <v>-1.6129945101590115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78</v>
      </c>
      <c r="D48" s="1" t="s">
        <v>2</v>
      </c>
      <c r="E48" s="59" t="s">
        <v>17</v>
      </c>
      <c r="F48" s="60">
        <v>4.3077777777777699</v>
      </c>
      <c r="G48" s="60">
        <v>1.02988648541453</v>
      </c>
      <c r="H48" s="61">
        <v>4.6574358974358896</v>
      </c>
      <c r="I48" s="62">
        <v>4.45</v>
      </c>
      <c r="J48" s="37">
        <v>-0.20743589743588942</v>
      </c>
      <c r="K48" s="37">
        <v>-4.4538647874915771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78</v>
      </c>
      <c r="D49" s="1" t="s">
        <v>2</v>
      </c>
      <c r="E49" s="59" t="s">
        <v>18</v>
      </c>
      <c r="F49" s="60">
        <v>1.75325581395348</v>
      </c>
      <c r="G49" s="60">
        <v>2.1210016307851801E-2</v>
      </c>
      <c r="H49" s="61">
        <v>1.7515384615384599</v>
      </c>
      <c r="I49" s="62">
        <v>1.61</v>
      </c>
      <c r="J49" s="37">
        <v>-0.14153846153845984</v>
      </c>
      <c r="K49" s="37">
        <v>-8.0808080808079907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78</v>
      </c>
      <c r="D50" s="1" t="s">
        <v>2</v>
      </c>
      <c r="E50" s="59" t="s">
        <v>19</v>
      </c>
      <c r="F50" s="60">
        <v>2.2702222222222201</v>
      </c>
      <c r="G50" s="60">
        <v>0.48472438394933398</v>
      </c>
      <c r="H50" s="61">
        <v>2.2935135135135098</v>
      </c>
      <c r="I50" s="62">
        <v>2.42</v>
      </c>
      <c r="J50" s="37">
        <v>0.12648648648649008</v>
      </c>
      <c r="K50" s="37">
        <v>5.5149658260666277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78</v>
      </c>
      <c r="D52" s="1" t="s">
        <v>2</v>
      </c>
      <c r="E52" s="59" t="s">
        <v>12</v>
      </c>
      <c r="F52" s="60">
        <v>2.9107500000000002</v>
      </c>
      <c r="G52" s="60">
        <v>0.41518903827052001</v>
      </c>
      <c r="H52" s="61">
        <v>2.9973684210526299</v>
      </c>
      <c r="I52" s="63">
        <v>3.04</v>
      </c>
      <c r="J52" s="58">
        <v>4.263157894737013E-2</v>
      </c>
      <c r="K52" s="58">
        <v>1.4223002633889954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78</v>
      </c>
      <c r="D53" s="1" t="s">
        <v>2</v>
      </c>
      <c r="E53" s="59" t="s">
        <v>13</v>
      </c>
      <c r="F53" s="60">
        <v>4.3447058823529403</v>
      </c>
      <c r="G53" s="60">
        <v>0.245323739218652</v>
      </c>
      <c r="H53" s="61">
        <v>4.3872727272727197</v>
      </c>
      <c r="I53" s="63">
        <v>4.01</v>
      </c>
      <c r="J53" s="58">
        <v>-0.37727272727271988</v>
      </c>
      <c r="K53" s="58">
        <v>-8.5992540406131912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78</v>
      </c>
      <c r="D54" s="1" t="s">
        <v>2</v>
      </c>
      <c r="E54" s="59" t="s">
        <v>14</v>
      </c>
      <c r="F54" s="60">
        <v>5.3002500000000001</v>
      </c>
      <c r="G54" s="60">
        <v>2.1152718501412499E-2</v>
      </c>
      <c r="H54" s="61">
        <v>5.2975757575757498</v>
      </c>
      <c r="I54" s="63">
        <v>5.24</v>
      </c>
      <c r="J54" s="58">
        <v>-5.757575757574962E-2</v>
      </c>
      <c r="K54" s="58">
        <v>-1.0868321702320902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78</v>
      </c>
      <c r="D55" s="1" t="s">
        <v>2</v>
      </c>
      <c r="E55" s="59" t="s">
        <v>15</v>
      </c>
      <c r="F55" s="60">
        <v>5.0959999999999903</v>
      </c>
      <c r="G55" s="60">
        <v>1.2988433315839101</v>
      </c>
      <c r="H55" s="61">
        <v>5.4936111111111101</v>
      </c>
      <c r="I55" s="63">
        <v>5.77</v>
      </c>
      <c r="J55" s="58">
        <v>0.27638888888888946</v>
      </c>
      <c r="K55" s="58">
        <v>5.0310967285230435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78</v>
      </c>
      <c r="D56" s="1" t="s">
        <v>2</v>
      </c>
      <c r="E56" s="59" t="s">
        <v>16</v>
      </c>
      <c r="F56" s="60">
        <v>4.2545000000000002</v>
      </c>
      <c r="G56" s="60">
        <v>0.43491349714627098</v>
      </c>
      <c r="H56" s="61">
        <v>4.3241025641025601</v>
      </c>
      <c r="I56" s="63">
        <v>4.1900000000000004</v>
      </c>
      <c r="J56" s="58">
        <v>-0.13410256410255972</v>
      </c>
      <c r="K56" s="58">
        <v>-3.1012808349145127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78</v>
      </c>
      <c r="D57" s="1" t="s">
        <v>2</v>
      </c>
      <c r="E57" s="59" t="s">
        <v>17</v>
      </c>
      <c r="F57" s="60">
        <v>4.5</v>
      </c>
      <c r="G57" s="60">
        <v>0.96028641560734296</v>
      </c>
      <c r="H57" s="61">
        <v>4.7966666666666598</v>
      </c>
      <c r="I57" s="63">
        <v>4.38</v>
      </c>
      <c r="J57" s="58">
        <v>-0.41666666666665986</v>
      </c>
      <c r="K57" s="58">
        <v>-8.6865879082695017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78</v>
      </c>
      <c r="D58" s="1" t="s">
        <v>2</v>
      </c>
      <c r="E58" s="59" t="s">
        <v>18</v>
      </c>
      <c r="F58" s="60">
        <v>1.7476923076923001</v>
      </c>
      <c r="G58" s="60">
        <v>1.9008977428564701E-2</v>
      </c>
      <c r="H58" s="61">
        <v>1.7490322580645099</v>
      </c>
      <c r="I58" s="63">
        <v>1.55</v>
      </c>
      <c r="J58" s="58">
        <v>-0.19903225806450986</v>
      </c>
      <c r="K58" s="58">
        <v>-11.379564736259365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78</v>
      </c>
      <c r="D59" s="1" t="s">
        <v>2</v>
      </c>
      <c r="E59" s="59" t="s">
        <v>19</v>
      </c>
      <c r="F59" s="60">
        <v>2.2570000000000001</v>
      </c>
      <c r="G59" s="60">
        <v>0.48999081624046797</v>
      </c>
      <c r="H59" s="61">
        <v>2.2533333333333299</v>
      </c>
      <c r="I59" s="63">
        <v>2.41</v>
      </c>
      <c r="J59" s="58">
        <v>0.15666666666667028</v>
      </c>
      <c r="K59" s="58">
        <v>6.9526627218936623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78</v>
      </c>
      <c r="D60" s="1" t="s">
        <v>2</v>
      </c>
      <c r="E60" s="59" t="s">
        <v>12</v>
      </c>
      <c r="F60" s="60">
        <v>2.9107500000000002</v>
      </c>
      <c r="G60" s="60">
        <v>0.41518903827052001</v>
      </c>
      <c r="H60" s="61">
        <v>2.9973684210526299</v>
      </c>
      <c r="I60" s="63">
        <v>2.99</v>
      </c>
      <c r="J60" s="58">
        <v>-7.3684210526296923E-3</v>
      </c>
      <c r="K60" s="58">
        <v>-0.24582967515358076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78</v>
      </c>
      <c r="D61" s="1" t="s">
        <v>2</v>
      </c>
      <c r="E61" s="59" t="s">
        <v>13</v>
      </c>
      <c r="F61" s="60">
        <v>4.3447058823529403</v>
      </c>
      <c r="G61" s="60">
        <v>0.245323739218652</v>
      </c>
      <c r="H61" s="61">
        <v>4.3872727272727197</v>
      </c>
      <c r="I61" s="63">
        <v>4.18</v>
      </c>
      <c r="J61" s="58">
        <v>-0.20727272727271995</v>
      </c>
      <c r="K61" s="58">
        <v>-4.7244094488187383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78</v>
      </c>
      <c r="D62" s="1" t="s">
        <v>2</v>
      </c>
      <c r="E62" s="59" t="s">
        <v>14</v>
      </c>
      <c r="F62" s="60">
        <v>5.3002500000000001</v>
      </c>
      <c r="G62" s="60">
        <v>2.1152718501412499E-2</v>
      </c>
      <c r="H62" s="61">
        <v>5.2975757575757498</v>
      </c>
      <c r="I62" s="63">
        <v>5.28</v>
      </c>
      <c r="J62" s="58">
        <v>-1.7575757575749584E-2</v>
      </c>
      <c r="K62" s="58">
        <v>-0.33176982038653308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78</v>
      </c>
      <c r="D63" s="1" t="s">
        <v>2</v>
      </c>
      <c r="E63" s="59" t="s">
        <v>15</v>
      </c>
      <c r="F63" s="60">
        <v>5.0959999999999903</v>
      </c>
      <c r="G63" s="60">
        <v>1.2988433315839101</v>
      </c>
      <c r="H63" s="61">
        <v>5.4936111111111101</v>
      </c>
      <c r="I63" s="63">
        <v>5.69</v>
      </c>
      <c r="J63" s="58">
        <v>0.19638888888889028</v>
      </c>
      <c r="K63" s="58">
        <v>3.5748596854932755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78</v>
      </c>
      <c r="D64" s="1" t="s">
        <v>2</v>
      </c>
      <c r="E64" s="59" t="s">
        <v>16</v>
      </c>
      <c r="F64" s="60">
        <v>4.2545000000000002</v>
      </c>
      <c r="G64" s="60">
        <v>0.43491349714627098</v>
      </c>
      <c r="H64" s="61">
        <v>4.3241025641025601</v>
      </c>
      <c r="I64" s="63">
        <v>4.22</v>
      </c>
      <c r="J64" s="58">
        <v>-0.10410256410256036</v>
      </c>
      <c r="K64" s="58">
        <v>-2.4074952561668987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78</v>
      </c>
      <c r="D65" s="1" t="s">
        <v>2</v>
      </c>
      <c r="E65" s="59" t="s">
        <v>17</v>
      </c>
      <c r="F65" s="60">
        <v>4.5</v>
      </c>
      <c r="G65" s="60">
        <v>0.96028641560734296</v>
      </c>
      <c r="H65" s="61">
        <v>4.7966666666666598</v>
      </c>
      <c r="I65" s="63">
        <v>4.3899999999999997</v>
      </c>
      <c r="J65" s="58">
        <v>-0.40666666666666007</v>
      </c>
      <c r="K65" s="58">
        <v>-8.478109798471035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78</v>
      </c>
      <c r="D66" s="1" t="s">
        <v>2</v>
      </c>
      <c r="E66" s="59" t="s">
        <v>18</v>
      </c>
      <c r="F66" s="60">
        <v>1.7476923076923001</v>
      </c>
      <c r="G66" s="60">
        <v>1.9008977428564701E-2</v>
      </c>
      <c r="H66" s="61">
        <v>1.7490322580645099</v>
      </c>
      <c r="I66" s="63">
        <v>1.62</v>
      </c>
      <c r="J66" s="58">
        <v>-0.1290322580645098</v>
      </c>
      <c r="K66" s="58">
        <v>-7.377351530800107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78</v>
      </c>
      <c r="D67" s="1" t="s">
        <v>2</v>
      </c>
      <c r="E67" s="59" t="s">
        <v>19</v>
      </c>
      <c r="F67" s="60">
        <v>2.2570000000000001</v>
      </c>
      <c r="G67" s="60">
        <v>0.48999081624046797</v>
      </c>
      <c r="H67" s="61">
        <v>2.2533333333333299</v>
      </c>
      <c r="I67" s="63">
        <v>2.44</v>
      </c>
      <c r="J67" s="58">
        <v>0.18666666666667009</v>
      </c>
      <c r="K67" s="58">
        <v>8.2840236686392181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78</v>
      </c>
      <c r="D68" s="1" t="s">
        <v>2</v>
      </c>
      <c r="E68" s="59" t="s">
        <v>12</v>
      </c>
      <c r="F68" s="60">
        <v>2.9107500000000002</v>
      </c>
      <c r="G68" s="60">
        <v>0.41518903827052001</v>
      </c>
      <c r="H68" s="61">
        <v>2.9973684210526299</v>
      </c>
      <c r="I68" s="63">
        <v>2.99</v>
      </c>
      <c r="J68" s="58">
        <v>-7.3684210526296923E-3</v>
      </c>
      <c r="K68" s="58">
        <v>-0.24582967515358076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78</v>
      </c>
      <c r="D69" s="1" t="s">
        <v>2</v>
      </c>
      <c r="E69" s="59" t="s">
        <v>13</v>
      </c>
      <c r="F69" s="60">
        <v>4.3447058823529403</v>
      </c>
      <c r="G69" s="60">
        <v>0.245323739218652</v>
      </c>
      <c r="H69" s="61">
        <v>4.3872727272727197</v>
      </c>
      <c r="I69" s="63">
        <v>4.1900000000000004</v>
      </c>
      <c r="J69" s="58">
        <v>-0.19727272727271927</v>
      </c>
      <c r="K69" s="58">
        <v>-4.496477414007285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78</v>
      </c>
      <c r="D70" s="1" t="s">
        <v>2</v>
      </c>
      <c r="E70" s="59" t="s">
        <v>14</v>
      </c>
      <c r="F70" s="60">
        <v>5.3002500000000001</v>
      </c>
      <c r="G70" s="60">
        <v>2.1152718501412499E-2</v>
      </c>
      <c r="H70" s="61">
        <v>5.2975757575757498</v>
      </c>
      <c r="I70" s="63">
        <v>5.3</v>
      </c>
      <c r="J70" s="58">
        <v>2.4242424242499894E-3</v>
      </c>
      <c r="K70" s="58">
        <v>4.5761354536237135E-2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78</v>
      </c>
      <c r="D71" s="1" t="s">
        <v>2</v>
      </c>
      <c r="E71" s="59" t="s">
        <v>15</v>
      </c>
      <c r="F71" s="60">
        <v>5.0959999999999903</v>
      </c>
      <c r="G71" s="60">
        <v>1.2988433315839101</v>
      </c>
      <c r="H71" s="61">
        <v>5.4936111111111101</v>
      </c>
      <c r="I71" s="63">
        <v>5.73</v>
      </c>
      <c r="J71" s="58">
        <v>0.23638888888889031</v>
      </c>
      <c r="K71" s="58">
        <v>4.3029782070081675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78</v>
      </c>
      <c r="D72" s="1" t="s">
        <v>2</v>
      </c>
      <c r="E72" s="59" t="s">
        <v>16</v>
      </c>
      <c r="F72" s="60">
        <v>4.2545000000000002</v>
      </c>
      <c r="G72" s="60">
        <v>0.43491349714627098</v>
      </c>
      <c r="H72" s="61">
        <v>4.3241025641025601</v>
      </c>
      <c r="I72" s="63">
        <v>4.24</v>
      </c>
      <c r="J72" s="58">
        <v>-8.4102564102559896E-2</v>
      </c>
      <c r="K72" s="58">
        <v>-1.9449715370018019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78</v>
      </c>
      <c r="D73" s="1" t="s">
        <v>2</v>
      </c>
      <c r="E73" s="59" t="s">
        <v>17</v>
      </c>
      <c r="F73" s="60">
        <v>4.5</v>
      </c>
      <c r="G73" s="60">
        <v>0.96028641560734296</v>
      </c>
      <c r="H73" s="61">
        <v>4.7966666666666598</v>
      </c>
      <c r="I73" s="63">
        <v>4.45</v>
      </c>
      <c r="J73" s="58">
        <v>-0.34666666666665957</v>
      </c>
      <c r="K73" s="58">
        <v>-7.2272411396801957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78</v>
      </c>
      <c r="D74" s="1" t="s">
        <v>2</v>
      </c>
      <c r="E74" s="59" t="s">
        <v>18</v>
      </c>
      <c r="F74" s="60">
        <v>1.7476923076923001</v>
      </c>
      <c r="G74" s="60">
        <v>1.9008977428564701E-2</v>
      </c>
      <c r="H74" s="61">
        <v>1.7490322580645099</v>
      </c>
      <c r="I74" s="63">
        <v>1.61</v>
      </c>
      <c r="J74" s="58">
        <v>-0.13903225806450981</v>
      </c>
      <c r="K74" s="58">
        <v>-7.9490962744371441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78</v>
      </c>
      <c r="D75" s="1" t="s">
        <v>2</v>
      </c>
      <c r="E75" s="59" t="s">
        <v>19</v>
      </c>
      <c r="F75" s="60">
        <v>2.2570000000000001</v>
      </c>
      <c r="G75" s="60">
        <v>0.48999081624046797</v>
      </c>
      <c r="H75" s="61">
        <v>2.2533333333333299</v>
      </c>
      <c r="I75" s="63">
        <v>2.42</v>
      </c>
      <c r="J75" s="58">
        <v>0.16666666666667007</v>
      </c>
      <c r="K75" s="58">
        <v>7.3964497041421744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78</v>
      </c>
      <c r="D77" s="1" t="s">
        <v>2</v>
      </c>
      <c r="E77" s="59" t="s">
        <v>12</v>
      </c>
      <c r="F77" s="60">
        <v>5.3217777777777702</v>
      </c>
      <c r="G77" s="60">
        <v>0.55962403605313005</v>
      </c>
      <c r="H77" s="61">
        <v>5.4680952380952297</v>
      </c>
      <c r="I77" s="62">
        <v>5.47</v>
      </c>
      <c r="J77" s="37">
        <v>1.9047619047700692E-3</v>
      </c>
      <c r="K77" s="37">
        <v>3.4834102586581484E-2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78</v>
      </c>
      <c r="D78" s="1" t="s">
        <v>2</v>
      </c>
      <c r="E78" s="59" t="s">
        <v>13</v>
      </c>
      <c r="F78" s="60">
        <v>5.7068888888888898</v>
      </c>
      <c r="G78" s="60">
        <v>0.75279574394304705</v>
      </c>
      <c r="H78" s="61">
        <v>5.8506976744186003</v>
      </c>
      <c r="I78" s="62">
        <v>5.98</v>
      </c>
      <c r="J78" s="37">
        <v>0.12930232558140009</v>
      </c>
      <c r="K78" s="37">
        <v>2.2100325940059657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78</v>
      </c>
      <c r="D79" s="1" t="s">
        <v>2</v>
      </c>
      <c r="E79" s="59" t="s">
        <v>14</v>
      </c>
      <c r="F79" s="60">
        <v>2.31355555555555</v>
      </c>
      <c r="G79" s="60">
        <v>0.496571156613276</v>
      </c>
      <c r="H79" s="61">
        <v>2.4660975609756002</v>
      </c>
      <c r="I79" s="62">
        <v>2.41</v>
      </c>
      <c r="J79" s="37">
        <v>-5.6097560975600036E-2</v>
      </c>
      <c r="K79" s="37">
        <v>-2.2747502719806256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78</v>
      </c>
      <c r="D80" s="1" t="s">
        <v>2</v>
      </c>
      <c r="E80" s="59" t="s">
        <v>15</v>
      </c>
      <c r="F80" s="60">
        <v>3.6784444444444402</v>
      </c>
      <c r="G80" s="60">
        <v>0.55826698334341596</v>
      </c>
      <c r="H80" s="61">
        <v>3.7934883720930199</v>
      </c>
      <c r="I80" s="62">
        <v>3.91</v>
      </c>
      <c r="J80" s="37">
        <v>0.11651162790698022</v>
      </c>
      <c r="K80" s="37">
        <v>3.0713585090731694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78</v>
      </c>
      <c r="D81" s="1" t="s">
        <v>2</v>
      </c>
      <c r="E81" s="59" t="s">
        <v>16</v>
      </c>
      <c r="F81" s="60">
        <v>4.5511111111111102</v>
      </c>
      <c r="G81" s="60">
        <v>0.659205657413095</v>
      </c>
      <c r="H81" s="61">
        <v>4.6499999999999897</v>
      </c>
      <c r="I81" s="62">
        <v>4.76</v>
      </c>
      <c r="J81" s="37">
        <v>0.11000000000001009</v>
      </c>
      <c r="K81" s="37">
        <v>2.3655913978496845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78</v>
      </c>
      <c r="D82" s="1" t="s">
        <v>2</v>
      </c>
      <c r="E82" s="59" t="s">
        <v>17</v>
      </c>
      <c r="F82" s="60">
        <v>1.24444444444444</v>
      </c>
      <c r="G82" s="60">
        <v>9.3608061275738702E-2</v>
      </c>
      <c r="H82" s="61">
        <v>1.2584090909090899</v>
      </c>
      <c r="I82" s="62">
        <v>1.37</v>
      </c>
      <c r="J82" s="37">
        <v>0.11159090909091018</v>
      </c>
      <c r="K82" s="37">
        <v>8.86761784359771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78</v>
      </c>
      <c r="D83" s="1" t="s">
        <v>2</v>
      </c>
      <c r="E83" s="59" t="s">
        <v>18</v>
      </c>
      <c r="F83" s="60">
        <v>3.7161363636363598</v>
      </c>
      <c r="G83" s="60">
        <v>0.87597534188284998</v>
      </c>
      <c r="H83" s="61">
        <v>4.0502631578947303</v>
      </c>
      <c r="I83" s="62">
        <v>3.98</v>
      </c>
      <c r="J83" s="37">
        <v>-7.0263157894730366E-2</v>
      </c>
      <c r="K83" s="37">
        <v>-1.7347800662723396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78</v>
      </c>
      <c r="D84" s="1" t="s">
        <v>2</v>
      </c>
      <c r="E84" s="59" t="s">
        <v>19</v>
      </c>
      <c r="F84" s="60"/>
      <c r="G84" s="60"/>
      <c r="H84" s="61"/>
      <c r="I84" s="62"/>
      <c r="J84" s="37"/>
      <c r="K84" s="37"/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78</v>
      </c>
      <c r="D85" s="1" t="s">
        <v>2</v>
      </c>
      <c r="E85" s="59" t="s">
        <v>12</v>
      </c>
      <c r="F85" s="60">
        <v>5.3217777777777702</v>
      </c>
      <c r="G85" s="60">
        <v>0.55962403605313005</v>
      </c>
      <c r="H85" s="61">
        <v>5.4680952380952297</v>
      </c>
      <c r="I85" s="62">
        <v>5.41</v>
      </c>
      <c r="J85" s="37">
        <v>-5.809523809522954E-2</v>
      </c>
      <c r="K85" s="37">
        <v>-1.0624401288860246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78</v>
      </c>
      <c r="D86" s="1" t="s">
        <v>2</v>
      </c>
      <c r="E86" s="59" t="s">
        <v>13</v>
      </c>
      <c r="F86" s="60">
        <v>5.7068888888888898</v>
      </c>
      <c r="G86" s="60">
        <v>0.75279574394304705</v>
      </c>
      <c r="H86" s="61">
        <v>5.8506976744186003</v>
      </c>
      <c r="I86" s="62">
        <v>5.96</v>
      </c>
      <c r="J86" s="37">
        <v>0.10930232558139963</v>
      </c>
      <c r="K86" s="37">
        <v>1.8681930201129613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78</v>
      </c>
      <c r="D87" s="1" t="s">
        <v>2</v>
      </c>
      <c r="E87" s="59" t="s">
        <v>14</v>
      </c>
      <c r="F87" s="60">
        <v>2.31355555555555</v>
      </c>
      <c r="G87" s="60">
        <v>0.496571156613276</v>
      </c>
      <c r="H87" s="61">
        <v>2.4660975609756002</v>
      </c>
      <c r="I87" s="62">
        <v>2.4300000000000002</v>
      </c>
      <c r="J87" s="37">
        <v>-3.6097560975600018E-2</v>
      </c>
      <c r="K87" s="37">
        <v>-1.4637523489265221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78</v>
      </c>
      <c r="D88" s="1" t="s">
        <v>2</v>
      </c>
      <c r="E88" s="59" t="s">
        <v>15</v>
      </c>
      <c r="F88" s="60">
        <v>3.6784444444444402</v>
      </c>
      <c r="G88" s="60">
        <v>0.55826698334341596</v>
      </c>
      <c r="H88" s="61">
        <v>3.7934883720930199</v>
      </c>
      <c r="I88" s="62">
        <v>3.89</v>
      </c>
      <c r="J88" s="37">
        <v>9.6511627906980202E-2</v>
      </c>
      <c r="K88" s="37">
        <v>2.5441392839628199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78</v>
      </c>
      <c r="D89" s="1" t="s">
        <v>2</v>
      </c>
      <c r="E89" s="59" t="s">
        <v>16</v>
      </c>
      <c r="F89" s="60">
        <v>4.5511111111111102</v>
      </c>
      <c r="G89" s="60">
        <v>0.659205657413095</v>
      </c>
      <c r="H89" s="61">
        <v>4.6499999999999897</v>
      </c>
      <c r="I89" s="62">
        <v>4.78</v>
      </c>
      <c r="J89" s="37">
        <v>0.13000000000001055</v>
      </c>
      <c r="K89" s="37">
        <v>2.7956989247314161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78</v>
      </c>
      <c r="D90" s="1" t="s">
        <v>2</v>
      </c>
      <c r="E90" s="59" t="s">
        <v>17</v>
      </c>
      <c r="F90" s="60">
        <v>1.24444444444444</v>
      </c>
      <c r="G90" s="60">
        <v>9.3608061275738702E-2</v>
      </c>
      <c r="H90" s="61">
        <v>1.2584090909090899</v>
      </c>
      <c r="I90" s="62">
        <v>1.38</v>
      </c>
      <c r="J90" s="37">
        <v>0.12159090909090997</v>
      </c>
      <c r="K90" s="37">
        <v>9.6622719884414714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78</v>
      </c>
      <c r="D91" s="1" t="s">
        <v>2</v>
      </c>
      <c r="E91" s="59" t="s">
        <v>18</v>
      </c>
      <c r="F91" s="60">
        <v>3.7161363636363598</v>
      </c>
      <c r="G91" s="60">
        <v>0.87597534188284998</v>
      </c>
      <c r="H91" s="61">
        <v>4.0502631578947303</v>
      </c>
      <c r="I91" s="62">
        <v>4.01</v>
      </c>
      <c r="J91" s="37">
        <v>-4.0263157894730561E-2</v>
      </c>
      <c r="K91" s="37">
        <v>-0.99408745370655816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78</v>
      </c>
      <c r="D92" s="1" t="s">
        <v>2</v>
      </c>
      <c r="E92" s="59" t="s">
        <v>19</v>
      </c>
      <c r="F92" s="60"/>
      <c r="G92" s="60"/>
      <c r="H92" s="61"/>
      <c r="I92" s="62"/>
      <c r="J92" s="37"/>
      <c r="K92" s="37"/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78</v>
      </c>
      <c r="D93" s="1" t="s">
        <v>2</v>
      </c>
      <c r="E93" s="59" t="s">
        <v>12</v>
      </c>
      <c r="F93" s="60">
        <v>5.3217777777777702</v>
      </c>
      <c r="G93" s="60">
        <v>0.55962403605313005</v>
      </c>
      <c r="H93" s="61">
        <v>5.4680952380952297</v>
      </c>
      <c r="I93" s="62">
        <v>5.45</v>
      </c>
      <c r="J93" s="37">
        <v>-1.8095238095229504E-2</v>
      </c>
      <c r="K93" s="37">
        <v>-0.33092397457094852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78</v>
      </c>
      <c r="D94" s="1" t="s">
        <v>2</v>
      </c>
      <c r="E94" s="59" t="s">
        <v>13</v>
      </c>
      <c r="F94" s="60">
        <v>5.7068888888888898</v>
      </c>
      <c r="G94" s="60">
        <v>0.75279574394304705</v>
      </c>
      <c r="H94" s="61">
        <v>5.8506976744186003</v>
      </c>
      <c r="I94" s="62">
        <v>6.03</v>
      </c>
      <c r="J94" s="37">
        <v>0.17930232558139991</v>
      </c>
      <c r="K94" s="37">
        <v>3.0646315287384538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78</v>
      </c>
      <c r="D95" s="1" t="s">
        <v>2</v>
      </c>
      <c r="E95" s="59" t="s">
        <v>14</v>
      </c>
      <c r="F95" s="60">
        <v>2.31355555555555</v>
      </c>
      <c r="G95" s="60">
        <v>0.496571156613276</v>
      </c>
      <c r="H95" s="61">
        <v>2.4660975609756002</v>
      </c>
      <c r="I95" s="62">
        <v>2.4500000000000002</v>
      </c>
      <c r="J95" s="37">
        <v>-1.60975609756E-2</v>
      </c>
      <c r="K95" s="37">
        <v>-0.65275442587241872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78</v>
      </c>
      <c r="D96" s="1" t="s">
        <v>2</v>
      </c>
      <c r="E96" s="59" t="s">
        <v>15</v>
      </c>
      <c r="F96" s="60">
        <v>3.6784444444444402</v>
      </c>
      <c r="G96" s="60">
        <v>0.55826698334341596</v>
      </c>
      <c r="H96" s="61">
        <v>3.7934883720930199</v>
      </c>
      <c r="I96" s="62">
        <v>3.92</v>
      </c>
      <c r="J96" s="37">
        <v>0.12651162790698001</v>
      </c>
      <c r="K96" s="37">
        <v>3.334968121628338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78</v>
      </c>
      <c r="D97" s="1" t="s">
        <v>2</v>
      </c>
      <c r="E97" s="59" t="s">
        <v>16</v>
      </c>
      <c r="F97" s="60">
        <v>4.5511111111111102</v>
      </c>
      <c r="G97" s="60">
        <v>0.659205657413095</v>
      </c>
      <c r="H97" s="61">
        <v>4.6499999999999897</v>
      </c>
      <c r="I97" s="62">
        <v>4.83</v>
      </c>
      <c r="J97" s="37">
        <v>0.18000000000001037</v>
      </c>
      <c r="K97" s="37">
        <v>3.8709677419357158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78</v>
      </c>
      <c r="D98" s="1" t="s">
        <v>2</v>
      </c>
      <c r="E98" s="59" t="s">
        <v>17</v>
      </c>
      <c r="F98" s="60">
        <v>1.24444444444444</v>
      </c>
      <c r="G98" s="60">
        <v>9.3608061275738702E-2</v>
      </c>
      <c r="H98" s="61">
        <v>1.2584090909090899</v>
      </c>
      <c r="I98" s="62">
        <v>1.4</v>
      </c>
      <c r="J98" s="37">
        <v>0.14159090909090999</v>
      </c>
      <c r="K98" s="37">
        <v>11.251580278129031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78</v>
      </c>
      <c r="D99" s="1" t="s">
        <v>2</v>
      </c>
      <c r="E99" s="59" t="s">
        <v>18</v>
      </c>
      <c r="F99" s="60">
        <v>3.7161363636363598</v>
      </c>
      <c r="G99" s="60">
        <v>0.87597534188284998</v>
      </c>
      <c r="H99" s="61">
        <v>4.0502631578947303</v>
      </c>
      <c r="I99" s="62">
        <v>3.97</v>
      </c>
      <c r="J99" s="37">
        <v>-8.0263157894730153E-2</v>
      </c>
      <c r="K99" s="37">
        <v>-1.9816776037942634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78</v>
      </c>
      <c r="D100" s="1" t="s">
        <v>2</v>
      </c>
      <c r="E100" s="59" t="s">
        <v>19</v>
      </c>
      <c r="F100" s="60"/>
      <c r="G100" s="60"/>
      <c r="H100" s="61"/>
      <c r="I100" s="62"/>
      <c r="J100" s="37"/>
      <c r="K100" s="37"/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78</v>
      </c>
      <c r="D102" s="1" t="s">
        <v>2</v>
      </c>
      <c r="E102" s="59" t="s">
        <v>12</v>
      </c>
      <c r="F102" s="60">
        <v>5.2559999999999896</v>
      </c>
      <c r="G102" s="60">
        <v>0.92708791384636202</v>
      </c>
      <c r="H102" s="61">
        <v>5.4682978723404201</v>
      </c>
      <c r="I102" s="62">
        <v>5.47</v>
      </c>
      <c r="J102" s="37">
        <v>1.7021276595796664E-3</v>
      </c>
      <c r="K102" s="37">
        <v>3.1127193494511651E-2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78</v>
      </c>
      <c r="D103" s="1" t="s">
        <v>2</v>
      </c>
      <c r="E103" s="59" t="s">
        <v>13</v>
      </c>
      <c r="F103" s="60">
        <v>5.6849999999999996</v>
      </c>
      <c r="G103" s="60">
        <v>0.685548685360857</v>
      </c>
      <c r="H103" s="61">
        <v>5.85234042553191</v>
      </c>
      <c r="I103" s="62">
        <v>5.98</v>
      </c>
      <c r="J103" s="37">
        <v>0.1276595744680904</v>
      </c>
      <c r="K103" s="37">
        <v>2.1813422525995252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78</v>
      </c>
      <c r="D104" s="1" t="s">
        <v>2</v>
      </c>
      <c r="E104" s="59" t="s">
        <v>14</v>
      </c>
      <c r="F104" s="60">
        <v>2.3617999999999899</v>
      </c>
      <c r="G104" s="60">
        <v>0.39441952284338</v>
      </c>
      <c r="H104" s="61">
        <v>2.4639130434782599</v>
      </c>
      <c r="I104" s="62">
        <v>2.41</v>
      </c>
      <c r="J104" s="37">
        <v>-5.3913043478259759E-2</v>
      </c>
      <c r="K104" s="37">
        <v>-2.1881065819657226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78</v>
      </c>
      <c r="D105" s="1" t="s">
        <v>2</v>
      </c>
      <c r="E105" s="59" t="s">
        <v>15</v>
      </c>
      <c r="F105" s="60">
        <v>3.5783999999999998</v>
      </c>
      <c r="G105" s="60">
        <v>0.73386200337665597</v>
      </c>
      <c r="H105" s="61">
        <v>3.7926086956521701</v>
      </c>
      <c r="I105" s="62">
        <v>3.91</v>
      </c>
      <c r="J105" s="37">
        <v>0.11739130434783007</v>
      </c>
      <c r="K105" s="37">
        <v>3.0952653903474658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78</v>
      </c>
      <c r="D106" s="1" t="s">
        <v>2</v>
      </c>
      <c r="E106" s="59" t="s">
        <v>16</v>
      </c>
      <c r="F106" s="60">
        <v>4.4161999999999999</v>
      </c>
      <c r="G106" s="60">
        <v>0.752653678659714</v>
      </c>
      <c r="H106" s="61">
        <v>4.6551111111111103</v>
      </c>
      <c r="I106" s="62">
        <v>4.76</v>
      </c>
      <c r="J106" s="37">
        <v>0.10488888888888948</v>
      </c>
      <c r="K106" s="37">
        <v>2.2531983960282735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78</v>
      </c>
      <c r="D107" s="1" t="s">
        <v>2</v>
      </c>
      <c r="E107" s="59" t="s">
        <v>17</v>
      </c>
      <c r="F107" s="60">
        <v>1.2374000000000001</v>
      </c>
      <c r="G107" s="60">
        <v>0.13173928798957399</v>
      </c>
      <c r="H107" s="61">
        <v>1.2561224489795899</v>
      </c>
      <c r="I107" s="62">
        <v>1.37</v>
      </c>
      <c r="J107" s="37">
        <v>0.11387755102041019</v>
      </c>
      <c r="K107" s="37">
        <v>9.0658001624697135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78</v>
      </c>
      <c r="D108" s="1" t="s">
        <v>2</v>
      </c>
      <c r="E108" s="59" t="s">
        <v>18</v>
      </c>
      <c r="F108" s="60">
        <v>3.9785714285714202</v>
      </c>
      <c r="G108" s="60">
        <v>0.37463996321910997</v>
      </c>
      <c r="H108" s="61">
        <v>4.0434042553191496</v>
      </c>
      <c r="I108" s="62">
        <v>3.98</v>
      </c>
      <c r="J108" s="37">
        <v>-6.3404255319149616E-2</v>
      </c>
      <c r="K108" s="37">
        <v>-1.5680909282256534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78</v>
      </c>
      <c r="D109" s="1" t="s">
        <v>2</v>
      </c>
      <c r="E109" s="59" t="s">
        <v>19</v>
      </c>
      <c r="F109" s="60"/>
      <c r="G109" s="60"/>
      <c r="H109" s="61"/>
      <c r="I109" s="62"/>
      <c r="J109" s="37"/>
      <c r="K109" s="37"/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78</v>
      </c>
      <c r="D110" s="1" t="s">
        <v>2</v>
      </c>
      <c r="E110" s="59" t="s">
        <v>12</v>
      </c>
      <c r="F110" s="60">
        <v>5.2559999999999896</v>
      </c>
      <c r="G110" s="60">
        <v>0.92708791384636202</v>
      </c>
      <c r="H110" s="61">
        <v>5.4682978723404201</v>
      </c>
      <c r="I110" s="62">
        <v>5.41</v>
      </c>
      <c r="J110" s="37">
        <v>-5.8297872340419943E-2</v>
      </c>
      <c r="K110" s="37">
        <v>-1.0661063771836661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78</v>
      </c>
      <c r="D111" s="1" t="s">
        <v>2</v>
      </c>
      <c r="E111" s="59" t="s">
        <v>13</v>
      </c>
      <c r="F111" s="60">
        <v>5.6849999999999996</v>
      </c>
      <c r="G111" s="60">
        <v>0.685548685360857</v>
      </c>
      <c r="H111" s="61">
        <v>5.85234042553191</v>
      </c>
      <c r="I111" s="62">
        <v>5.96</v>
      </c>
      <c r="J111" s="37">
        <v>0.10765957446808994</v>
      </c>
      <c r="K111" s="37">
        <v>1.8395986330256058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78</v>
      </c>
      <c r="D112" s="1" t="s">
        <v>2</v>
      </c>
      <c r="E112" s="59" t="s">
        <v>14</v>
      </c>
      <c r="F112" s="60">
        <v>2.3617999999999899</v>
      </c>
      <c r="G112" s="60">
        <v>0.39441952284338</v>
      </c>
      <c r="H112" s="61">
        <v>2.4639130434782599</v>
      </c>
      <c r="I112" s="62">
        <v>2.4300000000000002</v>
      </c>
      <c r="J112" s="37">
        <v>-3.3913043478259741E-2</v>
      </c>
      <c r="K112" s="37">
        <v>-1.3763896241397111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78</v>
      </c>
      <c r="D113" s="1" t="s">
        <v>2</v>
      </c>
      <c r="E113" s="59" t="s">
        <v>15</v>
      </c>
      <c r="F113" s="60">
        <v>3.5783999999999998</v>
      </c>
      <c r="G113" s="60">
        <v>0.73386200337665597</v>
      </c>
      <c r="H113" s="61">
        <v>3.7926086956521701</v>
      </c>
      <c r="I113" s="62">
        <v>3.89</v>
      </c>
      <c r="J113" s="37">
        <v>9.7391304347830054E-2</v>
      </c>
      <c r="K113" s="37">
        <v>2.5679238793993964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78</v>
      </c>
      <c r="D114" s="1" t="s">
        <v>2</v>
      </c>
      <c r="E114" s="59" t="s">
        <v>16</v>
      </c>
      <c r="F114" s="60">
        <v>4.4161999999999999</v>
      </c>
      <c r="G114" s="60">
        <v>0.752653678659714</v>
      </c>
      <c r="H114" s="61">
        <v>4.6551111111111103</v>
      </c>
      <c r="I114" s="62">
        <v>4.78</v>
      </c>
      <c r="J114" s="37">
        <v>0.12488888888888994</v>
      </c>
      <c r="K114" s="37">
        <v>2.6828336834065531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78</v>
      </c>
      <c r="D115" s="1" t="s">
        <v>2</v>
      </c>
      <c r="E115" s="59" t="s">
        <v>17</v>
      </c>
      <c r="F115" s="60">
        <v>1.2374000000000001</v>
      </c>
      <c r="G115" s="60">
        <v>0.13173928798957399</v>
      </c>
      <c r="H115" s="61">
        <v>1.2561224489795899</v>
      </c>
      <c r="I115" s="62">
        <v>1.38</v>
      </c>
      <c r="J115" s="37">
        <v>0.12387755102040998</v>
      </c>
      <c r="K115" s="37">
        <v>9.8619008935826127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78</v>
      </c>
      <c r="D116" s="1" t="s">
        <v>2</v>
      </c>
      <c r="E116" s="59" t="s">
        <v>18</v>
      </c>
      <c r="F116" s="60">
        <v>3.9785714285714202</v>
      </c>
      <c r="G116" s="60">
        <v>0.37463996321910997</v>
      </c>
      <c r="H116" s="61">
        <v>4.0434042553191496</v>
      </c>
      <c r="I116" s="62">
        <v>4.01</v>
      </c>
      <c r="J116" s="37">
        <v>-3.3404255319149811E-2</v>
      </c>
      <c r="K116" s="37">
        <v>-0.82614186487057506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78</v>
      </c>
      <c r="D117" s="1" t="s">
        <v>2</v>
      </c>
      <c r="E117" s="59" t="s">
        <v>19</v>
      </c>
      <c r="F117" s="60"/>
      <c r="G117" s="60"/>
      <c r="H117" s="61"/>
      <c r="I117" s="62"/>
      <c r="J117" s="37"/>
      <c r="K117" s="37"/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78</v>
      </c>
      <c r="D118" s="1" t="s">
        <v>2</v>
      </c>
      <c r="E118" s="59" t="s">
        <v>12</v>
      </c>
      <c r="F118" s="60">
        <v>5.2559999999999896</v>
      </c>
      <c r="G118" s="60">
        <v>0.92708791384636202</v>
      </c>
      <c r="H118" s="61">
        <v>5.4682978723404201</v>
      </c>
      <c r="I118" s="62">
        <v>5.45</v>
      </c>
      <c r="J118" s="37">
        <v>-1.8297872340419907E-2</v>
      </c>
      <c r="K118" s="37">
        <v>-0.33461733006487548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78</v>
      </c>
      <c r="D119" s="1" t="s">
        <v>2</v>
      </c>
      <c r="E119" s="59" t="s">
        <v>13</v>
      </c>
      <c r="F119" s="60">
        <v>5.6849999999999996</v>
      </c>
      <c r="G119" s="60">
        <v>0.685548685360857</v>
      </c>
      <c r="H119" s="61">
        <v>5.85234042553191</v>
      </c>
      <c r="I119" s="62">
        <v>6.03</v>
      </c>
      <c r="J119" s="37">
        <v>0.17765957446809022</v>
      </c>
      <c r="K119" s="37">
        <v>3.0357013015343006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78</v>
      </c>
      <c r="D120" s="1" t="s">
        <v>2</v>
      </c>
      <c r="E120" s="59" t="s">
        <v>14</v>
      </c>
      <c r="F120" s="60">
        <v>2.3617999999999899</v>
      </c>
      <c r="G120" s="60">
        <v>0.39441952284338</v>
      </c>
      <c r="H120" s="61">
        <v>2.4639130434782599</v>
      </c>
      <c r="I120" s="62">
        <v>2.4500000000000002</v>
      </c>
      <c r="J120" s="37">
        <v>-1.3913043478259723E-2</v>
      </c>
      <c r="K120" s="37">
        <v>-0.56467266631369994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78</v>
      </c>
      <c r="D121" s="1" t="s">
        <v>2</v>
      </c>
      <c r="E121" s="59" t="s">
        <v>15</v>
      </c>
      <c r="F121" s="60">
        <v>3.5783999999999998</v>
      </c>
      <c r="G121" s="60">
        <v>0.73386200337665597</v>
      </c>
      <c r="H121" s="61">
        <v>3.7926086956521701</v>
      </c>
      <c r="I121" s="62">
        <v>3.92</v>
      </c>
      <c r="J121" s="37">
        <v>0.12739130434782986</v>
      </c>
      <c r="K121" s="37">
        <v>3.3589361458214944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78</v>
      </c>
      <c r="D122" s="1" t="s">
        <v>2</v>
      </c>
      <c r="E122" s="59" t="s">
        <v>16</v>
      </c>
      <c r="F122" s="60">
        <v>4.4161999999999999</v>
      </c>
      <c r="G122" s="60">
        <v>0.752653678659714</v>
      </c>
      <c r="H122" s="61">
        <v>4.6551111111111103</v>
      </c>
      <c r="I122" s="62">
        <v>4.83</v>
      </c>
      <c r="J122" s="37">
        <v>0.17488888888888976</v>
      </c>
      <c r="K122" s="37">
        <v>3.7569219018522246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78</v>
      </c>
      <c r="D123" s="1" t="s">
        <v>2</v>
      </c>
      <c r="E123" s="59" t="s">
        <v>17</v>
      </c>
      <c r="F123" s="60">
        <v>1.2374000000000001</v>
      </c>
      <c r="G123" s="60">
        <v>0.13173928798957399</v>
      </c>
      <c r="H123" s="61">
        <v>1.2561224489795899</v>
      </c>
      <c r="I123" s="62">
        <v>1.4</v>
      </c>
      <c r="J123" s="37">
        <v>0.14387755102041</v>
      </c>
      <c r="K123" s="37">
        <v>11.45410235580845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78</v>
      </c>
      <c r="D124" s="1" t="s">
        <v>2</v>
      </c>
      <c r="E124" s="59" t="s">
        <v>18</v>
      </c>
      <c r="F124" s="60">
        <v>3.9785714285714202</v>
      </c>
      <c r="G124" s="60">
        <v>0.37463996321910997</v>
      </c>
      <c r="H124" s="61">
        <v>4.0434042553191496</v>
      </c>
      <c r="I124" s="62">
        <v>3.97</v>
      </c>
      <c r="J124" s="37">
        <v>-7.3404255319149403E-2</v>
      </c>
      <c r="K124" s="37">
        <v>-1.8154072826773424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78</v>
      </c>
      <c r="D125" s="1" t="s">
        <v>2</v>
      </c>
      <c r="E125" s="59" t="s">
        <v>19</v>
      </c>
      <c r="F125" s="60"/>
      <c r="G125" s="60"/>
      <c r="H125" s="61"/>
      <c r="I125" s="62"/>
      <c r="J125" s="37"/>
      <c r="K125" s="37"/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78</v>
      </c>
      <c r="D127" s="1" t="s">
        <v>2</v>
      </c>
      <c r="E127" s="59" t="s">
        <v>12</v>
      </c>
      <c r="F127" s="60">
        <v>5.3437999999999999</v>
      </c>
      <c r="G127" s="60">
        <v>0.67599967455613397</v>
      </c>
      <c r="H127" s="61">
        <v>5.4658333333333298</v>
      </c>
      <c r="I127" s="63">
        <v>5.47</v>
      </c>
      <c r="J127" s="58">
        <v>4.1666666666699825E-3</v>
      </c>
      <c r="K127" s="58">
        <v>7.623113279469404E-2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78</v>
      </c>
      <c r="D128" s="1" t="s">
        <v>2</v>
      </c>
      <c r="E128" s="59" t="s">
        <v>13</v>
      </c>
      <c r="F128" s="60">
        <v>5.3196000000000003</v>
      </c>
      <c r="G128" s="60">
        <v>1.44789773119512</v>
      </c>
      <c r="H128" s="61">
        <v>5.8327272727272703</v>
      </c>
      <c r="I128" s="63">
        <v>5.98</v>
      </c>
      <c r="J128" s="58">
        <v>0.14727272727273011</v>
      </c>
      <c r="K128" s="58">
        <v>2.5249376558603984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78</v>
      </c>
      <c r="D129" s="1" t="s">
        <v>2</v>
      </c>
      <c r="E129" s="59" t="s">
        <v>14</v>
      </c>
      <c r="F129" s="60">
        <v>2.3801999999999999</v>
      </c>
      <c r="G129" s="60">
        <v>0.33429023318068901</v>
      </c>
      <c r="H129" s="61">
        <v>2.45723404255319</v>
      </c>
      <c r="I129" s="63">
        <v>2.41</v>
      </c>
      <c r="J129" s="58">
        <v>-4.7234042553189859E-2</v>
      </c>
      <c r="K129" s="58">
        <v>-1.9222443501601219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78</v>
      </c>
      <c r="D130" s="1" t="s">
        <v>2</v>
      </c>
      <c r="E130" s="59" t="s">
        <v>15</v>
      </c>
      <c r="F130" s="60">
        <v>3.5933999999999999</v>
      </c>
      <c r="G130" s="60">
        <v>0.68171140521484497</v>
      </c>
      <c r="H130" s="61">
        <v>3.7895652173913001</v>
      </c>
      <c r="I130" s="63">
        <v>3.91</v>
      </c>
      <c r="J130" s="58">
        <v>0.1204347826087</v>
      </c>
      <c r="K130" s="58">
        <v>3.1780633318036982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78</v>
      </c>
      <c r="D131" s="1" t="s">
        <v>2</v>
      </c>
      <c r="E131" s="59" t="s">
        <v>16</v>
      </c>
      <c r="F131" s="60">
        <v>4.5481999999999996</v>
      </c>
      <c r="G131" s="60">
        <v>0.648918145839673</v>
      </c>
      <c r="H131" s="61">
        <v>4.6399999999999899</v>
      </c>
      <c r="I131" s="63">
        <v>4.76</v>
      </c>
      <c r="J131" s="58">
        <v>0.12000000000000988</v>
      </c>
      <c r="K131" s="58">
        <v>2.5862068965519427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78</v>
      </c>
      <c r="D132" s="1" t="s">
        <v>2</v>
      </c>
      <c r="E132" s="59" t="s">
        <v>17</v>
      </c>
      <c r="F132" s="60">
        <v>1.2363999999999999</v>
      </c>
      <c r="G132" s="60">
        <v>0.14099304947407801</v>
      </c>
      <c r="H132" s="61">
        <v>1.25979166666666</v>
      </c>
      <c r="I132" s="63">
        <v>1.37</v>
      </c>
      <c r="J132" s="58">
        <v>0.11020833333334012</v>
      </c>
      <c r="K132" s="58">
        <v>8.7481395733427387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78</v>
      </c>
      <c r="D133" s="1" t="s">
        <v>2</v>
      </c>
      <c r="E133" s="59" t="s">
        <v>18</v>
      </c>
      <c r="F133" s="60">
        <v>3.9426000000000001</v>
      </c>
      <c r="G133" s="60">
        <v>0.59667683045346998</v>
      </c>
      <c r="H133" s="61">
        <v>4.0639583333333302</v>
      </c>
      <c r="I133" s="63">
        <v>3.98</v>
      </c>
      <c r="J133" s="58">
        <v>-8.3958333333330248E-2</v>
      </c>
      <c r="K133" s="58">
        <v>-2.065925052545166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78</v>
      </c>
      <c r="D134" s="1" t="s">
        <v>2</v>
      </c>
      <c r="E134" s="59" t="s">
        <v>19</v>
      </c>
      <c r="F134" s="60"/>
      <c r="G134" s="60"/>
      <c r="H134" s="61"/>
      <c r="I134" s="63"/>
      <c r="J134" s="58"/>
      <c r="K134" s="58"/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78</v>
      </c>
      <c r="D135" s="1" t="s">
        <v>2</v>
      </c>
      <c r="E135" s="59" t="s">
        <v>12</v>
      </c>
      <c r="F135" s="60">
        <v>5.3437999999999999</v>
      </c>
      <c r="G135" s="60">
        <v>0.67599967455613397</v>
      </c>
      <c r="H135" s="61">
        <v>5.4658333333333298</v>
      </c>
      <c r="I135" s="63">
        <v>5.41</v>
      </c>
      <c r="J135" s="58">
        <v>-5.5833333333329627E-2</v>
      </c>
      <c r="K135" s="58">
        <v>-1.0214971794480194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78</v>
      </c>
      <c r="D136" s="1" t="s">
        <v>2</v>
      </c>
      <c r="E136" s="59" t="s">
        <v>13</v>
      </c>
      <c r="F136" s="60">
        <v>5.3196000000000003</v>
      </c>
      <c r="G136" s="60">
        <v>1.44789773119512</v>
      </c>
      <c r="H136" s="61">
        <v>5.8327272727272703</v>
      </c>
      <c r="I136" s="63">
        <v>5.96</v>
      </c>
      <c r="J136" s="58">
        <v>0.12727272727272965</v>
      </c>
      <c r="K136" s="58">
        <v>2.1820448877805902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78</v>
      </c>
      <c r="D137" s="1" t="s">
        <v>2</v>
      </c>
      <c r="E137" s="59" t="s">
        <v>14</v>
      </c>
      <c r="F137" s="60">
        <v>2.3801999999999999</v>
      </c>
      <c r="G137" s="60">
        <v>0.33429023318068901</v>
      </c>
      <c r="H137" s="61">
        <v>2.45723404255319</v>
      </c>
      <c r="I137" s="63">
        <v>2.4300000000000002</v>
      </c>
      <c r="J137" s="58">
        <v>-2.7234042553189841E-2</v>
      </c>
      <c r="K137" s="58">
        <v>-1.1083210667589602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78</v>
      </c>
      <c r="D138" s="1" t="s">
        <v>2</v>
      </c>
      <c r="E138" s="59" t="s">
        <v>15</v>
      </c>
      <c r="F138" s="60">
        <v>3.5933999999999999</v>
      </c>
      <c r="G138" s="60">
        <v>0.68171140521484497</v>
      </c>
      <c r="H138" s="61">
        <v>3.7895652173913001</v>
      </c>
      <c r="I138" s="63">
        <v>3.89</v>
      </c>
      <c r="J138" s="58">
        <v>0.10043478260869998</v>
      </c>
      <c r="K138" s="58">
        <v>2.6502983019734994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78</v>
      </c>
      <c r="D139" s="1" t="s">
        <v>2</v>
      </c>
      <c r="E139" s="59" t="s">
        <v>16</v>
      </c>
      <c r="F139" s="60">
        <v>4.5481999999999996</v>
      </c>
      <c r="G139" s="60">
        <v>0.648918145839673</v>
      </c>
      <c r="H139" s="61">
        <v>4.6399999999999899</v>
      </c>
      <c r="I139" s="63">
        <v>4.78</v>
      </c>
      <c r="J139" s="58">
        <v>0.14000000000001034</v>
      </c>
      <c r="K139" s="58">
        <v>3.0172413793105743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78</v>
      </c>
      <c r="D140" s="1" t="s">
        <v>2</v>
      </c>
      <c r="E140" s="59" t="s">
        <v>17</v>
      </c>
      <c r="F140" s="60">
        <v>1.2363999999999999</v>
      </c>
      <c r="G140" s="60">
        <v>0.14099304947407801</v>
      </c>
      <c r="H140" s="61">
        <v>1.25979166666666</v>
      </c>
      <c r="I140" s="63">
        <v>1.38</v>
      </c>
      <c r="J140" s="58">
        <v>0.12020833333333991</v>
      </c>
      <c r="K140" s="58">
        <v>9.541921614024055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78</v>
      </c>
      <c r="D141" s="1" t="s">
        <v>2</v>
      </c>
      <c r="E141" s="59" t="s">
        <v>18</v>
      </c>
      <c r="F141" s="60">
        <v>3.9426000000000001</v>
      </c>
      <c r="G141" s="60">
        <v>0.59667683045346998</v>
      </c>
      <c r="H141" s="61">
        <v>4.0639583333333302</v>
      </c>
      <c r="I141" s="63">
        <v>4.01</v>
      </c>
      <c r="J141" s="58">
        <v>-5.3958333333330444E-2</v>
      </c>
      <c r="K141" s="58">
        <v>-1.3277285077151091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78</v>
      </c>
      <c r="D142" s="1" t="s">
        <v>2</v>
      </c>
      <c r="E142" s="59" t="s">
        <v>19</v>
      </c>
      <c r="F142" s="60"/>
      <c r="G142" s="60"/>
      <c r="H142" s="61"/>
      <c r="I142" s="63"/>
      <c r="J142" s="58"/>
      <c r="K142" s="58"/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78</v>
      </c>
      <c r="D143" s="1" t="s">
        <v>2</v>
      </c>
      <c r="E143" s="59" t="s">
        <v>12</v>
      </c>
      <c r="F143" s="60">
        <v>5.3437999999999999</v>
      </c>
      <c r="G143" s="60">
        <v>0.67599967455613397</v>
      </c>
      <c r="H143" s="61">
        <v>5.4658333333333298</v>
      </c>
      <c r="I143" s="63">
        <v>5.45</v>
      </c>
      <c r="J143" s="58">
        <v>-1.5833333333329591E-2</v>
      </c>
      <c r="K143" s="58">
        <v>-0.28967830461953836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78</v>
      </c>
      <c r="D144" s="1" t="s">
        <v>2</v>
      </c>
      <c r="E144" s="59" t="s">
        <v>13</v>
      </c>
      <c r="F144" s="60">
        <v>5.3196000000000003</v>
      </c>
      <c r="G144" s="60">
        <v>1.44789773119512</v>
      </c>
      <c r="H144" s="61">
        <v>5.8327272727272703</v>
      </c>
      <c r="I144" s="63">
        <v>6.03</v>
      </c>
      <c r="J144" s="58">
        <v>0.19727272727272993</v>
      </c>
      <c r="K144" s="58">
        <v>3.3821695760598973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78</v>
      </c>
      <c r="D145" s="1" t="s">
        <v>2</v>
      </c>
      <c r="E145" s="59" t="s">
        <v>14</v>
      </c>
      <c r="F145" s="60">
        <v>2.3801999999999999</v>
      </c>
      <c r="G145" s="60">
        <v>0.33429023318068901</v>
      </c>
      <c r="H145" s="61">
        <v>2.45723404255319</v>
      </c>
      <c r="I145" s="63">
        <v>2.4500000000000002</v>
      </c>
      <c r="J145" s="58">
        <v>-7.2340425531898234E-3</v>
      </c>
      <c r="K145" s="58">
        <v>-0.29439778335779887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78</v>
      </c>
      <c r="D146" s="1" t="s">
        <v>2</v>
      </c>
      <c r="E146" s="59" t="s">
        <v>15</v>
      </c>
      <c r="F146" s="60">
        <v>3.5933999999999999</v>
      </c>
      <c r="G146" s="60">
        <v>0.68171140521484497</v>
      </c>
      <c r="H146" s="61">
        <v>3.7895652173913001</v>
      </c>
      <c r="I146" s="63">
        <v>3.92</v>
      </c>
      <c r="J146" s="58">
        <v>0.13043478260869978</v>
      </c>
      <c r="K146" s="58">
        <v>3.4419458467187916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78</v>
      </c>
      <c r="D147" s="1" t="s">
        <v>2</v>
      </c>
      <c r="E147" s="59" t="s">
        <v>16</v>
      </c>
      <c r="F147" s="60">
        <v>4.5481999999999996</v>
      </c>
      <c r="G147" s="60">
        <v>0.648918145839673</v>
      </c>
      <c r="H147" s="61">
        <v>4.6399999999999899</v>
      </c>
      <c r="I147" s="63">
        <v>4.83</v>
      </c>
      <c r="J147" s="58">
        <v>0.19000000000001016</v>
      </c>
      <c r="K147" s="58">
        <v>4.0948275862071251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78</v>
      </c>
      <c r="D148" s="1" t="s">
        <v>2</v>
      </c>
      <c r="E148" s="59" t="s">
        <v>17</v>
      </c>
      <c r="F148" s="60">
        <v>1.2363999999999999</v>
      </c>
      <c r="G148" s="60">
        <v>0.14099304947407801</v>
      </c>
      <c r="H148" s="61">
        <v>1.25979166666666</v>
      </c>
      <c r="I148" s="63">
        <v>1.4</v>
      </c>
      <c r="J148" s="58">
        <v>0.14020833333333993</v>
      </c>
      <c r="K148" s="58">
        <v>11.129485695386725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78</v>
      </c>
      <c r="D149" s="1" t="s">
        <v>2</v>
      </c>
      <c r="E149" s="59" t="s">
        <v>18</v>
      </c>
      <c r="F149" s="60">
        <v>3.9426000000000001</v>
      </c>
      <c r="G149" s="60">
        <v>0.59667683045346998</v>
      </c>
      <c r="H149" s="61">
        <v>4.0639583333333302</v>
      </c>
      <c r="I149" s="63">
        <v>3.97</v>
      </c>
      <c r="J149" s="58">
        <v>-9.3958333333330035E-2</v>
      </c>
      <c r="K149" s="58">
        <v>-2.3119905674885146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78</v>
      </c>
      <c r="D150" s="1" t="s">
        <v>2</v>
      </c>
      <c r="E150" s="59" t="s">
        <v>19</v>
      </c>
      <c r="F150" s="60"/>
      <c r="G150" s="60"/>
      <c r="H150" s="61"/>
      <c r="I150" s="63"/>
      <c r="J150" s="58"/>
      <c r="K150" s="58"/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78</v>
      </c>
      <c r="D152" s="1" t="s">
        <v>2</v>
      </c>
      <c r="E152" s="59" t="s">
        <v>12</v>
      </c>
      <c r="F152" s="60">
        <v>5.8297727272727196</v>
      </c>
      <c r="G152" s="60">
        <v>0.63710812781577697</v>
      </c>
      <c r="H152" s="61">
        <v>5.9649999999999901</v>
      </c>
      <c r="I152" s="62">
        <v>5.36</v>
      </c>
      <c r="J152" s="37">
        <v>-0.60499999999998977</v>
      </c>
      <c r="K152" s="37">
        <v>-10.142497904442427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78</v>
      </c>
      <c r="D153" s="1" t="s">
        <v>2</v>
      </c>
      <c r="E153" s="59" t="s">
        <v>13</v>
      </c>
      <c r="F153" s="60">
        <v>2.774</v>
      </c>
      <c r="G153" s="60">
        <v>0.133022972118018</v>
      </c>
      <c r="H153" s="61">
        <v>2.7938636363636302</v>
      </c>
      <c r="I153" s="62">
        <v>2.94</v>
      </c>
      <c r="J153" s="37">
        <v>0.14613636363636973</v>
      </c>
      <c r="K153" s="37">
        <v>5.2306190514929494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78</v>
      </c>
      <c r="D154" s="1" t="s">
        <v>2</v>
      </c>
      <c r="E154" s="59" t="s">
        <v>14</v>
      </c>
      <c r="F154" s="60">
        <v>4.4015555555555501</v>
      </c>
      <c r="G154" s="60">
        <v>0.32452327809371601</v>
      </c>
      <c r="H154" s="61">
        <v>4.4741463414634097</v>
      </c>
      <c r="I154" s="62">
        <v>4.8</v>
      </c>
      <c r="J154" s="37">
        <v>0.3258536585365901</v>
      </c>
      <c r="K154" s="37">
        <v>7.2830353249019888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78</v>
      </c>
      <c r="D155" s="1" t="s">
        <v>2</v>
      </c>
      <c r="E155" s="59" t="s">
        <v>15</v>
      </c>
      <c r="F155" s="60">
        <v>3.4922222222222201</v>
      </c>
      <c r="G155" s="60">
        <v>0.36189555822326402</v>
      </c>
      <c r="H155" s="61">
        <v>3.585</v>
      </c>
      <c r="I155" s="62">
        <v>3.73</v>
      </c>
      <c r="J155" s="37">
        <v>0.14500000000000002</v>
      </c>
      <c r="K155" s="37">
        <v>4.0446304044630415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78</v>
      </c>
      <c r="D156" s="1" t="s">
        <v>2</v>
      </c>
      <c r="E156" s="59" t="s">
        <v>16</v>
      </c>
      <c r="F156" s="60">
        <v>1.60466666666666</v>
      </c>
      <c r="G156" s="60">
        <v>0.20635029547942099</v>
      </c>
      <c r="H156" s="61">
        <v>1.63568181818181</v>
      </c>
      <c r="I156" s="62">
        <v>1.71</v>
      </c>
      <c r="J156" s="37">
        <v>7.4318181818189943E-2</v>
      </c>
      <c r="K156" s="37">
        <v>4.5435598165907658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78</v>
      </c>
      <c r="D157" s="1" t="s">
        <v>2</v>
      </c>
      <c r="E157" s="59" t="s">
        <v>17</v>
      </c>
      <c r="F157" s="60">
        <v>5.2555555555555502</v>
      </c>
      <c r="G157" s="60">
        <v>0.64290851450629505</v>
      </c>
      <c r="H157" s="61">
        <v>5.3853488372092997</v>
      </c>
      <c r="I157" s="62">
        <v>5.0599999999999996</v>
      </c>
      <c r="J157" s="37">
        <v>-0.32534883720930008</v>
      </c>
      <c r="K157" s="37">
        <v>-6.041369780196014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78</v>
      </c>
      <c r="D158" s="1" t="s">
        <v>2</v>
      </c>
      <c r="E158" s="59" t="s">
        <v>18</v>
      </c>
      <c r="F158" s="60">
        <v>1.91688888888888</v>
      </c>
      <c r="G158" s="60">
        <v>9.8518407128870403E-2</v>
      </c>
      <c r="H158" s="61">
        <v>1.9286046511627899</v>
      </c>
      <c r="I158" s="62">
        <v>1.69</v>
      </c>
      <c r="J158" s="37">
        <v>-0.23860465116278995</v>
      </c>
      <c r="K158" s="37">
        <v>-12.371879898709722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78</v>
      </c>
      <c r="D159" s="1" t="s">
        <v>2</v>
      </c>
      <c r="E159" s="59" t="s">
        <v>19</v>
      </c>
      <c r="F159" s="60">
        <v>1.63622222222222</v>
      </c>
      <c r="G159" s="60">
        <v>1.75485217976885E-2</v>
      </c>
      <c r="H159" s="61">
        <v>1.6365714285714199</v>
      </c>
      <c r="I159" s="62">
        <v>1.68</v>
      </c>
      <c r="J159" s="37">
        <v>4.3428571428580032E-2</v>
      </c>
      <c r="K159" s="37">
        <v>2.6536312849167407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78</v>
      </c>
      <c r="D160" s="1" t="s">
        <v>2</v>
      </c>
      <c r="E160" s="59" t="s">
        <v>12</v>
      </c>
      <c r="F160" s="60">
        <v>5.8297727272727196</v>
      </c>
      <c r="G160" s="60">
        <v>0.63710812781577697</v>
      </c>
      <c r="H160" s="61">
        <v>5.9649999999999901</v>
      </c>
      <c r="I160" s="62">
        <v>5.32</v>
      </c>
      <c r="J160" s="37">
        <v>-0.6449999999999898</v>
      </c>
      <c r="K160" s="37">
        <v>-10.813076278289872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78</v>
      </c>
      <c r="D161" s="1" t="s">
        <v>2</v>
      </c>
      <c r="E161" s="59" t="s">
        <v>13</v>
      </c>
      <c r="F161" s="60">
        <v>2.774</v>
      </c>
      <c r="G161" s="60">
        <v>0.133022972118018</v>
      </c>
      <c r="H161" s="61">
        <v>2.7938636363636302</v>
      </c>
      <c r="I161" s="62">
        <v>2.95</v>
      </c>
      <c r="J161" s="37">
        <v>0.15613636363636996</v>
      </c>
      <c r="K161" s="37">
        <v>5.5885463271783076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78</v>
      </c>
      <c r="D162" s="1" t="s">
        <v>2</v>
      </c>
      <c r="E162" s="59" t="s">
        <v>14</v>
      </c>
      <c r="F162" s="60">
        <v>4.4015555555555501</v>
      </c>
      <c r="G162" s="60">
        <v>0.32452327809371601</v>
      </c>
      <c r="H162" s="61">
        <v>4.4741463414634097</v>
      </c>
      <c r="I162" s="62">
        <v>4.8099999999999996</v>
      </c>
      <c r="J162" s="37">
        <v>0.33585365853658988</v>
      </c>
      <c r="K162" s="37">
        <v>7.5065416484955296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78</v>
      </c>
      <c r="D163" s="1" t="s">
        <v>2</v>
      </c>
      <c r="E163" s="59" t="s">
        <v>15</v>
      </c>
      <c r="F163" s="60">
        <v>3.4922222222222201</v>
      </c>
      <c r="G163" s="60">
        <v>0.36189555822326402</v>
      </c>
      <c r="H163" s="61">
        <v>3.585</v>
      </c>
      <c r="I163" s="62">
        <v>3.68</v>
      </c>
      <c r="J163" s="37">
        <v>9.5000000000000195E-2</v>
      </c>
      <c r="K163" s="37">
        <v>2.6499302649930319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78</v>
      </c>
      <c r="D164" s="1" t="s">
        <v>2</v>
      </c>
      <c r="E164" s="59" t="s">
        <v>16</v>
      </c>
      <c r="F164" s="60">
        <v>1.60466666666666</v>
      </c>
      <c r="G164" s="60">
        <v>0.20635029547942099</v>
      </c>
      <c r="H164" s="61">
        <v>1.63568181818181</v>
      </c>
      <c r="I164" s="62">
        <v>1.73</v>
      </c>
      <c r="J164" s="37">
        <v>9.4318181818189961E-2</v>
      </c>
      <c r="K164" s="37">
        <v>5.7662915103520618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78</v>
      </c>
      <c r="D165" s="1" t="s">
        <v>2</v>
      </c>
      <c r="E165" s="59" t="s">
        <v>17</v>
      </c>
      <c r="F165" s="60">
        <v>5.2555555555555502</v>
      </c>
      <c r="G165" s="60">
        <v>0.64290851450629505</v>
      </c>
      <c r="H165" s="61">
        <v>5.3853488372092997</v>
      </c>
      <c r="I165" s="62">
        <v>5.0599999999999996</v>
      </c>
      <c r="J165" s="37">
        <v>-0.32534883720930008</v>
      </c>
      <c r="K165" s="37">
        <v>-6.041369780196014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78</v>
      </c>
      <c r="D166" s="1" t="s">
        <v>2</v>
      </c>
      <c r="E166" s="59" t="s">
        <v>18</v>
      </c>
      <c r="F166" s="60">
        <v>1.91688888888888</v>
      </c>
      <c r="G166" s="60">
        <v>9.8518407128870403E-2</v>
      </c>
      <c r="H166" s="61">
        <v>1.9286046511627899</v>
      </c>
      <c r="I166" s="62">
        <v>1.74</v>
      </c>
      <c r="J166" s="37">
        <v>-0.1886046511627899</v>
      </c>
      <c r="K166" s="37">
        <v>-9.7793319667188818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78</v>
      </c>
      <c r="D167" s="1" t="s">
        <v>2</v>
      </c>
      <c r="E167" s="59" t="s">
        <v>19</v>
      </c>
      <c r="F167" s="60">
        <v>1.63622222222222</v>
      </c>
      <c r="G167" s="60">
        <v>1.75485217976885E-2</v>
      </c>
      <c r="H167" s="61">
        <v>1.6365714285714199</v>
      </c>
      <c r="I167" s="62">
        <v>1.74</v>
      </c>
      <c r="J167" s="37">
        <v>0.10342857142858009</v>
      </c>
      <c r="K167" s="37">
        <v>6.3198324022351997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78</v>
      </c>
      <c r="D168" s="1" t="s">
        <v>2</v>
      </c>
      <c r="E168" s="59" t="s">
        <v>12</v>
      </c>
      <c r="F168" s="60">
        <v>5.8297727272727196</v>
      </c>
      <c r="G168" s="60">
        <v>0.63710812781577697</v>
      </c>
      <c r="H168" s="61">
        <v>5.9649999999999901</v>
      </c>
      <c r="I168" s="62">
        <v>5.28</v>
      </c>
      <c r="J168" s="37">
        <v>-0.68499999999998984</v>
      </c>
      <c r="K168" s="37">
        <v>-11.483654652137318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78</v>
      </c>
      <c r="D169" s="1" t="s">
        <v>2</v>
      </c>
      <c r="E169" s="59" t="s">
        <v>13</v>
      </c>
      <c r="F169" s="60">
        <v>2.774</v>
      </c>
      <c r="G169" s="60">
        <v>0.133022972118018</v>
      </c>
      <c r="H169" s="61">
        <v>2.7938636363636302</v>
      </c>
      <c r="I169" s="62">
        <v>2.98</v>
      </c>
      <c r="J169" s="37">
        <v>0.18613636363636976</v>
      </c>
      <c r="K169" s="37">
        <v>6.6623281542343511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78</v>
      </c>
      <c r="D170" s="1" t="s">
        <v>2</v>
      </c>
      <c r="E170" s="59" t="s">
        <v>14</v>
      </c>
      <c r="F170" s="60">
        <v>4.4015555555555501</v>
      </c>
      <c r="G170" s="60">
        <v>0.32452327809371601</v>
      </c>
      <c r="H170" s="61">
        <v>4.4741463414634097</v>
      </c>
      <c r="I170" s="62">
        <v>4.83</v>
      </c>
      <c r="J170" s="37">
        <v>0.35585365853659034</v>
      </c>
      <c r="K170" s="37">
        <v>7.9535542956826317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78</v>
      </c>
      <c r="D171" s="1" t="s">
        <v>2</v>
      </c>
      <c r="E171" s="59" t="s">
        <v>15</v>
      </c>
      <c r="F171" s="60">
        <v>3.4922222222222201</v>
      </c>
      <c r="G171" s="60">
        <v>0.36189555822326402</v>
      </c>
      <c r="H171" s="61">
        <v>3.585</v>
      </c>
      <c r="I171" s="62">
        <v>3.71</v>
      </c>
      <c r="J171" s="37">
        <v>0.125</v>
      </c>
      <c r="K171" s="37">
        <v>3.4867503486750349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78</v>
      </c>
      <c r="D172" s="1" t="s">
        <v>2</v>
      </c>
      <c r="E172" s="59" t="s">
        <v>16</v>
      </c>
      <c r="F172" s="60">
        <v>1.60466666666666</v>
      </c>
      <c r="G172" s="60">
        <v>0.20635029547942099</v>
      </c>
      <c r="H172" s="61">
        <v>1.63568181818181</v>
      </c>
      <c r="I172" s="62">
        <v>1.74</v>
      </c>
      <c r="J172" s="37">
        <v>0.10431818181818997</v>
      </c>
      <c r="K172" s="37">
        <v>6.3776573572327102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78</v>
      </c>
      <c r="D173" s="1" t="s">
        <v>2</v>
      </c>
      <c r="E173" s="59" t="s">
        <v>17</v>
      </c>
      <c r="F173" s="60">
        <v>5.2555555555555502</v>
      </c>
      <c r="G173" s="60">
        <v>0.64290851450629505</v>
      </c>
      <c r="H173" s="61">
        <v>5.3853488372092997</v>
      </c>
      <c r="I173" s="62">
        <v>5.14</v>
      </c>
      <c r="J173" s="37">
        <v>-0.24534883720930001</v>
      </c>
      <c r="K173" s="37">
        <v>-4.5558578399619574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78</v>
      </c>
      <c r="D174" s="1" t="s">
        <v>2</v>
      </c>
      <c r="E174" s="59" t="s">
        <v>18</v>
      </c>
      <c r="F174" s="60">
        <v>1.91688888888888</v>
      </c>
      <c r="G174" s="60">
        <v>9.8518407128870403E-2</v>
      </c>
      <c r="H174" s="61">
        <v>1.9286046511627899</v>
      </c>
      <c r="I174" s="62">
        <v>1.7</v>
      </c>
      <c r="J174" s="37">
        <v>-0.22860465116278994</v>
      </c>
      <c r="K174" s="37">
        <v>-11.853370312311554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78</v>
      </c>
      <c r="D175" s="1" t="s">
        <v>2</v>
      </c>
      <c r="E175" s="59" t="s">
        <v>19</v>
      </c>
      <c r="F175" s="60">
        <v>1.63622222222222</v>
      </c>
      <c r="G175" s="60">
        <v>1.75485217976885E-2</v>
      </c>
      <c r="H175" s="61">
        <v>1.6365714285714199</v>
      </c>
      <c r="I175" s="62">
        <v>1.73</v>
      </c>
      <c r="J175" s="37">
        <v>9.3428571428580076E-2</v>
      </c>
      <c r="K175" s="37">
        <v>5.7087988826821228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78</v>
      </c>
      <c r="D177" s="1" t="s">
        <v>2</v>
      </c>
      <c r="E177" s="59" t="s">
        <v>12</v>
      </c>
      <c r="F177" s="60">
        <v>5.61899999999999</v>
      </c>
      <c r="G177" s="60">
        <v>1.0518312602314099</v>
      </c>
      <c r="H177" s="61">
        <v>5.9508888888888798</v>
      </c>
      <c r="I177" s="62">
        <v>5.36</v>
      </c>
      <c r="J177" s="37">
        <v>-0.59088888888887947</v>
      </c>
      <c r="K177" s="37">
        <v>-9.9294223085251954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78</v>
      </c>
      <c r="D178" s="1" t="s">
        <v>2</v>
      </c>
      <c r="E178" s="59" t="s">
        <v>13</v>
      </c>
      <c r="F178" s="60">
        <v>2.7688000000000001</v>
      </c>
      <c r="G178" s="60">
        <v>0.190469315114009</v>
      </c>
      <c r="H178" s="61">
        <v>2.7959183673469301</v>
      </c>
      <c r="I178" s="62">
        <v>2.94</v>
      </c>
      <c r="J178" s="37">
        <v>0.14408163265306984</v>
      </c>
      <c r="K178" s="37">
        <v>5.1532846715331706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78</v>
      </c>
      <c r="D179" s="1" t="s">
        <v>2</v>
      </c>
      <c r="E179" s="59" t="s">
        <v>14</v>
      </c>
      <c r="F179" s="60">
        <v>4.3845999999999901</v>
      </c>
      <c r="G179" s="60">
        <v>0.41025460387422802</v>
      </c>
      <c r="H179" s="61">
        <v>4.4670833333333304</v>
      </c>
      <c r="I179" s="62">
        <v>4.8</v>
      </c>
      <c r="J179" s="37">
        <v>0.33291666666666941</v>
      </c>
      <c r="K179" s="37">
        <v>7.4526629978547438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78</v>
      </c>
      <c r="D180" s="1" t="s">
        <v>2</v>
      </c>
      <c r="E180" s="59" t="s">
        <v>15</v>
      </c>
      <c r="F180" s="60">
        <v>3.472</v>
      </c>
      <c r="G180" s="60">
        <v>0.458397207670378</v>
      </c>
      <c r="H180" s="61">
        <v>3.5872340425531899</v>
      </c>
      <c r="I180" s="62">
        <v>3.73</v>
      </c>
      <c r="J180" s="37">
        <v>0.14276595744681009</v>
      </c>
      <c r="K180" s="37">
        <v>3.979833926453189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78</v>
      </c>
      <c r="D181" s="1" t="s">
        <v>2</v>
      </c>
      <c r="E181" s="59" t="s">
        <v>16</v>
      </c>
      <c r="F181" s="60">
        <v>1.61265306122449</v>
      </c>
      <c r="G181" s="60">
        <v>0.145234160121298</v>
      </c>
      <c r="H181" s="61">
        <v>1.63829787234042</v>
      </c>
      <c r="I181" s="62">
        <v>1.71</v>
      </c>
      <c r="J181" s="37">
        <v>7.1702127659579951E-2</v>
      </c>
      <c r="K181" s="37">
        <v>4.3766233766237264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78</v>
      </c>
      <c r="D182" s="1" t="s">
        <v>2</v>
      </c>
      <c r="E182" s="59" t="s">
        <v>17</v>
      </c>
      <c r="F182" s="60">
        <v>5.1869999999999896</v>
      </c>
      <c r="G182" s="60">
        <v>0.73122705092194096</v>
      </c>
      <c r="H182" s="61">
        <v>5.3971111111110996</v>
      </c>
      <c r="I182" s="62">
        <v>5.0599999999999996</v>
      </c>
      <c r="J182" s="37">
        <v>-0.33711111111110004</v>
      </c>
      <c r="K182" s="37">
        <v>-6.2461399102398545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78</v>
      </c>
      <c r="D183" s="1" t="s">
        <v>2</v>
      </c>
      <c r="E183" s="59" t="s">
        <v>18</v>
      </c>
      <c r="F183" s="60">
        <v>1.8626</v>
      </c>
      <c r="G183" s="60">
        <v>0.35463113230510301</v>
      </c>
      <c r="H183" s="61">
        <v>1.93479166666666</v>
      </c>
      <c r="I183" s="62">
        <v>1.69</v>
      </c>
      <c r="J183" s="37">
        <v>-0.24479166666666008</v>
      </c>
      <c r="K183" s="37">
        <v>-12.652094325400801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78</v>
      </c>
      <c r="D184" s="1" t="s">
        <v>2</v>
      </c>
      <c r="E184" s="59" t="s">
        <v>19</v>
      </c>
      <c r="F184" s="60">
        <v>1.6053999999999999</v>
      </c>
      <c r="G184" s="60">
        <v>0.19952152766055001</v>
      </c>
      <c r="H184" s="61">
        <v>1.64083333333333</v>
      </c>
      <c r="I184" s="62">
        <v>1.68</v>
      </c>
      <c r="J184" s="37">
        <v>3.9166666666669903E-2</v>
      </c>
      <c r="K184" s="37">
        <v>2.3869984763841532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78</v>
      </c>
      <c r="D185" s="1" t="s">
        <v>2</v>
      </c>
      <c r="E185" s="59" t="s">
        <v>12</v>
      </c>
      <c r="F185" s="60">
        <v>5.61899999999999</v>
      </c>
      <c r="G185" s="60">
        <v>1.0518312602314099</v>
      </c>
      <c r="H185" s="61">
        <v>5.9508888888888798</v>
      </c>
      <c r="I185" s="62">
        <v>5.32</v>
      </c>
      <c r="J185" s="37">
        <v>-0.63088888888887951</v>
      </c>
      <c r="K185" s="37">
        <v>-10.601590798760082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78</v>
      </c>
      <c r="D186" s="1" t="s">
        <v>2</v>
      </c>
      <c r="E186" s="59" t="s">
        <v>13</v>
      </c>
      <c r="F186" s="60">
        <v>2.7688000000000001</v>
      </c>
      <c r="G186" s="60">
        <v>0.190469315114009</v>
      </c>
      <c r="H186" s="61">
        <v>2.7959183673469301</v>
      </c>
      <c r="I186" s="62">
        <v>2.95</v>
      </c>
      <c r="J186" s="37">
        <v>0.15408163265307007</v>
      </c>
      <c r="K186" s="37">
        <v>5.5109489051098217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78</v>
      </c>
      <c r="D187" s="1" t="s">
        <v>2</v>
      </c>
      <c r="E187" s="59" t="s">
        <v>14</v>
      </c>
      <c r="F187" s="60">
        <v>4.3845999999999901</v>
      </c>
      <c r="G187" s="60">
        <v>0.41025460387422802</v>
      </c>
      <c r="H187" s="61">
        <v>4.4670833333333304</v>
      </c>
      <c r="I187" s="62">
        <v>4.8099999999999996</v>
      </c>
      <c r="J187" s="37">
        <v>0.3429166666666692</v>
      </c>
      <c r="K187" s="37">
        <v>7.6765227124336031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78</v>
      </c>
      <c r="D188" s="1" t="s">
        <v>2</v>
      </c>
      <c r="E188" s="59" t="s">
        <v>15</v>
      </c>
      <c r="F188" s="60">
        <v>3.472</v>
      </c>
      <c r="G188" s="60">
        <v>0.458397207670378</v>
      </c>
      <c r="H188" s="61">
        <v>3.5872340425531899</v>
      </c>
      <c r="I188" s="62">
        <v>3.68</v>
      </c>
      <c r="J188" s="37">
        <v>9.2765957446810265E-2</v>
      </c>
      <c r="K188" s="37">
        <v>2.5860023724792911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78</v>
      </c>
      <c r="D189" s="1" t="s">
        <v>2</v>
      </c>
      <c r="E189" s="59" t="s">
        <v>16</v>
      </c>
      <c r="F189" s="60">
        <v>1.61265306122449</v>
      </c>
      <c r="G189" s="60">
        <v>0.145234160121298</v>
      </c>
      <c r="H189" s="61">
        <v>1.63829787234042</v>
      </c>
      <c r="I189" s="62">
        <v>1.73</v>
      </c>
      <c r="J189" s="37">
        <v>9.1702127659579968E-2</v>
      </c>
      <c r="K189" s="37">
        <v>5.5974025974029518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78</v>
      </c>
      <c r="D190" s="1" t="s">
        <v>2</v>
      </c>
      <c r="E190" s="59" t="s">
        <v>17</v>
      </c>
      <c r="F190" s="60">
        <v>5.1869999999999896</v>
      </c>
      <c r="G190" s="60">
        <v>0.73122705092194096</v>
      </c>
      <c r="H190" s="61">
        <v>5.3971111111110996</v>
      </c>
      <c r="I190" s="62">
        <v>5.0599999999999996</v>
      </c>
      <c r="J190" s="37">
        <v>-0.33711111111110004</v>
      </c>
      <c r="K190" s="37">
        <v>-6.2461399102398545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78</v>
      </c>
      <c r="D191" s="1" t="s">
        <v>2</v>
      </c>
      <c r="E191" s="59" t="s">
        <v>18</v>
      </c>
      <c r="F191" s="60">
        <v>1.8626</v>
      </c>
      <c r="G191" s="60">
        <v>0.35463113230510301</v>
      </c>
      <c r="H191" s="61">
        <v>1.93479166666666</v>
      </c>
      <c r="I191" s="62">
        <v>1.74</v>
      </c>
      <c r="J191" s="37">
        <v>-0.19479166666666003</v>
      </c>
      <c r="K191" s="37">
        <v>-10.067836761063544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78</v>
      </c>
      <c r="D192" s="1" t="s">
        <v>2</v>
      </c>
      <c r="E192" s="59" t="s">
        <v>19</v>
      </c>
      <c r="F192" s="60">
        <v>1.6053999999999999</v>
      </c>
      <c r="G192" s="60">
        <v>0.19952152766055001</v>
      </c>
      <c r="H192" s="61">
        <v>1.64083333333333</v>
      </c>
      <c r="I192" s="62">
        <v>1.74</v>
      </c>
      <c r="J192" s="37">
        <v>9.9166666666669956E-2</v>
      </c>
      <c r="K192" s="37">
        <v>6.0436769933978765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78</v>
      </c>
      <c r="D193" s="1" t="s">
        <v>2</v>
      </c>
      <c r="E193" s="59" t="s">
        <v>12</v>
      </c>
      <c r="F193" s="60">
        <v>5.61899999999999</v>
      </c>
      <c r="G193" s="60">
        <v>1.0518312602314099</v>
      </c>
      <c r="H193" s="61">
        <v>5.9508888888888798</v>
      </c>
      <c r="I193" s="62">
        <v>5.28</v>
      </c>
      <c r="J193" s="37">
        <v>-0.67088888888887954</v>
      </c>
      <c r="K193" s="37">
        <v>-11.273759288994968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78</v>
      </c>
      <c r="D194" s="1" t="s">
        <v>2</v>
      </c>
      <c r="E194" s="59" t="s">
        <v>13</v>
      </c>
      <c r="F194" s="60">
        <v>2.7688000000000001</v>
      </c>
      <c r="G194" s="60">
        <v>0.190469315114009</v>
      </c>
      <c r="H194" s="61">
        <v>2.7959183673469301</v>
      </c>
      <c r="I194" s="62">
        <v>2.98</v>
      </c>
      <c r="J194" s="37">
        <v>0.18408163265306987</v>
      </c>
      <c r="K194" s="37">
        <v>6.5839416058397449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78</v>
      </c>
      <c r="D195" s="1" t="s">
        <v>2</v>
      </c>
      <c r="E195" s="59" t="s">
        <v>14</v>
      </c>
      <c r="F195" s="60">
        <v>4.3845999999999901</v>
      </c>
      <c r="G195" s="60">
        <v>0.41025460387422802</v>
      </c>
      <c r="H195" s="61">
        <v>4.4670833333333304</v>
      </c>
      <c r="I195" s="62">
        <v>4.83</v>
      </c>
      <c r="J195" s="37">
        <v>0.36291666666666966</v>
      </c>
      <c r="K195" s="37">
        <v>8.1242421415913419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78</v>
      </c>
      <c r="D196" s="1" t="s">
        <v>2</v>
      </c>
      <c r="E196" s="59" t="s">
        <v>15</v>
      </c>
      <c r="F196" s="60">
        <v>3.472</v>
      </c>
      <c r="G196" s="60">
        <v>0.458397207670378</v>
      </c>
      <c r="H196" s="61">
        <v>3.5872340425531899</v>
      </c>
      <c r="I196" s="62">
        <v>3.71</v>
      </c>
      <c r="J196" s="37">
        <v>0.12276595744681007</v>
      </c>
      <c r="K196" s="37">
        <v>3.4223013048636273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78</v>
      </c>
      <c r="D197" s="1" t="s">
        <v>2</v>
      </c>
      <c r="E197" s="59" t="s">
        <v>16</v>
      </c>
      <c r="F197" s="60">
        <v>1.61265306122449</v>
      </c>
      <c r="G197" s="60">
        <v>0.145234160121298</v>
      </c>
      <c r="H197" s="61">
        <v>1.63829787234042</v>
      </c>
      <c r="I197" s="62">
        <v>1.74</v>
      </c>
      <c r="J197" s="37">
        <v>0.10170212765957998</v>
      </c>
      <c r="K197" s="37">
        <v>6.2077922077925649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78</v>
      </c>
      <c r="D198" s="1" t="s">
        <v>2</v>
      </c>
      <c r="E198" s="59" t="s">
        <v>17</v>
      </c>
      <c r="F198" s="60">
        <v>5.1869999999999896</v>
      </c>
      <c r="G198" s="60">
        <v>0.73122705092194096</v>
      </c>
      <c r="H198" s="61">
        <v>5.3971111111110996</v>
      </c>
      <c r="I198" s="62">
        <v>5.14</v>
      </c>
      <c r="J198" s="37">
        <v>-0.25711111111109997</v>
      </c>
      <c r="K198" s="37">
        <v>-4.7638654424175577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78</v>
      </c>
      <c r="D199" s="1" t="s">
        <v>2</v>
      </c>
      <c r="E199" s="59" t="s">
        <v>18</v>
      </c>
      <c r="F199" s="60">
        <v>1.8626</v>
      </c>
      <c r="G199" s="60">
        <v>0.35463113230510301</v>
      </c>
      <c r="H199" s="61">
        <v>1.93479166666666</v>
      </c>
      <c r="I199" s="62">
        <v>1.7</v>
      </c>
      <c r="J199" s="37">
        <v>-0.23479166666666007</v>
      </c>
      <c r="K199" s="37">
        <v>-12.135242812533351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78</v>
      </c>
      <c r="D200" s="1" t="s">
        <v>2</v>
      </c>
      <c r="E200" s="59" t="s">
        <v>19</v>
      </c>
      <c r="F200" s="60">
        <v>1.6053999999999999</v>
      </c>
      <c r="G200" s="60">
        <v>0.19952152766055001</v>
      </c>
      <c r="H200" s="61">
        <v>1.64083333333333</v>
      </c>
      <c r="I200" s="62">
        <v>1.73</v>
      </c>
      <c r="J200" s="37">
        <v>8.9166666666669947E-2</v>
      </c>
      <c r="K200" s="37">
        <v>5.4342305738955892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78</v>
      </c>
      <c r="D202" s="1" t="s">
        <v>2</v>
      </c>
      <c r="E202" s="59" t="s">
        <v>12</v>
      </c>
      <c r="F202" s="60">
        <v>5.7982499999999897</v>
      </c>
      <c r="G202" s="60">
        <v>0.81020950222766397</v>
      </c>
      <c r="H202" s="61">
        <v>5.92794871794871</v>
      </c>
      <c r="I202" s="63">
        <v>5.36</v>
      </c>
      <c r="J202" s="58">
        <v>-0.56794871794870971</v>
      </c>
      <c r="K202" s="58">
        <v>-9.5808642242310249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78</v>
      </c>
      <c r="D203" s="1" t="s">
        <v>2</v>
      </c>
      <c r="E203" s="59" t="s">
        <v>13</v>
      </c>
      <c r="F203" s="60">
        <v>2.6577500000000001</v>
      </c>
      <c r="G203" s="60">
        <v>0.45858743713712802</v>
      </c>
      <c r="H203" s="61">
        <v>2.7743243243243199</v>
      </c>
      <c r="I203" s="63">
        <v>2.94</v>
      </c>
      <c r="J203" s="58">
        <v>0.16567567567568009</v>
      </c>
      <c r="K203" s="58">
        <v>5.9717486604970027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78</v>
      </c>
      <c r="D204" s="1" t="s">
        <v>2</v>
      </c>
      <c r="E204" s="59" t="s">
        <v>14</v>
      </c>
      <c r="F204" s="60">
        <v>3.9942499999999899</v>
      </c>
      <c r="G204" s="60">
        <v>1.0843151928752</v>
      </c>
      <c r="H204" s="61">
        <v>4.3705714285714201</v>
      </c>
      <c r="I204" s="63">
        <v>4.8</v>
      </c>
      <c r="J204" s="58">
        <v>0.42942857142857971</v>
      </c>
      <c r="K204" s="58">
        <v>9.8254559717593768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78</v>
      </c>
      <c r="D205" s="1" t="s">
        <v>2</v>
      </c>
      <c r="E205" s="59" t="s">
        <v>15</v>
      </c>
      <c r="F205" s="60">
        <v>3.3964999999999899</v>
      </c>
      <c r="G205" s="60">
        <v>0.66956161030931205</v>
      </c>
      <c r="H205" s="61">
        <v>3.57567567567567</v>
      </c>
      <c r="I205" s="63">
        <v>3.73</v>
      </c>
      <c r="J205" s="58">
        <v>0.15432432432432996</v>
      </c>
      <c r="K205" s="58">
        <v>4.3159486016630524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78</v>
      </c>
      <c r="D206" s="1" t="s">
        <v>2</v>
      </c>
      <c r="E206" s="59" t="s">
        <v>16</v>
      </c>
      <c r="F206" s="60">
        <v>1.64025</v>
      </c>
      <c r="G206" s="60">
        <v>1.8906017560554499E-2</v>
      </c>
      <c r="H206" s="61">
        <v>1.63919999999999</v>
      </c>
      <c r="I206" s="63">
        <v>1.71</v>
      </c>
      <c r="J206" s="58">
        <v>7.0800000000009966E-2</v>
      </c>
      <c r="K206" s="58">
        <v>4.3191800878483653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78</v>
      </c>
      <c r="D207" s="1" t="s">
        <v>2</v>
      </c>
      <c r="E207" s="59" t="s">
        <v>17</v>
      </c>
      <c r="F207" s="60">
        <v>5.3247499999999999</v>
      </c>
      <c r="G207" s="60">
        <v>0.59960815329680095</v>
      </c>
      <c r="H207" s="61">
        <v>5.4197435897435797</v>
      </c>
      <c r="I207" s="63">
        <v>5.0599999999999996</v>
      </c>
      <c r="J207" s="58">
        <v>-0.35974358974358012</v>
      </c>
      <c r="K207" s="58">
        <v>-6.6376496191510856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78</v>
      </c>
      <c r="D208" s="1" t="s">
        <v>2</v>
      </c>
      <c r="E208" s="59" t="s">
        <v>18</v>
      </c>
      <c r="F208" s="60">
        <v>1.83574999999999</v>
      </c>
      <c r="G208" s="60">
        <v>0.32982485882661999</v>
      </c>
      <c r="H208" s="61">
        <v>1.94166666666666</v>
      </c>
      <c r="I208" s="63">
        <v>1.69</v>
      </c>
      <c r="J208" s="58">
        <v>-0.25166666666666004</v>
      </c>
      <c r="K208" s="58">
        <v>-12.961373390557643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78</v>
      </c>
      <c r="D209" s="1" t="s">
        <v>2</v>
      </c>
      <c r="E209" s="59" t="s">
        <v>19</v>
      </c>
      <c r="F209" s="60">
        <v>1.6219999999999899</v>
      </c>
      <c r="G209" s="60">
        <v>0.108517279730004</v>
      </c>
      <c r="H209" s="61">
        <v>1.6452631578947301</v>
      </c>
      <c r="I209" s="63">
        <v>1.68</v>
      </c>
      <c r="J209" s="58">
        <v>3.4736842105269838E-2</v>
      </c>
      <c r="K209" s="58">
        <v>2.1113243762000309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78</v>
      </c>
      <c r="D210" s="1" t="s">
        <v>2</v>
      </c>
      <c r="E210" s="59" t="s">
        <v>12</v>
      </c>
      <c r="F210" s="60">
        <v>5.7982499999999897</v>
      </c>
      <c r="G210" s="60">
        <v>0.81020950222766397</v>
      </c>
      <c r="H210" s="61">
        <v>5.92794871794871</v>
      </c>
      <c r="I210" s="63">
        <v>5.32</v>
      </c>
      <c r="J210" s="58">
        <v>-0.60794871794870975</v>
      </c>
      <c r="K210" s="58">
        <v>-10.255633894199452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78</v>
      </c>
      <c r="D211" s="1" t="s">
        <v>2</v>
      </c>
      <c r="E211" s="59" t="s">
        <v>13</v>
      </c>
      <c r="F211" s="60">
        <v>2.6577500000000001</v>
      </c>
      <c r="G211" s="60">
        <v>0.45858743713712802</v>
      </c>
      <c r="H211" s="61">
        <v>2.7743243243243199</v>
      </c>
      <c r="I211" s="63">
        <v>2.95</v>
      </c>
      <c r="J211" s="58">
        <v>0.17567567567568032</v>
      </c>
      <c r="K211" s="58">
        <v>6.3321967851925791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78</v>
      </c>
      <c r="D212" s="1" t="s">
        <v>2</v>
      </c>
      <c r="E212" s="59" t="s">
        <v>14</v>
      </c>
      <c r="F212" s="60">
        <v>3.9942499999999899</v>
      </c>
      <c r="G212" s="60">
        <v>1.0843151928752</v>
      </c>
      <c r="H212" s="61">
        <v>4.3705714285714201</v>
      </c>
      <c r="I212" s="63">
        <v>4.8099999999999996</v>
      </c>
      <c r="J212" s="58">
        <v>0.4394285714285795</v>
      </c>
      <c r="K212" s="58">
        <v>10.05425900503387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78</v>
      </c>
      <c r="D213" s="1" t="s">
        <v>2</v>
      </c>
      <c r="E213" s="59" t="s">
        <v>15</v>
      </c>
      <c r="F213" s="60">
        <v>3.3964999999999899</v>
      </c>
      <c r="G213" s="60">
        <v>0.66956161030931205</v>
      </c>
      <c r="H213" s="61">
        <v>3.57567567567567</v>
      </c>
      <c r="I213" s="63">
        <v>3.68</v>
      </c>
      <c r="J213" s="58">
        <v>0.10432432432433014</v>
      </c>
      <c r="K213" s="58">
        <v>2.9176114890402278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78</v>
      </c>
      <c r="D214" s="1" t="s">
        <v>2</v>
      </c>
      <c r="E214" s="59" t="s">
        <v>16</v>
      </c>
      <c r="F214" s="60">
        <v>1.64025</v>
      </c>
      <c r="G214" s="60">
        <v>1.8906017560554499E-2</v>
      </c>
      <c r="H214" s="61">
        <v>1.63919999999999</v>
      </c>
      <c r="I214" s="63">
        <v>1.73</v>
      </c>
      <c r="J214" s="58">
        <v>9.0800000000009984E-2</v>
      </c>
      <c r="K214" s="58">
        <v>5.5392874572968847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78</v>
      </c>
      <c r="D215" s="1" t="s">
        <v>2</v>
      </c>
      <c r="E215" s="59" t="s">
        <v>17</v>
      </c>
      <c r="F215" s="60">
        <v>5.3247499999999999</v>
      </c>
      <c r="G215" s="60">
        <v>0.59960815329680095</v>
      </c>
      <c r="H215" s="61">
        <v>5.4197435897435797</v>
      </c>
      <c r="I215" s="63">
        <v>5.0599999999999996</v>
      </c>
      <c r="J215" s="58">
        <v>-0.35974358974358012</v>
      </c>
      <c r="K215" s="58">
        <v>-6.6376496191510856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78</v>
      </c>
      <c r="D216" s="1" t="s">
        <v>2</v>
      </c>
      <c r="E216" s="59" t="s">
        <v>18</v>
      </c>
      <c r="F216" s="60">
        <v>1.83574999999999</v>
      </c>
      <c r="G216" s="60">
        <v>0.32982485882661999</v>
      </c>
      <c r="H216" s="61">
        <v>1.94166666666666</v>
      </c>
      <c r="I216" s="63">
        <v>1.74</v>
      </c>
      <c r="J216" s="58">
        <v>-0.20166666666666</v>
      </c>
      <c r="K216" s="58">
        <v>-10.386266094420293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78</v>
      </c>
      <c r="D217" s="1" t="s">
        <v>2</v>
      </c>
      <c r="E217" s="59" t="s">
        <v>19</v>
      </c>
      <c r="F217" s="60">
        <v>1.6219999999999899</v>
      </c>
      <c r="G217" s="60">
        <v>0.108517279730004</v>
      </c>
      <c r="H217" s="61">
        <v>1.6452631578947301</v>
      </c>
      <c r="I217" s="63">
        <v>1.74</v>
      </c>
      <c r="J217" s="58">
        <v>9.4736842105269892E-2</v>
      </c>
      <c r="K217" s="58">
        <v>5.7581573896357501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78</v>
      </c>
      <c r="D218" s="1" t="s">
        <v>2</v>
      </c>
      <c r="E218" s="59" t="s">
        <v>12</v>
      </c>
      <c r="F218" s="60">
        <v>5.7982499999999897</v>
      </c>
      <c r="G218" s="60">
        <v>0.81020950222766397</v>
      </c>
      <c r="H218" s="61">
        <v>5.92794871794871</v>
      </c>
      <c r="I218" s="63">
        <v>5.28</v>
      </c>
      <c r="J218" s="58">
        <v>-0.64794871794870978</v>
      </c>
      <c r="K218" s="58">
        <v>-10.930403564167877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78</v>
      </c>
      <c r="D219" s="1" t="s">
        <v>2</v>
      </c>
      <c r="E219" s="59" t="s">
        <v>13</v>
      </c>
      <c r="F219" s="60">
        <v>2.6577500000000001</v>
      </c>
      <c r="G219" s="60">
        <v>0.45858743713712802</v>
      </c>
      <c r="H219" s="61">
        <v>2.7743243243243199</v>
      </c>
      <c r="I219" s="63">
        <v>2.98</v>
      </c>
      <c r="J219" s="58">
        <v>0.20567567567568013</v>
      </c>
      <c r="K219" s="58">
        <v>7.4135411592792755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78</v>
      </c>
      <c r="D220" s="1" t="s">
        <v>2</v>
      </c>
      <c r="E220" s="59" t="s">
        <v>14</v>
      </c>
      <c r="F220" s="60">
        <v>3.9942499999999899</v>
      </c>
      <c r="G220" s="60">
        <v>1.0843151928752</v>
      </c>
      <c r="H220" s="61">
        <v>4.3705714285714201</v>
      </c>
      <c r="I220" s="63">
        <v>4.83</v>
      </c>
      <c r="J220" s="58">
        <v>0.45942857142857996</v>
      </c>
      <c r="K220" s="58">
        <v>10.511865071582879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78</v>
      </c>
      <c r="D221" s="1" t="s">
        <v>2</v>
      </c>
      <c r="E221" s="59" t="s">
        <v>15</v>
      </c>
      <c r="F221" s="60">
        <v>3.3964999999999899</v>
      </c>
      <c r="G221" s="60">
        <v>0.66956161030931205</v>
      </c>
      <c r="H221" s="61">
        <v>3.57567567567567</v>
      </c>
      <c r="I221" s="63">
        <v>3.71</v>
      </c>
      <c r="J221" s="58">
        <v>0.13432432432432995</v>
      </c>
      <c r="K221" s="58">
        <v>3.7566137566139197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78</v>
      </c>
      <c r="D222" s="1" t="s">
        <v>2</v>
      </c>
      <c r="E222" s="59" t="s">
        <v>16</v>
      </c>
      <c r="F222" s="60">
        <v>1.64025</v>
      </c>
      <c r="G222" s="60">
        <v>1.8906017560554499E-2</v>
      </c>
      <c r="H222" s="61">
        <v>1.63919999999999</v>
      </c>
      <c r="I222" s="63">
        <v>1.74</v>
      </c>
      <c r="J222" s="58">
        <v>0.10080000000000999</v>
      </c>
      <c r="K222" s="58">
        <v>6.1493411420211448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78</v>
      </c>
      <c r="D223" s="1" t="s">
        <v>2</v>
      </c>
      <c r="E223" s="59" t="s">
        <v>17</v>
      </c>
      <c r="F223" s="60">
        <v>5.3247499999999999</v>
      </c>
      <c r="G223" s="60">
        <v>0.59960815329680095</v>
      </c>
      <c r="H223" s="61">
        <v>5.4197435897435797</v>
      </c>
      <c r="I223" s="63">
        <v>5.14</v>
      </c>
      <c r="J223" s="58">
        <v>-0.27974358974358005</v>
      </c>
      <c r="K223" s="58">
        <v>-5.1615650281495205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78</v>
      </c>
      <c r="D224" s="1" t="s">
        <v>2</v>
      </c>
      <c r="E224" s="59" t="s">
        <v>18</v>
      </c>
      <c r="F224" s="60">
        <v>1.83574999999999</v>
      </c>
      <c r="G224" s="60">
        <v>0.32982485882661999</v>
      </c>
      <c r="H224" s="61">
        <v>1.94166666666666</v>
      </c>
      <c r="I224" s="63">
        <v>1.7</v>
      </c>
      <c r="J224" s="58">
        <v>-0.24166666666666003</v>
      </c>
      <c r="K224" s="58">
        <v>-12.446351931330174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78</v>
      </c>
      <c r="D225" s="1" t="s">
        <v>2</v>
      </c>
      <c r="E225" s="59" t="s">
        <v>19</v>
      </c>
      <c r="F225" s="60">
        <v>1.6219999999999899</v>
      </c>
      <c r="G225" s="60">
        <v>0.108517279730004</v>
      </c>
      <c r="H225" s="61">
        <v>1.6452631578947301</v>
      </c>
      <c r="I225" s="63">
        <v>1.73</v>
      </c>
      <c r="J225" s="58">
        <v>8.4736842105269883E-2</v>
      </c>
      <c r="K225" s="58">
        <v>5.1503518873964627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4DD5-6AD3-4189-8C04-D7ACC0E81FEA}">
  <dimension ref="A1:M225"/>
  <sheetViews>
    <sheetView workbookViewId="0">
      <selection activeCell="B25" sqref="B2:B25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6</v>
      </c>
      <c r="B2">
        <v>1</v>
      </c>
      <c r="C2" t="s">
        <v>78</v>
      </c>
      <c r="D2" s="1" t="s">
        <v>2</v>
      </c>
      <c r="E2" s="59" t="s">
        <v>12</v>
      </c>
      <c r="F2" s="60">
        <v>1.93474999999999</v>
      </c>
      <c r="G2" s="60">
        <v>0.21517420268238399</v>
      </c>
      <c r="H2" s="61">
        <v>1.9834210526315701</v>
      </c>
      <c r="I2" s="62">
        <v>1.95</v>
      </c>
      <c r="J2" s="37">
        <v>-3.3421052631570136E-2</v>
      </c>
      <c r="K2" s="37">
        <v>-1.685020565211186</v>
      </c>
      <c r="L2" s="1" t="s">
        <v>23</v>
      </c>
      <c r="M2" s="1">
        <v>1</v>
      </c>
    </row>
    <row r="3" spans="1:13" x14ac:dyDescent="0.3">
      <c r="A3">
        <v>6</v>
      </c>
      <c r="B3">
        <v>1</v>
      </c>
      <c r="C3" t="s">
        <v>78</v>
      </c>
      <c r="D3" s="1" t="s">
        <v>2</v>
      </c>
      <c r="E3" s="59" t="s">
        <v>13</v>
      </c>
      <c r="F3" s="60">
        <v>3.5467647058823499</v>
      </c>
      <c r="G3" s="60">
        <v>2.4219655148282601E-2</v>
      </c>
      <c r="H3" s="61">
        <v>3.5507692307692298</v>
      </c>
      <c r="I3" s="62">
        <v>3.4</v>
      </c>
      <c r="J3" s="37">
        <v>-0.15076923076922988</v>
      </c>
      <c r="K3" s="37">
        <v>-4.2461005199306516</v>
      </c>
      <c r="L3" s="1" t="s">
        <v>23</v>
      </c>
      <c r="M3" s="1">
        <v>1</v>
      </c>
    </row>
    <row r="4" spans="1:13" x14ac:dyDescent="0.3">
      <c r="A4">
        <v>6</v>
      </c>
      <c r="B4">
        <v>1</v>
      </c>
      <c r="C4" t="s">
        <v>78</v>
      </c>
      <c r="D4" s="1" t="s">
        <v>2</v>
      </c>
      <c r="E4" s="59" t="s">
        <v>14</v>
      </c>
      <c r="F4" s="60">
        <v>4.5359999999999996</v>
      </c>
      <c r="G4" s="60">
        <v>0.91645185361807202</v>
      </c>
      <c r="H4" s="61">
        <v>4.7889189189189096</v>
      </c>
      <c r="I4" s="62">
        <v>4.83</v>
      </c>
      <c r="J4" s="37">
        <v>4.1081081081090431E-2</v>
      </c>
      <c r="K4" s="37">
        <v>0.85783622100589696</v>
      </c>
      <c r="L4" s="1" t="s">
        <v>23</v>
      </c>
      <c r="M4" s="1">
        <v>1</v>
      </c>
    </row>
    <row r="5" spans="1:13" x14ac:dyDescent="0.3">
      <c r="A5">
        <v>6</v>
      </c>
      <c r="B5">
        <v>1</v>
      </c>
      <c r="C5" t="s">
        <v>78</v>
      </c>
      <c r="D5" s="1" t="s">
        <v>2</v>
      </c>
      <c r="E5" s="59" t="s">
        <v>15</v>
      </c>
      <c r="F5" s="60">
        <v>5.0362499999999999</v>
      </c>
      <c r="G5" s="60">
        <v>1.07334683933013</v>
      </c>
      <c r="H5" s="61">
        <v>5.32189189189189</v>
      </c>
      <c r="I5" s="62">
        <v>5.42</v>
      </c>
      <c r="J5" s="37">
        <v>9.8108108108109882E-2</v>
      </c>
      <c r="K5" s="37">
        <v>1.8434817937128978</v>
      </c>
      <c r="L5" s="1" t="s">
        <v>23</v>
      </c>
      <c r="M5" s="1">
        <v>1</v>
      </c>
    </row>
    <row r="6" spans="1:13" x14ac:dyDescent="0.3">
      <c r="A6">
        <v>6</v>
      </c>
      <c r="B6">
        <v>1</v>
      </c>
      <c r="C6" t="s">
        <v>78</v>
      </c>
      <c r="D6" s="1" t="s">
        <v>2</v>
      </c>
      <c r="E6" s="59" t="s">
        <v>16</v>
      </c>
      <c r="F6" s="60">
        <v>3.8041025641025601</v>
      </c>
      <c r="G6" s="60">
        <v>0.48275766574916101</v>
      </c>
      <c r="H6" s="61">
        <v>3.9424999999999999</v>
      </c>
      <c r="I6" s="62">
        <v>3.92</v>
      </c>
      <c r="J6" s="37">
        <v>-2.2499999999999964E-2</v>
      </c>
      <c r="K6" s="37">
        <v>-0.57070386810399409</v>
      </c>
      <c r="L6" s="1" t="s">
        <v>23</v>
      </c>
      <c r="M6" s="1">
        <v>1</v>
      </c>
    </row>
    <row r="7" spans="1:13" x14ac:dyDescent="0.3">
      <c r="A7">
        <v>6</v>
      </c>
      <c r="B7">
        <v>1</v>
      </c>
      <c r="C7" t="s">
        <v>78</v>
      </c>
      <c r="D7" s="1" t="s">
        <v>2</v>
      </c>
      <c r="E7" s="59" t="s">
        <v>17</v>
      </c>
      <c r="F7" s="60">
        <v>4.1537499999999996</v>
      </c>
      <c r="G7" s="60">
        <v>0.18996956993160699</v>
      </c>
      <c r="H7" s="61">
        <v>4.1841025641025604</v>
      </c>
      <c r="I7" s="62">
        <v>4.3499999999999996</v>
      </c>
      <c r="J7" s="37">
        <v>0.16589743589743922</v>
      </c>
      <c r="K7" s="37">
        <v>3.964946684642809</v>
      </c>
      <c r="L7" s="1" t="s">
        <v>23</v>
      </c>
      <c r="M7" s="1">
        <v>1</v>
      </c>
    </row>
    <row r="8" spans="1:13" x14ac:dyDescent="0.3">
      <c r="A8">
        <v>6</v>
      </c>
      <c r="B8">
        <v>1</v>
      </c>
      <c r="C8" t="s">
        <v>78</v>
      </c>
      <c r="D8" s="1" t="s">
        <v>2</v>
      </c>
      <c r="E8" s="59" t="s">
        <v>18</v>
      </c>
      <c r="F8" s="60">
        <v>1.8429166666666601</v>
      </c>
      <c r="G8" s="60">
        <v>2.8059336928888502E-2</v>
      </c>
      <c r="H8" s="61">
        <v>1.845</v>
      </c>
      <c r="I8" s="62">
        <v>1.86</v>
      </c>
      <c r="J8" s="37">
        <v>1.5000000000000124E-2</v>
      </c>
      <c r="K8" s="37">
        <v>0.81300813008130746</v>
      </c>
      <c r="L8" s="1" t="s">
        <v>23</v>
      </c>
      <c r="M8" s="1">
        <v>1</v>
      </c>
    </row>
    <row r="9" spans="1:13" x14ac:dyDescent="0.3">
      <c r="A9">
        <v>6</v>
      </c>
      <c r="B9">
        <v>1</v>
      </c>
      <c r="C9" t="s">
        <v>78</v>
      </c>
      <c r="D9" s="1" t="s">
        <v>2</v>
      </c>
      <c r="E9" s="59" t="s">
        <v>19</v>
      </c>
      <c r="F9" s="60">
        <v>2.5117500000000001</v>
      </c>
      <c r="G9" s="60">
        <v>0.48192783432792002</v>
      </c>
      <c r="H9" s="61">
        <v>2.6362162162162099</v>
      </c>
      <c r="I9" s="62">
        <v>2.73</v>
      </c>
      <c r="J9" s="37">
        <v>9.3783783783790042E-2</v>
      </c>
      <c r="K9" s="37">
        <v>3.5575148656963709</v>
      </c>
      <c r="L9" s="1" t="s">
        <v>23</v>
      </c>
      <c r="M9" s="1">
        <v>1</v>
      </c>
    </row>
    <row r="10" spans="1:13" x14ac:dyDescent="0.3">
      <c r="A10">
        <v>6</v>
      </c>
      <c r="B10">
        <v>1</v>
      </c>
      <c r="C10" t="s">
        <v>78</v>
      </c>
      <c r="D10" s="1" t="s">
        <v>2</v>
      </c>
      <c r="E10" s="59" t="s">
        <v>12</v>
      </c>
      <c r="F10" s="60">
        <v>1.93474999999999</v>
      </c>
      <c r="G10" s="60">
        <v>0.21517420268238399</v>
      </c>
      <c r="H10" s="61">
        <v>1.9834210526315701</v>
      </c>
      <c r="I10" s="62">
        <v>1.94</v>
      </c>
      <c r="J10" s="37">
        <v>-4.3421052631570145E-2</v>
      </c>
      <c r="K10" s="37">
        <v>-2.1891999469280519</v>
      </c>
      <c r="L10" s="1" t="s">
        <v>68</v>
      </c>
      <c r="M10" s="1">
        <v>1</v>
      </c>
    </row>
    <row r="11" spans="1:13" x14ac:dyDescent="0.3">
      <c r="A11">
        <v>6</v>
      </c>
      <c r="B11">
        <v>1</v>
      </c>
      <c r="C11" t="s">
        <v>78</v>
      </c>
      <c r="D11" s="1" t="s">
        <v>2</v>
      </c>
      <c r="E11" s="59" t="s">
        <v>13</v>
      </c>
      <c r="F11" s="60">
        <v>3.5467647058823499</v>
      </c>
      <c r="G11" s="60">
        <v>2.4219655148282601E-2</v>
      </c>
      <c r="H11" s="61">
        <v>3.5507692307692298</v>
      </c>
      <c r="I11" s="62">
        <v>3.45</v>
      </c>
      <c r="J11" s="37">
        <v>-0.10076923076922961</v>
      </c>
      <c r="K11" s="37">
        <v>-2.8379549393413894</v>
      </c>
      <c r="L11" s="1" t="s">
        <v>68</v>
      </c>
      <c r="M11" s="1">
        <v>1</v>
      </c>
    </row>
    <row r="12" spans="1:13" x14ac:dyDescent="0.3">
      <c r="A12">
        <v>6</v>
      </c>
      <c r="B12">
        <v>1</v>
      </c>
      <c r="C12" t="s">
        <v>78</v>
      </c>
      <c r="D12" s="1" t="s">
        <v>2</v>
      </c>
      <c r="E12" s="59" t="s">
        <v>14</v>
      </c>
      <c r="F12" s="60">
        <v>4.5359999999999996</v>
      </c>
      <c r="G12" s="60">
        <v>0.91645185361807202</v>
      </c>
      <c r="H12" s="61">
        <v>4.7889189189189096</v>
      </c>
      <c r="I12" s="62">
        <v>4.8499999999999996</v>
      </c>
      <c r="J12" s="37">
        <v>6.1081081081090005E-2</v>
      </c>
      <c r="K12" s="37">
        <v>1.2754670128112955</v>
      </c>
      <c r="L12" s="1" t="s">
        <v>68</v>
      </c>
      <c r="M12" s="1">
        <v>1</v>
      </c>
    </row>
    <row r="13" spans="1:13" x14ac:dyDescent="0.3">
      <c r="A13">
        <v>6</v>
      </c>
      <c r="B13">
        <v>1</v>
      </c>
      <c r="C13" t="s">
        <v>78</v>
      </c>
      <c r="D13" s="1" t="s">
        <v>2</v>
      </c>
      <c r="E13" s="59" t="s">
        <v>15</v>
      </c>
      <c r="F13" s="60">
        <v>5.0362499999999999</v>
      </c>
      <c r="G13" s="60">
        <v>1.07334683933013</v>
      </c>
      <c r="H13" s="61">
        <v>5.32189189189189</v>
      </c>
      <c r="I13" s="62">
        <v>5.37</v>
      </c>
      <c r="J13" s="37">
        <v>4.8108108108110059E-2</v>
      </c>
      <c r="K13" s="37">
        <v>0.90396627901075255</v>
      </c>
      <c r="L13" s="1" t="s">
        <v>68</v>
      </c>
      <c r="M13" s="1">
        <v>1</v>
      </c>
    </row>
    <row r="14" spans="1:13" x14ac:dyDescent="0.3">
      <c r="A14">
        <v>6</v>
      </c>
      <c r="B14">
        <v>1</v>
      </c>
      <c r="C14" t="s">
        <v>78</v>
      </c>
      <c r="D14" s="1" t="s">
        <v>2</v>
      </c>
      <c r="E14" s="59" t="s">
        <v>16</v>
      </c>
      <c r="F14" s="60">
        <v>3.8041025641025601</v>
      </c>
      <c r="G14" s="60">
        <v>0.48275766574916101</v>
      </c>
      <c r="H14" s="61">
        <v>3.9424999999999999</v>
      </c>
      <c r="I14" s="62">
        <v>3.93</v>
      </c>
      <c r="J14" s="37">
        <v>-1.2499999999999734E-2</v>
      </c>
      <c r="K14" s="37">
        <v>-0.31705770450221266</v>
      </c>
      <c r="L14" s="1" t="s">
        <v>68</v>
      </c>
      <c r="M14" s="1">
        <v>1</v>
      </c>
    </row>
    <row r="15" spans="1:13" x14ac:dyDescent="0.3">
      <c r="A15">
        <v>6</v>
      </c>
      <c r="B15">
        <v>1</v>
      </c>
      <c r="C15" t="s">
        <v>78</v>
      </c>
      <c r="D15" s="1" t="s">
        <v>2</v>
      </c>
      <c r="E15" s="59" t="s">
        <v>17</v>
      </c>
      <c r="F15" s="60">
        <v>4.1537499999999996</v>
      </c>
      <c r="G15" s="60">
        <v>0.18996956993160699</v>
      </c>
      <c r="H15" s="61">
        <v>4.1841025641025604</v>
      </c>
      <c r="I15" s="62">
        <v>4.3499999999999996</v>
      </c>
      <c r="J15" s="37">
        <v>0.16589743589743922</v>
      </c>
      <c r="K15" s="37">
        <v>3.964946684642809</v>
      </c>
      <c r="L15" s="1" t="s">
        <v>68</v>
      </c>
      <c r="M15" s="1">
        <v>1</v>
      </c>
    </row>
    <row r="16" spans="1:13" x14ac:dyDescent="0.3">
      <c r="A16">
        <v>6</v>
      </c>
      <c r="B16">
        <v>1</v>
      </c>
      <c r="C16" t="s">
        <v>78</v>
      </c>
      <c r="D16" s="1" t="s">
        <v>2</v>
      </c>
      <c r="E16" s="59" t="s">
        <v>18</v>
      </c>
      <c r="F16" s="60">
        <v>1.8429166666666601</v>
      </c>
      <c r="G16" s="60">
        <v>2.8059336928888502E-2</v>
      </c>
      <c r="H16" s="61">
        <v>1.845</v>
      </c>
      <c r="I16" s="62">
        <v>1.76</v>
      </c>
      <c r="J16" s="37">
        <v>-8.4999999999999964E-2</v>
      </c>
      <c r="K16" s="37">
        <v>-4.6070460704607026</v>
      </c>
      <c r="L16" s="1" t="s">
        <v>68</v>
      </c>
      <c r="M16" s="1">
        <v>1</v>
      </c>
    </row>
    <row r="17" spans="1:13" x14ac:dyDescent="0.3">
      <c r="A17">
        <v>6</v>
      </c>
      <c r="B17">
        <v>1</v>
      </c>
      <c r="C17" t="s">
        <v>78</v>
      </c>
      <c r="D17" s="1" t="s">
        <v>2</v>
      </c>
      <c r="E17" s="59" t="s">
        <v>19</v>
      </c>
      <c r="F17" s="60">
        <v>2.5117500000000001</v>
      </c>
      <c r="G17" s="60">
        <v>0.48192783432792002</v>
      </c>
      <c r="H17" s="61">
        <v>2.6362162162162099</v>
      </c>
      <c r="I17" s="62">
        <v>2.64</v>
      </c>
      <c r="J17" s="37">
        <v>3.7837837837901844E-3</v>
      </c>
      <c r="K17" s="37">
        <v>0.14353085913495711</v>
      </c>
      <c r="L17" s="1" t="s">
        <v>68</v>
      </c>
      <c r="M17" s="1">
        <v>1</v>
      </c>
    </row>
    <row r="18" spans="1:13" x14ac:dyDescent="0.3">
      <c r="A18">
        <v>6</v>
      </c>
      <c r="B18">
        <v>1</v>
      </c>
      <c r="C18" t="s">
        <v>78</v>
      </c>
      <c r="D18" s="1" t="s">
        <v>2</v>
      </c>
      <c r="E18" s="59" t="s">
        <v>12</v>
      </c>
      <c r="F18" s="60">
        <v>1.93474999999999</v>
      </c>
      <c r="G18" s="60">
        <v>0.21517420268238399</v>
      </c>
      <c r="H18" s="61">
        <v>1.9834210526315701</v>
      </c>
      <c r="I18" s="62">
        <v>1.87</v>
      </c>
      <c r="J18" s="37">
        <v>-0.11342105263156999</v>
      </c>
      <c r="K18" s="37">
        <v>-5.7184556189461038</v>
      </c>
      <c r="L18" s="1" t="s">
        <v>69</v>
      </c>
      <c r="M18" s="1">
        <v>1</v>
      </c>
    </row>
    <row r="19" spans="1:13" x14ac:dyDescent="0.3">
      <c r="A19">
        <v>6</v>
      </c>
      <c r="B19">
        <v>1</v>
      </c>
      <c r="C19" t="s">
        <v>78</v>
      </c>
      <c r="D19" s="1" t="s">
        <v>2</v>
      </c>
      <c r="E19" s="59" t="s">
        <v>13</v>
      </c>
      <c r="F19" s="60">
        <v>3.5467647058823499</v>
      </c>
      <c r="G19" s="60">
        <v>2.4219655148282601E-2</v>
      </c>
      <c r="H19" s="61">
        <v>3.5507692307692298</v>
      </c>
      <c r="I19" s="62">
        <v>3.49</v>
      </c>
      <c r="J19" s="37">
        <v>-6.0769230769229576E-2</v>
      </c>
      <c r="K19" s="37">
        <v>-1.7114384748699842</v>
      </c>
      <c r="L19" s="1" t="s">
        <v>69</v>
      </c>
      <c r="M19" s="1">
        <v>1</v>
      </c>
    </row>
    <row r="20" spans="1:13" x14ac:dyDescent="0.3">
      <c r="A20">
        <v>6</v>
      </c>
      <c r="B20">
        <v>1</v>
      </c>
      <c r="C20" t="s">
        <v>78</v>
      </c>
      <c r="D20" s="1" t="s">
        <v>2</v>
      </c>
      <c r="E20" s="59" t="s">
        <v>14</v>
      </c>
      <c r="F20" s="60">
        <v>4.5359999999999996</v>
      </c>
      <c r="G20" s="60">
        <v>0.91645185361807202</v>
      </c>
      <c r="H20" s="61">
        <v>4.7889189189189096</v>
      </c>
      <c r="I20" s="62">
        <v>4.88</v>
      </c>
      <c r="J20" s="37">
        <v>9.1081081081090254E-2</v>
      </c>
      <c r="K20" s="37">
        <v>1.9019132005194122</v>
      </c>
      <c r="L20" s="1" t="s">
        <v>69</v>
      </c>
      <c r="M20" s="1">
        <v>1</v>
      </c>
    </row>
    <row r="21" spans="1:13" x14ac:dyDescent="0.3">
      <c r="A21">
        <v>6</v>
      </c>
      <c r="B21">
        <v>1</v>
      </c>
      <c r="C21" t="s">
        <v>78</v>
      </c>
      <c r="D21" s="1" t="s">
        <v>2</v>
      </c>
      <c r="E21" s="59" t="s">
        <v>15</v>
      </c>
      <c r="F21" s="60">
        <v>5.0362499999999999</v>
      </c>
      <c r="G21" s="60">
        <v>1.07334683933013</v>
      </c>
      <c r="H21" s="61">
        <v>5.32189189189189</v>
      </c>
      <c r="I21" s="62">
        <v>5.41</v>
      </c>
      <c r="J21" s="37">
        <v>8.8108108108110095E-2</v>
      </c>
      <c r="K21" s="37">
        <v>1.6555786907724721</v>
      </c>
      <c r="L21" s="1" t="s">
        <v>69</v>
      </c>
      <c r="M21" s="1">
        <v>1</v>
      </c>
    </row>
    <row r="22" spans="1:13" x14ac:dyDescent="0.3">
      <c r="A22">
        <v>6</v>
      </c>
      <c r="B22">
        <v>1</v>
      </c>
      <c r="C22" t="s">
        <v>78</v>
      </c>
      <c r="D22" s="1" t="s">
        <v>2</v>
      </c>
      <c r="E22" s="59" t="s">
        <v>16</v>
      </c>
      <c r="F22" s="60">
        <v>3.8041025641025601</v>
      </c>
      <c r="G22" s="60">
        <v>0.48275766574916101</v>
      </c>
      <c r="H22" s="61">
        <v>3.9424999999999999</v>
      </c>
      <c r="I22" s="62">
        <v>3.97</v>
      </c>
      <c r="J22" s="37">
        <v>2.7500000000000302E-2</v>
      </c>
      <c r="K22" s="37">
        <v>0.69752694990489039</v>
      </c>
      <c r="L22" s="1" t="s">
        <v>69</v>
      </c>
      <c r="M22" s="1">
        <v>1</v>
      </c>
    </row>
    <row r="23" spans="1:13" x14ac:dyDescent="0.3">
      <c r="A23">
        <v>6</v>
      </c>
      <c r="B23">
        <v>1</v>
      </c>
      <c r="C23" t="s">
        <v>78</v>
      </c>
      <c r="D23" s="1" t="s">
        <v>2</v>
      </c>
      <c r="E23" s="59" t="s">
        <v>17</v>
      </c>
      <c r="F23" s="60">
        <v>4.1537499999999996</v>
      </c>
      <c r="G23" s="60">
        <v>0.18996956993160699</v>
      </c>
      <c r="H23" s="61">
        <v>4.1841025641025604</v>
      </c>
      <c r="I23" s="62">
        <v>4.4000000000000004</v>
      </c>
      <c r="J23" s="37">
        <v>0.21589743589743993</v>
      </c>
      <c r="K23" s="37">
        <v>5.1599460718226284</v>
      </c>
      <c r="L23" s="1" t="s">
        <v>69</v>
      </c>
      <c r="M23" s="1">
        <v>1</v>
      </c>
    </row>
    <row r="24" spans="1:13" x14ac:dyDescent="0.3">
      <c r="A24">
        <v>6</v>
      </c>
      <c r="B24">
        <v>1</v>
      </c>
      <c r="C24" t="s">
        <v>78</v>
      </c>
      <c r="D24" s="1" t="s">
        <v>2</v>
      </c>
      <c r="E24" s="59" t="s">
        <v>18</v>
      </c>
      <c r="F24" s="60">
        <v>1.8429166666666601</v>
      </c>
      <c r="G24" s="60">
        <v>2.8059336928888502E-2</v>
      </c>
      <c r="H24" s="61">
        <v>1.845</v>
      </c>
      <c r="I24" s="62">
        <v>1.76</v>
      </c>
      <c r="J24" s="37">
        <v>-8.4999999999999964E-2</v>
      </c>
      <c r="K24" s="37">
        <v>-4.6070460704607026</v>
      </c>
      <c r="L24" s="1" t="s">
        <v>69</v>
      </c>
      <c r="M24" s="1">
        <v>1</v>
      </c>
    </row>
    <row r="25" spans="1:13" x14ac:dyDescent="0.3">
      <c r="A25">
        <v>6</v>
      </c>
      <c r="B25">
        <v>1</v>
      </c>
      <c r="C25" t="s">
        <v>78</v>
      </c>
      <c r="D25" s="1" t="s">
        <v>2</v>
      </c>
      <c r="E25" s="59" t="s">
        <v>19</v>
      </c>
      <c r="F25" s="60">
        <v>2.5117500000000001</v>
      </c>
      <c r="G25" s="60">
        <v>0.48192783432792002</v>
      </c>
      <c r="H25" s="61">
        <v>2.6362162162162099</v>
      </c>
      <c r="I25" s="62">
        <v>2.66</v>
      </c>
      <c r="J25" s="37">
        <v>2.3783783783790202E-2</v>
      </c>
      <c r="K25" s="37">
        <v>0.90219397170416205</v>
      </c>
      <c r="L25" s="1" t="s">
        <v>69</v>
      </c>
      <c r="M25" s="1">
        <v>1</v>
      </c>
    </row>
    <row r="27" spans="1:13" x14ac:dyDescent="0.3">
      <c r="A27">
        <v>6</v>
      </c>
      <c r="B27">
        <v>1</v>
      </c>
      <c r="C27" t="s">
        <v>78</v>
      </c>
      <c r="D27" s="1" t="s">
        <v>2</v>
      </c>
      <c r="E27" s="59" t="s">
        <v>12</v>
      </c>
      <c r="F27" s="60">
        <v>1.9975999999999901</v>
      </c>
      <c r="G27" s="60">
        <v>2.2676860452893299E-2</v>
      </c>
      <c r="H27" s="61">
        <v>1.99781249999999</v>
      </c>
      <c r="I27" s="62">
        <v>1.95</v>
      </c>
      <c r="J27" s="37">
        <v>-4.7812499999990044E-2</v>
      </c>
      <c r="K27" s="37">
        <v>-2.3932426091032211</v>
      </c>
      <c r="L27" s="1" t="s">
        <v>23</v>
      </c>
      <c r="M27" s="1">
        <v>2</v>
      </c>
    </row>
    <row r="28" spans="1:13" x14ac:dyDescent="0.3">
      <c r="A28">
        <v>6</v>
      </c>
      <c r="B28">
        <v>1</v>
      </c>
      <c r="C28" t="s">
        <v>78</v>
      </c>
      <c r="D28" s="1" t="s">
        <v>2</v>
      </c>
      <c r="E28" s="59" t="s">
        <v>13</v>
      </c>
      <c r="F28" s="60">
        <v>3.5414634146341402</v>
      </c>
      <c r="G28" s="60">
        <v>3.0886177791759398E-2</v>
      </c>
      <c r="H28" s="61">
        <v>3.5447999999999902</v>
      </c>
      <c r="I28" s="62">
        <v>3.4</v>
      </c>
      <c r="J28" s="37">
        <v>-0.14479999999999027</v>
      </c>
      <c r="K28" s="37">
        <v>-4.084856691491499</v>
      </c>
      <c r="L28" s="1" t="s">
        <v>23</v>
      </c>
      <c r="M28" s="1">
        <v>2</v>
      </c>
    </row>
    <row r="29" spans="1:13" x14ac:dyDescent="0.3">
      <c r="A29">
        <v>6</v>
      </c>
      <c r="B29">
        <v>1</v>
      </c>
      <c r="C29" t="s">
        <v>78</v>
      </c>
      <c r="D29" s="1" t="s">
        <v>2</v>
      </c>
      <c r="E29" s="59" t="s">
        <v>14</v>
      </c>
      <c r="F29" s="60">
        <v>4.4285714285714297</v>
      </c>
      <c r="G29" s="60">
        <v>1.0129407581847201</v>
      </c>
      <c r="H29" s="61">
        <v>4.79</v>
      </c>
      <c r="I29" s="62">
        <v>4.83</v>
      </c>
      <c r="J29" s="37">
        <v>4.0000000000000036E-2</v>
      </c>
      <c r="K29" s="37">
        <v>0.83507306889352895</v>
      </c>
      <c r="L29" s="1" t="s">
        <v>23</v>
      </c>
      <c r="M29" s="1">
        <v>2</v>
      </c>
    </row>
    <row r="30" spans="1:13" x14ac:dyDescent="0.3">
      <c r="A30">
        <v>6</v>
      </c>
      <c r="B30">
        <v>1</v>
      </c>
      <c r="C30" t="s">
        <v>78</v>
      </c>
      <c r="D30" s="1" t="s">
        <v>2</v>
      </c>
      <c r="E30" s="59" t="s">
        <v>15</v>
      </c>
      <c r="F30" s="60">
        <v>5.1619999999999999</v>
      </c>
      <c r="G30" s="60">
        <v>0.70727081093453803</v>
      </c>
      <c r="H30" s="61">
        <v>5.3658695652173902</v>
      </c>
      <c r="I30" s="62">
        <v>5.42</v>
      </c>
      <c r="J30" s="37">
        <v>5.4130434782609704E-2</v>
      </c>
      <c r="K30" s="37">
        <v>1.0087914759146162</v>
      </c>
      <c r="L30" s="1" t="s">
        <v>23</v>
      </c>
      <c r="M30" s="1">
        <v>2</v>
      </c>
    </row>
    <row r="31" spans="1:13" x14ac:dyDescent="0.3">
      <c r="A31">
        <v>6</v>
      </c>
      <c r="B31">
        <v>1</v>
      </c>
      <c r="C31" t="s">
        <v>78</v>
      </c>
      <c r="D31" s="1" t="s">
        <v>2</v>
      </c>
      <c r="E31" s="59" t="s">
        <v>16</v>
      </c>
      <c r="F31" s="60">
        <v>3.77204081632653</v>
      </c>
      <c r="G31" s="60">
        <v>0.67758870069801103</v>
      </c>
      <c r="H31" s="61">
        <v>3.9384782608695601</v>
      </c>
      <c r="I31" s="62">
        <v>3.92</v>
      </c>
      <c r="J31" s="37">
        <v>-1.847826086956017E-2</v>
      </c>
      <c r="K31" s="37">
        <v>-0.46917260032001373</v>
      </c>
      <c r="L31" s="1" t="s">
        <v>23</v>
      </c>
      <c r="M31" s="1">
        <v>2</v>
      </c>
    </row>
    <row r="32" spans="1:13" x14ac:dyDescent="0.3">
      <c r="A32">
        <v>6</v>
      </c>
      <c r="B32">
        <v>1</v>
      </c>
      <c r="C32" t="s">
        <v>78</v>
      </c>
      <c r="D32" s="1" t="s">
        <v>2</v>
      </c>
      <c r="E32" s="59" t="s">
        <v>17</v>
      </c>
      <c r="F32" s="60">
        <v>3.9117999999999902</v>
      </c>
      <c r="G32" s="60">
        <v>0.88795425557851704</v>
      </c>
      <c r="H32" s="61">
        <v>4.1671739130434702</v>
      </c>
      <c r="I32" s="62">
        <v>4.3499999999999996</v>
      </c>
      <c r="J32" s="37">
        <v>0.18282608695652947</v>
      </c>
      <c r="K32" s="37">
        <v>4.3872919818458822</v>
      </c>
      <c r="L32" s="1" t="s">
        <v>23</v>
      </c>
      <c r="M32" s="1">
        <v>2</v>
      </c>
    </row>
    <row r="33" spans="1:13" x14ac:dyDescent="0.3">
      <c r="A33">
        <v>6</v>
      </c>
      <c r="B33">
        <v>1</v>
      </c>
      <c r="C33" t="s">
        <v>78</v>
      </c>
      <c r="D33" s="1" t="s">
        <v>2</v>
      </c>
      <c r="E33" s="59" t="s">
        <v>18</v>
      </c>
      <c r="F33" s="60">
        <v>1.7567999999999999</v>
      </c>
      <c r="G33" s="60">
        <v>0.35159886234173099</v>
      </c>
      <c r="H33" s="61">
        <v>1.82833333333333</v>
      </c>
      <c r="I33" s="62">
        <v>1.86</v>
      </c>
      <c r="J33" s="37">
        <v>3.1666666666670062E-2</v>
      </c>
      <c r="K33" s="37">
        <v>1.7319963536920759</v>
      </c>
      <c r="L33" s="1" t="s">
        <v>23</v>
      </c>
      <c r="M33" s="1">
        <v>2</v>
      </c>
    </row>
    <row r="34" spans="1:13" x14ac:dyDescent="0.3">
      <c r="A34">
        <v>6</v>
      </c>
      <c r="B34">
        <v>1</v>
      </c>
      <c r="C34" t="s">
        <v>78</v>
      </c>
      <c r="D34" s="1" t="s">
        <v>2</v>
      </c>
      <c r="E34" s="59" t="s">
        <v>19</v>
      </c>
      <c r="F34" s="60">
        <v>2.653</v>
      </c>
      <c r="G34" s="60">
        <v>1.71172427686236E-2</v>
      </c>
      <c r="H34" s="61">
        <v>2.6529729729729699</v>
      </c>
      <c r="I34" s="62">
        <v>2.73</v>
      </c>
      <c r="J34" s="37">
        <v>7.7027027027030126E-2</v>
      </c>
      <c r="K34" s="37">
        <v>2.9034229828852056</v>
      </c>
      <c r="L34" s="1" t="s">
        <v>23</v>
      </c>
      <c r="M34" s="1">
        <v>2</v>
      </c>
    </row>
    <row r="35" spans="1:13" x14ac:dyDescent="0.3">
      <c r="A35">
        <v>6</v>
      </c>
      <c r="B35">
        <v>1</v>
      </c>
      <c r="C35" t="s">
        <v>78</v>
      </c>
      <c r="D35" s="1" t="s">
        <v>2</v>
      </c>
      <c r="E35" s="59" t="s">
        <v>12</v>
      </c>
      <c r="F35" s="60">
        <v>1.9975999999999901</v>
      </c>
      <c r="G35" s="60">
        <v>2.2676860452893299E-2</v>
      </c>
      <c r="H35" s="61">
        <v>1.99781249999999</v>
      </c>
      <c r="I35" s="62">
        <v>1.94</v>
      </c>
      <c r="J35" s="37">
        <v>-5.7812499999990052E-2</v>
      </c>
      <c r="K35" s="37">
        <v>-2.8937900829026919</v>
      </c>
      <c r="L35" s="1" t="s">
        <v>68</v>
      </c>
      <c r="M35" s="1">
        <v>2</v>
      </c>
    </row>
    <row r="36" spans="1:13" x14ac:dyDescent="0.3">
      <c r="A36">
        <v>6</v>
      </c>
      <c r="B36">
        <v>1</v>
      </c>
      <c r="C36" t="s">
        <v>78</v>
      </c>
      <c r="D36" s="1" t="s">
        <v>2</v>
      </c>
      <c r="E36" s="59" t="s">
        <v>13</v>
      </c>
      <c r="F36" s="60">
        <v>3.5414634146341402</v>
      </c>
      <c r="G36" s="60">
        <v>3.0886177791759398E-2</v>
      </c>
      <c r="H36" s="61">
        <v>3.5447999999999902</v>
      </c>
      <c r="I36" s="62">
        <v>3.45</v>
      </c>
      <c r="J36" s="37">
        <v>-9.4799999999990003E-2</v>
      </c>
      <c r="K36" s="37">
        <v>-2.6743398781310725</v>
      </c>
      <c r="L36" s="1" t="s">
        <v>68</v>
      </c>
      <c r="M36" s="1">
        <v>2</v>
      </c>
    </row>
    <row r="37" spans="1:13" x14ac:dyDescent="0.3">
      <c r="A37">
        <v>6</v>
      </c>
      <c r="B37">
        <v>1</v>
      </c>
      <c r="C37" t="s">
        <v>78</v>
      </c>
      <c r="D37" s="1" t="s">
        <v>2</v>
      </c>
      <c r="E37" s="59" t="s">
        <v>14</v>
      </c>
      <c r="F37" s="60">
        <v>4.4285714285714297</v>
      </c>
      <c r="G37" s="60">
        <v>1.0129407581847201</v>
      </c>
      <c r="H37" s="61">
        <v>4.79</v>
      </c>
      <c r="I37" s="62">
        <v>4.8499999999999996</v>
      </c>
      <c r="J37" s="37">
        <v>5.9999999999999609E-2</v>
      </c>
      <c r="K37" s="37">
        <v>1.2526096033402843</v>
      </c>
      <c r="L37" s="1" t="s">
        <v>68</v>
      </c>
      <c r="M37" s="1">
        <v>2</v>
      </c>
    </row>
    <row r="38" spans="1:13" x14ac:dyDescent="0.3">
      <c r="A38">
        <v>6</v>
      </c>
      <c r="B38">
        <v>1</v>
      </c>
      <c r="C38" t="s">
        <v>78</v>
      </c>
      <c r="D38" s="1" t="s">
        <v>2</v>
      </c>
      <c r="E38" s="59" t="s">
        <v>15</v>
      </c>
      <c r="F38" s="60">
        <v>5.1619999999999999</v>
      </c>
      <c r="G38" s="60">
        <v>0.70727081093453803</v>
      </c>
      <c r="H38" s="61">
        <v>5.3658695652173902</v>
      </c>
      <c r="I38" s="62">
        <v>5.37</v>
      </c>
      <c r="J38" s="37">
        <v>4.1304347826098819E-3</v>
      </c>
      <c r="K38" s="37">
        <v>7.6976056395111861E-2</v>
      </c>
      <c r="L38" s="1" t="s">
        <v>68</v>
      </c>
      <c r="M38" s="1">
        <v>2</v>
      </c>
    </row>
    <row r="39" spans="1:13" x14ac:dyDescent="0.3">
      <c r="A39">
        <v>6</v>
      </c>
      <c r="B39">
        <v>1</v>
      </c>
      <c r="C39" t="s">
        <v>78</v>
      </c>
      <c r="D39" s="1" t="s">
        <v>2</v>
      </c>
      <c r="E39" s="59" t="s">
        <v>16</v>
      </c>
      <c r="F39" s="60">
        <v>3.77204081632653</v>
      </c>
      <c r="G39" s="60">
        <v>0.67758870069801103</v>
      </c>
      <c r="H39" s="61">
        <v>3.9384782608695601</v>
      </c>
      <c r="I39" s="62">
        <v>3.93</v>
      </c>
      <c r="J39" s="37">
        <v>-8.4782608695599393E-3</v>
      </c>
      <c r="K39" s="37">
        <v>-0.21526742838204874</v>
      </c>
      <c r="L39" s="1" t="s">
        <v>68</v>
      </c>
      <c r="M39" s="1">
        <v>2</v>
      </c>
    </row>
    <row r="40" spans="1:13" x14ac:dyDescent="0.3">
      <c r="A40">
        <v>6</v>
      </c>
      <c r="B40">
        <v>1</v>
      </c>
      <c r="C40" t="s">
        <v>78</v>
      </c>
      <c r="D40" s="1" t="s">
        <v>2</v>
      </c>
      <c r="E40" s="59" t="s">
        <v>17</v>
      </c>
      <c r="F40" s="60">
        <v>3.9117999999999902</v>
      </c>
      <c r="G40" s="60">
        <v>0.88795425557851704</v>
      </c>
      <c r="H40" s="61">
        <v>4.1671739130434702</v>
      </c>
      <c r="I40" s="62">
        <v>4.3499999999999996</v>
      </c>
      <c r="J40" s="37">
        <v>0.18282608695652947</v>
      </c>
      <c r="K40" s="37">
        <v>4.3872919818458822</v>
      </c>
      <c r="L40" s="1" t="s">
        <v>68</v>
      </c>
      <c r="M40" s="1">
        <v>2</v>
      </c>
    </row>
    <row r="41" spans="1:13" x14ac:dyDescent="0.3">
      <c r="A41">
        <v>6</v>
      </c>
      <c r="B41">
        <v>1</v>
      </c>
      <c r="C41" t="s">
        <v>78</v>
      </c>
      <c r="D41" s="1" t="s">
        <v>2</v>
      </c>
      <c r="E41" s="59" t="s">
        <v>18</v>
      </c>
      <c r="F41" s="60">
        <v>1.7567999999999999</v>
      </c>
      <c r="G41" s="60">
        <v>0.35159886234173099</v>
      </c>
      <c r="H41" s="61">
        <v>1.82833333333333</v>
      </c>
      <c r="I41" s="62">
        <v>1.76</v>
      </c>
      <c r="J41" s="37">
        <v>-6.8333333333330026E-2</v>
      </c>
      <c r="K41" s="37">
        <v>-3.7374658158612664</v>
      </c>
      <c r="L41" s="1" t="s">
        <v>68</v>
      </c>
      <c r="M41" s="1">
        <v>2</v>
      </c>
    </row>
    <row r="42" spans="1:13" x14ac:dyDescent="0.3">
      <c r="A42">
        <v>6</v>
      </c>
      <c r="B42">
        <v>1</v>
      </c>
      <c r="C42" t="s">
        <v>78</v>
      </c>
      <c r="D42" s="1" t="s">
        <v>2</v>
      </c>
      <c r="E42" s="59" t="s">
        <v>19</v>
      </c>
      <c r="F42" s="60">
        <v>2.653</v>
      </c>
      <c r="G42" s="60">
        <v>1.71172427686236E-2</v>
      </c>
      <c r="H42" s="61">
        <v>2.6529729729729699</v>
      </c>
      <c r="I42" s="62">
        <v>2.64</v>
      </c>
      <c r="J42" s="37">
        <v>-1.2972972972969732E-2</v>
      </c>
      <c r="K42" s="37">
        <v>-0.48899755501210335</v>
      </c>
      <c r="L42" s="1" t="s">
        <v>68</v>
      </c>
      <c r="M42" s="1">
        <v>2</v>
      </c>
    </row>
    <row r="43" spans="1:13" x14ac:dyDescent="0.3">
      <c r="A43">
        <v>6</v>
      </c>
      <c r="B43">
        <v>1</v>
      </c>
      <c r="C43" t="s">
        <v>78</v>
      </c>
      <c r="D43" s="1" t="s">
        <v>2</v>
      </c>
      <c r="E43" s="59" t="s">
        <v>12</v>
      </c>
      <c r="F43" s="60">
        <v>1.9975999999999901</v>
      </c>
      <c r="G43" s="60">
        <v>2.2676860452893299E-2</v>
      </c>
      <c r="H43" s="61">
        <v>1.99781249999999</v>
      </c>
      <c r="I43" s="62">
        <v>1.87</v>
      </c>
      <c r="J43" s="37">
        <v>-0.12781249999998989</v>
      </c>
      <c r="K43" s="37">
        <v>-6.397622399498978</v>
      </c>
      <c r="L43" s="1" t="s">
        <v>69</v>
      </c>
      <c r="M43" s="1">
        <v>2</v>
      </c>
    </row>
    <row r="44" spans="1:13" x14ac:dyDescent="0.3">
      <c r="A44">
        <v>6</v>
      </c>
      <c r="B44">
        <v>1</v>
      </c>
      <c r="C44" t="s">
        <v>78</v>
      </c>
      <c r="D44" s="1" t="s">
        <v>2</v>
      </c>
      <c r="E44" s="59" t="s">
        <v>13</v>
      </c>
      <c r="F44" s="60">
        <v>3.5414634146341402</v>
      </c>
      <c r="G44" s="60">
        <v>3.0886177791759398E-2</v>
      </c>
      <c r="H44" s="61">
        <v>3.5447999999999902</v>
      </c>
      <c r="I44" s="62">
        <v>3.49</v>
      </c>
      <c r="J44" s="37">
        <v>-5.4799999999989968E-2</v>
      </c>
      <c r="K44" s="37">
        <v>-1.5459264274427362</v>
      </c>
      <c r="L44" s="1" t="s">
        <v>69</v>
      </c>
      <c r="M44" s="1">
        <v>2</v>
      </c>
    </row>
    <row r="45" spans="1:13" x14ac:dyDescent="0.3">
      <c r="A45">
        <v>6</v>
      </c>
      <c r="B45">
        <v>1</v>
      </c>
      <c r="C45" t="s">
        <v>78</v>
      </c>
      <c r="D45" s="1" t="s">
        <v>2</v>
      </c>
      <c r="E45" s="59" t="s">
        <v>14</v>
      </c>
      <c r="F45" s="60">
        <v>4.4285714285714297</v>
      </c>
      <c r="G45" s="60">
        <v>1.0129407581847201</v>
      </c>
      <c r="H45" s="61">
        <v>4.79</v>
      </c>
      <c r="I45" s="62">
        <v>4.88</v>
      </c>
      <c r="J45" s="37">
        <v>8.9999999999999858E-2</v>
      </c>
      <c r="K45" s="37">
        <v>1.8789144050104356</v>
      </c>
      <c r="L45" s="1" t="s">
        <v>69</v>
      </c>
      <c r="M45" s="1">
        <v>2</v>
      </c>
    </row>
    <row r="46" spans="1:13" x14ac:dyDescent="0.3">
      <c r="A46">
        <v>6</v>
      </c>
      <c r="B46">
        <v>1</v>
      </c>
      <c r="C46" t="s">
        <v>78</v>
      </c>
      <c r="D46" s="1" t="s">
        <v>2</v>
      </c>
      <c r="E46" s="59" t="s">
        <v>15</v>
      </c>
      <c r="F46" s="60">
        <v>5.1619999999999999</v>
      </c>
      <c r="G46" s="60">
        <v>0.70727081093453803</v>
      </c>
      <c r="H46" s="61">
        <v>5.3658695652173902</v>
      </c>
      <c r="I46" s="62">
        <v>5.41</v>
      </c>
      <c r="J46" s="37">
        <v>4.4130434782609917E-2</v>
      </c>
      <c r="K46" s="37">
        <v>0.8224283920107186</v>
      </c>
      <c r="L46" s="1" t="s">
        <v>69</v>
      </c>
      <c r="M46" s="1">
        <v>2</v>
      </c>
    </row>
    <row r="47" spans="1:13" x14ac:dyDescent="0.3">
      <c r="A47">
        <v>6</v>
      </c>
      <c r="B47">
        <v>1</v>
      </c>
      <c r="C47" t="s">
        <v>78</v>
      </c>
      <c r="D47" s="1" t="s">
        <v>2</v>
      </c>
      <c r="E47" s="59" t="s">
        <v>16</v>
      </c>
      <c r="F47" s="60">
        <v>3.77204081632653</v>
      </c>
      <c r="G47" s="60">
        <v>0.67758870069801103</v>
      </c>
      <c r="H47" s="61">
        <v>3.9384782608695601</v>
      </c>
      <c r="I47" s="62">
        <v>3.97</v>
      </c>
      <c r="J47" s="37">
        <v>3.1521739130440096E-2</v>
      </c>
      <c r="K47" s="37">
        <v>0.80035325936978885</v>
      </c>
      <c r="L47" s="1" t="s">
        <v>69</v>
      </c>
      <c r="M47" s="1">
        <v>2</v>
      </c>
    </row>
    <row r="48" spans="1:13" x14ac:dyDescent="0.3">
      <c r="A48">
        <v>6</v>
      </c>
      <c r="B48">
        <v>1</v>
      </c>
      <c r="C48" t="s">
        <v>78</v>
      </c>
      <c r="D48" s="1" t="s">
        <v>2</v>
      </c>
      <c r="E48" s="59" t="s">
        <v>17</v>
      </c>
      <c r="F48" s="60">
        <v>3.9117999999999902</v>
      </c>
      <c r="G48" s="60">
        <v>0.88795425557851704</v>
      </c>
      <c r="H48" s="61">
        <v>4.1671739130434702</v>
      </c>
      <c r="I48" s="62">
        <v>4.4000000000000004</v>
      </c>
      <c r="J48" s="37">
        <v>0.23282608695653018</v>
      </c>
      <c r="K48" s="37">
        <v>5.5871459126717138</v>
      </c>
      <c r="L48" s="1" t="s">
        <v>69</v>
      </c>
      <c r="M48" s="1">
        <v>2</v>
      </c>
    </row>
    <row r="49" spans="1:13" x14ac:dyDescent="0.3">
      <c r="A49">
        <v>6</v>
      </c>
      <c r="B49">
        <v>1</v>
      </c>
      <c r="C49" t="s">
        <v>78</v>
      </c>
      <c r="D49" s="1" t="s">
        <v>2</v>
      </c>
      <c r="E49" s="59" t="s">
        <v>18</v>
      </c>
      <c r="F49" s="60">
        <v>1.7567999999999999</v>
      </c>
      <c r="G49" s="60">
        <v>0.35159886234173099</v>
      </c>
      <c r="H49" s="61">
        <v>1.82833333333333</v>
      </c>
      <c r="I49" s="62">
        <v>1.76</v>
      </c>
      <c r="J49" s="37">
        <v>-6.8333333333330026E-2</v>
      </c>
      <c r="K49" s="37">
        <v>-3.7374658158612664</v>
      </c>
      <c r="L49" s="1" t="s">
        <v>69</v>
      </c>
      <c r="M49" s="1">
        <v>2</v>
      </c>
    </row>
    <row r="50" spans="1:13" x14ac:dyDescent="0.3">
      <c r="A50">
        <v>6</v>
      </c>
      <c r="B50">
        <v>1</v>
      </c>
      <c r="C50" t="s">
        <v>78</v>
      </c>
      <c r="D50" s="1" t="s">
        <v>2</v>
      </c>
      <c r="E50" s="59" t="s">
        <v>19</v>
      </c>
      <c r="F50" s="60">
        <v>2.653</v>
      </c>
      <c r="G50" s="60">
        <v>1.71172427686236E-2</v>
      </c>
      <c r="H50" s="61">
        <v>2.6529729729729699</v>
      </c>
      <c r="I50" s="62">
        <v>2.66</v>
      </c>
      <c r="J50" s="37">
        <v>7.0270270270302859E-3</v>
      </c>
      <c r="K50" s="37">
        <v>0.26487367563174502</v>
      </c>
      <c r="L50" s="1" t="s">
        <v>69</v>
      </c>
      <c r="M50" s="1">
        <v>2</v>
      </c>
    </row>
    <row r="52" spans="1:13" x14ac:dyDescent="0.3">
      <c r="A52">
        <v>6</v>
      </c>
      <c r="B52">
        <v>1</v>
      </c>
      <c r="C52" t="s">
        <v>78</v>
      </c>
      <c r="D52" s="1" t="s">
        <v>2</v>
      </c>
      <c r="E52" s="59" t="s">
        <v>12</v>
      </c>
      <c r="F52" s="60">
        <v>2.0027999999999899</v>
      </c>
      <c r="G52" s="60">
        <v>2.3327237298917301E-2</v>
      </c>
      <c r="H52" s="61">
        <v>2.0013888888888798</v>
      </c>
      <c r="I52" s="62">
        <v>1.95</v>
      </c>
      <c r="J52" s="37">
        <v>-5.1388888888879825E-2</v>
      </c>
      <c r="K52" s="37">
        <v>-2.5676613462868589</v>
      </c>
      <c r="L52" s="1" t="s">
        <v>23</v>
      </c>
      <c r="M52" s="1">
        <v>3</v>
      </c>
    </row>
    <row r="53" spans="1:13" x14ac:dyDescent="0.3">
      <c r="A53">
        <v>6</v>
      </c>
      <c r="B53">
        <v>1</v>
      </c>
      <c r="C53" t="s">
        <v>78</v>
      </c>
      <c r="D53" s="1" t="s">
        <v>2</v>
      </c>
      <c r="E53" s="59" t="s">
        <v>13</v>
      </c>
      <c r="F53" s="60">
        <v>3.3469047619047601</v>
      </c>
      <c r="G53" s="60">
        <v>0.62902603510066801</v>
      </c>
      <c r="H53" s="61">
        <v>3.53763157894736</v>
      </c>
      <c r="I53" s="62">
        <v>3.4</v>
      </c>
      <c r="J53" s="37">
        <v>-0.13763157894736011</v>
      </c>
      <c r="K53" s="37">
        <v>-3.8905006322991125</v>
      </c>
      <c r="L53" s="1" t="s">
        <v>23</v>
      </c>
      <c r="M53" s="1">
        <v>3</v>
      </c>
    </row>
    <row r="54" spans="1:13" x14ac:dyDescent="0.3">
      <c r="A54">
        <v>6</v>
      </c>
      <c r="B54">
        <v>1</v>
      </c>
      <c r="C54" t="s">
        <v>78</v>
      </c>
      <c r="D54" s="1" t="s">
        <v>2</v>
      </c>
      <c r="E54" s="59" t="s">
        <v>14</v>
      </c>
      <c r="F54" s="60">
        <v>4.5774999999999997</v>
      </c>
      <c r="G54" s="60">
        <v>0.77191995483124098</v>
      </c>
      <c r="H54" s="61">
        <v>4.78909090909091</v>
      </c>
      <c r="I54" s="62">
        <v>4.83</v>
      </c>
      <c r="J54" s="37">
        <v>4.0909090909090118E-2</v>
      </c>
      <c r="K54" s="37">
        <v>0.85421412300681709</v>
      </c>
      <c r="L54" s="1" t="s">
        <v>23</v>
      </c>
      <c r="M54" s="1">
        <v>3</v>
      </c>
    </row>
    <row r="55" spans="1:13" x14ac:dyDescent="0.3">
      <c r="A55">
        <v>6</v>
      </c>
      <c r="B55">
        <v>1</v>
      </c>
      <c r="C55" t="s">
        <v>78</v>
      </c>
      <c r="D55" s="1" t="s">
        <v>2</v>
      </c>
      <c r="E55" s="59" t="s">
        <v>15</v>
      </c>
      <c r="F55" s="60">
        <v>4.9108000000000001</v>
      </c>
      <c r="G55" s="60">
        <v>1.23684249603577</v>
      </c>
      <c r="H55" s="61">
        <v>5.3084444444444401</v>
      </c>
      <c r="I55" s="62">
        <v>5.42</v>
      </c>
      <c r="J55" s="37">
        <v>0.11155555555555985</v>
      </c>
      <c r="K55" s="37">
        <v>2.1014735432016902</v>
      </c>
      <c r="L55" s="1" t="s">
        <v>23</v>
      </c>
      <c r="M55" s="1">
        <v>3</v>
      </c>
    </row>
    <row r="56" spans="1:13" x14ac:dyDescent="0.3">
      <c r="A56">
        <v>6</v>
      </c>
      <c r="B56">
        <v>1</v>
      </c>
      <c r="C56" t="s">
        <v>78</v>
      </c>
      <c r="D56" s="1" t="s">
        <v>2</v>
      </c>
      <c r="E56" s="59" t="s">
        <v>16</v>
      </c>
      <c r="F56" s="60">
        <v>3.8338775510204002</v>
      </c>
      <c r="G56" s="60">
        <v>0.49689573630828099</v>
      </c>
      <c r="H56" s="61">
        <v>3.9430434782608699</v>
      </c>
      <c r="I56" s="62">
        <v>3.92</v>
      </c>
      <c r="J56" s="37">
        <v>-2.3043478260869943E-2</v>
      </c>
      <c r="K56" s="37">
        <v>-0.58440842430257878</v>
      </c>
      <c r="L56" s="1" t="s">
        <v>23</v>
      </c>
      <c r="M56" s="1">
        <v>3</v>
      </c>
    </row>
    <row r="57" spans="1:13" x14ac:dyDescent="0.3">
      <c r="A57">
        <v>6</v>
      </c>
      <c r="B57">
        <v>1</v>
      </c>
      <c r="C57" t="s">
        <v>78</v>
      </c>
      <c r="D57" s="1" t="s">
        <v>2</v>
      </c>
      <c r="E57" s="59" t="s">
        <v>17</v>
      </c>
      <c r="F57" s="60">
        <v>4.1089795918367296</v>
      </c>
      <c r="G57" s="60">
        <v>0.31865946828293601</v>
      </c>
      <c r="H57" s="61">
        <v>4.1858695652173896</v>
      </c>
      <c r="I57" s="62">
        <v>4.3499999999999996</v>
      </c>
      <c r="J57" s="37">
        <v>0.16413043478261002</v>
      </c>
      <c r="K57" s="37">
        <v>3.9210594650740402</v>
      </c>
      <c r="L57" s="1" t="s">
        <v>23</v>
      </c>
      <c r="M57" s="1">
        <v>3</v>
      </c>
    </row>
    <row r="58" spans="1:13" x14ac:dyDescent="0.3">
      <c r="A58">
        <v>6</v>
      </c>
      <c r="B58">
        <v>1</v>
      </c>
      <c r="C58" t="s">
        <v>78</v>
      </c>
      <c r="D58" s="1" t="s">
        <v>2</v>
      </c>
      <c r="E58" s="59" t="s">
        <v>18</v>
      </c>
      <c r="F58" s="60">
        <v>1.81555555555555</v>
      </c>
      <c r="G58" s="60">
        <v>2.6573912762447499E-2</v>
      </c>
      <c r="H58" s="61">
        <v>1.8147368421052601</v>
      </c>
      <c r="I58" s="62">
        <v>1.86</v>
      </c>
      <c r="J58" s="37">
        <v>4.5263157894740003E-2</v>
      </c>
      <c r="K58" s="37">
        <v>2.4941995359630553</v>
      </c>
      <c r="L58" s="1" t="s">
        <v>23</v>
      </c>
      <c r="M58" s="1">
        <v>3</v>
      </c>
    </row>
    <row r="59" spans="1:13" x14ac:dyDescent="0.3">
      <c r="A59">
        <v>6</v>
      </c>
      <c r="B59">
        <v>1</v>
      </c>
      <c r="C59" t="s">
        <v>78</v>
      </c>
      <c r="D59" s="1" t="s">
        <v>2</v>
      </c>
      <c r="E59" s="59" t="s">
        <v>19</v>
      </c>
      <c r="F59" s="60">
        <v>2.5797959183673398</v>
      </c>
      <c r="G59" s="60">
        <v>0.25713880787223098</v>
      </c>
      <c r="H59" s="61">
        <v>2.6524444444444399</v>
      </c>
      <c r="I59" s="62">
        <v>2.73</v>
      </c>
      <c r="J59" s="37">
        <v>7.7555555555560041E-2</v>
      </c>
      <c r="K59" s="37">
        <v>2.9239276139411929</v>
      </c>
      <c r="L59" s="1" t="s">
        <v>23</v>
      </c>
      <c r="M59" s="1">
        <v>3</v>
      </c>
    </row>
    <row r="60" spans="1:13" x14ac:dyDescent="0.3">
      <c r="A60">
        <v>6</v>
      </c>
      <c r="B60">
        <v>1</v>
      </c>
      <c r="C60" t="s">
        <v>78</v>
      </c>
      <c r="D60" s="1" t="s">
        <v>2</v>
      </c>
      <c r="E60" s="59" t="s">
        <v>12</v>
      </c>
      <c r="F60" s="60">
        <v>2.0027999999999899</v>
      </c>
      <c r="G60" s="60">
        <v>2.3327237298917301E-2</v>
      </c>
      <c r="H60" s="61">
        <v>2.0013888888888798</v>
      </c>
      <c r="I60" s="62">
        <v>1.94</v>
      </c>
      <c r="J60" s="37">
        <v>-6.1388888888879833E-2</v>
      </c>
      <c r="K60" s="37">
        <v>-3.0673143650238504</v>
      </c>
      <c r="L60" s="1" t="s">
        <v>68</v>
      </c>
      <c r="M60" s="1">
        <v>3</v>
      </c>
    </row>
    <row r="61" spans="1:13" x14ac:dyDescent="0.3">
      <c r="A61">
        <v>6</v>
      </c>
      <c r="B61">
        <v>1</v>
      </c>
      <c r="C61" t="s">
        <v>78</v>
      </c>
      <c r="D61" s="1" t="s">
        <v>2</v>
      </c>
      <c r="E61" s="59" t="s">
        <v>13</v>
      </c>
      <c r="F61" s="60">
        <v>3.3469047619047601</v>
      </c>
      <c r="G61" s="60">
        <v>0.62902603510066801</v>
      </c>
      <c r="H61" s="61">
        <v>3.53763157894736</v>
      </c>
      <c r="I61" s="62">
        <v>3.45</v>
      </c>
      <c r="J61" s="37">
        <v>-8.7631578947359845E-2</v>
      </c>
      <c r="K61" s="37">
        <v>-2.4771256415976208</v>
      </c>
      <c r="L61" s="1" t="s">
        <v>68</v>
      </c>
      <c r="M61" s="1">
        <v>3</v>
      </c>
    </row>
    <row r="62" spans="1:13" x14ac:dyDescent="0.3">
      <c r="A62">
        <v>6</v>
      </c>
      <c r="B62">
        <v>1</v>
      </c>
      <c r="C62" t="s">
        <v>78</v>
      </c>
      <c r="D62" s="1" t="s">
        <v>2</v>
      </c>
      <c r="E62" s="59" t="s">
        <v>14</v>
      </c>
      <c r="F62" s="60">
        <v>4.5774999999999997</v>
      </c>
      <c r="G62" s="60">
        <v>0.77191995483124098</v>
      </c>
      <c r="H62" s="61">
        <v>4.78909090909091</v>
      </c>
      <c r="I62" s="62">
        <v>4.8499999999999996</v>
      </c>
      <c r="J62" s="37">
        <v>6.0909090909089691E-2</v>
      </c>
      <c r="K62" s="37">
        <v>1.2718299164768156</v>
      </c>
      <c r="L62" s="1" t="s">
        <v>68</v>
      </c>
      <c r="M62" s="1">
        <v>3</v>
      </c>
    </row>
    <row r="63" spans="1:13" x14ac:dyDescent="0.3">
      <c r="A63">
        <v>6</v>
      </c>
      <c r="B63">
        <v>1</v>
      </c>
      <c r="C63" t="s">
        <v>78</v>
      </c>
      <c r="D63" s="1" t="s">
        <v>2</v>
      </c>
      <c r="E63" s="59" t="s">
        <v>15</v>
      </c>
      <c r="F63" s="60">
        <v>4.9108000000000001</v>
      </c>
      <c r="G63" s="60">
        <v>1.23684249603577</v>
      </c>
      <c r="H63" s="61">
        <v>5.3084444444444401</v>
      </c>
      <c r="I63" s="62">
        <v>5.37</v>
      </c>
      <c r="J63" s="37">
        <v>6.1555555555560026E-2</v>
      </c>
      <c r="K63" s="37">
        <v>1.1595780308105339</v>
      </c>
      <c r="L63" s="1" t="s">
        <v>68</v>
      </c>
      <c r="M63" s="1">
        <v>3</v>
      </c>
    </row>
    <row r="64" spans="1:13" x14ac:dyDescent="0.3">
      <c r="A64">
        <v>6</v>
      </c>
      <c r="B64">
        <v>1</v>
      </c>
      <c r="C64" t="s">
        <v>78</v>
      </c>
      <c r="D64" s="1" t="s">
        <v>2</v>
      </c>
      <c r="E64" s="59" t="s">
        <v>16</v>
      </c>
      <c r="F64" s="60">
        <v>3.8338775510204002</v>
      </c>
      <c r="G64" s="60">
        <v>0.49689573630828099</v>
      </c>
      <c r="H64" s="61">
        <v>3.9430434782608699</v>
      </c>
      <c r="I64" s="62">
        <v>3.93</v>
      </c>
      <c r="J64" s="37">
        <v>-1.3043478260869712E-2</v>
      </c>
      <c r="K64" s="37">
        <v>-0.33079722130334471</v>
      </c>
      <c r="L64" s="1" t="s">
        <v>68</v>
      </c>
      <c r="M64" s="1">
        <v>3</v>
      </c>
    </row>
    <row r="65" spans="1:13" x14ac:dyDescent="0.3">
      <c r="A65">
        <v>6</v>
      </c>
      <c r="B65">
        <v>1</v>
      </c>
      <c r="C65" t="s">
        <v>78</v>
      </c>
      <c r="D65" s="1" t="s">
        <v>2</v>
      </c>
      <c r="E65" s="59" t="s">
        <v>17</v>
      </c>
      <c r="F65" s="60">
        <v>4.1089795918367296</v>
      </c>
      <c r="G65" s="60">
        <v>0.31865946828293601</v>
      </c>
      <c r="H65" s="61">
        <v>4.1858695652173896</v>
      </c>
      <c r="I65" s="62">
        <v>4.3499999999999996</v>
      </c>
      <c r="J65" s="37">
        <v>0.16413043478261002</v>
      </c>
      <c r="K65" s="37">
        <v>3.9210594650740402</v>
      </c>
      <c r="L65" s="1" t="s">
        <v>68</v>
      </c>
      <c r="M65" s="1">
        <v>3</v>
      </c>
    </row>
    <row r="66" spans="1:13" x14ac:dyDescent="0.3">
      <c r="A66">
        <v>6</v>
      </c>
      <c r="B66">
        <v>1</v>
      </c>
      <c r="C66" t="s">
        <v>78</v>
      </c>
      <c r="D66" s="1" t="s">
        <v>2</v>
      </c>
      <c r="E66" s="59" t="s">
        <v>18</v>
      </c>
      <c r="F66" s="60">
        <v>1.81555555555555</v>
      </c>
      <c r="G66" s="60">
        <v>2.6573912762447499E-2</v>
      </c>
      <c r="H66" s="61">
        <v>1.8147368421052601</v>
      </c>
      <c r="I66" s="62">
        <v>1.76</v>
      </c>
      <c r="J66" s="37">
        <v>-5.4736842105260086E-2</v>
      </c>
      <c r="K66" s="37">
        <v>-3.0162412993037799</v>
      </c>
      <c r="L66" s="1" t="s">
        <v>68</v>
      </c>
      <c r="M66" s="1">
        <v>3</v>
      </c>
    </row>
    <row r="67" spans="1:13" x14ac:dyDescent="0.3">
      <c r="A67">
        <v>6</v>
      </c>
      <c r="B67">
        <v>1</v>
      </c>
      <c r="C67" t="s">
        <v>78</v>
      </c>
      <c r="D67" s="1" t="s">
        <v>2</v>
      </c>
      <c r="E67" s="59" t="s">
        <v>19</v>
      </c>
      <c r="F67" s="60">
        <v>2.5797959183673398</v>
      </c>
      <c r="G67" s="60">
        <v>0.25713880787223098</v>
      </c>
      <c r="H67" s="61">
        <v>2.6524444444444399</v>
      </c>
      <c r="I67" s="62">
        <v>2.64</v>
      </c>
      <c r="J67" s="37">
        <v>-1.2444444444439817E-2</v>
      </c>
      <c r="K67" s="37">
        <v>-0.46916890080411588</v>
      </c>
      <c r="L67" s="1" t="s">
        <v>68</v>
      </c>
      <c r="M67" s="1">
        <v>3</v>
      </c>
    </row>
    <row r="68" spans="1:13" x14ac:dyDescent="0.3">
      <c r="A68">
        <v>6</v>
      </c>
      <c r="B68">
        <v>1</v>
      </c>
      <c r="C68" t="s">
        <v>78</v>
      </c>
      <c r="D68" s="1" t="s">
        <v>2</v>
      </c>
      <c r="E68" s="59" t="s">
        <v>12</v>
      </c>
      <c r="F68" s="60">
        <v>2.0027999999999899</v>
      </c>
      <c r="G68" s="60">
        <v>2.3327237298917301E-2</v>
      </c>
      <c r="H68" s="61">
        <v>2.0013888888888798</v>
      </c>
      <c r="I68" s="62">
        <v>1.87</v>
      </c>
      <c r="J68" s="37">
        <v>-0.13138888888887967</v>
      </c>
      <c r="K68" s="37">
        <v>-6.5648854961827752</v>
      </c>
      <c r="L68" s="1" t="s">
        <v>69</v>
      </c>
      <c r="M68" s="1">
        <v>3</v>
      </c>
    </row>
    <row r="69" spans="1:13" x14ac:dyDescent="0.3">
      <c r="A69">
        <v>6</v>
      </c>
      <c r="B69">
        <v>1</v>
      </c>
      <c r="C69" t="s">
        <v>78</v>
      </c>
      <c r="D69" s="1" t="s">
        <v>2</v>
      </c>
      <c r="E69" s="59" t="s">
        <v>13</v>
      </c>
      <c r="F69" s="60">
        <v>3.3469047619047601</v>
      </c>
      <c r="G69" s="60">
        <v>0.62902603510066801</v>
      </c>
      <c r="H69" s="61">
        <v>3.53763157894736</v>
      </c>
      <c r="I69" s="62">
        <v>3.49</v>
      </c>
      <c r="J69" s="37">
        <v>-4.7631578947359809E-2</v>
      </c>
      <c r="K69" s="37">
        <v>-1.3464256490364332</v>
      </c>
      <c r="L69" s="1" t="s">
        <v>69</v>
      </c>
      <c r="M69" s="1">
        <v>3</v>
      </c>
    </row>
    <row r="70" spans="1:13" x14ac:dyDescent="0.3">
      <c r="A70">
        <v>6</v>
      </c>
      <c r="B70">
        <v>1</v>
      </c>
      <c r="C70" t="s">
        <v>78</v>
      </c>
      <c r="D70" s="1" t="s">
        <v>2</v>
      </c>
      <c r="E70" s="59" t="s">
        <v>14</v>
      </c>
      <c r="F70" s="60">
        <v>4.5774999999999997</v>
      </c>
      <c r="G70" s="60">
        <v>0.77191995483124098</v>
      </c>
      <c r="H70" s="61">
        <v>4.78909090909091</v>
      </c>
      <c r="I70" s="62">
        <v>4.88</v>
      </c>
      <c r="J70" s="37">
        <v>9.090909090908994E-2</v>
      </c>
      <c r="K70" s="37">
        <v>1.8982536066818323</v>
      </c>
      <c r="L70" s="1" t="s">
        <v>69</v>
      </c>
      <c r="M70" s="1">
        <v>3</v>
      </c>
    </row>
    <row r="71" spans="1:13" x14ac:dyDescent="0.3">
      <c r="A71">
        <v>6</v>
      </c>
      <c r="B71">
        <v>1</v>
      </c>
      <c r="C71" t="s">
        <v>78</v>
      </c>
      <c r="D71" s="1" t="s">
        <v>2</v>
      </c>
      <c r="E71" s="59" t="s">
        <v>15</v>
      </c>
      <c r="F71" s="60">
        <v>4.9108000000000001</v>
      </c>
      <c r="G71" s="60">
        <v>1.23684249603577</v>
      </c>
      <c r="H71" s="61">
        <v>5.3084444444444401</v>
      </c>
      <c r="I71" s="62">
        <v>5.41</v>
      </c>
      <c r="J71" s="37">
        <v>0.10155555555556006</v>
      </c>
      <c r="K71" s="37">
        <v>1.9130944407234622</v>
      </c>
      <c r="L71" s="1" t="s">
        <v>69</v>
      </c>
      <c r="M71" s="1">
        <v>3</v>
      </c>
    </row>
    <row r="72" spans="1:13" x14ac:dyDescent="0.3">
      <c r="A72">
        <v>6</v>
      </c>
      <c r="B72">
        <v>1</v>
      </c>
      <c r="C72" t="s">
        <v>78</v>
      </c>
      <c r="D72" s="1" t="s">
        <v>2</v>
      </c>
      <c r="E72" s="59" t="s">
        <v>16</v>
      </c>
      <c r="F72" s="60">
        <v>3.8338775510204002</v>
      </c>
      <c r="G72" s="60">
        <v>0.49689573630828099</v>
      </c>
      <c r="H72" s="61">
        <v>3.9430434782608699</v>
      </c>
      <c r="I72" s="62">
        <v>3.97</v>
      </c>
      <c r="J72" s="37">
        <v>2.6956521739130324E-2</v>
      </c>
      <c r="K72" s="37">
        <v>0.68364759069356862</v>
      </c>
      <c r="L72" s="1" t="s">
        <v>69</v>
      </c>
      <c r="M72" s="1">
        <v>3</v>
      </c>
    </row>
    <row r="73" spans="1:13" x14ac:dyDescent="0.3">
      <c r="A73">
        <v>6</v>
      </c>
      <c r="B73">
        <v>1</v>
      </c>
      <c r="C73" t="s">
        <v>78</v>
      </c>
      <c r="D73" s="1" t="s">
        <v>2</v>
      </c>
      <c r="E73" s="59" t="s">
        <v>17</v>
      </c>
      <c r="F73" s="60">
        <v>4.1089795918367296</v>
      </c>
      <c r="G73" s="60">
        <v>0.31865946828293601</v>
      </c>
      <c r="H73" s="61">
        <v>4.1858695652173896</v>
      </c>
      <c r="I73" s="62">
        <v>4.4000000000000004</v>
      </c>
      <c r="J73" s="37">
        <v>0.21413043478261073</v>
      </c>
      <c r="K73" s="37">
        <v>5.1155544014542187</v>
      </c>
      <c r="L73" s="1" t="s">
        <v>69</v>
      </c>
      <c r="M73" s="1">
        <v>3</v>
      </c>
    </row>
    <row r="74" spans="1:13" x14ac:dyDescent="0.3">
      <c r="A74">
        <v>6</v>
      </c>
      <c r="B74">
        <v>1</v>
      </c>
      <c r="C74" t="s">
        <v>78</v>
      </c>
      <c r="D74" s="1" t="s">
        <v>2</v>
      </c>
      <c r="E74" s="59" t="s">
        <v>18</v>
      </c>
      <c r="F74" s="60">
        <v>1.81555555555555</v>
      </c>
      <c r="G74" s="60">
        <v>2.6573912762447499E-2</v>
      </c>
      <c r="H74" s="61">
        <v>1.8147368421052601</v>
      </c>
      <c r="I74" s="62">
        <v>1.76</v>
      </c>
      <c r="J74" s="37">
        <v>-5.4736842105260086E-2</v>
      </c>
      <c r="K74" s="37">
        <v>-3.0162412993037799</v>
      </c>
      <c r="L74" s="1" t="s">
        <v>69</v>
      </c>
      <c r="M74" s="1">
        <v>3</v>
      </c>
    </row>
    <row r="75" spans="1:13" x14ac:dyDescent="0.3">
      <c r="A75">
        <v>6</v>
      </c>
      <c r="B75">
        <v>1</v>
      </c>
      <c r="C75" t="s">
        <v>78</v>
      </c>
      <c r="D75" s="1" t="s">
        <v>2</v>
      </c>
      <c r="E75" s="59" t="s">
        <v>19</v>
      </c>
      <c r="F75" s="60">
        <v>2.5797959183673398</v>
      </c>
      <c r="G75" s="60">
        <v>0.25713880787223098</v>
      </c>
      <c r="H75" s="61">
        <v>2.6524444444444399</v>
      </c>
      <c r="I75" s="62">
        <v>2.66</v>
      </c>
      <c r="J75" s="37">
        <v>7.5555555555602005E-3</v>
      </c>
      <c r="K75" s="37">
        <v>0.28485254691706569</v>
      </c>
      <c r="L75" s="1" t="s">
        <v>69</v>
      </c>
      <c r="M75" s="1">
        <v>3</v>
      </c>
    </row>
    <row r="77" spans="1:13" x14ac:dyDescent="0.3">
      <c r="A77">
        <v>8</v>
      </c>
      <c r="B77">
        <v>1</v>
      </c>
      <c r="C77" t="s">
        <v>78</v>
      </c>
      <c r="D77" s="1" t="s">
        <v>2</v>
      </c>
      <c r="E77" s="59" t="s">
        <v>12</v>
      </c>
      <c r="F77" s="60">
        <v>4.9660000000000002</v>
      </c>
      <c r="G77" s="60">
        <v>0.43367268763434902</v>
      </c>
      <c r="H77" s="61">
        <v>5.0753191489361704</v>
      </c>
      <c r="I77" s="62">
        <v>5.07</v>
      </c>
      <c r="J77" s="37">
        <v>-5.3191489361701372E-3</v>
      </c>
      <c r="K77" s="37">
        <v>-0.10480422570637898</v>
      </c>
      <c r="L77" s="1" t="s">
        <v>23</v>
      </c>
      <c r="M77" s="1">
        <v>1</v>
      </c>
    </row>
    <row r="78" spans="1:13" x14ac:dyDescent="0.3">
      <c r="A78">
        <v>8</v>
      </c>
      <c r="B78">
        <v>1</v>
      </c>
      <c r="C78" t="s">
        <v>78</v>
      </c>
      <c r="D78" s="1" t="s">
        <v>2</v>
      </c>
      <c r="E78" s="59" t="s">
        <v>13</v>
      </c>
      <c r="F78" s="60">
        <v>5.3931914893617003</v>
      </c>
      <c r="G78" s="60">
        <v>0.45953772508754098</v>
      </c>
      <c r="H78" s="61">
        <v>5.5</v>
      </c>
      <c r="I78" s="62">
        <v>5.65</v>
      </c>
      <c r="J78" s="37">
        <v>0.15000000000000036</v>
      </c>
      <c r="K78" s="37">
        <v>2.7272727272727337</v>
      </c>
      <c r="L78" s="1" t="s">
        <v>23</v>
      </c>
      <c r="M78" s="1">
        <v>1</v>
      </c>
    </row>
    <row r="79" spans="1:13" x14ac:dyDescent="0.3">
      <c r="A79">
        <v>8</v>
      </c>
      <c r="B79">
        <v>1</v>
      </c>
      <c r="C79" t="s">
        <v>78</v>
      </c>
      <c r="D79" s="1" t="s">
        <v>2</v>
      </c>
      <c r="E79" s="59" t="s">
        <v>14</v>
      </c>
      <c r="F79" s="60">
        <v>1.3488</v>
      </c>
      <c r="G79" s="60">
        <v>0.124412861071514</v>
      </c>
      <c r="H79" s="61">
        <v>1.370625</v>
      </c>
      <c r="I79" s="62">
        <v>1.37</v>
      </c>
      <c r="J79" s="37">
        <v>-6.2499999999987566E-4</v>
      </c>
      <c r="K79" s="37">
        <v>-4.5599635202909307E-2</v>
      </c>
      <c r="L79" s="1" t="s">
        <v>23</v>
      </c>
      <c r="M79" s="1">
        <v>1</v>
      </c>
    </row>
    <row r="80" spans="1:13" x14ac:dyDescent="0.3">
      <c r="A80">
        <v>8</v>
      </c>
      <c r="B80">
        <v>1</v>
      </c>
      <c r="C80" t="s">
        <v>78</v>
      </c>
      <c r="D80" s="1" t="s">
        <v>2</v>
      </c>
      <c r="E80" s="59" t="s">
        <v>15</v>
      </c>
      <c r="F80" s="60">
        <v>3.36673469387754</v>
      </c>
      <c r="G80" s="60">
        <v>1.8559089868391301E-2</v>
      </c>
      <c r="H80" s="61">
        <v>3.3657142857142799</v>
      </c>
      <c r="I80" s="62">
        <v>3.57</v>
      </c>
      <c r="J80" s="37">
        <v>0.20428571428571995</v>
      </c>
      <c r="K80" s="37">
        <v>6.069609507640247</v>
      </c>
      <c r="L80" s="1" t="s">
        <v>23</v>
      </c>
      <c r="M80" s="1">
        <v>1</v>
      </c>
    </row>
    <row r="81" spans="1:13" x14ac:dyDescent="0.3">
      <c r="A81">
        <v>8</v>
      </c>
      <c r="B81">
        <v>1</v>
      </c>
      <c r="C81" t="s">
        <v>78</v>
      </c>
      <c r="D81" s="1" t="s">
        <v>2</v>
      </c>
      <c r="E81" s="59" t="s">
        <v>16</v>
      </c>
      <c r="F81" s="60">
        <v>4.4563888888888901</v>
      </c>
      <c r="G81" s="60">
        <v>0.27408588250337501</v>
      </c>
      <c r="H81" s="61">
        <v>4.5214705882352897</v>
      </c>
      <c r="I81" s="62">
        <v>4.6500000000000004</v>
      </c>
      <c r="J81" s="37">
        <v>0.12852941176471067</v>
      </c>
      <c r="K81" s="37">
        <v>2.8426461978795077</v>
      </c>
      <c r="L81" s="1" t="s">
        <v>23</v>
      </c>
      <c r="M81" s="1">
        <v>1</v>
      </c>
    </row>
    <row r="82" spans="1:13" x14ac:dyDescent="0.3">
      <c r="A82">
        <v>8</v>
      </c>
      <c r="B82">
        <v>1</v>
      </c>
      <c r="C82" t="s">
        <v>78</v>
      </c>
      <c r="D82" s="1" t="s">
        <v>2</v>
      </c>
      <c r="E82" s="59" t="s">
        <v>17</v>
      </c>
      <c r="F82" s="60">
        <v>1.0324</v>
      </c>
      <c r="G82" s="60">
        <v>0.16215498758903399</v>
      </c>
      <c r="H82" s="61">
        <v>1.0649999999999999</v>
      </c>
      <c r="I82" s="62">
        <v>1.3</v>
      </c>
      <c r="J82" s="37">
        <v>0.2350000000000001</v>
      </c>
      <c r="K82" s="37">
        <v>22.065727699530527</v>
      </c>
      <c r="L82" s="1" t="s">
        <v>23</v>
      </c>
      <c r="M82" s="1">
        <v>1</v>
      </c>
    </row>
    <row r="83" spans="1:13" x14ac:dyDescent="0.3">
      <c r="A83">
        <v>8</v>
      </c>
      <c r="B83">
        <v>1</v>
      </c>
      <c r="C83" t="s">
        <v>78</v>
      </c>
      <c r="D83" s="1" t="s">
        <v>2</v>
      </c>
      <c r="E83" s="59" t="s">
        <v>18</v>
      </c>
      <c r="F83" s="60">
        <v>4.0392000000000001</v>
      </c>
      <c r="G83" s="60">
        <v>0.24208957020078301</v>
      </c>
      <c r="H83" s="61">
        <v>4.0736734693877503</v>
      </c>
      <c r="I83" s="62">
        <v>4.17</v>
      </c>
      <c r="J83" s="37">
        <v>9.6326530612249606E-2</v>
      </c>
      <c r="K83" s="37">
        <v>2.364610991433413</v>
      </c>
      <c r="L83" s="1" t="s">
        <v>23</v>
      </c>
      <c r="M83" s="1">
        <v>1</v>
      </c>
    </row>
    <row r="84" spans="1:13" x14ac:dyDescent="0.3">
      <c r="A84">
        <v>8</v>
      </c>
      <c r="B84">
        <v>1</v>
      </c>
      <c r="C84" t="s">
        <v>78</v>
      </c>
      <c r="D84" s="1" t="s">
        <v>2</v>
      </c>
      <c r="E84" s="59" t="s">
        <v>19</v>
      </c>
      <c r="F84" s="60">
        <v>2.91</v>
      </c>
      <c r="G84" s="60">
        <v>6.4148265759878503E-2</v>
      </c>
      <c r="H84" s="61">
        <v>2.9135714285714198</v>
      </c>
      <c r="I84" s="62">
        <v>2.82</v>
      </c>
      <c r="J84" s="37">
        <v>-9.3571428571419979E-2</v>
      </c>
      <c r="K84" s="37">
        <v>-3.2115714635937329</v>
      </c>
      <c r="L84" s="1" t="s">
        <v>23</v>
      </c>
      <c r="M84" s="1">
        <v>1</v>
      </c>
    </row>
    <row r="85" spans="1:13" x14ac:dyDescent="0.3">
      <c r="A85">
        <v>8</v>
      </c>
      <c r="B85">
        <v>1</v>
      </c>
      <c r="C85" t="s">
        <v>78</v>
      </c>
      <c r="D85" s="1" t="s">
        <v>2</v>
      </c>
      <c r="E85" s="59" t="s">
        <v>12</v>
      </c>
      <c r="F85" s="60">
        <v>4.9660000000000002</v>
      </c>
      <c r="G85" s="60">
        <v>0.43367268763434902</v>
      </c>
      <c r="H85" s="61">
        <v>5.0753191489361704</v>
      </c>
      <c r="I85" s="62">
        <v>4.95</v>
      </c>
      <c r="J85" s="37">
        <v>-0.12531914893617024</v>
      </c>
      <c r="K85" s="37">
        <v>-2.469187557642325</v>
      </c>
      <c r="L85" s="1" t="s">
        <v>68</v>
      </c>
      <c r="M85" s="1">
        <v>1</v>
      </c>
    </row>
    <row r="86" spans="1:13" x14ac:dyDescent="0.3">
      <c r="A86">
        <v>8</v>
      </c>
      <c r="B86">
        <v>1</v>
      </c>
      <c r="C86" t="s">
        <v>78</v>
      </c>
      <c r="D86" s="1" t="s">
        <v>2</v>
      </c>
      <c r="E86" s="59" t="s">
        <v>13</v>
      </c>
      <c r="F86" s="60">
        <v>5.3931914893617003</v>
      </c>
      <c r="G86" s="60">
        <v>0.45953772508754098</v>
      </c>
      <c r="H86" s="61">
        <v>5.5</v>
      </c>
      <c r="I86" s="62">
        <v>5.51</v>
      </c>
      <c r="J86" s="37">
        <v>9.9999999999997868E-3</v>
      </c>
      <c r="K86" s="37">
        <v>0.18181818181817794</v>
      </c>
      <c r="L86" s="1" t="s">
        <v>68</v>
      </c>
      <c r="M86" s="1">
        <v>1</v>
      </c>
    </row>
    <row r="87" spans="1:13" x14ac:dyDescent="0.3">
      <c r="A87">
        <v>8</v>
      </c>
      <c r="B87">
        <v>1</v>
      </c>
      <c r="C87" t="s">
        <v>78</v>
      </c>
      <c r="D87" s="1" t="s">
        <v>2</v>
      </c>
      <c r="E87" s="59" t="s">
        <v>14</v>
      </c>
      <c r="F87" s="60">
        <v>1.3488</v>
      </c>
      <c r="G87" s="60">
        <v>0.124412861071514</v>
      </c>
      <c r="H87" s="61">
        <v>1.370625</v>
      </c>
      <c r="I87" s="62">
        <v>1.27</v>
      </c>
      <c r="J87" s="37">
        <v>-0.10062499999999996</v>
      </c>
      <c r="K87" s="37">
        <v>-7.3415412676698555</v>
      </c>
      <c r="L87" s="1" t="s">
        <v>68</v>
      </c>
      <c r="M87" s="1">
        <v>1</v>
      </c>
    </row>
    <row r="88" spans="1:13" x14ac:dyDescent="0.3">
      <c r="A88">
        <v>8</v>
      </c>
      <c r="B88">
        <v>1</v>
      </c>
      <c r="C88" t="s">
        <v>78</v>
      </c>
      <c r="D88" s="1" t="s">
        <v>2</v>
      </c>
      <c r="E88" s="59" t="s">
        <v>15</v>
      </c>
      <c r="F88" s="60">
        <v>3.36673469387754</v>
      </c>
      <c r="G88" s="60">
        <v>1.8559089868391301E-2</v>
      </c>
      <c r="H88" s="61">
        <v>3.3657142857142799</v>
      </c>
      <c r="I88" s="62">
        <v>3.39</v>
      </c>
      <c r="J88" s="37">
        <v>2.4285714285720239E-2</v>
      </c>
      <c r="K88" s="37">
        <v>0.72156196943990647</v>
      </c>
      <c r="L88" s="1" t="s">
        <v>68</v>
      </c>
      <c r="M88" s="1">
        <v>1</v>
      </c>
    </row>
    <row r="89" spans="1:13" x14ac:dyDescent="0.3">
      <c r="A89">
        <v>8</v>
      </c>
      <c r="B89">
        <v>1</v>
      </c>
      <c r="C89" t="s">
        <v>78</v>
      </c>
      <c r="D89" s="1" t="s">
        <v>2</v>
      </c>
      <c r="E89" s="59" t="s">
        <v>16</v>
      </c>
      <c r="F89" s="60">
        <v>4.4563888888888901</v>
      </c>
      <c r="G89" s="60">
        <v>0.27408588250337501</v>
      </c>
      <c r="H89" s="61">
        <v>4.5214705882352897</v>
      </c>
      <c r="I89" s="62">
        <v>4.53</v>
      </c>
      <c r="J89" s="37">
        <v>8.5294117647105594E-3</v>
      </c>
      <c r="K89" s="37">
        <v>0.18864242503100195</v>
      </c>
      <c r="L89" s="1" t="s">
        <v>68</v>
      </c>
      <c r="M89" s="1">
        <v>1</v>
      </c>
    </row>
    <row r="90" spans="1:13" x14ac:dyDescent="0.3">
      <c r="A90">
        <v>8</v>
      </c>
      <c r="B90">
        <v>1</v>
      </c>
      <c r="C90" t="s">
        <v>78</v>
      </c>
      <c r="D90" s="1" t="s">
        <v>2</v>
      </c>
      <c r="E90" s="59" t="s">
        <v>17</v>
      </c>
      <c r="F90" s="60">
        <v>1.0324</v>
      </c>
      <c r="G90" s="60">
        <v>0.16215498758903399</v>
      </c>
      <c r="H90" s="61">
        <v>1.0649999999999999</v>
      </c>
      <c r="I90" s="62">
        <v>1.21</v>
      </c>
      <c r="J90" s="37">
        <v>0.14500000000000002</v>
      </c>
      <c r="K90" s="37">
        <v>13.615023474178406</v>
      </c>
      <c r="L90" s="1" t="s">
        <v>68</v>
      </c>
      <c r="M90" s="1">
        <v>1</v>
      </c>
    </row>
    <row r="91" spans="1:13" x14ac:dyDescent="0.3">
      <c r="A91">
        <v>8</v>
      </c>
      <c r="B91">
        <v>1</v>
      </c>
      <c r="C91" t="s">
        <v>78</v>
      </c>
      <c r="D91" s="1" t="s">
        <v>2</v>
      </c>
      <c r="E91" s="59" t="s">
        <v>18</v>
      </c>
      <c r="F91" s="60">
        <v>4.0392000000000001</v>
      </c>
      <c r="G91" s="60">
        <v>0.24208957020078301</v>
      </c>
      <c r="H91" s="61">
        <v>4.0736734693877503</v>
      </c>
      <c r="I91" s="62">
        <v>4.07</v>
      </c>
      <c r="J91" s="37">
        <v>-3.6734693877500391E-3</v>
      </c>
      <c r="K91" s="37">
        <v>-9.0175842893518432E-2</v>
      </c>
      <c r="L91" s="1" t="s">
        <v>68</v>
      </c>
      <c r="M91" s="1">
        <v>1</v>
      </c>
    </row>
    <row r="92" spans="1:13" x14ac:dyDescent="0.3">
      <c r="A92">
        <v>8</v>
      </c>
      <c r="B92">
        <v>1</v>
      </c>
      <c r="C92" t="s">
        <v>78</v>
      </c>
      <c r="D92" s="1" t="s">
        <v>2</v>
      </c>
      <c r="E92" s="59" t="s">
        <v>19</v>
      </c>
      <c r="F92" s="60">
        <v>2.91</v>
      </c>
      <c r="G92" s="60">
        <v>6.4148265759878503E-2</v>
      </c>
      <c r="H92" s="61">
        <v>2.9135714285714198</v>
      </c>
      <c r="I92" s="62">
        <v>2.74</v>
      </c>
      <c r="J92" s="37">
        <v>-0.17357142857141961</v>
      </c>
      <c r="K92" s="37">
        <v>-5.9573424859031183</v>
      </c>
      <c r="L92" s="1" t="s">
        <v>68</v>
      </c>
      <c r="M92" s="1">
        <v>1</v>
      </c>
    </row>
    <row r="93" spans="1:13" x14ac:dyDescent="0.3">
      <c r="A93">
        <v>8</v>
      </c>
      <c r="B93">
        <v>1</v>
      </c>
      <c r="C93" t="s">
        <v>78</v>
      </c>
      <c r="D93" s="1" t="s">
        <v>2</v>
      </c>
      <c r="E93" s="59" t="s">
        <v>12</v>
      </c>
      <c r="F93" s="60">
        <v>4.9660000000000002</v>
      </c>
      <c r="G93" s="60">
        <v>0.43367268763434902</v>
      </c>
      <c r="H93" s="61">
        <v>5.0753191489361704</v>
      </c>
      <c r="I93" s="62">
        <v>4.93</v>
      </c>
      <c r="J93" s="37">
        <v>-0.14531914893617071</v>
      </c>
      <c r="K93" s="37">
        <v>-2.8632514462983245</v>
      </c>
      <c r="L93" s="1" t="s">
        <v>69</v>
      </c>
      <c r="M93" s="1">
        <v>1</v>
      </c>
    </row>
    <row r="94" spans="1:13" x14ac:dyDescent="0.3">
      <c r="A94">
        <v>8</v>
      </c>
      <c r="B94">
        <v>1</v>
      </c>
      <c r="C94" t="s">
        <v>78</v>
      </c>
      <c r="D94" s="1" t="s">
        <v>2</v>
      </c>
      <c r="E94" s="59" t="s">
        <v>13</v>
      </c>
      <c r="F94" s="60">
        <v>5.3931914893617003</v>
      </c>
      <c r="G94" s="60">
        <v>0.45953772508754098</v>
      </c>
      <c r="H94" s="61">
        <v>5.5</v>
      </c>
      <c r="I94" s="62">
        <v>5.56</v>
      </c>
      <c r="J94" s="37">
        <v>5.9999999999999609E-2</v>
      </c>
      <c r="K94" s="37">
        <v>1.0909090909090839</v>
      </c>
      <c r="L94" s="1" t="s">
        <v>69</v>
      </c>
      <c r="M94" s="1">
        <v>1</v>
      </c>
    </row>
    <row r="95" spans="1:13" x14ac:dyDescent="0.3">
      <c r="A95">
        <v>8</v>
      </c>
      <c r="B95">
        <v>1</v>
      </c>
      <c r="C95" t="s">
        <v>78</v>
      </c>
      <c r="D95" s="1" t="s">
        <v>2</v>
      </c>
      <c r="E95" s="59" t="s">
        <v>14</v>
      </c>
      <c r="F95" s="60">
        <v>1.3488</v>
      </c>
      <c r="G95" s="60">
        <v>0.124412861071514</v>
      </c>
      <c r="H95" s="61">
        <v>1.370625</v>
      </c>
      <c r="I95" s="62">
        <v>1.32</v>
      </c>
      <c r="J95" s="37">
        <v>-5.062499999999992E-2</v>
      </c>
      <c r="K95" s="37">
        <v>-3.6935704514363827</v>
      </c>
      <c r="L95" s="1" t="s">
        <v>69</v>
      </c>
      <c r="M95" s="1">
        <v>1</v>
      </c>
    </row>
    <row r="96" spans="1:13" x14ac:dyDescent="0.3">
      <c r="A96">
        <v>8</v>
      </c>
      <c r="B96">
        <v>1</v>
      </c>
      <c r="C96" t="s">
        <v>78</v>
      </c>
      <c r="D96" s="1" t="s">
        <v>2</v>
      </c>
      <c r="E96" s="59" t="s">
        <v>15</v>
      </c>
      <c r="F96" s="60">
        <v>3.36673469387754</v>
      </c>
      <c r="G96" s="60">
        <v>1.8559089868391301E-2</v>
      </c>
      <c r="H96" s="61">
        <v>3.3657142857142799</v>
      </c>
      <c r="I96" s="62">
        <v>3.44</v>
      </c>
      <c r="J96" s="37">
        <v>7.4285714285720061E-2</v>
      </c>
      <c r="K96" s="37">
        <v>2.2071307300511092</v>
      </c>
      <c r="L96" s="1" t="s">
        <v>69</v>
      </c>
      <c r="M96" s="1">
        <v>1</v>
      </c>
    </row>
    <row r="97" spans="1:13" x14ac:dyDescent="0.3">
      <c r="A97">
        <v>8</v>
      </c>
      <c r="B97">
        <v>1</v>
      </c>
      <c r="C97" t="s">
        <v>78</v>
      </c>
      <c r="D97" s="1" t="s">
        <v>2</v>
      </c>
      <c r="E97" s="59" t="s">
        <v>16</v>
      </c>
      <c r="F97" s="60">
        <v>4.4563888888888901</v>
      </c>
      <c r="G97" s="60">
        <v>0.27408588250337501</v>
      </c>
      <c r="H97" s="61">
        <v>4.5214705882352897</v>
      </c>
      <c r="I97" s="62">
        <v>4.59</v>
      </c>
      <c r="J97" s="37">
        <v>6.8529411764710169E-2</v>
      </c>
      <c r="K97" s="37">
        <v>1.5156443114552449</v>
      </c>
      <c r="L97" s="1" t="s">
        <v>69</v>
      </c>
      <c r="M97" s="1">
        <v>1</v>
      </c>
    </row>
    <row r="98" spans="1:13" x14ac:dyDescent="0.3">
      <c r="A98">
        <v>8</v>
      </c>
      <c r="B98">
        <v>1</v>
      </c>
      <c r="C98" t="s">
        <v>78</v>
      </c>
      <c r="D98" s="1" t="s">
        <v>2</v>
      </c>
      <c r="E98" s="59" t="s">
        <v>17</v>
      </c>
      <c r="F98" s="60">
        <v>1.0324</v>
      </c>
      <c r="G98" s="60">
        <v>0.16215498758903399</v>
      </c>
      <c r="H98" s="61">
        <v>1.0649999999999999</v>
      </c>
      <c r="I98" s="62">
        <v>1.25</v>
      </c>
      <c r="J98" s="37">
        <v>0.18500000000000005</v>
      </c>
      <c r="K98" s="37">
        <v>17.370892018779351</v>
      </c>
      <c r="L98" s="1" t="s">
        <v>69</v>
      </c>
      <c r="M98" s="1">
        <v>1</v>
      </c>
    </row>
    <row r="99" spans="1:13" x14ac:dyDescent="0.3">
      <c r="A99">
        <v>8</v>
      </c>
      <c r="B99">
        <v>1</v>
      </c>
      <c r="C99" t="s">
        <v>78</v>
      </c>
      <c r="D99" s="1" t="s">
        <v>2</v>
      </c>
      <c r="E99" s="59" t="s">
        <v>18</v>
      </c>
      <c r="F99" s="60">
        <v>4.0392000000000001</v>
      </c>
      <c r="G99" s="60">
        <v>0.24208957020078301</v>
      </c>
      <c r="H99" s="61">
        <v>4.0736734693877503</v>
      </c>
      <c r="I99" s="62">
        <v>4.05</v>
      </c>
      <c r="J99" s="37">
        <v>-2.3673469387750501E-2</v>
      </c>
      <c r="K99" s="37">
        <v>-0.58113320975891791</v>
      </c>
      <c r="L99" s="1" t="s">
        <v>69</v>
      </c>
      <c r="M99" s="1">
        <v>1</v>
      </c>
    </row>
    <row r="100" spans="1:13" x14ac:dyDescent="0.3">
      <c r="A100">
        <v>8</v>
      </c>
      <c r="B100">
        <v>1</v>
      </c>
      <c r="C100" t="s">
        <v>78</v>
      </c>
      <c r="D100" s="1" t="s">
        <v>2</v>
      </c>
      <c r="E100" s="59" t="s">
        <v>19</v>
      </c>
      <c r="F100" s="60">
        <v>2.91</v>
      </c>
      <c r="G100" s="60">
        <v>6.4148265759878503E-2</v>
      </c>
      <c r="H100" s="61">
        <v>2.9135714285714198</v>
      </c>
      <c r="I100" s="62">
        <v>2.72</v>
      </c>
      <c r="J100" s="37">
        <v>-0.19357142857141962</v>
      </c>
      <c r="K100" s="37">
        <v>-6.6437852414804679</v>
      </c>
      <c r="L100" s="1" t="s">
        <v>69</v>
      </c>
      <c r="M100" s="1">
        <v>1</v>
      </c>
    </row>
    <row r="102" spans="1:13" x14ac:dyDescent="0.3">
      <c r="A102">
        <v>8</v>
      </c>
      <c r="B102">
        <v>1</v>
      </c>
      <c r="C102" t="s">
        <v>78</v>
      </c>
      <c r="D102" s="1" t="s">
        <v>2</v>
      </c>
      <c r="E102" s="59" t="s">
        <v>12</v>
      </c>
      <c r="F102" s="60">
        <v>4.7182000000000004</v>
      </c>
      <c r="G102" s="60">
        <v>1.0032102272205901</v>
      </c>
      <c r="H102" s="61">
        <v>5.0620454545454496</v>
      </c>
      <c r="I102" s="62">
        <v>5.07</v>
      </c>
      <c r="J102" s="37">
        <v>7.9545454545506544E-3</v>
      </c>
      <c r="K102" s="37">
        <v>0.15714093296827061</v>
      </c>
      <c r="L102" s="1" t="s">
        <v>23</v>
      </c>
      <c r="M102" s="1">
        <v>2</v>
      </c>
    </row>
    <row r="103" spans="1:13" x14ac:dyDescent="0.3">
      <c r="A103">
        <v>8</v>
      </c>
      <c r="B103">
        <v>1</v>
      </c>
      <c r="C103" t="s">
        <v>78</v>
      </c>
      <c r="D103" s="1" t="s">
        <v>2</v>
      </c>
      <c r="E103" s="59" t="s">
        <v>13</v>
      </c>
      <c r="F103" s="60">
        <v>5.1563999999999997</v>
      </c>
      <c r="G103" s="60">
        <v>1.14797344917031</v>
      </c>
      <c r="H103" s="61">
        <v>5.47</v>
      </c>
      <c r="I103" s="62">
        <v>5.65</v>
      </c>
      <c r="J103" s="37">
        <v>0.1800000000000006</v>
      </c>
      <c r="K103" s="37">
        <v>3.2906764168190237</v>
      </c>
      <c r="L103" s="1" t="s">
        <v>23</v>
      </c>
      <c r="M103" s="1">
        <v>2</v>
      </c>
    </row>
    <row r="104" spans="1:13" x14ac:dyDescent="0.3">
      <c r="A104">
        <v>8</v>
      </c>
      <c r="B104">
        <v>1</v>
      </c>
      <c r="C104" t="s">
        <v>78</v>
      </c>
      <c r="D104" s="1" t="s">
        <v>2</v>
      </c>
      <c r="E104" s="59" t="s">
        <v>14</v>
      </c>
      <c r="F104" s="60">
        <v>1.3517999999999999</v>
      </c>
      <c r="G104" s="60">
        <v>0.10224852077169599</v>
      </c>
      <c r="H104" s="61">
        <v>1.36591836734693</v>
      </c>
      <c r="I104" s="62">
        <v>1.37</v>
      </c>
      <c r="J104" s="37">
        <v>4.0816326530701552E-3</v>
      </c>
      <c r="K104" s="37">
        <v>0.29881966233443735</v>
      </c>
      <c r="L104" s="1" t="s">
        <v>23</v>
      </c>
      <c r="M104" s="1">
        <v>2</v>
      </c>
    </row>
    <row r="105" spans="1:13" x14ac:dyDescent="0.3">
      <c r="A105">
        <v>8</v>
      </c>
      <c r="B105">
        <v>1</v>
      </c>
      <c r="C105" t="s">
        <v>78</v>
      </c>
      <c r="D105" s="1" t="s">
        <v>2</v>
      </c>
      <c r="E105" s="59" t="s">
        <v>15</v>
      </c>
      <c r="F105" s="60">
        <v>3.1245833333333302</v>
      </c>
      <c r="G105" s="60">
        <v>0.66406562907759503</v>
      </c>
      <c r="H105" s="61">
        <v>3.3297674418604601</v>
      </c>
      <c r="I105" s="62">
        <v>3.57</v>
      </c>
      <c r="J105" s="37">
        <v>0.2402325581395397</v>
      </c>
      <c r="K105" s="37">
        <v>7.2146947897752636</v>
      </c>
      <c r="L105" s="1" t="s">
        <v>23</v>
      </c>
      <c r="M105" s="1">
        <v>2</v>
      </c>
    </row>
    <row r="106" spans="1:13" x14ac:dyDescent="0.3">
      <c r="A106">
        <v>8</v>
      </c>
      <c r="B106">
        <v>1</v>
      </c>
      <c r="C106" t="s">
        <v>78</v>
      </c>
      <c r="D106" s="1" t="s">
        <v>2</v>
      </c>
      <c r="E106" s="59" t="s">
        <v>16</v>
      </c>
      <c r="F106" s="60">
        <v>4.52475</v>
      </c>
      <c r="G106" s="60">
        <v>0.14931489376482099</v>
      </c>
      <c r="H106" s="61">
        <v>4.5186111111111096</v>
      </c>
      <c r="I106" s="62">
        <v>4.6500000000000004</v>
      </c>
      <c r="J106" s="37">
        <v>0.13138888888889078</v>
      </c>
      <c r="K106" s="37">
        <v>2.907727300670111</v>
      </c>
      <c r="L106" s="1" t="s">
        <v>23</v>
      </c>
      <c r="M106" s="1">
        <v>2</v>
      </c>
    </row>
    <row r="107" spans="1:13" x14ac:dyDescent="0.3">
      <c r="A107">
        <v>8</v>
      </c>
      <c r="B107">
        <v>1</v>
      </c>
      <c r="C107" t="s">
        <v>78</v>
      </c>
      <c r="D107" s="1" t="s">
        <v>2</v>
      </c>
      <c r="E107" s="59" t="s">
        <v>17</v>
      </c>
      <c r="F107" s="60">
        <v>1.0656000000000001</v>
      </c>
      <c r="G107" s="60">
        <v>2.3846173697262201E-2</v>
      </c>
      <c r="H107" s="61">
        <v>1.0634375</v>
      </c>
      <c r="I107" s="62">
        <v>1.3</v>
      </c>
      <c r="J107" s="37">
        <v>0.23656250000000001</v>
      </c>
      <c r="K107" s="37">
        <v>22.245077872465473</v>
      </c>
      <c r="L107" s="1" t="s">
        <v>23</v>
      </c>
      <c r="M107" s="1">
        <v>2</v>
      </c>
    </row>
    <row r="108" spans="1:13" x14ac:dyDescent="0.3">
      <c r="A108">
        <v>8</v>
      </c>
      <c r="B108">
        <v>1</v>
      </c>
      <c r="C108" t="s">
        <v>78</v>
      </c>
      <c r="D108" s="1" t="s">
        <v>2</v>
      </c>
      <c r="E108" s="59" t="s">
        <v>18</v>
      </c>
      <c r="F108" s="60">
        <v>3.9441999999999999</v>
      </c>
      <c r="G108" s="60">
        <v>0.58464720986249397</v>
      </c>
      <c r="H108" s="61">
        <v>4.0776595744680799</v>
      </c>
      <c r="I108" s="62">
        <v>4.17</v>
      </c>
      <c r="J108" s="37">
        <v>9.2340425531920012E-2</v>
      </c>
      <c r="K108" s="37">
        <v>2.2645447430212609</v>
      </c>
      <c r="L108" s="1" t="s">
        <v>23</v>
      </c>
      <c r="M108" s="1">
        <v>2</v>
      </c>
    </row>
    <row r="109" spans="1:13" x14ac:dyDescent="0.3">
      <c r="A109">
        <v>8</v>
      </c>
      <c r="B109">
        <v>1</v>
      </c>
      <c r="C109" t="s">
        <v>78</v>
      </c>
      <c r="D109" s="1" t="s">
        <v>2</v>
      </c>
      <c r="E109" s="59" t="s">
        <v>19</v>
      </c>
      <c r="F109" s="60">
        <v>2.82</v>
      </c>
      <c r="G109" s="60">
        <v>0.39107466542770802</v>
      </c>
      <c r="H109" s="61">
        <v>2.8878124999999999</v>
      </c>
      <c r="I109" s="62">
        <v>2.82</v>
      </c>
      <c r="J109" s="37">
        <v>-6.7812500000000053E-2</v>
      </c>
      <c r="K109" s="37">
        <v>-2.3482307109620191</v>
      </c>
      <c r="L109" s="1" t="s">
        <v>23</v>
      </c>
      <c r="M109" s="1">
        <v>2</v>
      </c>
    </row>
    <row r="110" spans="1:13" x14ac:dyDescent="0.3">
      <c r="A110">
        <v>8</v>
      </c>
      <c r="B110">
        <v>1</v>
      </c>
      <c r="C110" t="s">
        <v>78</v>
      </c>
      <c r="D110" s="1" t="s">
        <v>2</v>
      </c>
      <c r="E110" s="59" t="s">
        <v>12</v>
      </c>
      <c r="F110" s="60">
        <v>4.7182000000000004</v>
      </c>
      <c r="G110" s="60">
        <v>1.0032102272205901</v>
      </c>
      <c r="H110" s="61">
        <v>5.0620454545454496</v>
      </c>
      <c r="I110" s="62">
        <v>4.95</v>
      </c>
      <c r="J110" s="37">
        <v>-0.11204545454544945</v>
      </c>
      <c r="K110" s="37">
        <v>-2.2134422843800929</v>
      </c>
      <c r="L110" s="1" t="s">
        <v>68</v>
      </c>
      <c r="M110" s="1">
        <v>2</v>
      </c>
    </row>
    <row r="111" spans="1:13" x14ac:dyDescent="0.3">
      <c r="A111">
        <v>8</v>
      </c>
      <c r="B111">
        <v>1</v>
      </c>
      <c r="C111" t="s">
        <v>78</v>
      </c>
      <c r="D111" s="1" t="s">
        <v>2</v>
      </c>
      <c r="E111" s="59" t="s">
        <v>13</v>
      </c>
      <c r="F111" s="60">
        <v>5.1563999999999997</v>
      </c>
      <c r="G111" s="60">
        <v>1.14797344917031</v>
      </c>
      <c r="H111" s="61">
        <v>5.47</v>
      </c>
      <c r="I111" s="62">
        <v>5.51</v>
      </c>
      <c r="J111" s="37">
        <v>4.0000000000000036E-2</v>
      </c>
      <c r="K111" s="37">
        <v>0.73126142595978127</v>
      </c>
      <c r="L111" s="1" t="s">
        <v>68</v>
      </c>
      <c r="M111" s="1">
        <v>2</v>
      </c>
    </row>
    <row r="112" spans="1:13" x14ac:dyDescent="0.3">
      <c r="A112">
        <v>8</v>
      </c>
      <c r="B112">
        <v>1</v>
      </c>
      <c r="C112" t="s">
        <v>78</v>
      </c>
      <c r="D112" s="1" t="s">
        <v>2</v>
      </c>
      <c r="E112" s="59" t="s">
        <v>14</v>
      </c>
      <c r="F112" s="60">
        <v>1.3517999999999999</v>
      </c>
      <c r="G112" s="60">
        <v>0.10224852077169599</v>
      </c>
      <c r="H112" s="61">
        <v>1.36591836734693</v>
      </c>
      <c r="I112" s="62">
        <v>1.27</v>
      </c>
      <c r="J112" s="37">
        <v>-9.5918367346929934E-2</v>
      </c>
      <c r="K112" s="37">
        <v>-7.0222620648432654</v>
      </c>
      <c r="L112" s="1" t="s">
        <v>68</v>
      </c>
      <c r="M112" s="1">
        <v>2</v>
      </c>
    </row>
    <row r="113" spans="1:13" x14ac:dyDescent="0.3">
      <c r="A113">
        <v>8</v>
      </c>
      <c r="B113">
        <v>1</v>
      </c>
      <c r="C113" t="s">
        <v>78</v>
      </c>
      <c r="D113" s="1" t="s">
        <v>2</v>
      </c>
      <c r="E113" s="59" t="s">
        <v>15</v>
      </c>
      <c r="F113" s="60">
        <v>3.1245833333333302</v>
      </c>
      <c r="G113" s="60">
        <v>0.66406562907759503</v>
      </c>
      <c r="H113" s="61">
        <v>3.3297674418604601</v>
      </c>
      <c r="I113" s="62">
        <v>3.39</v>
      </c>
      <c r="J113" s="37">
        <v>6.0232558139539982E-2</v>
      </c>
      <c r="K113" s="37">
        <v>1.8089118591983679</v>
      </c>
      <c r="L113" s="1" t="s">
        <v>68</v>
      </c>
      <c r="M113" s="1">
        <v>2</v>
      </c>
    </row>
    <row r="114" spans="1:13" x14ac:dyDescent="0.3">
      <c r="A114">
        <v>8</v>
      </c>
      <c r="B114">
        <v>1</v>
      </c>
      <c r="C114" t="s">
        <v>78</v>
      </c>
      <c r="D114" s="1" t="s">
        <v>2</v>
      </c>
      <c r="E114" s="59" t="s">
        <v>16</v>
      </c>
      <c r="F114" s="60">
        <v>4.52475</v>
      </c>
      <c r="G114" s="60">
        <v>0.14931489376482099</v>
      </c>
      <c r="H114" s="61">
        <v>4.5186111111111096</v>
      </c>
      <c r="I114" s="62">
        <v>4.53</v>
      </c>
      <c r="J114" s="37">
        <v>1.1388888888890669E-2</v>
      </c>
      <c r="K114" s="37">
        <v>0.25204401549152533</v>
      </c>
      <c r="L114" s="1" t="s">
        <v>68</v>
      </c>
      <c r="M114" s="1">
        <v>2</v>
      </c>
    </row>
    <row r="115" spans="1:13" x14ac:dyDescent="0.3">
      <c r="A115">
        <v>8</v>
      </c>
      <c r="B115">
        <v>1</v>
      </c>
      <c r="C115" t="s">
        <v>78</v>
      </c>
      <c r="D115" s="1" t="s">
        <v>2</v>
      </c>
      <c r="E115" s="59" t="s">
        <v>17</v>
      </c>
      <c r="F115" s="60">
        <v>1.0656000000000001</v>
      </c>
      <c r="G115" s="60">
        <v>2.3846173697262201E-2</v>
      </c>
      <c r="H115" s="61">
        <v>1.0634375</v>
      </c>
      <c r="I115" s="62">
        <v>1.21</v>
      </c>
      <c r="J115" s="37">
        <v>0.14656249999999993</v>
      </c>
      <c r="K115" s="37">
        <v>13.781957096679392</v>
      </c>
      <c r="L115" s="1" t="s">
        <v>68</v>
      </c>
      <c r="M115" s="1">
        <v>2</v>
      </c>
    </row>
    <row r="116" spans="1:13" x14ac:dyDescent="0.3">
      <c r="A116">
        <v>8</v>
      </c>
      <c r="B116">
        <v>1</v>
      </c>
      <c r="C116" t="s">
        <v>78</v>
      </c>
      <c r="D116" s="1" t="s">
        <v>2</v>
      </c>
      <c r="E116" s="59" t="s">
        <v>18</v>
      </c>
      <c r="F116" s="60">
        <v>3.9441999999999999</v>
      </c>
      <c r="G116" s="60">
        <v>0.58464720986249397</v>
      </c>
      <c r="H116" s="61">
        <v>4.0776595744680799</v>
      </c>
      <c r="I116" s="62">
        <v>4.07</v>
      </c>
      <c r="J116" s="37">
        <v>-7.6595744680796329E-3</v>
      </c>
      <c r="K116" s="37">
        <v>-0.18784242107995991</v>
      </c>
      <c r="L116" s="1" t="s">
        <v>68</v>
      </c>
      <c r="M116" s="1">
        <v>2</v>
      </c>
    </row>
    <row r="117" spans="1:13" x14ac:dyDescent="0.3">
      <c r="A117">
        <v>8</v>
      </c>
      <c r="B117">
        <v>1</v>
      </c>
      <c r="C117" t="s">
        <v>78</v>
      </c>
      <c r="D117" s="1" t="s">
        <v>2</v>
      </c>
      <c r="E117" s="59" t="s">
        <v>19</v>
      </c>
      <c r="F117" s="60">
        <v>2.82</v>
      </c>
      <c r="G117" s="60">
        <v>0.39107466542770802</v>
      </c>
      <c r="H117" s="61">
        <v>2.8878124999999999</v>
      </c>
      <c r="I117" s="62">
        <v>2.74</v>
      </c>
      <c r="J117" s="37">
        <v>-0.14781249999999968</v>
      </c>
      <c r="K117" s="37">
        <v>-5.1184936695162753</v>
      </c>
      <c r="L117" s="1" t="s">
        <v>68</v>
      </c>
      <c r="M117" s="1">
        <v>2</v>
      </c>
    </row>
    <row r="118" spans="1:13" x14ac:dyDescent="0.3">
      <c r="A118">
        <v>8</v>
      </c>
      <c r="B118">
        <v>1</v>
      </c>
      <c r="C118" t="s">
        <v>78</v>
      </c>
      <c r="D118" s="1" t="s">
        <v>2</v>
      </c>
      <c r="E118" s="59" t="s">
        <v>12</v>
      </c>
      <c r="F118" s="60">
        <v>4.7182000000000004</v>
      </c>
      <c r="G118" s="60">
        <v>1.0032102272205901</v>
      </c>
      <c r="H118" s="61">
        <v>5.0620454545454496</v>
      </c>
      <c r="I118" s="62">
        <v>4.93</v>
      </c>
      <c r="J118" s="37">
        <v>-0.13204545454544991</v>
      </c>
      <c r="K118" s="37">
        <v>-2.6085394872714955</v>
      </c>
      <c r="L118" s="1" t="s">
        <v>69</v>
      </c>
      <c r="M118" s="1">
        <v>2</v>
      </c>
    </row>
    <row r="119" spans="1:13" x14ac:dyDescent="0.3">
      <c r="A119">
        <v>8</v>
      </c>
      <c r="B119">
        <v>1</v>
      </c>
      <c r="C119" t="s">
        <v>78</v>
      </c>
      <c r="D119" s="1" t="s">
        <v>2</v>
      </c>
      <c r="E119" s="59" t="s">
        <v>13</v>
      </c>
      <c r="F119" s="60">
        <v>5.1563999999999997</v>
      </c>
      <c r="G119" s="60">
        <v>1.14797344917031</v>
      </c>
      <c r="H119" s="61">
        <v>5.47</v>
      </c>
      <c r="I119" s="62">
        <v>5.56</v>
      </c>
      <c r="J119" s="37">
        <v>8.9999999999999858E-2</v>
      </c>
      <c r="K119" s="37">
        <v>1.6453382084095038</v>
      </c>
      <c r="L119" s="1" t="s">
        <v>69</v>
      </c>
      <c r="M119" s="1">
        <v>2</v>
      </c>
    </row>
    <row r="120" spans="1:13" x14ac:dyDescent="0.3">
      <c r="A120">
        <v>8</v>
      </c>
      <c r="B120">
        <v>1</v>
      </c>
      <c r="C120" t="s">
        <v>78</v>
      </c>
      <c r="D120" s="1" t="s">
        <v>2</v>
      </c>
      <c r="E120" s="59" t="s">
        <v>14</v>
      </c>
      <c r="F120" s="60">
        <v>1.3517999999999999</v>
      </c>
      <c r="G120" s="60">
        <v>0.10224852077169599</v>
      </c>
      <c r="H120" s="61">
        <v>1.36591836734693</v>
      </c>
      <c r="I120" s="62">
        <v>1.32</v>
      </c>
      <c r="J120" s="37">
        <v>-4.5918367346929889E-2</v>
      </c>
      <c r="K120" s="37">
        <v>-3.3617212012544142</v>
      </c>
      <c r="L120" s="1" t="s">
        <v>69</v>
      </c>
      <c r="M120" s="1">
        <v>2</v>
      </c>
    </row>
    <row r="121" spans="1:13" x14ac:dyDescent="0.3">
      <c r="A121">
        <v>8</v>
      </c>
      <c r="B121">
        <v>1</v>
      </c>
      <c r="C121" t="s">
        <v>78</v>
      </c>
      <c r="D121" s="1" t="s">
        <v>2</v>
      </c>
      <c r="E121" s="59" t="s">
        <v>15</v>
      </c>
      <c r="F121" s="60">
        <v>3.1245833333333302</v>
      </c>
      <c r="G121" s="60">
        <v>0.66406562907759503</v>
      </c>
      <c r="H121" s="61">
        <v>3.3297674418604601</v>
      </c>
      <c r="I121" s="62">
        <v>3.44</v>
      </c>
      <c r="J121" s="37">
        <v>0.1102325581395398</v>
      </c>
      <c r="K121" s="37">
        <v>3.3105182288030583</v>
      </c>
      <c r="L121" s="1" t="s">
        <v>69</v>
      </c>
      <c r="M121" s="1">
        <v>2</v>
      </c>
    </row>
    <row r="122" spans="1:13" x14ac:dyDescent="0.3">
      <c r="A122">
        <v>8</v>
      </c>
      <c r="B122">
        <v>1</v>
      </c>
      <c r="C122" t="s">
        <v>78</v>
      </c>
      <c r="D122" s="1" t="s">
        <v>2</v>
      </c>
      <c r="E122" s="59" t="s">
        <v>16</v>
      </c>
      <c r="F122" s="60">
        <v>4.52475</v>
      </c>
      <c r="G122" s="60">
        <v>0.14931489376482099</v>
      </c>
      <c r="H122" s="61">
        <v>4.5186111111111096</v>
      </c>
      <c r="I122" s="62">
        <v>4.59</v>
      </c>
      <c r="J122" s="37">
        <v>7.1388888888890278E-2</v>
      </c>
      <c r="K122" s="37">
        <v>1.5798856580808083</v>
      </c>
      <c r="L122" s="1" t="s">
        <v>69</v>
      </c>
      <c r="M122" s="1">
        <v>2</v>
      </c>
    </row>
    <row r="123" spans="1:13" x14ac:dyDescent="0.3">
      <c r="A123">
        <v>8</v>
      </c>
      <c r="B123">
        <v>1</v>
      </c>
      <c r="C123" t="s">
        <v>78</v>
      </c>
      <c r="D123" s="1" t="s">
        <v>2</v>
      </c>
      <c r="E123" s="59" t="s">
        <v>17</v>
      </c>
      <c r="F123" s="60">
        <v>1.0656000000000001</v>
      </c>
      <c r="G123" s="60">
        <v>2.3846173697262201E-2</v>
      </c>
      <c r="H123" s="61">
        <v>1.0634375</v>
      </c>
      <c r="I123" s="62">
        <v>1.25</v>
      </c>
      <c r="J123" s="37">
        <v>0.18656249999999996</v>
      </c>
      <c r="K123" s="37">
        <v>17.543344108139873</v>
      </c>
      <c r="L123" s="1" t="s">
        <v>69</v>
      </c>
      <c r="M123" s="1">
        <v>2</v>
      </c>
    </row>
    <row r="124" spans="1:13" x14ac:dyDescent="0.3">
      <c r="A124">
        <v>8</v>
      </c>
      <c r="B124">
        <v>1</v>
      </c>
      <c r="C124" t="s">
        <v>78</v>
      </c>
      <c r="D124" s="1" t="s">
        <v>2</v>
      </c>
      <c r="E124" s="59" t="s">
        <v>18</v>
      </c>
      <c r="F124" s="60">
        <v>3.9441999999999999</v>
      </c>
      <c r="G124" s="60">
        <v>0.58464720986249397</v>
      </c>
      <c r="H124" s="61">
        <v>4.0776595744680799</v>
      </c>
      <c r="I124" s="62">
        <v>4.05</v>
      </c>
      <c r="J124" s="37">
        <v>-2.7659574468080095E-2</v>
      </c>
      <c r="K124" s="37">
        <v>-0.6783198539002171</v>
      </c>
      <c r="L124" s="1" t="s">
        <v>69</v>
      </c>
      <c r="M124" s="1">
        <v>2</v>
      </c>
    </row>
    <row r="125" spans="1:13" x14ac:dyDescent="0.3">
      <c r="A125">
        <v>8</v>
      </c>
      <c r="B125">
        <v>1</v>
      </c>
      <c r="C125" t="s">
        <v>78</v>
      </c>
      <c r="D125" s="1" t="s">
        <v>2</v>
      </c>
      <c r="E125" s="59" t="s">
        <v>19</v>
      </c>
      <c r="F125" s="60">
        <v>2.82</v>
      </c>
      <c r="G125" s="60">
        <v>0.39107466542770802</v>
      </c>
      <c r="H125" s="61">
        <v>2.8878124999999999</v>
      </c>
      <c r="I125" s="62">
        <v>2.72</v>
      </c>
      <c r="J125" s="37">
        <v>-0.1678124999999997</v>
      </c>
      <c r="K125" s="37">
        <v>-5.8110594091548426</v>
      </c>
      <c r="L125" s="1" t="s">
        <v>69</v>
      </c>
      <c r="M125" s="1">
        <v>2</v>
      </c>
    </row>
    <row r="127" spans="1:13" x14ac:dyDescent="0.3">
      <c r="A127">
        <v>8</v>
      </c>
      <c r="B127">
        <v>1</v>
      </c>
      <c r="C127" t="s">
        <v>78</v>
      </c>
      <c r="D127" s="1" t="s">
        <v>2</v>
      </c>
      <c r="E127" s="59" t="s">
        <v>12</v>
      </c>
      <c r="F127" s="60">
        <v>4.9184444444444404</v>
      </c>
      <c r="G127" s="60">
        <v>0.68452077496451802</v>
      </c>
      <c r="H127" s="61">
        <v>5.0611627906976704</v>
      </c>
      <c r="I127" s="63">
        <v>5.07</v>
      </c>
      <c r="J127" s="58">
        <v>8.8372093023298959E-3</v>
      </c>
      <c r="K127" s="58">
        <v>0.1746082801085263</v>
      </c>
      <c r="L127" s="1" t="s">
        <v>23</v>
      </c>
      <c r="M127" s="1">
        <v>3</v>
      </c>
    </row>
    <row r="128" spans="1:13" x14ac:dyDescent="0.3">
      <c r="A128">
        <v>8</v>
      </c>
      <c r="B128">
        <v>1</v>
      </c>
      <c r="C128" t="s">
        <v>78</v>
      </c>
      <c r="D128" s="1" t="s">
        <v>2</v>
      </c>
      <c r="E128" s="59" t="s">
        <v>13</v>
      </c>
      <c r="F128" s="60">
        <v>5.1757777777777703</v>
      </c>
      <c r="G128" s="60">
        <v>1.1633867970310501</v>
      </c>
      <c r="H128" s="61">
        <v>5.4840476190476197</v>
      </c>
      <c r="I128" s="63">
        <v>5.65</v>
      </c>
      <c r="J128" s="58">
        <v>0.16595238095238063</v>
      </c>
      <c r="K128" s="58">
        <v>3.0260929970042918</v>
      </c>
      <c r="L128" s="1" t="s">
        <v>23</v>
      </c>
      <c r="M128" s="1">
        <v>3</v>
      </c>
    </row>
    <row r="129" spans="1:13" x14ac:dyDescent="0.3">
      <c r="A129">
        <v>8</v>
      </c>
      <c r="B129">
        <v>1</v>
      </c>
      <c r="C129" t="s">
        <v>78</v>
      </c>
      <c r="D129" s="1" t="s">
        <v>2</v>
      </c>
      <c r="E129" s="59" t="s">
        <v>14</v>
      </c>
      <c r="F129" s="60">
        <v>1.36977777777777</v>
      </c>
      <c r="G129" s="60">
        <v>2.6540442003259598E-2</v>
      </c>
      <c r="H129" s="61">
        <v>1.36333333333333</v>
      </c>
      <c r="I129" s="63">
        <v>1.37</v>
      </c>
      <c r="J129" s="58">
        <v>6.6666666666701513E-3</v>
      </c>
      <c r="K129" s="58">
        <v>0.48899755501248177</v>
      </c>
      <c r="L129" s="1" t="s">
        <v>23</v>
      </c>
      <c r="M129" s="1">
        <v>3</v>
      </c>
    </row>
    <row r="130" spans="1:13" x14ac:dyDescent="0.3">
      <c r="A130">
        <v>8</v>
      </c>
      <c r="B130">
        <v>1</v>
      </c>
      <c r="C130" t="s">
        <v>78</v>
      </c>
      <c r="D130" s="1" t="s">
        <v>2</v>
      </c>
      <c r="E130" s="59" t="s">
        <v>15</v>
      </c>
      <c r="F130" s="60">
        <v>3.2488888888888798</v>
      </c>
      <c r="G130" s="60">
        <v>0.38986164054114297</v>
      </c>
      <c r="H130" s="61">
        <v>3.3682926829268198</v>
      </c>
      <c r="I130" s="63">
        <v>3.57</v>
      </c>
      <c r="J130" s="58">
        <v>0.20170731707318001</v>
      </c>
      <c r="K130" s="58">
        <v>5.9884141926143402</v>
      </c>
      <c r="L130" s="1" t="s">
        <v>23</v>
      </c>
      <c r="M130" s="1">
        <v>3</v>
      </c>
    </row>
    <row r="131" spans="1:13" x14ac:dyDescent="0.3">
      <c r="A131">
        <v>8</v>
      </c>
      <c r="B131">
        <v>1</v>
      </c>
      <c r="C131" t="s">
        <v>78</v>
      </c>
      <c r="D131" s="1" t="s">
        <v>2</v>
      </c>
      <c r="E131" s="59" t="s">
        <v>16</v>
      </c>
      <c r="F131" s="60">
        <v>4.39970588235294</v>
      </c>
      <c r="G131" s="60">
        <v>0.61193754628526698</v>
      </c>
      <c r="H131" s="61">
        <v>4.5496875000000001</v>
      </c>
      <c r="I131" s="63">
        <v>4.6500000000000004</v>
      </c>
      <c r="J131" s="58">
        <v>0.10031250000000025</v>
      </c>
      <c r="K131" s="58">
        <v>2.2048217597362512</v>
      </c>
      <c r="L131" s="1" t="s">
        <v>23</v>
      </c>
      <c r="M131" s="1">
        <v>3</v>
      </c>
    </row>
    <row r="132" spans="1:13" x14ac:dyDescent="0.3">
      <c r="A132">
        <v>8</v>
      </c>
      <c r="B132">
        <v>1</v>
      </c>
      <c r="C132" t="s">
        <v>78</v>
      </c>
      <c r="D132" s="1" t="s">
        <v>2</v>
      </c>
      <c r="E132" s="59" t="s">
        <v>17</v>
      </c>
      <c r="F132" s="60">
        <v>1.0308888888888801</v>
      </c>
      <c r="G132" s="60">
        <v>0.169113009187771</v>
      </c>
      <c r="H132" s="61">
        <v>1.0658139534883699</v>
      </c>
      <c r="I132" s="63">
        <v>1.3</v>
      </c>
      <c r="J132" s="58">
        <v>0.23418604651163011</v>
      </c>
      <c r="K132" s="58">
        <v>21.972507091425079</v>
      </c>
      <c r="L132" s="1" t="s">
        <v>23</v>
      </c>
      <c r="M132" s="1">
        <v>3</v>
      </c>
    </row>
    <row r="133" spans="1:13" x14ac:dyDescent="0.3">
      <c r="A133">
        <v>8</v>
      </c>
      <c r="B133">
        <v>1</v>
      </c>
      <c r="C133" t="s">
        <v>78</v>
      </c>
      <c r="D133" s="1" t="s">
        <v>2</v>
      </c>
      <c r="E133" s="59" t="s">
        <v>18</v>
      </c>
      <c r="F133" s="60">
        <v>3.85466666666666</v>
      </c>
      <c r="G133" s="60">
        <v>0.74086316025445698</v>
      </c>
      <c r="H133" s="61">
        <v>4.07951219512195</v>
      </c>
      <c r="I133" s="63">
        <v>4.17</v>
      </c>
      <c r="J133" s="58">
        <v>9.0487804878049971E-2</v>
      </c>
      <c r="K133" s="58">
        <v>2.2181035513571983</v>
      </c>
      <c r="L133" s="1" t="s">
        <v>23</v>
      </c>
      <c r="M133" s="1">
        <v>3</v>
      </c>
    </row>
    <row r="134" spans="1:13" x14ac:dyDescent="0.3">
      <c r="A134">
        <v>8</v>
      </c>
      <c r="B134">
        <v>1</v>
      </c>
      <c r="C134" t="s">
        <v>78</v>
      </c>
      <c r="D134" s="1" t="s">
        <v>2</v>
      </c>
      <c r="E134" s="59" t="s">
        <v>19</v>
      </c>
      <c r="F134" s="60">
        <v>2.8318181818181798</v>
      </c>
      <c r="G134" s="60">
        <v>0.39785374612511198</v>
      </c>
      <c r="H134" s="61">
        <v>2.9012500000000001</v>
      </c>
      <c r="I134" s="63">
        <v>2.82</v>
      </c>
      <c r="J134" s="58">
        <v>-8.1250000000000266E-2</v>
      </c>
      <c r="K134" s="58">
        <v>-2.8005170185265063</v>
      </c>
      <c r="L134" s="1" t="s">
        <v>23</v>
      </c>
      <c r="M134" s="1">
        <v>3</v>
      </c>
    </row>
    <row r="135" spans="1:13" x14ac:dyDescent="0.3">
      <c r="A135">
        <v>8</v>
      </c>
      <c r="B135">
        <v>1</v>
      </c>
      <c r="C135" t="s">
        <v>78</v>
      </c>
      <c r="D135" s="1" t="s">
        <v>2</v>
      </c>
      <c r="E135" s="59" t="s">
        <v>12</v>
      </c>
      <c r="F135" s="60">
        <v>4.9184444444444404</v>
      </c>
      <c r="G135" s="60">
        <v>0.68452077496451802</v>
      </c>
      <c r="H135" s="61">
        <v>5.0611627906976704</v>
      </c>
      <c r="I135" s="63">
        <v>4.95</v>
      </c>
      <c r="J135" s="58">
        <v>-0.11116279069767021</v>
      </c>
      <c r="K135" s="58">
        <v>-2.1963883655745176</v>
      </c>
      <c r="L135" s="1" t="s">
        <v>68</v>
      </c>
      <c r="M135" s="1">
        <v>3</v>
      </c>
    </row>
    <row r="136" spans="1:13" x14ac:dyDescent="0.3">
      <c r="A136">
        <v>8</v>
      </c>
      <c r="B136">
        <v>1</v>
      </c>
      <c r="C136" t="s">
        <v>78</v>
      </c>
      <c r="D136" s="1" t="s">
        <v>2</v>
      </c>
      <c r="E136" s="59" t="s">
        <v>13</v>
      </c>
      <c r="F136" s="60">
        <v>5.1757777777777703</v>
      </c>
      <c r="G136" s="60">
        <v>1.1633867970310501</v>
      </c>
      <c r="H136" s="61">
        <v>5.4840476190476197</v>
      </c>
      <c r="I136" s="63">
        <v>5.51</v>
      </c>
      <c r="J136" s="58">
        <v>2.5952380952380061E-2</v>
      </c>
      <c r="K136" s="58">
        <v>0.47323405548559128</v>
      </c>
      <c r="L136" s="1" t="s">
        <v>68</v>
      </c>
      <c r="M136" s="1">
        <v>3</v>
      </c>
    </row>
    <row r="137" spans="1:13" x14ac:dyDescent="0.3">
      <c r="A137">
        <v>8</v>
      </c>
      <c r="B137">
        <v>1</v>
      </c>
      <c r="C137" t="s">
        <v>78</v>
      </c>
      <c r="D137" s="1" t="s">
        <v>2</v>
      </c>
      <c r="E137" s="59" t="s">
        <v>14</v>
      </c>
      <c r="F137" s="60">
        <v>1.36977777777777</v>
      </c>
      <c r="G137" s="60">
        <v>2.6540442003259598E-2</v>
      </c>
      <c r="H137" s="61">
        <v>1.36333333333333</v>
      </c>
      <c r="I137" s="63">
        <v>1.27</v>
      </c>
      <c r="J137" s="58">
        <v>-9.3333333333329938E-2</v>
      </c>
      <c r="K137" s="58">
        <v>-6.8459657701709169</v>
      </c>
      <c r="L137" s="1" t="s">
        <v>68</v>
      </c>
      <c r="M137" s="1">
        <v>3</v>
      </c>
    </row>
    <row r="138" spans="1:13" x14ac:dyDescent="0.3">
      <c r="A138">
        <v>8</v>
      </c>
      <c r="B138">
        <v>1</v>
      </c>
      <c r="C138" t="s">
        <v>78</v>
      </c>
      <c r="D138" s="1" t="s">
        <v>2</v>
      </c>
      <c r="E138" s="59" t="s">
        <v>15</v>
      </c>
      <c r="F138" s="60">
        <v>3.2488888888888798</v>
      </c>
      <c r="G138" s="60">
        <v>0.38986164054114297</v>
      </c>
      <c r="H138" s="61">
        <v>3.3682926829268198</v>
      </c>
      <c r="I138" s="63">
        <v>3.39</v>
      </c>
      <c r="J138" s="58">
        <v>2.1707317073180299E-2</v>
      </c>
      <c r="K138" s="58">
        <v>0.64446053584387741</v>
      </c>
      <c r="L138" s="1" t="s">
        <v>68</v>
      </c>
      <c r="M138" s="1">
        <v>3</v>
      </c>
    </row>
    <row r="139" spans="1:13" x14ac:dyDescent="0.3">
      <c r="A139">
        <v>8</v>
      </c>
      <c r="B139">
        <v>1</v>
      </c>
      <c r="C139" t="s">
        <v>78</v>
      </c>
      <c r="D139" s="1" t="s">
        <v>2</v>
      </c>
      <c r="E139" s="59" t="s">
        <v>16</v>
      </c>
      <c r="F139" s="60">
        <v>4.39970588235294</v>
      </c>
      <c r="G139" s="60">
        <v>0.61193754628526698</v>
      </c>
      <c r="H139" s="61">
        <v>4.5496875000000001</v>
      </c>
      <c r="I139" s="63">
        <v>4.53</v>
      </c>
      <c r="J139" s="58">
        <v>-1.9687499999999858E-2</v>
      </c>
      <c r="K139" s="58">
        <v>-0.43272202761178341</v>
      </c>
      <c r="L139" s="1" t="s">
        <v>68</v>
      </c>
      <c r="M139" s="1">
        <v>3</v>
      </c>
    </row>
    <row r="140" spans="1:13" x14ac:dyDescent="0.3">
      <c r="A140">
        <v>8</v>
      </c>
      <c r="B140">
        <v>1</v>
      </c>
      <c r="C140" t="s">
        <v>78</v>
      </c>
      <c r="D140" s="1" t="s">
        <v>2</v>
      </c>
      <c r="E140" s="59" t="s">
        <v>17</v>
      </c>
      <c r="F140" s="60">
        <v>1.0308888888888801</v>
      </c>
      <c r="G140" s="60">
        <v>0.169113009187771</v>
      </c>
      <c r="H140" s="61">
        <v>1.0658139534883699</v>
      </c>
      <c r="I140" s="63">
        <v>1.21</v>
      </c>
      <c r="J140" s="58">
        <v>0.14418604651163003</v>
      </c>
      <c r="K140" s="58">
        <v>13.528256600480262</v>
      </c>
      <c r="L140" s="1" t="s">
        <v>68</v>
      </c>
      <c r="M140" s="1">
        <v>3</v>
      </c>
    </row>
    <row r="141" spans="1:13" x14ac:dyDescent="0.3">
      <c r="A141">
        <v>8</v>
      </c>
      <c r="B141">
        <v>1</v>
      </c>
      <c r="C141" t="s">
        <v>78</v>
      </c>
      <c r="D141" s="1" t="s">
        <v>2</v>
      </c>
      <c r="E141" s="59" t="s">
        <v>18</v>
      </c>
      <c r="F141" s="60">
        <v>3.85466666666666</v>
      </c>
      <c r="G141" s="60">
        <v>0.74086316025445698</v>
      </c>
      <c r="H141" s="61">
        <v>4.07951219512195</v>
      </c>
      <c r="I141" s="63">
        <v>4.07</v>
      </c>
      <c r="J141" s="58">
        <v>-9.5121951219496736E-3</v>
      </c>
      <c r="K141" s="58">
        <v>-0.23316991510219823</v>
      </c>
      <c r="L141" s="1" t="s">
        <v>68</v>
      </c>
      <c r="M141" s="1">
        <v>3</v>
      </c>
    </row>
    <row r="142" spans="1:13" x14ac:dyDescent="0.3">
      <c r="A142">
        <v>8</v>
      </c>
      <c r="B142">
        <v>1</v>
      </c>
      <c r="C142" t="s">
        <v>78</v>
      </c>
      <c r="D142" s="1" t="s">
        <v>2</v>
      </c>
      <c r="E142" s="59" t="s">
        <v>19</v>
      </c>
      <c r="F142" s="60">
        <v>2.8318181818181798</v>
      </c>
      <c r="G142" s="60">
        <v>0.39785374612511198</v>
      </c>
      <c r="H142" s="61">
        <v>2.9012500000000001</v>
      </c>
      <c r="I142" s="63">
        <v>2.74</v>
      </c>
      <c r="J142" s="58">
        <v>-0.16124999999999989</v>
      </c>
      <c r="K142" s="58">
        <v>-5.55794915984489</v>
      </c>
      <c r="L142" s="1" t="s">
        <v>68</v>
      </c>
      <c r="M142" s="1">
        <v>3</v>
      </c>
    </row>
    <row r="143" spans="1:13" x14ac:dyDescent="0.3">
      <c r="A143">
        <v>8</v>
      </c>
      <c r="B143">
        <v>1</v>
      </c>
      <c r="C143" t="s">
        <v>78</v>
      </c>
      <c r="D143" s="1" t="s">
        <v>2</v>
      </c>
      <c r="E143" s="59" t="s">
        <v>12</v>
      </c>
      <c r="F143" s="60">
        <v>4.9184444444444404</v>
      </c>
      <c r="G143" s="60">
        <v>0.68452077496451802</v>
      </c>
      <c r="H143" s="61">
        <v>5.0611627906976704</v>
      </c>
      <c r="I143" s="63">
        <v>4.93</v>
      </c>
      <c r="J143" s="58">
        <v>-0.13116279069767067</v>
      </c>
      <c r="K143" s="58">
        <v>-2.5915544731883671</v>
      </c>
      <c r="L143" s="1" t="s">
        <v>69</v>
      </c>
      <c r="M143" s="1">
        <v>3</v>
      </c>
    </row>
    <row r="144" spans="1:13" x14ac:dyDescent="0.3">
      <c r="A144">
        <v>8</v>
      </c>
      <c r="B144">
        <v>1</v>
      </c>
      <c r="C144" t="s">
        <v>78</v>
      </c>
      <c r="D144" s="1" t="s">
        <v>2</v>
      </c>
      <c r="E144" s="59" t="s">
        <v>13</v>
      </c>
      <c r="F144" s="60">
        <v>5.1757777777777703</v>
      </c>
      <c r="G144" s="60">
        <v>1.1633867970310501</v>
      </c>
      <c r="H144" s="61">
        <v>5.4840476190476197</v>
      </c>
      <c r="I144" s="63">
        <v>5.56</v>
      </c>
      <c r="J144" s="58">
        <v>7.5952380952379883E-2</v>
      </c>
      <c r="K144" s="58">
        <v>1.384969391742263</v>
      </c>
      <c r="L144" s="1" t="s">
        <v>69</v>
      </c>
      <c r="M144" s="1">
        <v>3</v>
      </c>
    </row>
    <row r="145" spans="1:13" x14ac:dyDescent="0.3">
      <c r="A145">
        <v>8</v>
      </c>
      <c r="B145">
        <v>1</v>
      </c>
      <c r="C145" t="s">
        <v>78</v>
      </c>
      <c r="D145" s="1" t="s">
        <v>2</v>
      </c>
      <c r="E145" s="59" t="s">
        <v>14</v>
      </c>
      <c r="F145" s="60">
        <v>1.36977777777777</v>
      </c>
      <c r="G145" s="60">
        <v>2.6540442003259598E-2</v>
      </c>
      <c r="H145" s="61">
        <v>1.36333333333333</v>
      </c>
      <c r="I145" s="63">
        <v>1.32</v>
      </c>
      <c r="J145" s="58">
        <v>-4.3333333333329893E-2</v>
      </c>
      <c r="K145" s="58">
        <v>-3.1784841075792181</v>
      </c>
      <c r="L145" s="1" t="s">
        <v>69</v>
      </c>
      <c r="M145" s="1">
        <v>3</v>
      </c>
    </row>
    <row r="146" spans="1:13" x14ac:dyDescent="0.3">
      <c r="A146">
        <v>8</v>
      </c>
      <c r="B146">
        <v>1</v>
      </c>
      <c r="C146" t="s">
        <v>78</v>
      </c>
      <c r="D146" s="1" t="s">
        <v>2</v>
      </c>
      <c r="E146" s="59" t="s">
        <v>15</v>
      </c>
      <c r="F146" s="60">
        <v>3.2488888888888798</v>
      </c>
      <c r="G146" s="60">
        <v>0.38986164054114297</v>
      </c>
      <c r="H146" s="61">
        <v>3.3682926829268198</v>
      </c>
      <c r="I146" s="63">
        <v>3.44</v>
      </c>
      <c r="J146" s="58">
        <v>7.1707317073180121E-2</v>
      </c>
      <c r="K146" s="58">
        <v>2.128892107169003</v>
      </c>
      <c r="L146" s="1" t="s">
        <v>69</v>
      </c>
      <c r="M146" s="1">
        <v>3</v>
      </c>
    </row>
    <row r="147" spans="1:13" x14ac:dyDescent="0.3">
      <c r="A147">
        <v>8</v>
      </c>
      <c r="B147">
        <v>1</v>
      </c>
      <c r="C147" t="s">
        <v>78</v>
      </c>
      <c r="D147" s="1" t="s">
        <v>2</v>
      </c>
      <c r="E147" s="59" t="s">
        <v>16</v>
      </c>
      <c r="F147" s="60">
        <v>4.39970588235294</v>
      </c>
      <c r="G147" s="60">
        <v>0.61193754628526698</v>
      </c>
      <c r="H147" s="61">
        <v>4.5496875000000001</v>
      </c>
      <c r="I147" s="63">
        <v>4.59</v>
      </c>
      <c r="J147" s="58">
        <v>4.0312499999999751E-2</v>
      </c>
      <c r="K147" s="58">
        <v>0.88604986606222402</v>
      </c>
      <c r="L147" s="1" t="s">
        <v>69</v>
      </c>
      <c r="M147" s="1">
        <v>3</v>
      </c>
    </row>
    <row r="148" spans="1:13" x14ac:dyDescent="0.3">
      <c r="A148">
        <v>8</v>
      </c>
      <c r="B148">
        <v>1</v>
      </c>
      <c r="C148" t="s">
        <v>78</v>
      </c>
      <c r="D148" s="1" t="s">
        <v>2</v>
      </c>
      <c r="E148" s="59" t="s">
        <v>17</v>
      </c>
      <c r="F148" s="60">
        <v>1.0308888888888801</v>
      </c>
      <c r="G148" s="60">
        <v>0.169113009187771</v>
      </c>
      <c r="H148" s="61">
        <v>1.0658139534883699</v>
      </c>
      <c r="I148" s="63">
        <v>1.25</v>
      </c>
      <c r="J148" s="58">
        <v>0.18418604651163006</v>
      </c>
      <c r="K148" s="58">
        <v>17.28125681867796</v>
      </c>
      <c r="L148" s="1" t="s">
        <v>69</v>
      </c>
      <c r="M148" s="1">
        <v>3</v>
      </c>
    </row>
    <row r="149" spans="1:13" x14ac:dyDescent="0.3">
      <c r="A149">
        <v>8</v>
      </c>
      <c r="B149">
        <v>1</v>
      </c>
      <c r="C149" t="s">
        <v>78</v>
      </c>
      <c r="D149" s="1" t="s">
        <v>2</v>
      </c>
      <c r="E149" s="59" t="s">
        <v>18</v>
      </c>
      <c r="F149" s="60">
        <v>3.85466666666666</v>
      </c>
      <c r="G149" s="60">
        <v>0.74086316025445698</v>
      </c>
      <c r="H149" s="61">
        <v>4.07951219512195</v>
      </c>
      <c r="I149" s="63">
        <v>4.05</v>
      </c>
      <c r="J149" s="58">
        <v>-2.9512195121950136E-2</v>
      </c>
      <c r="K149" s="58">
        <v>-0.72342460839409062</v>
      </c>
      <c r="L149" s="1" t="s">
        <v>69</v>
      </c>
      <c r="M149" s="1">
        <v>3</v>
      </c>
    </row>
    <row r="150" spans="1:13" x14ac:dyDescent="0.3">
      <c r="A150">
        <v>8</v>
      </c>
      <c r="B150">
        <v>1</v>
      </c>
      <c r="C150" t="s">
        <v>78</v>
      </c>
      <c r="D150" s="1" t="s">
        <v>2</v>
      </c>
      <c r="E150" s="59" t="s">
        <v>19</v>
      </c>
      <c r="F150" s="60">
        <v>2.8318181818181798</v>
      </c>
      <c r="G150" s="60">
        <v>0.39785374612511198</v>
      </c>
      <c r="H150" s="61">
        <v>2.9012500000000001</v>
      </c>
      <c r="I150" s="63">
        <v>2.72</v>
      </c>
      <c r="J150" s="58">
        <v>-0.18124999999999991</v>
      </c>
      <c r="K150" s="58">
        <v>-6.2473071951744901</v>
      </c>
      <c r="L150" s="1" t="s">
        <v>69</v>
      </c>
      <c r="M150" s="1">
        <v>3</v>
      </c>
    </row>
    <row r="152" spans="1:13" x14ac:dyDescent="0.3">
      <c r="A152">
        <v>10</v>
      </c>
      <c r="B152">
        <v>1</v>
      </c>
      <c r="C152" t="s">
        <v>78</v>
      </c>
      <c r="D152" s="1" t="s">
        <v>2</v>
      </c>
      <c r="E152" s="59" t="s">
        <v>12</v>
      </c>
      <c r="F152" s="60"/>
      <c r="G152" s="60"/>
      <c r="H152" s="61"/>
      <c r="I152" s="62"/>
      <c r="J152" s="37"/>
      <c r="K152" s="37"/>
      <c r="L152" s="1" t="s">
        <v>23</v>
      </c>
      <c r="M152" s="1">
        <v>1</v>
      </c>
    </row>
    <row r="153" spans="1:13" x14ac:dyDescent="0.3">
      <c r="A153">
        <v>10</v>
      </c>
      <c r="B153">
        <v>1</v>
      </c>
      <c r="C153" t="s">
        <v>78</v>
      </c>
      <c r="D153" s="1" t="s">
        <v>2</v>
      </c>
      <c r="E153" s="59" t="s">
        <v>13</v>
      </c>
      <c r="F153" s="60">
        <v>2.2944444444444398</v>
      </c>
      <c r="G153" s="60">
        <v>0.12737618049707899</v>
      </c>
      <c r="H153" s="61">
        <v>2.3134090909090901</v>
      </c>
      <c r="I153" s="62">
        <v>2.5</v>
      </c>
      <c r="J153" s="37">
        <v>0.18659090909090992</v>
      </c>
      <c r="K153" s="37">
        <v>8.0656253070046571</v>
      </c>
      <c r="L153" s="1" t="s">
        <v>23</v>
      </c>
      <c r="M153" s="1">
        <v>1</v>
      </c>
    </row>
    <row r="154" spans="1:13" x14ac:dyDescent="0.3">
      <c r="A154">
        <v>10</v>
      </c>
      <c r="B154">
        <v>1</v>
      </c>
      <c r="C154" t="s">
        <v>78</v>
      </c>
      <c r="D154" s="1" t="s">
        <v>2</v>
      </c>
      <c r="E154" s="59" t="s">
        <v>14</v>
      </c>
      <c r="F154" s="60">
        <v>3.8348888888888801</v>
      </c>
      <c r="G154" s="60">
        <v>0.50591445136382995</v>
      </c>
      <c r="H154" s="61">
        <v>3.9712195121951201</v>
      </c>
      <c r="I154" s="62">
        <v>4.05</v>
      </c>
      <c r="J154" s="37">
        <v>7.8780487804879673E-2</v>
      </c>
      <c r="K154" s="37">
        <v>1.9837857757032724</v>
      </c>
      <c r="L154" s="1" t="s">
        <v>23</v>
      </c>
      <c r="M154" s="1">
        <v>1</v>
      </c>
    </row>
    <row r="155" spans="1:13" x14ac:dyDescent="0.3">
      <c r="A155">
        <v>10</v>
      </c>
      <c r="B155">
        <v>1</v>
      </c>
      <c r="C155" t="s">
        <v>78</v>
      </c>
      <c r="D155" s="1" t="s">
        <v>2</v>
      </c>
      <c r="E155" s="59" t="s">
        <v>15</v>
      </c>
      <c r="F155" s="60">
        <v>3.6364444444444399</v>
      </c>
      <c r="G155" s="60">
        <v>0.501185951543627</v>
      </c>
      <c r="H155" s="61">
        <v>3.7444186046511598</v>
      </c>
      <c r="I155" s="62">
        <v>3.84</v>
      </c>
      <c r="J155" s="37">
        <v>9.5581395348840026E-2</v>
      </c>
      <c r="K155" s="37">
        <v>2.5526364822061516</v>
      </c>
      <c r="L155" s="1" t="s">
        <v>23</v>
      </c>
      <c r="M155" s="1">
        <v>1</v>
      </c>
    </row>
    <row r="156" spans="1:13" x14ac:dyDescent="0.3">
      <c r="A156">
        <v>10</v>
      </c>
      <c r="B156">
        <v>1</v>
      </c>
      <c r="C156" t="s">
        <v>78</v>
      </c>
      <c r="D156" s="1" t="s">
        <v>2</v>
      </c>
      <c r="E156" s="59" t="s">
        <v>16</v>
      </c>
      <c r="F156" s="60">
        <v>2.1015909090909002</v>
      </c>
      <c r="G156" s="60">
        <v>2.32518994158817E-2</v>
      </c>
      <c r="H156" s="61">
        <v>2.1021874999999901</v>
      </c>
      <c r="I156" s="62">
        <v>2.25</v>
      </c>
      <c r="J156" s="37">
        <v>0.14781250000000989</v>
      </c>
      <c r="K156" s="37">
        <v>7.031366136465496</v>
      </c>
      <c r="L156" s="1" t="s">
        <v>23</v>
      </c>
      <c r="M156" s="1">
        <v>1</v>
      </c>
    </row>
    <row r="157" spans="1:13" x14ac:dyDescent="0.3">
      <c r="A157">
        <v>10</v>
      </c>
      <c r="B157">
        <v>1</v>
      </c>
      <c r="C157" t="s">
        <v>78</v>
      </c>
      <c r="D157" s="1" t="s">
        <v>2</v>
      </c>
      <c r="E157" s="59" t="s">
        <v>17</v>
      </c>
      <c r="F157" s="60">
        <v>4.1149999999999904</v>
      </c>
      <c r="G157" s="60">
        <v>0.60643474112067097</v>
      </c>
      <c r="H157" s="61">
        <v>4.2070731707317002</v>
      </c>
      <c r="I157" s="62">
        <v>4.26</v>
      </c>
      <c r="J157" s="37">
        <v>5.2926829268299613E-2</v>
      </c>
      <c r="K157" s="37">
        <v>1.258043944576664</v>
      </c>
      <c r="L157" s="1" t="s">
        <v>23</v>
      </c>
      <c r="M157" s="1">
        <v>1</v>
      </c>
    </row>
    <row r="158" spans="1:13" x14ac:dyDescent="0.3">
      <c r="A158">
        <v>10</v>
      </c>
      <c r="B158">
        <v>1</v>
      </c>
      <c r="C158" t="s">
        <v>78</v>
      </c>
      <c r="D158" s="1" t="s">
        <v>2</v>
      </c>
      <c r="E158" s="59" t="s">
        <v>18</v>
      </c>
      <c r="F158" s="60">
        <v>0.93644444444444397</v>
      </c>
      <c r="G158" s="60">
        <v>1.7017057528068098E-2</v>
      </c>
      <c r="H158" s="61">
        <v>0.93500000000000005</v>
      </c>
      <c r="I158" s="62">
        <v>1.27</v>
      </c>
      <c r="J158" s="37">
        <v>0.33499999999999996</v>
      </c>
      <c r="K158" s="37">
        <v>35.828877005347586</v>
      </c>
      <c r="L158" s="1" t="s">
        <v>23</v>
      </c>
      <c r="M158" s="1">
        <v>1</v>
      </c>
    </row>
    <row r="159" spans="1:13" x14ac:dyDescent="0.3">
      <c r="A159">
        <v>10</v>
      </c>
      <c r="B159">
        <v>1</v>
      </c>
      <c r="C159" t="s">
        <v>78</v>
      </c>
      <c r="D159" s="1" t="s">
        <v>2</v>
      </c>
      <c r="E159" s="59" t="s">
        <v>19</v>
      </c>
      <c r="F159" s="60">
        <v>1.33622222222222</v>
      </c>
      <c r="G159" s="60">
        <v>0.111460783116033</v>
      </c>
      <c r="H159" s="61">
        <v>1.3597674418604599</v>
      </c>
      <c r="I159" s="62">
        <v>1.64</v>
      </c>
      <c r="J159" s="37">
        <v>0.28023255813953996</v>
      </c>
      <c r="K159" s="37">
        <v>20.608859244057232</v>
      </c>
      <c r="L159" s="1" t="s">
        <v>23</v>
      </c>
      <c r="M159" s="1">
        <v>1</v>
      </c>
    </row>
    <row r="160" spans="1:13" x14ac:dyDescent="0.3">
      <c r="A160">
        <v>10</v>
      </c>
      <c r="B160">
        <v>1</v>
      </c>
      <c r="C160" t="s">
        <v>78</v>
      </c>
      <c r="D160" s="1" t="s">
        <v>2</v>
      </c>
      <c r="E160" s="59" t="s">
        <v>12</v>
      </c>
      <c r="F160" s="60"/>
      <c r="G160" s="60"/>
      <c r="H160" s="61"/>
      <c r="I160" s="62"/>
      <c r="J160" s="37"/>
      <c r="K160" s="37"/>
      <c r="L160" s="1" t="s">
        <v>68</v>
      </c>
      <c r="M160" s="1">
        <v>1</v>
      </c>
    </row>
    <row r="161" spans="1:13" x14ac:dyDescent="0.3">
      <c r="A161">
        <v>10</v>
      </c>
      <c r="B161">
        <v>1</v>
      </c>
      <c r="C161" t="s">
        <v>78</v>
      </c>
      <c r="D161" s="1" t="s">
        <v>2</v>
      </c>
      <c r="E161" s="59" t="s">
        <v>13</v>
      </c>
      <c r="F161" s="60">
        <v>2.2944444444444398</v>
      </c>
      <c r="G161" s="60">
        <v>0.12737618049707899</v>
      </c>
      <c r="H161" s="61">
        <v>2.3134090909090901</v>
      </c>
      <c r="I161" s="62">
        <v>2.38</v>
      </c>
      <c r="J161" s="37">
        <v>6.6590909090909811E-2</v>
      </c>
      <c r="K161" s="37">
        <v>2.878475292268428</v>
      </c>
      <c r="L161" s="1" t="s">
        <v>68</v>
      </c>
      <c r="M161" s="1">
        <v>1</v>
      </c>
    </row>
    <row r="162" spans="1:13" x14ac:dyDescent="0.3">
      <c r="A162">
        <v>10</v>
      </c>
      <c r="B162">
        <v>1</v>
      </c>
      <c r="C162" t="s">
        <v>78</v>
      </c>
      <c r="D162" s="1" t="s">
        <v>2</v>
      </c>
      <c r="E162" s="59" t="s">
        <v>14</v>
      </c>
      <c r="F162" s="60">
        <v>3.8348888888888801</v>
      </c>
      <c r="G162" s="60">
        <v>0.50591445136382995</v>
      </c>
      <c r="H162" s="61">
        <v>3.9712195121951201</v>
      </c>
      <c r="I162" s="62">
        <v>3.96</v>
      </c>
      <c r="J162" s="37">
        <v>-1.1219512195120185E-2</v>
      </c>
      <c r="K162" s="37">
        <v>-0.28252057486790799</v>
      </c>
      <c r="L162" s="1" t="s">
        <v>68</v>
      </c>
      <c r="M162" s="1">
        <v>1</v>
      </c>
    </row>
    <row r="163" spans="1:13" x14ac:dyDescent="0.3">
      <c r="A163">
        <v>10</v>
      </c>
      <c r="B163">
        <v>1</v>
      </c>
      <c r="C163" t="s">
        <v>78</v>
      </c>
      <c r="D163" s="1" t="s">
        <v>2</v>
      </c>
      <c r="E163" s="59" t="s">
        <v>15</v>
      </c>
      <c r="F163" s="60">
        <v>3.6364444444444399</v>
      </c>
      <c r="G163" s="60">
        <v>0.501185951543627</v>
      </c>
      <c r="H163" s="61">
        <v>3.7444186046511598</v>
      </c>
      <c r="I163" s="62">
        <v>3.68</v>
      </c>
      <c r="J163" s="37">
        <v>-6.4418604651159672E-2</v>
      </c>
      <c r="K163" s="37">
        <v>-1.7203900378857637</v>
      </c>
      <c r="L163" s="1" t="s">
        <v>68</v>
      </c>
      <c r="M163" s="1">
        <v>1</v>
      </c>
    </row>
    <row r="164" spans="1:13" x14ac:dyDescent="0.3">
      <c r="A164">
        <v>10</v>
      </c>
      <c r="B164">
        <v>1</v>
      </c>
      <c r="C164" t="s">
        <v>78</v>
      </c>
      <c r="D164" s="1" t="s">
        <v>2</v>
      </c>
      <c r="E164" s="59" t="s">
        <v>16</v>
      </c>
      <c r="F164" s="60">
        <v>2.1015909090909002</v>
      </c>
      <c r="G164" s="60">
        <v>2.32518994158817E-2</v>
      </c>
      <c r="H164" s="61">
        <v>2.1021874999999901</v>
      </c>
      <c r="I164" s="62">
        <v>2.14</v>
      </c>
      <c r="J164" s="37">
        <v>3.7812500000010019E-2</v>
      </c>
      <c r="K164" s="37">
        <v>1.7987215697938552</v>
      </c>
      <c r="L164" s="1" t="s">
        <v>68</v>
      </c>
      <c r="M164" s="1">
        <v>1</v>
      </c>
    </row>
    <row r="165" spans="1:13" x14ac:dyDescent="0.3">
      <c r="A165">
        <v>10</v>
      </c>
      <c r="B165">
        <v>1</v>
      </c>
      <c r="C165" t="s">
        <v>78</v>
      </c>
      <c r="D165" s="1" t="s">
        <v>2</v>
      </c>
      <c r="E165" s="59" t="s">
        <v>17</v>
      </c>
      <c r="F165" s="60">
        <v>4.1149999999999904</v>
      </c>
      <c r="G165" s="60">
        <v>0.60643474112067097</v>
      </c>
      <c r="H165" s="61">
        <v>4.2070731707317002</v>
      </c>
      <c r="I165" s="62">
        <v>4.1100000000000003</v>
      </c>
      <c r="J165" s="37">
        <v>-9.7073170731699854E-2</v>
      </c>
      <c r="K165" s="37">
        <v>-2.3073801379788397</v>
      </c>
      <c r="L165" s="1" t="s">
        <v>68</v>
      </c>
      <c r="M165" s="1">
        <v>1</v>
      </c>
    </row>
    <row r="166" spans="1:13" x14ac:dyDescent="0.3">
      <c r="A166">
        <v>10</v>
      </c>
      <c r="B166">
        <v>1</v>
      </c>
      <c r="C166" t="s">
        <v>78</v>
      </c>
      <c r="D166" s="1" t="s">
        <v>2</v>
      </c>
      <c r="E166" s="59" t="s">
        <v>18</v>
      </c>
      <c r="F166" s="60">
        <v>0.93644444444444397</v>
      </c>
      <c r="G166" s="60">
        <v>1.7017057528068098E-2</v>
      </c>
      <c r="H166" s="61">
        <v>0.93500000000000005</v>
      </c>
      <c r="I166" s="62">
        <v>1.1399999999999999</v>
      </c>
      <c r="J166" s="37">
        <v>0.20499999999999985</v>
      </c>
      <c r="K166" s="37">
        <v>21.925133689839555</v>
      </c>
      <c r="L166" s="1" t="s">
        <v>68</v>
      </c>
      <c r="M166" s="1">
        <v>1</v>
      </c>
    </row>
    <row r="167" spans="1:13" x14ac:dyDescent="0.3">
      <c r="A167">
        <v>10</v>
      </c>
      <c r="B167">
        <v>1</v>
      </c>
      <c r="C167" t="s">
        <v>78</v>
      </c>
      <c r="D167" s="1" t="s">
        <v>2</v>
      </c>
      <c r="E167" s="59" t="s">
        <v>19</v>
      </c>
      <c r="F167" s="60">
        <v>1.33622222222222</v>
      </c>
      <c r="G167" s="60">
        <v>0.111460783116033</v>
      </c>
      <c r="H167" s="61">
        <v>1.3597674418604599</v>
      </c>
      <c r="I167" s="62">
        <v>1.5</v>
      </c>
      <c r="J167" s="37">
        <v>0.14023255813954005</v>
      </c>
      <c r="K167" s="37">
        <v>10.312981015906011</v>
      </c>
      <c r="L167" s="1" t="s">
        <v>68</v>
      </c>
      <c r="M167" s="1">
        <v>1</v>
      </c>
    </row>
    <row r="168" spans="1:13" x14ac:dyDescent="0.3">
      <c r="A168">
        <v>10</v>
      </c>
      <c r="B168">
        <v>1</v>
      </c>
      <c r="C168" t="s">
        <v>78</v>
      </c>
      <c r="D168" s="1" t="s">
        <v>2</v>
      </c>
      <c r="E168" s="59" t="s">
        <v>12</v>
      </c>
      <c r="F168" s="60"/>
      <c r="G168" s="60"/>
      <c r="H168" s="61"/>
      <c r="I168" s="62"/>
      <c r="J168" s="37"/>
      <c r="K168" s="37"/>
      <c r="L168" s="1" t="s">
        <v>69</v>
      </c>
      <c r="M168" s="1">
        <v>1</v>
      </c>
    </row>
    <row r="169" spans="1:13" x14ac:dyDescent="0.3">
      <c r="A169">
        <v>10</v>
      </c>
      <c r="B169">
        <v>1</v>
      </c>
      <c r="C169" t="s">
        <v>78</v>
      </c>
      <c r="D169" s="1" t="s">
        <v>2</v>
      </c>
      <c r="E169" s="59" t="s">
        <v>13</v>
      </c>
      <c r="F169" s="60">
        <v>2.2944444444444398</v>
      </c>
      <c r="G169" s="60">
        <v>0.12737618049707899</v>
      </c>
      <c r="H169" s="61">
        <v>2.3134090909090901</v>
      </c>
      <c r="I169" s="62">
        <v>2.44</v>
      </c>
      <c r="J169" s="37">
        <v>0.12659090909090986</v>
      </c>
      <c r="K169" s="37">
        <v>5.4720502996365417</v>
      </c>
      <c r="L169" s="1" t="s">
        <v>69</v>
      </c>
      <c r="M169" s="1">
        <v>1</v>
      </c>
    </row>
    <row r="170" spans="1:13" x14ac:dyDescent="0.3">
      <c r="A170">
        <v>10</v>
      </c>
      <c r="B170">
        <v>1</v>
      </c>
      <c r="C170" t="s">
        <v>78</v>
      </c>
      <c r="D170" s="1" t="s">
        <v>2</v>
      </c>
      <c r="E170" s="59" t="s">
        <v>14</v>
      </c>
      <c r="F170" s="60">
        <v>3.8348888888888801</v>
      </c>
      <c r="G170" s="60">
        <v>0.50591445136382995</v>
      </c>
      <c r="H170" s="61">
        <v>3.9712195121951201</v>
      </c>
      <c r="I170" s="62">
        <v>3.99</v>
      </c>
      <c r="J170" s="37">
        <v>1.8780487804880064E-2</v>
      </c>
      <c r="K170" s="37">
        <v>0.47291487532249293</v>
      </c>
      <c r="L170" s="1" t="s">
        <v>69</v>
      </c>
      <c r="M170" s="1">
        <v>1</v>
      </c>
    </row>
    <row r="171" spans="1:13" x14ac:dyDescent="0.3">
      <c r="A171">
        <v>10</v>
      </c>
      <c r="B171">
        <v>1</v>
      </c>
      <c r="C171" t="s">
        <v>78</v>
      </c>
      <c r="D171" s="1" t="s">
        <v>2</v>
      </c>
      <c r="E171" s="59" t="s">
        <v>15</v>
      </c>
      <c r="F171" s="60">
        <v>3.6364444444444399</v>
      </c>
      <c r="G171" s="60">
        <v>0.501185951543627</v>
      </c>
      <c r="H171" s="61">
        <v>3.7444186046511598</v>
      </c>
      <c r="I171" s="62">
        <v>3.75</v>
      </c>
      <c r="J171" s="37">
        <v>5.581395348840168E-3</v>
      </c>
      <c r="K171" s="37">
        <v>0.14905906465444843</v>
      </c>
      <c r="L171" s="1" t="s">
        <v>69</v>
      </c>
      <c r="M171" s="1">
        <v>1</v>
      </c>
    </row>
    <row r="172" spans="1:13" x14ac:dyDescent="0.3">
      <c r="A172">
        <v>10</v>
      </c>
      <c r="B172">
        <v>1</v>
      </c>
      <c r="C172" t="s">
        <v>78</v>
      </c>
      <c r="D172" s="1" t="s">
        <v>2</v>
      </c>
      <c r="E172" s="59" t="s">
        <v>16</v>
      </c>
      <c r="F172" s="60">
        <v>2.1015909090909002</v>
      </c>
      <c r="G172" s="60">
        <v>2.32518994158817E-2</v>
      </c>
      <c r="H172" s="61">
        <v>2.1021874999999901</v>
      </c>
      <c r="I172" s="62">
        <v>2.2000000000000002</v>
      </c>
      <c r="J172" s="37">
        <v>9.7812500000010072E-2</v>
      </c>
      <c r="K172" s="37">
        <v>4.6528913334329376</v>
      </c>
      <c r="L172" s="1" t="s">
        <v>69</v>
      </c>
      <c r="M172" s="1">
        <v>1</v>
      </c>
    </row>
    <row r="173" spans="1:13" x14ac:dyDescent="0.3">
      <c r="A173">
        <v>10</v>
      </c>
      <c r="B173">
        <v>1</v>
      </c>
      <c r="C173" t="s">
        <v>78</v>
      </c>
      <c r="D173" s="1" t="s">
        <v>2</v>
      </c>
      <c r="E173" s="59" t="s">
        <v>17</v>
      </c>
      <c r="F173" s="60">
        <v>4.1149999999999904</v>
      </c>
      <c r="G173" s="60">
        <v>0.60643474112067097</v>
      </c>
      <c r="H173" s="61">
        <v>4.2070731707317002</v>
      </c>
      <c r="I173" s="62">
        <v>4.25</v>
      </c>
      <c r="J173" s="37">
        <v>4.2926829268299826E-2</v>
      </c>
      <c r="K173" s="37">
        <v>1.0203490057396347</v>
      </c>
      <c r="L173" s="1" t="s">
        <v>69</v>
      </c>
      <c r="M173" s="1">
        <v>1</v>
      </c>
    </row>
    <row r="174" spans="1:13" x14ac:dyDescent="0.3">
      <c r="A174">
        <v>10</v>
      </c>
      <c r="B174">
        <v>1</v>
      </c>
      <c r="C174" t="s">
        <v>78</v>
      </c>
      <c r="D174" s="1" t="s">
        <v>2</v>
      </c>
      <c r="E174" s="59" t="s">
        <v>18</v>
      </c>
      <c r="F174" s="60">
        <v>0.93644444444444397</v>
      </c>
      <c r="G174" s="60">
        <v>1.7017057528068098E-2</v>
      </c>
      <c r="H174" s="61">
        <v>0.93500000000000005</v>
      </c>
      <c r="I174" s="62">
        <v>1.1599999999999999</v>
      </c>
      <c r="J174" s="37">
        <v>0.22499999999999987</v>
      </c>
      <c r="K174" s="37">
        <v>24.064171122994637</v>
      </c>
      <c r="L174" s="1" t="s">
        <v>69</v>
      </c>
      <c r="M174" s="1">
        <v>1</v>
      </c>
    </row>
    <row r="175" spans="1:13" x14ac:dyDescent="0.3">
      <c r="A175">
        <v>10</v>
      </c>
      <c r="B175">
        <v>1</v>
      </c>
      <c r="C175" t="s">
        <v>78</v>
      </c>
      <c r="D175" s="1" t="s">
        <v>2</v>
      </c>
      <c r="E175" s="59" t="s">
        <v>19</v>
      </c>
      <c r="F175" s="60">
        <v>1.33622222222222</v>
      </c>
      <c r="G175" s="60">
        <v>0.111460783116033</v>
      </c>
      <c r="H175" s="61">
        <v>1.3597674418604599</v>
      </c>
      <c r="I175" s="62">
        <v>1.51</v>
      </c>
      <c r="J175" s="37">
        <v>0.15023255813954006</v>
      </c>
      <c r="K175" s="37">
        <v>11.048400889345386</v>
      </c>
      <c r="L175" s="1" t="s">
        <v>69</v>
      </c>
      <c r="M175" s="1">
        <v>1</v>
      </c>
    </row>
    <row r="176" spans="1:13" x14ac:dyDescent="0.3">
      <c r="D176" s="1"/>
      <c r="E176" s="59"/>
      <c r="F176" s="60"/>
      <c r="G176" s="60"/>
      <c r="H176" s="61"/>
      <c r="I176" s="62"/>
      <c r="J176" s="37"/>
      <c r="K176" s="37"/>
      <c r="L176" s="1"/>
      <c r="M176" s="1"/>
    </row>
    <row r="177" spans="1:13" x14ac:dyDescent="0.3">
      <c r="A177">
        <v>10</v>
      </c>
      <c r="B177">
        <v>1</v>
      </c>
      <c r="C177" t="s">
        <v>78</v>
      </c>
      <c r="D177" s="1" t="s">
        <v>2</v>
      </c>
      <c r="E177" s="59" t="s">
        <v>12</v>
      </c>
      <c r="F177" s="60"/>
      <c r="G177" s="60"/>
      <c r="H177" s="61"/>
      <c r="I177" s="62"/>
      <c r="J177" s="37"/>
      <c r="K177" s="37"/>
      <c r="L177" s="1" t="s">
        <v>23</v>
      </c>
      <c r="M177" s="1">
        <v>2</v>
      </c>
    </row>
    <row r="178" spans="1:13" x14ac:dyDescent="0.3">
      <c r="A178">
        <v>10</v>
      </c>
      <c r="B178">
        <v>1</v>
      </c>
      <c r="C178" t="s">
        <v>78</v>
      </c>
      <c r="D178" s="1" t="s">
        <v>2</v>
      </c>
      <c r="E178" s="59" t="s">
        <v>13</v>
      </c>
      <c r="F178" s="60">
        <v>2.27511111111111</v>
      </c>
      <c r="G178" s="60">
        <v>0.235217367293623</v>
      </c>
      <c r="H178" s="61">
        <v>2.3104545454545402</v>
      </c>
      <c r="I178" s="62">
        <v>2.5</v>
      </c>
      <c r="J178" s="37">
        <v>0.18954545454545979</v>
      </c>
      <c r="K178" s="37">
        <v>8.2038166437145872</v>
      </c>
      <c r="L178" s="1" t="s">
        <v>23</v>
      </c>
      <c r="M178" s="1">
        <v>2</v>
      </c>
    </row>
    <row r="179" spans="1:13" x14ac:dyDescent="0.3">
      <c r="A179">
        <v>10</v>
      </c>
      <c r="B179">
        <v>1</v>
      </c>
      <c r="C179" t="s">
        <v>78</v>
      </c>
      <c r="D179" s="1" t="s">
        <v>2</v>
      </c>
      <c r="E179" s="59" t="s">
        <v>14</v>
      </c>
      <c r="F179" s="60">
        <v>3.7553333333333301</v>
      </c>
      <c r="G179" s="60">
        <v>0.62476520033974003</v>
      </c>
      <c r="H179" s="61">
        <v>3.9604999999999899</v>
      </c>
      <c r="I179" s="62">
        <v>4.05</v>
      </c>
      <c r="J179" s="37">
        <v>8.9500000000009905E-2</v>
      </c>
      <c r="K179" s="37">
        <v>2.2598156798386602</v>
      </c>
      <c r="L179" s="1" t="s">
        <v>23</v>
      </c>
      <c r="M179" s="1">
        <v>2</v>
      </c>
    </row>
    <row r="180" spans="1:13" x14ac:dyDescent="0.3">
      <c r="A180">
        <v>10</v>
      </c>
      <c r="B180">
        <v>1</v>
      </c>
      <c r="C180" t="s">
        <v>78</v>
      </c>
      <c r="D180" s="1" t="s">
        <v>2</v>
      </c>
      <c r="E180" s="59" t="s">
        <v>15</v>
      </c>
      <c r="F180" s="60">
        <v>3.64688888888888</v>
      </c>
      <c r="G180" s="60">
        <v>0.39966553918229702</v>
      </c>
      <c r="H180" s="61">
        <v>3.73209302325581</v>
      </c>
      <c r="I180" s="62">
        <v>3.84</v>
      </c>
      <c r="J180" s="37">
        <v>0.10790697674418981</v>
      </c>
      <c r="K180" s="37">
        <v>2.8913260219343013</v>
      </c>
      <c r="L180" s="1" t="s">
        <v>23</v>
      </c>
      <c r="M180" s="1">
        <v>2</v>
      </c>
    </row>
    <row r="181" spans="1:13" x14ac:dyDescent="0.3">
      <c r="A181">
        <v>10</v>
      </c>
      <c r="B181">
        <v>1</v>
      </c>
      <c r="C181" t="s">
        <v>78</v>
      </c>
      <c r="D181" s="1" t="s">
        <v>2</v>
      </c>
      <c r="E181" s="59" t="s">
        <v>16</v>
      </c>
      <c r="F181" s="60">
        <v>2.0956818181818102</v>
      </c>
      <c r="G181" s="60">
        <v>2.57079513055898E-2</v>
      </c>
      <c r="H181" s="61">
        <v>2.0974999999999899</v>
      </c>
      <c r="I181" s="62">
        <v>2.25</v>
      </c>
      <c r="J181" s="37">
        <v>0.15250000000001007</v>
      </c>
      <c r="K181" s="37">
        <v>7.2705601907037325</v>
      </c>
      <c r="L181" s="1" t="s">
        <v>23</v>
      </c>
      <c r="M181" s="1">
        <v>2</v>
      </c>
    </row>
    <row r="182" spans="1:13" x14ac:dyDescent="0.3">
      <c r="A182">
        <v>10</v>
      </c>
      <c r="B182">
        <v>1</v>
      </c>
      <c r="C182" t="s">
        <v>78</v>
      </c>
      <c r="D182" s="1" t="s">
        <v>2</v>
      </c>
      <c r="E182" s="59" t="s">
        <v>17</v>
      </c>
      <c r="F182" s="60">
        <v>3.9554999999999998</v>
      </c>
      <c r="G182" s="60">
        <v>0.83386734556522801</v>
      </c>
      <c r="H182" s="61">
        <v>4.1827027027027004</v>
      </c>
      <c r="I182" s="62">
        <v>4.26</v>
      </c>
      <c r="J182" s="37">
        <v>7.7297297297299394E-2</v>
      </c>
      <c r="K182" s="37">
        <v>1.848022744895373</v>
      </c>
      <c r="L182" s="1" t="s">
        <v>23</v>
      </c>
      <c r="M182" s="1">
        <v>2</v>
      </c>
    </row>
    <row r="183" spans="1:13" x14ac:dyDescent="0.3">
      <c r="A183">
        <v>10</v>
      </c>
      <c r="B183">
        <v>1</v>
      </c>
      <c r="C183" t="s">
        <v>78</v>
      </c>
      <c r="D183" s="1" t="s">
        <v>2</v>
      </c>
      <c r="E183" s="59" t="s">
        <v>18</v>
      </c>
      <c r="F183" s="60">
        <v>0.94711111111111101</v>
      </c>
      <c r="G183" s="60">
        <v>2.0615228699216101E-2</v>
      </c>
      <c r="H183" s="61">
        <v>0.94406250000000003</v>
      </c>
      <c r="I183" s="62">
        <v>1.27</v>
      </c>
      <c r="J183" s="37">
        <v>0.32593749999999999</v>
      </c>
      <c r="K183" s="37">
        <v>34.524991724594507</v>
      </c>
      <c r="L183" s="1" t="s">
        <v>23</v>
      </c>
      <c r="M183" s="1">
        <v>2</v>
      </c>
    </row>
    <row r="184" spans="1:13" x14ac:dyDescent="0.3">
      <c r="A184">
        <v>10</v>
      </c>
      <c r="B184">
        <v>1</v>
      </c>
      <c r="C184" t="s">
        <v>78</v>
      </c>
      <c r="D184" s="1" t="s">
        <v>2</v>
      </c>
      <c r="E184" s="59" t="s">
        <v>19</v>
      </c>
      <c r="F184" s="60">
        <v>1.33177777777777</v>
      </c>
      <c r="G184" s="60">
        <v>0.153192527942076</v>
      </c>
      <c r="H184" s="61">
        <v>1.3644186046511599</v>
      </c>
      <c r="I184" s="62">
        <v>1.64</v>
      </c>
      <c r="J184" s="37">
        <v>0.27558139534883996</v>
      </c>
      <c r="K184" s="37">
        <v>20.197716038861671</v>
      </c>
      <c r="L184" s="1" t="s">
        <v>23</v>
      </c>
      <c r="M184" s="1">
        <v>2</v>
      </c>
    </row>
    <row r="185" spans="1:13" x14ac:dyDescent="0.3">
      <c r="A185">
        <v>10</v>
      </c>
      <c r="B185">
        <v>1</v>
      </c>
      <c r="C185" t="s">
        <v>78</v>
      </c>
      <c r="D185" s="1" t="s">
        <v>2</v>
      </c>
      <c r="E185" s="59" t="s">
        <v>12</v>
      </c>
      <c r="F185" s="60"/>
      <c r="G185" s="60"/>
      <c r="H185" s="61"/>
      <c r="I185" s="62"/>
      <c r="J185" s="37"/>
      <c r="K185" s="37"/>
      <c r="L185" s="1" t="s">
        <v>68</v>
      </c>
      <c r="M185" s="1">
        <v>2</v>
      </c>
    </row>
    <row r="186" spans="1:13" x14ac:dyDescent="0.3">
      <c r="A186">
        <v>10</v>
      </c>
      <c r="B186">
        <v>1</v>
      </c>
      <c r="C186" t="s">
        <v>78</v>
      </c>
      <c r="D186" s="1" t="s">
        <v>2</v>
      </c>
      <c r="E186" s="59" t="s">
        <v>13</v>
      </c>
      <c r="F186" s="60">
        <v>2.27511111111111</v>
      </c>
      <c r="G186" s="60">
        <v>0.235217367293623</v>
      </c>
      <c r="H186" s="61">
        <v>2.3104545454545402</v>
      </c>
      <c r="I186" s="62">
        <v>2.38</v>
      </c>
      <c r="J186" s="37">
        <v>6.9545454545459684E-2</v>
      </c>
      <c r="K186" s="37">
        <v>3.0100334448162829</v>
      </c>
      <c r="L186" s="1" t="s">
        <v>68</v>
      </c>
      <c r="M186" s="1">
        <v>2</v>
      </c>
    </row>
    <row r="187" spans="1:13" x14ac:dyDescent="0.3">
      <c r="A187">
        <v>10</v>
      </c>
      <c r="B187">
        <v>1</v>
      </c>
      <c r="C187" t="s">
        <v>78</v>
      </c>
      <c r="D187" s="1" t="s">
        <v>2</v>
      </c>
      <c r="E187" s="59" t="s">
        <v>14</v>
      </c>
      <c r="F187" s="60">
        <v>3.7553333333333301</v>
      </c>
      <c r="G187" s="60">
        <v>0.62476520033974003</v>
      </c>
      <c r="H187" s="61">
        <v>3.9604999999999899</v>
      </c>
      <c r="I187" s="62">
        <v>3.96</v>
      </c>
      <c r="J187" s="37">
        <v>-4.9999999998995293E-4</v>
      </c>
      <c r="K187" s="37">
        <v>-1.2624668602195535E-2</v>
      </c>
      <c r="L187" s="1" t="s">
        <v>68</v>
      </c>
      <c r="M187" s="1">
        <v>2</v>
      </c>
    </row>
    <row r="188" spans="1:13" x14ac:dyDescent="0.3">
      <c r="A188">
        <v>10</v>
      </c>
      <c r="B188">
        <v>1</v>
      </c>
      <c r="C188" t="s">
        <v>78</v>
      </c>
      <c r="D188" s="1" t="s">
        <v>2</v>
      </c>
      <c r="E188" s="59" t="s">
        <v>15</v>
      </c>
      <c r="F188" s="60">
        <v>3.64688888888888</v>
      </c>
      <c r="G188" s="60">
        <v>0.39966553918229702</v>
      </c>
      <c r="H188" s="61">
        <v>3.73209302325581</v>
      </c>
      <c r="I188" s="62">
        <v>3.68</v>
      </c>
      <c r="J188" s="37">
        <v>-5.2093023255809889E-2</v>
      </c>
      <c r="K188" s="37">
        <v>-1.3958125623129534</v>
      </c>
      <c r="L188" s="1" t="s">
        <v>68</v>
      </c>
      <c r="M188" s="1">
        <v>2</v>
      </c>
    </row>
    <row r="189" spans="1:13" x14ac:dyDescent="0.3">
      <c r="A189">
        <v>10</v>
      </c>
      <c r="B189">
        <v>1</v>
      </c>
      <c r="C189" t="s">
        <v>78</v>
      </c>
      <c r="D189" s="1" t="s">
        <v>2</v>
      </c>
      <c r="E189" s="59" t="s">
        <v>16</v>
      </c>
      <c r="F189" s="60">
        <v>2.0956818181818102</v>
      </c>
      <c r="G189" s="60">
        <v>2.57079513055898E-2</v>
      </c>
      <c r="H189" s="61">
        <v>2.0974999999999899</v>
      </c>
      <c r="I189" s="62">
        <v>2.14</v>
      </c>
      <c r="J189" s="37">
        <v>4.2500000000010196E-2</v>
      </c>
      <c r="K189" s="37">
        <v>2.0262216924915566</v>
      </c>
      <c r="L189" s="1" t="s">
        <v>68</v>
      </c>
      <c r="M189" s="1">
        <v>2</v>
      </c>
    </row>
    <row r="190" spans="1:13" x14ac:dyDescent="0.3">
      <c r="A190">
        <v>10</v>
      </c>
      <c r="B190">
        <v>1</v>
      </c>
      <c r="C190" t="s">
        <v>78</v>
      </c>
      <c r="D190" s="1" t="s">
        <v>2</v>
      </c>
      <c r="E190" s="59" t="s">
        <v>17</v>
      </c>
      <c r="F190" s="60">
        <v>3.9554999999999998</v>
      </c>
      <c r="G190" s="60">
        <v>0.83386734556522801</v>
      </c>
      <c r="H190" s="61">
        <v>4.1827027027027004</v>
      </c>
      <c r="I190" s="62">
        <v>4.1100000000000003</v>
      </c>
      <c r="J190" s="37">
        <v>-7.2702702702700073E-2</v>
      </c>
      <c r="K190" s="37">
        <v>-1.7381752390798038</v>
      </c>
      <c r="L190" s="1" t="s">
        <v>68</v>
      </c>
      <c r="M190" s="1">
        <v>2</v>
      </c>
    </row>
    <row r="191" spans="1:13" x14ac:dyDescent="0.3">
      <c r="A191">
        <v>10</v>
      </c>
      <c r="B191">
        <v>1</v>
      </c>
      <c r="C191" t="s">
        <v>78</v>
      </c>
      <c r="D191" s="1" t="s">
        <v>2</v>
      </c>
      <c r="E191" s="59" t="s">
        <v>18</v>
      </c>
      <c r="F191" s="60">
        <v>0.94711111111111101</v>
      </c>
      <c r="G191" s="60">
        <v>2.0615228699216101E-2</v>
      </c>
      <c r="H191" s="61">
        <v>0.94406250000000003</v>
      </c>
      <c r="I191" s="62">
        <v>1.1399999999999999</v>
      </c>
      <c r="J191" s="37">
        <v>0.19593749999999988</v>
      </c>
      <c r="K191" s="37">
        <v>20.754716981132063</v>
      </c>
      <c r="L191" s="1" t="s">
        <v>68</v>
      </c>
      <c r="M191" s="1">
        <v>2</v>
      </c>
    </row>
    <row r="192" spans="1:13" x14ac:dyDescent="0.3">
      <c r="A192">
        <v>10</v>
      </c>
      <c r="B192">
        <v>1</v>
      </c>
      <c r="C192" t="s">
        <v>78</v>
      </c>
      <c r="D192" s="1" t="s">
        <v>2</v>
      </c>
      <c r="E192" s="59" t="s">
        <v>19</v>
      </c>
      <c r="F192" s="60">
        <v>1.33177777777777</v>
      </c>
      <c r="G192" s="60">
        <v>0.153192527942076</v>
      </c>
      <c r="H192" s="61">
        <v>1.3644186046511599</v>
      </c>
      <c r="I192" s="62">
        <v>1.5</v>
      </c>
      <c r="J192" s="37">
        <v>0.13558139534884006</v>
      </c>
      <c r="K192" s="37">
        <v>9.9369354013978786</v>
      </c>
      <c r="L192" s="1" t="s">
        <v>68</v>
      </c>
      <c r="M192" s="1">
        <v>2</v>
      </c>
    </row>
    <row r="193" spans="1:13" x14ac:dyDescent="0.3">
      <c r="A193">
        <v>10</v>
      </c>
      <c r="B193">
        <v>1</v>
      </c>
      <c r="C193" t="s">
        <v>78</v>
      </c>
      <c r="D193" s="1" t="s">
        <v>2</v>
      </c>
      <c r="E193" s="59" t="s">
        <v>12</v>
      </c>
      <c r="F193" s="60"/>
      <c r="G193" s="60"/>
      <c r="H193" s="61"/>
      <c r="I193" s="62"/>
      <c r="J193" s="37"/>
      <c r="K193" s="37"/>
      <c r="L193" s="1" t="s">
        <v>69</v>
      </c>
      <c r="M193" s="1">
        <v>2</v>
      </c>
    </row>
    <row r="194" spans="1:13" x14ac:dyDescent="0.3">
      <c r="A194">
        <v>10</v>
      </c>
      <c r="B194">
        <v>1</v>
      </c>
      <c r="C194" t="s">
        <v>78</v>
      </c>
      <c r="D194" s="1" t="s">
        <v>2</v>
      </c>
      <c r="E194" s="59" t="s">
        <v>13</v>
      </c>
      <c r="F194" s="60">
        <v>2.27511111111111</v>
      </c>
      <c r="G194" s="60">
        <v>0.235217367293623</v>
      </c>
      <c r="H194" s="61">
        <v>2.3104545454545402</v>
      </c>
      <c r="I194" s="62">
        <v>2.44</v>
      </c>
      <c r="J194" s="37">
        <v>0.12954545454545974</v>
      </c>
      <c r="K194" s="37">
        <v>5.6069250442654353</v>
      </c>
      <c r="L194" s="1" t="s">
        <v>69</v>
      </c>
      <c r="M194" s="1">
        <v>2</v>
      </c>
    </row>
    <row r="195" spans="1:13" x14ac:dyDescent="0.3">
      <c r="A195">
        <v>10</v>
      </c>
      <c r="B195">
        <v>1</v>
      </c>
      <c r="C195" t="s">
        <v>78</v>
      </c>
      <c r="D195" s="1" t="s">
        <v>2</v>
      </c>
      <c r="E195" s="59" t="s">
        <v>14</v>
      </c>
      <c r="F195" s="60">
        <v>3.7553333333333301</v>
      </c>
      <c r="G195" s="60">
        <v>0.62476520033974003</v>
      </c>
      <c r="H195" s="61">
        <v>3.9604999999999899</v>
      </c>
      <c r="I195" s="62">
        <v>3.99</v>
      </c>
      <c r="J195" s="37">
        <v>2.9500000000010296E-2</v>
      </c>
      <c r="K195" s="37">
        <v>0.74485544754476385</v>
      </c>
      <c r="L195" s="1" t="s">
        <v>69</v>
      </c>
      <c r="M195" s="1">
        <v>2</v>
      </c>
    </row>
    <row r="196" spans="1:13" x14ac:dyDescent="0.3">
      <c r="A196">
        <v>10</v>
      </c>
      <c r="B196">
        <v>1</v>
      </c>
      <c r="C196" t="s">
        <v>78</v>
      </c>
      <c r="D196" s="1" t="s">
        <v>2</v>
      </c>
      <c r="E196" s="59" t="s">
        <v>15</v>
      </c>
      <c r="F196" s="60">
        <v>3.64688888888888</v>
      </c>
      <c r="G196" s="60">
        <v>0.39966553918229702</v>
      </c>
      <c r="H196" s="61">
        <v>3.73209302325581</v>
      </c>
      <c r="I196" s="62">
        <v>3.75</v>
      </c>
      <c r="J196" s="37">
        <v>1.7906976744189951E-2</v>
      </c>
      <c r="K196" s="37">
        <v>0.47981056829521979</v>
      </c>
      <c r="L196" s="1" t="s">
        <v>69</v>
      </c>
      <c r="M196" s="1">
        <v>2</v>
      </c>
    </row>
    <row r="197" spans="1:13" x14ac:dyDescent="0.3">
      <c r="A197">
        <v>10</v>
      </c>
      <c r="B197">
        <v>1</v>
      </c>
      <c r="C197" t="s">
        <v>78</v>
      </c>
      <c r="D197" s="1" t="s">
        <v>2</v>
      </c>
      <c r="E197" s="59" t="s">
        <v>16</v>
      </c>
      <c r="F197" s="60">
        <v>2.0956818181818102</v>
      </c>
      <c r="G197" s="60">
        <v>2.57079513055898E-2</v>
      </c>
      <c r="H197" s="61">
        <v>2.0974999999999899</v>
      </c>
      <c r="I197" s="62">
        <v>2.2000000000000002</v>
      </c>
      <c r="J197" s="37">
        <v>0.10250000000001025</v>
      </c>
      <c r="K197" s="37">
        <v>4.8867699642436593</v>
      </c>
      <c r="L197" s="1" t="s">
        <v>69</v>
      </c>
      <c r="M197" s="1">
        <v>2</v>
      </c>
    </row>
    <row r="198" spans="1:13" x14ac:dyDescent="0.3">
      <c r="A198">
        <v>10</v>
      </c>
      <c r="B198">
        <v>1</v>
      </c>
      <c r="C198" t="s">
        <v>78</v>
      </c>
      <c r="D198" s="1" t="s">
        <v>2</v>
      </c>
      <c r="E198" s="59" t="s">
        <v>17</v>
      </c>
      <c r="F198" s="60">
        <v>3.9554999999999998</v>
      </c>
      <c r="G198" s="60">
        <v>0.83386734556522801</v>
      </c>
      <c r="H198" s="61">
        <v>4.1827027027027004</v>
      </c>
      <c r="I198" s="62">
        <v>4.25</v>
      </c>
      <c r="J198" s="37">
        <v>6.7297297297299608E-2</v>
      </c>
      <c r="K198" s="37">
        <v>1.6089428792970322</v>
      </c>
      <c r="L198" s="1" t="s">
        <v>69</v>
      </c>
      <c r="M198" s="1">
        <v>2</v>
      </c>
    </row>
    <row r="199" spans="1:13" x14ac:dyDescent="0.3">
      <c r="A199">
        <v>10</v>
      </c>
      <c r="B199">
        <v>1</v>
      </c>
      <c r="C199" t="s">
        <v>78</v>
      </c>
      <c r="D199" s="1" t="s">
        <v>2</v>
      </c>
      <c r="E199" s="59" t="s">
        <v>18</v>
      </c>
      <c r="F199" s="60">
        <v>0.94711111111111101</v>
      </c>
      <c r="G199" s="60">
        <v>2.0615228699216101E-2</v>
      </c>
      <c r="H199" s="61">
        <v>0.94406250000000003</v>
      </c>
      <c r="I199" s="62">
        <v>1.1599999999999999</v>
      </c>
      <c r="J199" s="37">
        <v>0.21593749999999989</v>
      </c>
      <c r="K199" s="37">
        <v>22.873220787818589</v>
      </c>
      <c r="L199" s="1" t="s">
        <v>69</v>
      </c>
      <c r="M199" s="1">
        <v>2</v>
      </c>
    </row>
    <row r="200" spans="1:13" x14ac:dyDescent="0.3">
      <c r="A200">
        <v>10</v>
      </c>
      <c r="B200">
        <v>1</v>
      </c>
      <c r="C200" t="s">
        <v>78</v>
      </c>
      <c r="D200" s="1" t="s">
        <v>2</v>
      </c>
      <c r="E200" s="59" t="s">
        <v>19</v>
      </c>
      <c r="F200" s="60">
        <v>1.33177777777777</v>
      </c>
      <c r="G200" s="60">
        <v>0.153192527942076</v>
      </c>
      <c r="H200" s="61">
        <v>1.3644186046511599</v>
      </c>
      <c r="I200" s="62">
        <v>1.51</v>
      </c>
      <c r="J200" s="37">
        <v>0.14558139534884007</v>
      </c>
      <c r="K200" s="37">
        <v>10.669848304073865</v>
      </c>
      <c r="L200" s="1" t="s">
        <v>69</v>
      </c>
      <c r="M200" s="1">
        <v>2</v>
      </c>
    </row>
    <row r="201" spans="1:13" x14ac:dyDescent="0.3">
      <c r="D201" s="1"/>
      <c r="E201" s="59"/>
      <c r="F201" s="60"/>
      <c r="G201" s="60"/>
      <c r="H201" s="61"/>
      <c r="I201" s="62"/>
      <c r="J201" s="37"/>
      <c r="K201" s="37"/>
      <c r="L201" s="1"/>
      <c r="M201" s="1"/>
    </row>
    <row r="202" spans="1:13" x14ac:dyDescent="0.3">
      <c r="A202">
        <v>10</v>
      </c>
      <c r="B202">
        <v>1</v>
      </c>
      <c r="C202" t="s">
        <v>78</v>
      </c>
      <c r="D202" s="1" t="s">
        <v>2</v>
      </c>
      <c r="E202" s="59" t="s">
        <v>12</v>
      </c>
      <c r="F202" s="60"/>
      <c r="G202" s="60"/>
      <c r="H202" s="61"/>
      <c r="I202" s="63"/>
      <c r="J202" s="58"/>
      <c r="K202" s="58"/>
      <c r="L202" s="1" t="s">
        <v>23</v>
      </c>
      <c r="M202" s="1">
        <v>3</v>
      </c>
    </row>
    <row r="203" spans="1:13" x14ac:dyDescent="0.3">
      <c r="A203">
        <v>10</v>
      </c>
      <c r="B203">
        <v>1</v>
      </c>
      <c r="C203" t="s">
        <v>78</v>
      </c>
      <c r="D203" s="1" t="s">
        <v>2</v>
      </c>
      <c r="E203" s="59" t="s">
        <v>13</v>
      </c>
      <c r="F203" s="60">
        <v>2.2791999999999901</v>
      </c>
      <c r="G203" s="60">
        <v>0.25226050027699498</v>
      </c>
      <c r="H203" s="61">
        <v>2.3151020408163201</v>
      </c>
      <c r="I203" s="63">
        <v>2.5</v>
      </c>
      <c r="J203" s="58">
        <v>0.18489795918367991</v>
      </c>
      <c r="K203" s="58">
        <v>7.9866008462626414</v>
      </c>
      <c r="L203" s="1" t="s">
        <v>23</v>
      </c>
      <c r="M203" s="1">
        <v>3</v>
      </c>
    </row>
    <row r="204" spans="1:13" x14ac:dyDescent="0.3">
      <c r="A204">
        <v>10</v>
      </c>
      <c r="B204">
        <v>1</v>
      </c>
      <c r="C204" t="s">
        <v>78</v>
      </c>
      <c r="D204" s="1" t="s">
        <v>2</v>
      </c>
      <c r="E204" s="59" t="s">
        <v>14</v>
      </c>
      <c r="F204" s="60">
        <v>3.89759999999999</v>
      </c>
      <c r="G204" s="60">
        <v>0.37968176147926802</v>
      </c>
      <c r="H204" s="61">
        <v>3.9785106382978701</v>
      </c>
      <c r="I204" s="63">
        <v>4.05</v>
      </c>
      <c r="J204" s="58">
        <v>7.1489361702129717E-2</v>
      </c>
      <c r="K204" s="58">
        <v>1.796887534092785</v>
      </c>
      <c r="L204" s="1" t="s">
        <v>23</v>
      </c>
      <c r="M204" s="1">
        <v>3</v>
      </c>
    </row>
    <row r="205" spans="1:13" x14ac:dyDescent="0.3">
      <c r="A205">
        <v>10</v>
      </c>
      <c r="B205">
        <v>1</v>
      </c>
      <c r="C205" t="s">
        <v>78</v>
      </c>
      <c r="D205" s="1" t="s">
        <v>2</v>
      </c>
      <c r="E205" s="59" t="s">
        <v>15</v>
      </c>
      <c r="F205" s="60">
        <v>3.6763999999999899</v>
      </c>
      <c r="G205" s="60">
        <v>0.461435846028459</v>
      </c>
      <c r="H205" s="61">
        <v>3.7422448979591798</v>
      </c>
      <c r="I205" s="63">
        <v>3.84</v>
      </c>
      <c r="J205" s="58">
        <v>9.7755102040820052E-2</v>
      </c>
      <c r="K205" s="58">
        <v>2.6122048317610229</v>
      </c>
      <c r="L205" s="1" t="s">
        <v>23</v>
      </c>
      <c r="M205" s="1">
        <v>3</v>
      </c>
    </row>
    <row r="206" spans="1:13" x14ac:dyDescent="0.3">
      <c r="A206">
        <v>10</v>
      </c>
      <c r="B206">
        <v>1</v>
      </c>
      <c r="C206" t="s">
        <v>78</v>
      </c>
      <c r="D206" s="1" t="s">
        <v>2</v>
      </c>
      <c r="E206" s="59" t="s">
        <v>16</v>
      </c>
      <c r="F206" s="60">
        <v>2.06612244897959</v>
      </c>
      <c r="G206" s="60">
        <v>0.22270889140842501</v>
      </c>
      <c r="H206" s="61">
        <v>2.0981249999999898</v>
      </c>
      <c r="I206" s="63">
        <v>2.25</v>
      </c>
      <c r="J206" s="58">
        <v>0.1518750000000102</v>
      </c>
      <c r="K206" s="58">
        <v>7.2386058981238453</v>
      </c>
      <c r="L206" s="1" t="s">
        <v>23</v>
      </c>
      <c r="M206" s="1">
        <v>3</v>
      </c>
    </row>
    <row r="207" spans="1:13" x14ac:dyDescent="0.3">
      <c r="A207">
        <v>10</v>
      </c>
      <c r="B207">
        <v>1</v>
      </c>
      <c r="C207" t="s">
        <v>78</v>
      </c>
      <c r="D207" s="1" t="s">
        <v>2</v>
      </c>
      <c r="E207" s="59" t="s">
        <v>17</v>
      </c>
      <c r="F207" s="60">
        <v>4.1317777777777698</v>
      </c>
      <c r="G207" s="60">
        <v>0.62484589705120697</v>
      </c>
      <c r="H207" s="61">
        <v>4.2249999999999996</v>
      </c>
      <c r="I207" s="63">
        <v>4.26</v>
      </c>
      <c r="J207" s="58">
        <v>3.5000000000000142E-2</v>
      </c>
      <c r="K207" s="58">
        <v>0.82840236686390878</v>
      </c>
      <c r="L207" s="1" t="s">
        <v>23</v>
      </c>
      <c r="M207" s="1">
        <v>3</v>
      </c>
    </row>
    <row r="208" spans="1:13" x14ac:dyDescent="0.3">
      <c r="A208">
        <v>10</v>
      </c>
      <c r="B208">
        <v>1</v>
      </c>
      <c r="C208" t="s">
        <v>78</v>
      </c>
      <c r="D208" s="1" t="s">
        <v>2</v>
      </c>
      <c r="E208" s="59" t="s">
        <v>18</v>
      </c>
      <c r="F208" s="60">
        <v>0.925399999999999</v>
      </c>
      <c r="G208" s="60">
        <v>0.12264110240861301</v>
      </c>
      <c r="H208" s="61">
        <v>0.94937499999999897</v>
      </c>
      <c r="I208" s="63">
        <v>1.27</v>
      </c>
      <c r="J208" s="58">
        <v>0.32062500000000105</v>
      </c>
      <c r="K208" s="58">
        <v>33.772218564845438</v>
      </c>
      <c r="L208" s="1" t="s">
        <v>23</v>
      </c>
      <c r="M208" s="1">
        <v>3</v>
      </c>
    </row>
    <row r="209" spans="1:13" x14ac:dyDescent="0.3">
      <c r="A209">
        <v>10</v>
      </c>
      <c r="B209">
        <v>1</v>
      </c>
      <c r="C209" t="s">
        <v>78</v>
      </c>
      <c r="D209" s="1" t="s">
        <v>2</v>
      </c>
      <c r="E209" s="59" t="s">
        <v>19</v>
      </c>
      <c r="F209" s="60">
        <v>1.341</v>
      </c>
      <c r="G209" s="60">
        <v>0.16434415109762801</v>
      </c>
      <c r="H209" s="61">
        <v>1.3642857142857101</v>
      </c>
      <c r="I209" s="63">
        <v>1.64</v>
      </c>
      <c r="J209" s="58">
        <v>0.2757142857142898</v>
      </c>
      <c r="K209" s="58">
        <v>20.209424083769996</v>
      </c>
      <c r="L209" s="1" t="s">
        <v>23</v>
      </c>
      <c r="M209" s="1">
        <v>3</v>
      </c>
    </row>
    <row r="210" spans="1:13" x14ac:dyDescent="0.3">
      <c r="A210">
        <v>10</v>
      </c>
      <c r="B210">
        <v>1</v>
      </c>
      <c r="C210" t="s">
        <v>78</v>
      </c>
      <c r="D210" s="1" t="s">
        <v>2</v>
      </c>
      <c r="E210" s="59" t="s">
        <v>12</v>
      </c>
      <c r="F210" s="60"/>
      <c r="G210" s="60"/>
      <c r="H210" s="61"/>
      <c r="I210" s="63"/>
      <c r="J210" s="58"/>
      <c r="K210" s="58"/>
      <c r="L210" s="1" t="s">
        <v>68</v>
      </c>
      <c r="M210" s="1">
        <v>3</v>
      </c>
    </row>
    <row r="211" spans="1:13" x14ac:dyDescent="0.3">
      <c r="A211">
        <v>10</v>
      </c>
      <c r="B211">
        <v>1</v>
      </c>
      <c r="C211" t="s">
        <v>78</v>
      </c>
      <c r="D211" s="1" t="s">
        <v>2</v>
      </c>
      <c r="E211" s="59" t="s">
        <v>13</v>
      </c>
      <c r="F211" s="60">
        <v>2.2791999999999901</v>
      </c>
      <c r="G211" s="60">
        <v>0.25226050027699498</v>
      </c>
      <c r="H211" s="61">
        <v>2.3151020408163201</v>
      </c>
      <c r="I211" s="63">
        <v>2.38</v>
      </c>
      <c r="J211" s="58">
        <v>6.4897959183679799E-2</v>
      </c>
      <c r="K211" s="58">
        <v>2.8032440056420302</v>
      </c>
      <c r="L211" s="1" t="s">
        <v>68</v>
      </c>
      <c r="M211" s="1">
        <v>3</v>
      </c>
    </row>
    <row r="212" spans="1:13" x14ac:dyDescent="0.3">
      <c r="A212">
        <v>10</v>
      </c>
      <c r="B212">
        <v>1</v>
      </c>
      <c r="C212" t="s">
        <v>78</v>
      </c>
      <c r="D212" s="1" t="s">
        <v>2</v>
      </c>
      <c r="E212" s="59" t="s">
        <v>14</v>
      </c>
      <c r="F212" s="60">
        <v>3.89759999999999</v>
      </c>
      <c r="G212" s="60">
        <v>0.37968176147926802</v>
      </c>
      <c r="H212" s="61">
        <v>3.9785106382978701</v>
      </c>
      <c r="I212" s="63">
        <v>3.96</v>
      </c>
      <c r="J212" s="58">
        <v>-1.8510638297870141E-2</v>
      </c>
      <c r="K212" s="58">
        <v>-0.46526552222038459</v>
      </c>
      <c r="L212" s="1" t="s">
        <v>68</v>
      </c>
      <c r="M212" s="1">
        <v>3</v>
      </c>
    </row>
    <row r="213" spans="1:13" x14ac:dyDescent="0.3">
      <c r="A213">
        <v>10</v>
      </c>
      <c r="B213">
        <v>1</v>
      </c>
      <c r="C213" t="s">
        <v>78</v>
      </c>
      <c r="D213" s="1" t="s">
        <v>2</v>
      </c>
      <c r="E213" s="59" t="s">
        <v>15</v>
      </c>
      <c r="F213" s="60">
        <v>3.6763999999999899</v>
      </c>
      <c r="G213" s="60">
        <v>0.461435846028459</v>
      </c>
      <c r="H213" s="61">
        <v>3.7422448979591798</v>
      </c>
      <c r="I213" s="63">
        <v>3.68</v>
      </c>
      <c r="J213" s="58">
        <v>-6.2244897959179646E-2</v>
      </c>
      <c r="K213" s="58">
        <v>-1.6633037028956785</v>
      </c>
      <c r="L213" s="1" t="s">
        <v>68</v>
      </c>
      <c r="M213" s="1">
        <v>3</v>
      </c>
    </row>
    <row r="214" spans="1:13" x14ac:dyDescent="0.3">
      <c r="A214">
        <v>10</v>
      </c>
      <c r="B214">
        <v>1</v>
      </c>
      <c r="C214" t="s">
        <v>78</v>
      </c>
      <c r="D214" s="1" t="s">
        <v>2</v>
      </c>
      <c r="E214" s="59" t="s">
        <v>16</v>
      </c>
      <c r="F214" s="60">
        <v>2.06612244897959</v>
      </c>
      <c r="G214" s="60">
        <v>0.22270889140842501</v>
      </c>
      <c r="H214" s="61">
        <v>2.0981249999999898</v>
      </c>
      <c r="I214" s="63">
        <v>2.14</v>
      </c>
      <c r="J214" s="58">
        <v>4.1875000000010321E-2</v>
      </c>
      <c r="K214" s="58">
        <v>1.9958296097711301</v>
      </c>
      <c r="L214" s="1" t="s">
        <v>68</v>
      </c>
      <c r="M214" s="1">
        <v>3</v>
      </c>
    </row>
    <row r="215" spans="1:13" x14ac:dyDescent="0.3">
      <c r="A215">
        <v>10</v>
      </c>
      <c r="B215">
        <v>1</v>
      </c>
      <c r="C215" t="s">
        <v>78</v>
      </c>
      <c r="D215" s="1" t="s">
        <v>2</v>
      </c>
      <c r="E215" s="59" t="s">
        <v>17</v>
      </c>
      <c r="F215" s="60">
        <v>4.1317777777777698</v>
      </c>
      <c r="G215" s="60">
        <v>0.62484589705120697</v>
      </c>
      <c r="H215" s="61">
        <v>4.2249999999999996</v>
      </c>
      <c r="I215" s="63">
        <v>4.1100000000000003</v>
      </c>
      <c r="J215" s="58">
        <v>-0.11499999999999932</v>
      </c>
      <c r="K215" s="58">
        <v>-2.7218934911242445</v>
      </c>
      <c r="L215" s="1" t="s">
        <v>68</v>
      </c>
      <c r="M215" s="1">
        <v>3</v>
      </c>
    </row>
    <row r="216" spans="1:13" x14ac:dyDescent="0.3">
      <c r="A216">
        <v>10</v>
      </c>
      <c r="B216">
        <v>1</v>
      </c>
      <c r="C216" t="s">
        <v>78</v>
      </c>
      <c r="D216" s="1" t="s">
        <v>2</v>
      </c>
      <c r="E216" s="59" t="s">
        <v>18</v>
      </c>
      <c r="F216" s="60">
        <v>0.925399999999999</v>
      </c>
      <c r="G216" s="60">
        <v>0.12264110240861301</v>
      </c>
      <c r="H216" s="61">
        <v>0.94937499999999897</v>
      </c>
      <c r="I216" s="63">
        <v>1.1399999999999999</v>
      </c>
      <c r="J216" s="58">
        <v>0.19062500000000093</v>
      </c>
      <c r="K216" s="58">
        <v>20.078999341672272</v>
      </c>
      <c r="L216" s="1" t="s">
        <v>68</v>
      </c>
      <c r="M216" s="1">
        <v>3</v>
      </c>
    </row>
    <row r="217" spans="1:13" x14ac:dyDescent="0.3">
      <c r="A217">
        <v>10</v>
      </c>
      <c r="B217">
        <v>1</v>
      </c>
      <c r="C217" t="s">
        <v>78</v>
      </c>
      <c r="D217" s="1" t="s">
        <v>2</v>
      </c>
      <c r="E217" s="59" t="s">
        <v>19</v>
      </c>
      <c r="F217" s="60">
        <v>1.341</v>
      </c>
      <c r="G217" s="60">
        <v>0.16434415109762801</v>
      </c>
      <c r="H217" s="61">
        <v>1.3642857142857101</v>
      </c>
      <c r="I217" s="63">
        <v>1.5</v>
      </c>
      <c r="J217" s="58">
        <v>0.1357142857142899</v>
      </c>
      <c r="K217" s="58">
        <v>9.9476439790579274</v>
      </c>
      <c r="L217" s="1" t="s">
        <v>68</v>
      </c>
      <c r="M217" s="1">
        <v>3</v>
      </c>
    </row>
    <row r="218" spans="1:13" x14ac:dyDescent="0.3">
      <c r="A218">
        <v>10</v>
      </c>
      <c r="B218">
        <v>1</v>
      </c>
      <c r="C218" t="s">
        <v>78</v>
      </c>
      <c r="D218" s="1" t="s">
        <v>2</v>
      </c>
      <c r="E218" s="59" t="s">
        <v>12</v>
      </c>
      <c r="F218" s="60"/>
      <c r="G218" s="60"/>
      <c r="H218" s="61"/>
      <c r="I218" s="63"/>
      <c r="J218" s="58"/>
      <c r="K218" s="58"/>
      <c r="L218" s="1" t="s">
        <v>69</v>
      </c>
      <c r="M218" s="1">
        <v>3</v>
      </c>
    </row>
    <row r="219" spans="1:13" x14ac:dyDescent="0.3">
      <c r="A219">
        <v>10</v>
      </c>
      <c r="B219">
        <v>1</v>
      </c>
      <c r="C219" t="s">
        <v>78</v>
      </c>
      <c r="D219" s="1" t="s">
        <v>2</v>
      </c>
      <c r="E219" s="59" t="s">
        <v>13</v>
      </c>
      <c r="F219" s="60">
        <v>2.2791999999999901</v>
      </c>
      <c r="G219" s="60">
        <v>0.25226050027699498</v>
      </c>
      <c r="H219" s="61">
        <v>2.3151020408163201</v>
      </c>
      <c r="I219" s="63">
        <v>2.44</v>
      </c>
      <c r="J219" s="58">
        <v>0.12489795918367985</v>
      </c>
      <c r="K219" s="58">
        <v>5.3949224259523358</v>
      </c>
      <c r="L219" s="1" t="s">
        <v>69</v>
      </c>
      <c r="M219" s="1">
        <v>3</v>
      </c>
    </row>
    <row r="220" spans="1:13" x14ac:dyDescent="0.3">
      <c r="A220">
        <v>10</v>
      </c>
      <c r="B220">
        <v>1</v>
      </c>
      <c r="C220" t="s">
        <v>78</v>
      </c>
      <c r="D220" s="1" t="s">
        <v>2</v>
      </c>
      <c r="E220" s="59" t="s">
        <v>14</v>
      </c>
      <c r="F220" s="60">
        <v>3.89759999999999</v>
      </c>
      <c r="G220" s="60">
        <v>0.37968176147926802</v>
      </c>
      <c r="H220" s="61">
        <v>3.9785106382978701</v>
      </c>
      <c r="I220" s="63">
        <v>3.99</v>
      </c>
      <c r="J220" s="58">
        <v>1.1489361702130108E-2</v>
      </c>
      <c r="K220" s="58">
        <v>0.28878549655067937</v>
      </c>
      <c r="L220" s="1" t="s">
        <v>69</v>
      </c>
      <c r="M220" s="1">
        <v>3</v>
      </c>
    </row>
    <row r="221" spans="1:13" x14ac:dyDescent="0.3">
      <c r="A221">
        <v>10</v>
      </c>
      <c r="B221">
        <v>1</v>
      </c>
      <c r="C221" t="s">
        <v>78</v>
      </c>
      <c r="D221" s="1" t="s">
        <v>2</v>
      </c>
      <c r="E221" s="59" t="s">
        <v>15</v>
      </c>
      <c r="F221" s="60">
        <v>3.6763999999999899</v>
      </c>
      <c r="G221" s="60">
        <v>0.461435846028459</v>
      </c>
      <c r="H221" s="61">
        <v>3.7422448979591798</v>
      </c>
      <c r="I221" s="63">
        <v>3.75</v>
      </c>
      <c r="J221" s="58">
        <v>7.7551020408201943E-3</v>
      </c>
      <c r="K221" s="58">
        <v>0.20723128101662755</v>
      </c>
      <c r="L221" s="1" t="s">
        <v>69</v>
      </c>
      <c r="M221" s="1">
        <v>3</v>
      </c>
    </row>
    <row r="222" spans="1:13" x14ac:dyDescent="0.3">
      <c r="A222">
        <v>10</v>
      </c>
      <c r="B222">
        <v>1</v>
      </c>
      <c r="C222" t="s">
        <v>78</v>
      </c>
      <c r="D222" s="1" t="s">
        <v>2</v>
      </c>
      <c r="E222" s="59" t="s">
        <v>16</v>
      </c>
      <c r="F222" s="60">
        <v>2.06612244897959</v>
      </c>
      <c r="G222" s="60">
        <v>0.22270889140842501</v>
      </c>
      <c r="H222" s="61">
        <v>2.0981249999999898</v>
      </c>
      <c r="I222" s="63">
        <v>2.2000000000000002</v>
      </c>
      <c r="J222" s="58">
        <v>0.10187500000001037</v>
      </c>
      <c r="K222" s="58">
        <v>4.8555257670544352</v>
      </c>
      <c r="L222" s="1" t="s">
        <v>69</v>
      </c>
      <c r="M222" s="1">
        <v>3</v>
      </c>
    </row>
    <row r="223" spans="1:13" x14ac:dyDescent="0.3">
      <c r="A223">
        <v>10</v>
      </c>
      <c r="B223">
        <v>1</v>
      </c>
      <c r="C223" t="s">
        <v>78</v>
      </c>
      <c r="D223" s="1" t="s">
        <v>2</v>
      </c>
      <c r="E223" s="59" t="s">
        <v>17</v>
      </c>
      <c r="F223" s="60">
        <v>4.1317777777777698</v>
      </c>
      <c r="G223" s="60">
        <v>0.62484589705120697</v>
      </c>
      <c r="H223" s="61">
        <v>4.2249999999999996</v>
      </c>
      <c r="I223" s="63">
        <v>4.25</v>
      </c>
      <c r="J223" s="58">
        <v>2.5000000000000355E-2</v>
      </c>
      <c r="K223" s="58">
        <v>0.59171597633136941</v>
      </c>
      <c r="L223" s="1" t="s">
        <v>69</v>
      </c>
      <c r="M223" s="1">
        <v>3</v>
      </c>
    </row>
    <row r="224" spans="1:13" x14ac:dyDescent="0.3">
      <c r="A224">
        <v>10</v>
      </c>
      <c r="B224">
        <v>1</v>
      </c>
      <c r="C224" t="s">
        <v>78</v>
      </c>
      <c r="D224" s="1" t="s">
        <v>2</v>
      </c>
      <c r="E224" s="59" t="s">
        <v>18</v>
      </c>
      <c r="F224" s="60">
        <v>0.925399999999999</v>
      </c>
      <c r="G224" s="60">
        <v>0.12264110240861301</v>
      </c>
      <c r="H224" s="61">
        <v>0.94937499999999897</v>
      </c>
      <c r="I224" s="63">
        <v>1.1599999999999999</v>
      </c>
      <c r="J224" s="58">
        <v>0.21062500000000095</v>
      </c>
      <c r="K224" s="58">
        <v>22.185648452929684</v>
      </c>
      <c r="L224" s="1" t="s">
        <v>69</v>
      </c>
      <c r="M224" s="1">
        <v>3</v>
      </c>
    </row>
    <row r="225" spans="1:13" x14ac:dyDescent="0.3">
      <c r="A225">
        <v>10</v>
      </c>
      <c r="B225">
        <v>1</v>
      </c>
      <c r="C225" t="s">
        <v>78</v>
      </c>
      <c r="D225" s="1" t="s">
        <v>2</v>
      </c>
      <c r="E225" s="59" t="s">
        <v>19</v>
      </c>
      <c r="F225" s="60">
        <v>1.341</v>
      </c>
      <c r="G225" s="60">
        <v>0.16434415109762801</v>
      </c>
      <c r="H225" s="61">
        <v>1.3642857142857101</v>
      </c>
      <c r="I225" s="63">
        <v>1.51</v>
      </c>
      <c r="J225" s="58">
        <v>0.1457142857142899</v>
      </c>
      <c r="K225" s="58">
        <v>10.680628272251649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7097-1313-49C4-8986-8BEA45E924AA}">
  <dimension ref="A1:M450"/>
  <sheetViews>
    <sheetView topLeftCell="A430" workbookViewId="0">
      <selection activeCell="P176" sqref="P176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79</v>
      </c>
      <c r="D2" s="1" t="s">
        <v>1</v>
      </c>
      <c r="E2" s="59" t="s">
        <v>12</v>
      </c>
      <c r="F2" s="60">
        <v>2.8743999999999983</v>
      </c>
      <c r="G2" s="60">
        <v>2.7835171995157504</v>
      </c>
      <c r="H2" s="61">
        <v>2.3212499999999987</v>
      </c>
      <c r="I2" s="62">
        <v>3.04</v>
      </c>
      <c r="J2" s="37">
        <v>0.71875000000000133</v>
      </c>
      <c r="K2" s="37">
        <v>30.963920301561732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79</v>
      </c>
      <c r="D3" s="1" t="s">
        <v>1</v>
      </c>
      <c r="E3" s="59" t="s">
        <v>13</v>
      </c>
      <c r="F3" s="60">
        <v>1.2947916666666677</v>
      </c>
      <c r="G3" s="60">
        <v>0.62430212811035313</v>
      </c>
      <c r="H3" s="61">
        <v>1.1415555555555565</v>
      </c>
      <c r="I3" s="62">
        <v>4.01</v>
      </c>
      <c r="J3" s="37">
        <v>2.8684444444444432</v>
      </c>
      <c r="K3" s="37">
        <v>251.27506326649765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79</v>
      </c>
      <c r="D4" s="1" t="s">
        <v>1</v>
      </c>
      <c r="E4" s="59" t="s">
        <v>14</v>
      </c>
      <c r="F4" s="60">
        <v>2.7509615384615396</v>
      </c>
      <c r="G4" s="60">
        <v>1.3581811072387677</v>
      </c>
      <c r="H4" s="61">
        <v>2.5597916666666682</v>
      </c>
      <c r="I4" s="62">
        <v>5.24</v>
      </c>
      <c r="J4" s="37">
        <v>2.680208333333332</v>
      </c>
      <c r="K4" s="37">
        <v>104.70415886709519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79</v>
      </c>
      <c r="D5" s="1" t="s">
        <v>1</v>
      </c>
      <c r="E5" s="59" t="s">
        <v>15</v>
      </c>
      <c r="F5" s="60">
        <v>3.7483050847457626</v>
      </c>
      <c r="G5" s="60">
        <v>2.3801362990110975</v>
      </c>
      <c r="H5" s="61">
        <v>3.3131578947368432</v>
      </c>
      <c r="I5" s="62">
        <v>5.77</v>
      </c>
      <c r="J5" s="37">
        <v>2.4568421052631564</v>
      </c>
      <c r="K5" s="37">
        <v>74.154090548053944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79</v>
      </c>
      <c r="D6" s="1" t="s">
        <v>1</v>
      </c>
      <c r="E6" s="59" t="s">
        <v>16</v>
      </c>
      <c r="F6" s="60">
        <v>1.7544067796610174</v>
      </c>
      <c r="G6" s="60">
        <v>1.3535066477378248</v>
      </c>
      <c r="H6" s="61">
        <v>1.393272727272727</v>
      </c>
      <c r="I6" s="62">
        <v>4.1900000000000004</v>
      </c>
      <c r="J6" s="37">
        <v>2.7967272727272734</v>
      </c>
      <c r="K6" s="37">
        <v>200.7307842881379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79</v>
      </c>
      <c r="D7" s="1" t="s">
        <v>1</v>
      </c>
      <c r="E7" s="59" t="s">
        <v>17</v>
      </c>
      <c r="F7" s="60">
        <v>6.4343749999999993</v>
      </c>
      <c r="G7" s="60">
        <v>18.821901107571239</v>
      </c>
      <c r="H7" s="61">
        <v>1.6913333333333342</v>
      </c>
      <c r="I7" s="62">
        <v>4.38</v>
      </c>
      <c r="J7" s="37">
        <v>2.6886666666666654</v>
      </c>
      <c r="K7" s="37">
        <v>158.96728419392966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79</v>
      </c>
      <c r="D8" s="1" t="s">
        <v>1</v>
      </c>
      <c r="E8" s="59" t="s">
        <v>18</v>
      </c>
      <c r="F8" s="60">
        <v>1.0323728813559323</v>
      </c>
      <c r="G8" s="60">
        <v>0.40578293408758054</v>
      </c>
      <c r="H8" s="61">
        <v>1.260909090909091</v>
      </c>
      <c r="I8" s="62">
        <v>1.55</v>
      </c>
      <c r="J8" s="37">
        <v>0.28909090909090907</v>
      </c>
      <c r="K8" s="37">
        <v>22.927180966113912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79</v>
      </c>
      <c r="D9" s="1" t="s">
        <v>1</v>
      </c>
      <c r="E9" s="59" t="s">
        <v>19</v>
      </c>
      <c r="F9" s="60">
        <v>2.2595999999999998</v>
      </c>
      <c r="G9" s="60">
        <v>0.95837744825999238</v>
      </c>
      <c r="H9" s="61">
        <v>2.8852941176470588</v>
      </c>
      <c r="I9" s="62">
        <v>2.41</v>
      </c>
      <c r="J9" s="37">
        <v>-0.47529411764705864</v>
      </c>
      <c r="K9" s="37">
        <v>-16.472986748216101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79</v>
      </c>
      <c r="D10" s="1" t="s">
        <v>1</v>
      </c>
      <c r="E10" s="59" t="s">
        <v>12</v>
      </c>
      <c r="F10" s="60">
        <v>2.8743999999999983</v>
      </c>
      <c r="G10" s="60">
        <v>2.7835171995157504</v>
      </c>
      <c r="H10" s="61">
        <v>2.3212499999999987</v>
      </c>
      <c r="I10" s="62">
        <v>2.99</v>
      </c>
      <c r="J10" s="37">
        <v>0.66875000000000151</v>
      </c>
      <c r="K10" s="37">
        <v>28.809908454496579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79</v>
      </c>
      <c r="D11" s="1" t="s">
        <v>1</v>
      </c>
      <c r="E11" s="59" t="s">
        <v>13</v>
      </c>
      <c r="F11" s="60">
        <v>1.2947916666666677</v>
      </c>
      <c r="G11" s="60">
        <v>0.62430212811035313</v>
      </c>
      <c r="H11" s="61">
        <v>1.1415555555555565</v>
      </c>
      <c r="I11" s="62">
        <v>4.18</v>
      </c>
      <c r="J11" s="37">
        <v>3.0384444444444432</v>
      </c>
      <c r="K11" s="37">
        <v>266.16702355460353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79</v>
      </c>
      <c r="D12" s="1" t="s">
        <v>1</v>
      </c>
      <c r="E12" s="59" t="s">
        <v>14</v>
      </c>
      <c r="F12" s="60">
        <v>2.7509615384615396</v>
      </c>
      <c r="G12" s="60">
        <v>1.3581811072387677</v>
      </c>
      <c r="H12" s="61">
        <v>2.5597916666666682</v>
      </c>
      <c r="I12" s="62">
        <v>5.28</v>
      </c>
      <c r="J12" s="37">
        <v>2.720208333333332</v>
      </c>
      <c r="K12" s="37">
        <v>106.26678603401957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79</v>
      </c>
      <c r="D13" s="1" t="s">
        <v>1</v>
      </c>
      <c r="E13" s="59" t="s">
        <v>15</v>
      </c>
      <c r="F13" s="60">
        <v>3.7483050847457626</v>
      </c>
      <c r="G13" s="60">
        <v>2.3801362990110975</v>
      </c>
      <c r="H13" s="61">
        <v>3.3131578947368432</v>
      </c>
      <c r="I13" s="62">
        <v>5.69</v>
      </c>
      <c r="J13" s="37">
        <v>2.3768421052631572</v>
      </c>
      <c r="K13" s="37">
        <v>71.739475774424093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79</v>
      </c>
      <c r="D14" s="1" t="s">
        <v>1</v>
      </c>
      <c r="E14" s="59" t="s">
        <v>16</v>
      </c>
      <c r="F14" s="60">
        <v>1.7544067796610174</v>
      </c>
      <c r="G14" s="60">
        <v>1.3535066477378248</v>
      </c>
      <c r="H14" s="61">
        <v>1.393272727272727</v>
      </c>
      <c r="I14" s="62">
        <v>4.22</v>
      </c>
      <c r="J14" s="37">
        <v>2.8267272727272728</v>
      </c>
      <c r="K14" s="37">
        <v>202.88398799425815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79</v>
      </c>
      <c r="D15" s="1" t="s">
        <v>1</v>
      </c>
      <c r="E15" s="59" t="s">
        <v>17</v>
      </c>
      <c r="F15" s="60">
        <v>6.4343749999999993</v>
      </c>
      <c r="G15" s="60">
        <v>18.821901107571239</v>
      </c>
      <c r="H15" s="61">
        <v>1.6913333333333342</v>
      </c>
      <c r="I15" s="62">
        <v>4.3899999999999997</v>
      </c>
      <c r="J15" s="37">
        <v>2.6986666666666652</v>
      </c>
      <c r="K15" s="37">
        <v>159.55853370122176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79</v>
      </c>
      <c r="D16" s="1" t="s">
        <v>1</v>
      </c>
      <c r="E16" s="59" t="s">
        <v>18</v>
      </c>
      <c r="F16" s="60">
        <v>1.0323728813559323</v>
      </c>
      <c r="G16" s="60">
        <v>0.40578293408758054</v>
      </c>
      <c r="H16" s="61">
        <v>1.260909090909091</v>
      </c>
      <c r="I16" s="62">
        <v>1.62</v>
      </c>
      <c r="J16" s="37">
        <v>0.35909090909090913</v>
      </c>
      <c r="K16" s="37">
        <v>28.478731074260999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79</v>
      </c>
      <c r="D17" s="1" t="s">
        <v>1</v>
      </c>
      <c r="E17" s="59" t="s">
        <v>19</v>
      </c>
      <c r="F17" s="60">
        <v>2.2595999999999998</v>
      </c>
      <c r="G17" s="60">
        <v>0.95837744825999238</v>
      </c>
      <c r="H17" s="61">
        <v>2.8852941176470588</v>
      </c>
      <c r="I17" s="62">
        <v>2.44</v>
      </c>
      <c r="J17" s="37">
        <v>-0.44529411764705884</v>
      </c>
      <c r="K17" s="37">
        <v>-15.433231396534151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79</v>
      </c>
      <c r="D18" s="1" t="s">
        <v>1</v>
      </c>
      <c r="E18" s="59" t="s">
        <v>12</v>
      </c>
      <c r="F18" s="60">
        <v>2.8743999999999983</v>
      </c>
      <c r="G18" s="60">
        <v>2.7835171995157504</v>
      </c>
      <c r="H18" s="61">
        <v>2.3212499999999987</v>
      </c>
      <c r="I18" s="62">
        <v>2.99</v>
      </c>
      <c r="J18" s="37">
        <v>0.66875000000000151</v>
      </c>
      <c r="K18" s="37">
        <v>28.809908454496579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79</v>
      </c>
      <c r="D19" s="1" t="s">
        <v>1</v>
      </c>
      <c r="E19" s="59" t="s">
        <v>13</v>
      </c>
      <c r="F19" s="60">
        <v>1.2947916666666677</v>
      </c>
      <c r="G19" s="60">
        <v>0.62430212811035313</v>
      </c>
      <c r="H19" s="61">
        <v>1.1415555555555565</v>
      </c>
      <c r="I19" s="62">
        <v>4.1900000000000004</v>
      </c>
      <c r="J19" s="37">
        <v>3.0484444444444438</v>
      </c>
      <c r="K19" s="37">
        <v>267.04302121860979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79</v>
      </c>
      <c r="D20" s="1" t="s">
        <v>1</v>
      </c>
      <c r="E20" s="59" t="s">
        <v>14</v>
      </c>
      <c r="F20" s="60">
        <v>2.7509615384615396</v>
      </c>
      <c r="G20" s="60">
        <v>1.3581811072387677</v>
      </c>
      <c r="H20" s="61">
        <v>2.5597916666666682</v>
      </c>
      <c r="I20" s="62">
        <v>5.3</v>
      </c>
      <c r="J20" s="37">
        <v>2.7402083333333316</v>
      </c>
      <c r="K20" s="37">
        <v>107.04809961748177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79</v>
      </c>
      <c r="D21" s="1" t="s">
        <v>1</v>
      </c>
      <c r="E21" s="59" t="s">
        <v>15</v>
      </c>
      <c r="F21" s="60">
        <v>3.7483050847457626</v>
      </c>
      <c r="G21" s="60">
        <v>2.3801362990110975</v>
      </c>
      <c r="H21" s="61">
        <v>3.3131578947368432</v>
      </c>
      <c r="I21" s="62">
        <v>5.73</v>
      </c>
      <c r="J21" s="37">
        <v>2.4168421052631572</v>
      </c>
      <c r="K21" s="37">
        <v>72.94678316123904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79</v>
      </c>
      <c r="D22" s="1" t="s">
        <v>1</v>
      </c>
      <c r="E22" s="59" t="s">
        <v>16</v>
      </c>
      <c r="F22" s="60">
        <v>1.7544067796610174</v>
      </c>
      <c r="G22" s="60">
        <v>1.3535066477378248</v>
      </c>
      <c r="H22" s="61">
        <v>1.393272727272727</v>
      </c>
      <c r="I22" s="62">
        <v>4.24</v>
      </c>
      <c r="J22" s="37">
        <v>2.8467272727272732</v>
      </c>
      <c r="K22" s="37">
        <v>204.31945713167175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79</v>
      </c>
      <c r="D23" s="1" t="s">
        <v>1</v>
      </c>
      <c r="E23" s="59" t="s">
        <v>17</v>
      </c>
      <c r="F23" s="60">
        <v>6.4343749999999993</v>
      </c>
      <c r="G23" s="60">
        <v>18.821901107571239</v>
      </c>
      <c r="H23" s="61">
        <v>1.6913333333333342</v>
      </c>
      <c r="I23" s="62">
        <v>4.45</v>
      </c>
      <c r="J23" s="37">
        <v>2.7586666666666657</v>
      </c>
      <c r="K23" s="37">
        <v>163.10603074497422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79</v>
      </c>
      <c r="D24" s="1" t="s">
        <v>1</v>
      </c>
      <c r="E24" s="59" t="s">
        <v>18</v>
      </c>
      <c r="F24" s="60">
        <v>1.0323728813559323</v>
      </c>
      <c r="G24" s="60">
        <v>0.40578293408758054</v>
      </c>
      <c r="H24" s="61">
        <v>1.260909090909091</v>
      </c>
      <c r="I24" s="62">
        <v>1.61</v>
      </c>
      <c r="J24" s="37">
        <v>0.34909090909090912</v>
      </c>
      <c r="K24" s="37">
        <v>27.685652487382839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79</v>
      </c>
      <c r="D25" s="1" t="s">
        <v>1</v>
      </c>
      <c r="E25" s="59" t="s">
        <v>19</v>
      </c>
      <c r="F25" s="60">
        <v>2.2595999999999998</v>
      </c>
      <c r="G25" s="60">
        <v>0.95837744825999238</v>
      </c>
      <c r="H25" s="61">
        <v>2.8852941176470588</v>
      </c>
      <c r="I25" s="62">
        <v>2.42</v>
      </c>
      <c r="J25" s="37">
        <v>-0.46529411764705886</v>
      </c>
      <c r="K25" s="37">
        <v>-16.126401630988788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79</v>
      </c>
      <c r="D27" s="1" t="s">
        <v>1</v>
      </c>
      <c r="E27" s="59" t="s">
        <v>12</v>
      </c>
      <c r="F27" s="60">
        <v>3.67584905660377</v>
      </c>
      <c r="G27" s="60">
        <v>4.7397704880197402</v>
      </c>
      <c r="H27" s="61">
        <v>2.3497959183673398</v>
      </c>
      <c r="I27" s="62">
        <v>3.04</v>
      </c>
      <c r="J27" s="37">
        <v>0.69020408163266023</v>
      </c>
      <c r="K27" s="37">
        <v>29.372937293729766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79</v>
      </c>
      <c r="D28" s="1" t="s">
        <v>1</v>
      </c>
      <c r="E28" s="59" t="s">
        <v>13</v>
      </c>
      <c r="F28" s="60">
        <v>1.2244736842105199</v>
      </c>
      <c r="G28" s="60">
        <v>0.387357426188357</v>
      </c>
      <c r="H28" s="61">
        <v>1.16135135135135</v>
      </c>
      <c r="I28" s="62">
        <v>4.01</v>
      </c>
      <c r="J28" s="37">
        <v>2.8486486486486498</v>
      </c>
      <c r="K28" s="37">
        <v>245.28740982080558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79</v>
      </c>
      <c r="D29" s="1" t="s">
        <v>1</v>
      </c>
      <c r="E29" s="59" t="s">
        <v>14</v>
      </c>
      <c r="F29" s="60">
        <v>3.09980769230769</v>
      </c>
      <c r="G29" s="60">
        <v>2.0440245843627398</v>
      </c>
      <c r="H29" s="61">
        <v>2.5554545454545399</v>
      </c>
      <c r="I29" s="62">
        <v>5.24</v>
      </c>
      <c r="J29" s="37">
        <v>2.6845454545454603</v>
      </c>
      <c r="K29" s="37">
        <v>105.05158306652483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79</v>
      </c>
      <c r="D30" s="1" t="s">
        <v>1</v>
      </c>
      <c r="E30" s="59" t="s">
        <v>15</v>
      </c>
      <c r="F30" s="60">
        <v>3.93355932203389</v>
      </c>
      <c r="G30" s="60">
        <v>2.7660727607326798</v>
      </c>
      <c r="H30" s="61">
        <v>3.3019642857142801</v>
      </c>
      <c r="I30" s="62">
        <v>5.77</v>
      </c>
      <c r="J30" s="37">
        <v>2.4680357142857194</v>
      </c>
      <c r="K30" s="37">
        <v>74.744470282840581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79</v>
      </c>
      <c r="D31" s="1" t="s">
        <v>1</v>
      </c>
      <c r="E31" s="59" t="s">
        <v>16</v>
      </c>
      <c r="F31" s="60">
        <v>1.59379310344827</v>
      </c>
      <c r="G31" s="60">
        <v>0.97513363820874799</v>
      </c>
      <c r="H31" s="61">
        <v>1.41071428571428</v>
      </c>
      <c r="I31" s="62">
        <v>4.1900000000000004</v>
      </c>
      <c r="J31" s="37">
        <v>2.7792857142857201</v>
      </c>
      <c r="K31" s="37">
        <v>197.0126582278493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79</v>
      </c>
      <c r="D32" s="1" t="s">
        <v>1</v>
      </c>
      <c r="E32" s="59" t="s">
        <v>17</v>
      </c>
      <c r="F32" s="60">
        <v>8.0749999999999993</v>
      </c>
      <c r="G32" s="60">
        <v>20.958794418132399</v>
      </c>
      <c r="H32" s="61">
        <v>1.3395744680851001</v>
      </c>
      <c r="I32" s="62">
        <v>4.38</v>
      </c>
      <c r="J32" s="37">
        <v>3.0404255319148996</v>
      </c>
      <c r="K32" s="37">
        <v>226.96950444726963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79</v>
      </c>
      <c r="D33" s="1" t="s">
        <v>1</v>
      </c>
      <c r="E33" s="59" t="s">
        <v>18</v>
      </c>
      <c r="F33" s="60">
        <v>1.05614035087719</v>
      </c>
      <c r="G33" s="60">
        <v>0.37503101338874001</v>
      </c>
      <c r="H33" s="61">
        <v>1.2245454545454499</v>
      </c>
      <c r="I33" s="62">
        <v>1.55</v>
      </c>
      <c r="J33" s="37">
        <v>0.3254545454545501</v>
      </c>
      <c r="K33" s="37">
        <v>26.577579806978953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79</v>
      </c>
      <c r="D34" s="1" t="s">
        <v>1</v>
      </c>
      <c r="E34" s="59" t="s">
        <v>19</v>
      </c>
      <c r="F34" s="60">
        <v>3.4342857142857102</v>
      </c>
      <c r="G34" s="60">
        <v>1.72203526159509</v>
      </c>
      <c r="H34" s="61">
        <v>2.9807142857142801</v>
      </c>
      <c r="I34" s="62">
        <v>2.41</v>
      </c>
      <c r="J34" s="37">
        <v>-0.57071428571427996</v>
      </c>
      <c r="K34" s="37">
        <v>-19.146896716990017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79</v>
      </c>
      <c r="D35" s="1" t="s">
        <v>1</v>
      </c>
      <c r="E35" s="59" t="s">
        <v>12</v>
      </c>
      <c r="F35" s="60">
        <v>3.67584905660377</v>
      </c>
      <c r="G35" s="60">
        <v>4.7397704880197402</v>
      </c>
      <c r="H35" s="61">
        <v>2.3497959183673398</v>
      </c>
      <c r="I35" s="62">
        <v>2.99</v>
      </c>
      <c r="J35" s="37">
        <v>0.6402040816326604</v>
      </c>
      <c r="K35" s="37">
        <v>27.245092930346061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79</v>
      </c>
      <c r="D36" s="1" t="s">
        <v>1</v>
      </c>
      <c r="E36" s="59" t="s">
        <v>13</v>
      </c>
      <c r="F36" s="60">
        <v>1.2244736842105199</v>
      </c>
      <c r="G36" s="60">
        <v>0.387357426188357</v>
      </c>
      <c r="H36" s="61">
        <v>1.16135135135135</v>
      </c>
      <c r="I36" s="62">
        <v>4.18</v>
      </c>
      <c r="J36" s="37">
        <v>3.0186486486486497</v>
      </c>
      <c r="K36" s="37">
        <v>259.92552943914393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79</v>
      </c>
      <c r="D37" s="1" t="s">
        <v>1</v>
      </c>
      <c r="E37" s="59" t="s">
        <v>14</v>
      </c>
      <c r="F37" s="60">
        <v>3.09980769230769</v>
      </c>
      <c r="G37" s="60">
        <v>2.0440245843627398</v>
      </c>
      <c r="H37" s="61">
        <v>2.5554545454545399</v>
      </c>
      <c r="I37" s="62">
        <v>5.28</v>
      </c>
      <c r="J37" s="37">
        <v>2.7245454545454604</v>
      </c>
      <c r="K37" s="37">
        <v>106.61686232657463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79</v>
      </c>
      <c r="D38" s="1" t="s">
        <v>1</v>
      </c>
      <c r="E38" s="59" t="s">
        <v>15</v>
      </c>
      <c r="F38" s="60">
        <v>3.93355932203389</v>
      </c>
      <c r="G38" s="60">
        <v>2.7660727607326798</v>
      </c>
      <c r="H38" s="61">
        <v>3.3019642857142801</v>
      </c>
      <c r="I38" s="62">
        <v>5.69</v>
      </c>
      <c r="J38" s="37">
        <v>2.3880357142857203</v>
      </c>
      <c r="K38" s="37">
        <v>72.321670001622721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79</v>
      </c>
      <c r="D39" s="1" t="s">
        <v>1</v>
      </c>
      <c r="E39" s="59" t="s">
        <v>16</v>
      </c>
      <c r="F39" s="60">
        <v>1.59379310344827</v>
      </c>
      <c r="G39" s="60">
        <v>0.97513363820874799</v>
      </c>
      <c r="H39" s="61">
        <v>1.41071428571428</v>
      </c>
      <c r="I39" s="62">
        <v>4.22</v>
      </c>
      <c r="J39" s="37">
        <v>2.8092857142857195</v>
      </c>
      <c r="K39" s="37">
        <v>199.13924050633028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79</v>
      </c>
      <c r="D40" s="1" t="s">
        <v>1</v>
      </c>
      <c r="E40" s="59" t="s">
        <v>17</v>
      </c>
      <c r="F40" s="60">
        <v>8.0749999999999993</v>
      </c>
      <c r="G40" s="60">
        <v>20.958794418132399</v>
      </c>
      <c r="H40" s="61">
        <v>1.3395744680851001</v>
      </c>
      <c r="I40" s="62">
        <v>4.3899999999999997</v>
      </c>
      <c r="J40" s="37">
        <v>3.0504255319148994</v>
      </c>
      <c r="K40" s="37">
        <v>227.71601016518574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79</v>
      </c>
      <c r="D41" s="1" t="s">
        <v>1</v>
      </c>
      <c r="E41" s="59" t="s">
        <v>18</v>
      </c>
      <c r="F41" s="60">
        <v>1.05614035087719</v>
      </c>
      <c r="G41" s="60">
        <v>0.37503101338874001</v>
      </c>
      <c r="H41" s="61">
        <v>1.2245454545454499</v>
      </c>
      <c r="I41" s="62">
        <v>1.62</v>
      </c>
      <c r="J41" s="37">
        <v>0.39545454545455017</v>
      </c>
      <c r="K41" s="37">
        <v>32.293986636971553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79</v>
      </c>
      <c r="D42" s="1" t="s">
        <v>1</v>
      </c>
      <c r="E42" s="59" t="s">
        <v>19</v>
      </c>
      <c r="F42" s="60">
        <v>3.4342857142857102</v>
      </c>
      <c r="G42" s="60">
        <v>1.72203526159509</v>
      </c>
      <c r="H42" s="61">
        <v>2.9807142857142801</v>
      </c>
      <c r="I42" s="62">
        <v>2.44</v>
      </c>
      <c r="J42" s="37">
        <v>-0.54071428571428015</v>
      </c>
      <c r="K42" s="37">
        <v>-18.140426551641355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79</v>
      </c>
      <c r="D43" s="1" t="s">
        <v>1</v>
      </c>
      <c r="E43" s="59" t="s">
        <v>12</v>
      </c>
      <c r="F43" s="60">
        <v>3.67584905660377</v>
      </c>
      <c r="G43" s="60">
        <v>4.7397704880197402</v>
      </c>
      <c r="H43" s="61">
        <v>2.3497959183673398</v>
      </c>
      <c r="I43" s="62">
        <v>2.99</v>
      </c>
      <c r="J43" s="37">
        <v>0.6402040816326604</v>
      </c>
      <c r="K43" s="37">
        <v>27.245092930346061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79</v>
      </c>
      <c r="D44" s="1" t="s">
        <v>1</v>
      </c>
      <c r="E44" s="59" t="s">
        <v>13</v>
      </c>
      <c r="F44" s="60">
        <v>1.2244736842105199</v>
      </c>
      <c r="G44" s="60">
        <v>0.387357426188357</v>
      </c>
      <c r="H44" s="61">
        <v>1.16135135135135</v>
      </c>
      <c r="I44" s="62">
        <v>4.1900000000000004</v>
      </c>
      <c r="J44" s="37">
        <v>3.0286486486486504</v>
      </c>
      <c r="K44" s="37">
        <v>260.78659529904627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79</v>
      </c>
      <c r="D45" s="1" t="s">
        <v>1</v>
      </c>
      <c r="E45" s="59" t="s">
        <v>14</v>
      </c>
      <c r="F45" s="60">
        <v>3.09980769230769</v>
      </c>
      <c r="G45" s="60">
        <v>2.0440245843627398</v>
      </c>
      <c r="H45" s="61">
        <v>2.5554545454545399</v>
      </c>
      <c r="I45" s="62">
        <v>5.3</v>
      </c>
      <c r="J45" s="37">
        <v>2.74454545454546</v>
      </c>
      <c r="K45" s="37">
        <v>107.39950195659954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79</v>
      </c>
      <c r="D46" s="1" t="s">
        <v>1</v>
      </c>
      <c r="E46" s="59" t="s">
        <v>15</v>
      </c>
      <c r="F46" s="60">
        <v>3.93355932203389</v>
      </c>
      <c r="G46" s="60">
        <v>2.7660727607326798</v>
      </c>
      <c r="H46" s="61">
        <v>3.3019642857142801</v>
      </c>
      <c r="I46" s="62">
        <v>5.73</v>
      </c>
      <c r="J46" s="37">
        <v>2.4280357142857203</v>
      </c>
      <c r="K46" s="37">
        <v>73.533070142231665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79</v>
      </c>
      <c r="D47" s="1" t="s">
        <v>1</v>
      </c>
      <c r="E47" s="59" t="s">
        <v>16</v>
      </c>
      <c r="F47" s="60">
        <v>1.59379310344827</v>
      </c>
      <c r="G47" s="60">
        <v>0.97513363820874799</v>
      </c>
      <c r="H47" s="61">
        <v>1.41071428571428</v>
      </c>
      <c r="I47" s="62">
        <v>4.24</v>
      </c>
      <c r="J47" s="37">
        <v>2.82928571428572</v>
      </c>
      <c r="K47" s="37">
        <v>200.55696202531769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79</v>
      </c>
      <c r="D48" s="1" t="s">
        <v>1</v>
      </c>
      <c r="E48" s="59" t="s">
        <v>17</v>
      </c>
      <c r="F48" s="60">
        <v>8.0749999999999993</v>
      </c>
      <c r="G48" s="60">
        <v>20.958794418132399</v>
      </c>
      <c r="H48" s="61">
        <v>1.3395744680851001</v>
      </c>
      <c r="I48" s="62">
        <v>4.45</v>
      </c>
      <c r="J48" s="37">
        <v>3.1104255319148999</v>
      </c>
      <c r="K48" s="37">
        <v>232.19504447268261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79</v>
      </c>
      <c r="D49" s="1" t="s">
        <v>1</v>
      </c>
      <c r="E49" s="59" t="s">
        <v>18</v>
      </c>
      <c r="F49" s="60">
        <v>1.05614035087719</v>
      </c>
      <c r="G49" s="60">
        <v>0.37503101338874001</v>
      </c>
      <c r="H49" s="61">
        <v>1.2245454545454499</v>
      </c>
      <c r="I49" s="62">
        <v>1.61</v>
      </c>
      <c r="J49" s="37">
        <v>0.38545454545455016</v>
      </c>
      <c r="K49" s="37">
        <v>31.477357089829756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79</v>
      </c>
      <c r="D50" s="1" t="s">
        <v>1</v>
      </c>
      <c r="E50" s="59" t="s">
        <v>19</v>
      </c>
      <c r="F50" s="60">
        <v>3.4342857142857102</v>
      </c>
      <c r="G50" s="60">
        <v>1.72203526159509</v>
      </c>
      <c r="H50" s="61">
        <v>2.9807142857142801</v>
      </c>
      <c r="I50" s="62">
        <v>2.42</v>
      </c>
      <c r="J50" s="37">
        <v>-0.56071428571428017</v>
      </c>
      <c r="K50" s="37">
        <v>-18.8114066618738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79</v>
      </c>
      <c r="D52" s="1" t="s">
        <v>1</v>
      </c>
      <c r="E52" s="59" t="s">
        <v>12</v>
      </c>
      <c r="F52" s="60">
        <v>2.52</v>
      </c>
      <c r="G52" s="60">
        <v>2.2301831016009999</v>
      </c>
      <c r="H52" s="61">
        <v>2.2027659574467999</v>
      </c>
      <c r="I52" s="63">
        <v>3.04</v>
      </c>
      <c r="J52" s="58">
        <v>0.83723404255320011</v>
      </c>
      <c r="K52" s="58">
        <v>38.008306770984795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79</v>
      </c>
      <c r="D53" s="1" t="s">
        <v>1</v>
      </c>
      <c r="E53" s="59" t="s">
        <v>13</v>
      </c>
      <c r="F53" s="60">
        <v>1.2765</v>
      </c>
      <c r="G53" s="60">
        <v>0.46784906754208599</v>
      </c>
      <c r="H53" s="61">
        <v>1.17</v>
      </c>
      <c r="I53" s="63">
        <v>4.01</v>
      </c>
      <c r="J53" s="58">
        <v>2.84</v>
      </c>
      <c r="K53" s="58">
        <v>242.73504273504273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79</v>
      </c>
      <c r="D54" s="1" t="s">
        <v>1</v>
      </c>
      <c r="E54" s="59" t="s">
        <v>14</v>
      </c>
      <c r="F54" s="60">
        <v>3.0252941176470598</v>
      </c>
      <c r="G54" s="60">
        <v>1.7271946572645001</v>
      </c>
      <c r="H54" s="61">
        <v>2.5253191489361702</v>
      </c>
      <c r="I54" s="63">
        <v>5.24</v>
      </c>
      <c r="J54" s="58">
        <v>2.7146808510638301</v>
      </c>
      <c r="K54" s="58">
        <v>107.49852557081473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79</v>
      </c>
      <c r="D55" s="1" t="s">
        <v>1</v>
      </c>
      <c r="E55" s="59" t="s">
        <v>15</v>
      </c>
      <c r="F55" s="60">
        <v>4.6628813559321998</v>
      </c>
      <c r="G55" s="60">
        <v>3.9001264868004202</v>
      </c>
      <c r="H55" s="61">
        <v>3.3624528301886798</v>
      </c>
      <c r="I55" s="63">
        <v>5.77</v>
      </c>
      <c r="J55" s="58">
        <v>2.4075471698113198</v>
      </c>
      <c r="K55" s="58">
        <v>71.600920262611496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79</v>
      </c>
      <c r="D56" s="1" t="s">
        <v>1</v>
      </c>
      <c r="E56" s="59" t="s">
        <v>16</v>
      </c>
      <c r="F56" s="60">
        <v>1.5981355932203301</v>
      </c>
      <c r="G56" s="60">
        <v>1.0788246501087499</v>
      </c>
      <c r="H56" s="61">
        <v>1.39807017543859</v>
      </c>
      <c r="I56" s="63">
        <v>4.1900000000000004</v>
      </c>
      <c r="J56" s="58">
        <v>2.7919298245614104</v>
      </c>
      <c r="K56" s="58">
        <v>199.69883297779035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79</v>
      </c>
      <c r="D57" s="1" t="s">
        <v>1</v>
      </c>
      <c r="E57" s="59" t="s">
        <v>17</v>
      </c>
      <c r="F57" s="60">
        <v>7.8286274509803899</v>
      </c>
      <c r="G57" s="60">
        <v>21.767332964573701</v>
      </c>
      <c r="H57" s="61">
        <v>1.50021276595744</v>
      </c>
      <c r="I57" s="63">
        <v>4.38</v>
      </c>
      <c r="J57" s="58">
        <v>2.8797872340425599</v>
      </c>
      <c r="K57" s="58">
        <v>191.9585874344078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79</v>
      </c>
      <c r="D58" s="1" t="s">
        <v>1</v>
      </c>
      <c r="E58" s="59" t="s">
        <v>18</v>
      </c>
      <c r="F58" s="60">
        <v>1.06915254237288</v>
      </c>
      <c r="G58" s="60">
        <v>0.39284398997520298</v>
      </c>
      <c r="H58" s="61">
        <v>1.2633333333333301</v>
      </c>
      <c r="I58" s="63">
        <v>1.55</v>
      </c>
      <c r="J58" s="58">
        <v>0.28666666666666996</v>
      </c>
      <c r="K58" s="58">
        <v>22.691292875989767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79</v>
      </c>
      <c r="D59" s="1" t="s">
        <v>1</v>
      </c>
      <c r="E59" s="59" t="s">
        <v>19</v>
      </c>
      <c r="F59" s="60">
        <v>2.89263157894736</v>
      </c>
      <c r="G59" s="60">
        <v>2.1241935735591801</v>
      </c>
      <c r="H59" s="61">
        <v>1.8719999999999899</v>
      </c>
      <c r="I59" s="63">
        <v>2.41</v>
      </c>
      <c r="J59" s="58">
        <v>0.53800000000001025</v>
      </c>
      <c r="K59" s="58">
        <v>28.739316239316942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79</v>
      </c>
      <c r="D60" s="1" t="s">
        <v>1</v>
      </c>
      <c r="E60" s="59" t="s">
        <v>12</v>
      </c>
      <c r="F60" s="60">
        <v>2.52</v>
      </c>
      <c r="G60" s="60">
        <v>2.2301831016009999</v>
      </c>
      <c r="H60" s="61">
        <v>2.2027659574467999</v>
      </c>
      <c r="I60" s="63">
        <v>2.99</v>
      </c>
      <c r="J60" s="58">
        <v>0.78723404255320029</v>
      </c>
      <c r="K60" s="58">
        <v>35.738433304356768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79</v>
      </c>
      <c r="D61" s="1" t="s">
        <v>1</v>
      </c>
      <c r="E61" s="59" t="s">
        <v>13</v>
      </c>
      <c r="F61" s="60">
        <v>1.2765</v>
      </c>
      <c r="G61" s="60">
        <v>0.46784906754208599</v>
      </c>
      <c r="H61" s="61">
        <v>1.17</v>
      </c>
      <c r="I61" s="63">
        <v>4.18</v>
      </c>
      <c r="J61" s="58">
        <v>3.01</v>
      </c>
      <c r="K61" s="58">
        <v>257.26495726495727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79</v>
      </c>
      <c r="D62" s="1" t="s">
        <v>1</v>
      </c>
      <c r="E62" s="59" t="s">
        <v>14</v>
      </c>
      <c r="F62" s="60">
        <v>3.0252941176470598</v>
      </c>
      <c r="G62" s="60">
        <v>1.7271946572645001</v>
      </c>
      <c r="H62" s="61">
        <v>2.5253191489361702</v>
      </c>
      <c r="I62" s="63">
        <v>5.28</v>
      </c>
      <c r="J62" s="58">
        <v>2.7546808510638301</v>
      </c>
      <c r="K62" s="58">
        <v>109.08248378127898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79</v>
      </c>
      <c r="D63" s="1" t="s">
        <v>1</v>
      </c>
      <c r="E63" s="59" t="s">
        <v>15</v>
      </c>
      <c r="F63" s="60">
        <v>4.6628813559321998</v>
      </c>
      <c r="G63" s="60">
        <v>3.9001264868004202</v>
      </c>
      <c r="H63" s="61">
        <v>3.3624528301886798</v>
      </c>
      <c r="I63" s="63">
        <v>5.69</v>
      </c>
      <c r="J63" s="58">
        <v>2.3275471698113206</v>
      </c>
      <c r="K63" s="58">
        <v>69.221704730374256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79</v>
      </c>
      <c r="D64" s="1" t="s">
        <v>1</v>
      </c>
      <c r="E64" s="59" t="s">
        <v>16</v>
      </c>
      <c r="F64" s="60">
        <v>1.5981355932203301</v>
      </c>
      <c r="G64" s="60">
        <v>1.0788246501087499</v>
      </c>
      <c r="H64" s="61">
        <v>1.39807017543859</v>
      </c>
      <c r="I64" s="63">
        <v>4.22</v>
      </c>
      <c r="J64" s="58">
        <v>2.8219298245614097</v>
      </c>
      <c r="K64" s="58">
        <v>201.84464801104417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79</v>
      </c>
      <c r="D65" s="1" t="s">
        <v>1</v>
      </c>
      <c r="E65" s="59" t="s">
        <v>17</v>
      </c>
      <c r="F65" s="60">
        <v>7.8286274509803899</v>
      </c>
      <c r="G65" s="60">
        <v>21.767332964573701</v>
      </c>
      <c r="H65" s="61">
        <v>1.50021276595744</v>
      </c>
      <c r="I65" s="63">
        <v>4.3899999999999997</v>
      </c>
      <c r="J65" s="58">
        <v>2.8897872340425597</v>
      </c>
      <c r="K65" s="58">
        <v>192.62515955183792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79</v>
      </c>
      <c r="D66" s="1" t="s">
        <v>1</v>
      </c>
      <c r="E66" s="59" t="s">
        <v>18</v>
      </c>
      <c r="F66" s="60">
        <v>1.06915254237288</v>
      </c>
      <c r="G66" s="60">
        <v>0.39284398997520298</v>
      </c>
      <c r="H66" s="61">
        <v>1.2633333333333301</v>
      </c>
      <c r="I66" s="63">
        <v>1.62</v>
      </c>
      <c r="J66" s="58">
        <v>0.35666666666667002</v>
      </c>
      <c r="K66" s="58">
        <v>28.232189973615114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79</v>
      </c>
      <c r="D67" s="1" t="s">
        <v>1</v>
      </c>
      <c r="E67" s="59" t="s">
        <v>19</v>
      </c>
      <c r="F67" s="60">
        <v>2.89263157894736</v>
      </c>
      <c r="G67" s="60">
        <v>2.1241935735591801</v>
      </c>
      <c r="H67" s="61">
        <v>1.8719999999999899</v>
      </c>
      <c r="I67" s="63">
        <v>2.44</v>
      </c>
      <c r="J67" s="58">
        <v>0.56800000000001005</v>
      </c>
      <c r="K67" s="58">
        <v>30.341880341881044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79</v>
      </c>
      <c r="D68" s="1" t="s">
        <v>1</v>
      </c>
      <c r="E68" s="59" t="s">
        <v>12</v>
      </c>
      <c r="F68" s="60">
        <v>2.52</v>
      </c>
      <c r="G68" s="60">
        <v>2.2301831016009999</v>
      </c>
      <c r="H68" s="61">
        <v>2.2027659574467999</v>
      </c>
      <c r="I68" s="63">
        <v>2.99</v>
      </c>
      <c r="J68" s="58">
        <v>0.78723404255320029</v>
      </c>
      <c r="K68" s="58">
        <v>35.738433304356768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79</v>
      </c>
      <c r="D69" s="1" t="s">
        <v>1</v>
      </c>
      <c r="E69" s="59" t="s">
        <v>13</v>
      </c>
      <c r="F69" s="60">
        <v>1.2765</v>
      </c>
      <c r="G69" s="60">
        <v>0.46784906754208599</v>
      </c>
      <c r="H69" s="61">
        <v>1.17</v>
      </c>
      <c r="I69" s="63">
        <v>4.1900000000000004</v>
      </c>
      <c r="J69" s="58">
        <v>3.0200000000000005</v>
      </c>
      <c r="K69" s="58">
        <v>258.1196581196582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79</v>
      </c>
      <c r="D70" s="1" t="s">
        <v>1</v>
      </c>
      <c r="E70" s="59" t="s">
        <v>14</v>
      </c>
      <c r="F70" s="60">
        <v>3.0252941176470598</v>
      </c>
      <c r="G70" s="60">
        <v>1.7271946572645001</v>
      </c>
      <c r="H70" s="61">
        <v>2.5253191489361702</v>
      </c>
      <c r="I70" s="63">
        <v>5.3</v>
      </c>
      <c r="J70" s="58">
        <v>2.7746808510638297</v>
      </c>
      <c r="K70" s="58">
        <v>109.87446288651108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79</v>
      </c>
      <c r="D71" s="1" t="s">
        <v>1</v>
      </c>
      <c r="E71" s="59" t="s">
        <v>15</v>
      </c>
      <c r="F71" s="60">
        <v>4.6628813559321998</v>
      </c>
      <c r="G71" s="60">
        <v>3.9001264868004202</v>
      </c>
      <c r="H71" s="61">
        <v>3.3624528301886798</v>
      </c>
      <c r="I71" s="63">
        <v>5.73</v>
      </c>
      <c r="J71" s="58">
        <v>2.3675471698113206</v>
      </c>
      <c r="K71" s="58">
        <v>70.411312496492883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79</v>
      </c>
      <c r="D72" s="1" t="s">
        <v>1</v>
      </c>
      <c r="E72" s="59" t="s">
        <v>16</v>
      </c>
      <c r="F72" s="60">
        <v>1.5981355932203301</v>
      </c>
      <c r="G72" s="60">
        <v>1.0788246501087499</v>
      </c>
      <c r="H72" s="61">
        <v>1.39807017543859</v>
      </c>
      <c r="I72" s="63">
        <v>4.24</v>
      </c>
      <c r="J72" s="58">
        <v>2.8419298245614102</v>
      </c>
      <c r="K72" s="58">
        <v>203.27519136654678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79</v>
      </c>
      <c r="D73" s="1" t="s">
        <v>1</v>
      </c>
      <c r="E73" s="59" t="s">
        <v>17</v>
      </c>
      <c r="F73" s="60">
        <v>7.8286274509803899</v>
      </c>
      <c r="G73" s="60">
        <v>21.767332964573701</v>
      </c>
      <c r="H73" s="61">
        <v>1.50021276595744</v>
      </c>
      <c r="I73" s="63">
        <v>4.45</v>
      </c>
      <c r="J73" s="58">
        <v>2.9497872340425602</v>
      </c>
      <c r="K73" s="58">
        <v>196.62459225641888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79</v>
      </c>
      <c r="D74" s="1" t="s">
        <v>1</v>
      </c>
      <c r="E74" s="59" t="s">
        <v>18</v>
      </c>
      <c r="F74" s="60">
        <v>1.06915254237288</v>
      </c>
      <c r="G74" s="60">
        <v>0.39284398997520298</v>
      </c>
      <c r="H74" s="61">
        <v>1.2633333333333301</v>
      </c>
      <c r="I74" s="63">
        <v>1.61</v>
      </c>
      <c r="J74" s="58">
        <v>0.34666666666667001</v>
      </c>
      <c r="K74" s="58">
        <v>27.440633245382923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79</v>
      </c>
      <c r="D75" s="1" t="s">
        <v>1</v>
      </c>
      <c r="E75" s="59" t="s">
        <v>19</v>
      </c>
      <c r="F75" s="60">
        <v>2.89263157894736</v>
      </c>
      <c r="G75" s="60">
        <v>2.1241935735591801</v>
      </c>
      <c r="H75" s="61">
        <v>1.8719999999999899</v>
      </c>
      <c r="I75" s="63">
        <v>2.42</v>
      </c>
      <c r="J75" s="58">
        <v>0.54800000000001003</v>
      </c>
      <c r="K75" s="58">
        <v>29.273504273504969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79</v>
      </c>
      <c r="D77" s="1" t="s">
        <v>1</v>
      </c>
      <c r="E77" s="59" t="s">
        <v>12</v>
      </c>
      <c r="F77" s="60">
        <v>4.9374576271186399</v>
      </c>
      <c r="G77" s="60">
        <v>1.1092165401535901</v>
      </c>
      <c r="H77" s="61">
        <v>5.3980434782608597</v>
      </c>
      <c r="I77" s="62">
        <v>5.47</v>
      </c>
      <c r="J77" s="37">
        <v>7.1956521739140022E-2</v>
      </c>
      <c r="K77" s="37">
        <v>1.3330111554107555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79</v>
      </c>
      <c r="D78" s="1" t="s">
        <v>1</v>
      </c>
      <c r="E78" s="59" t="s">
        <v>13</v>
      </c>
      <c r="F78" s="60">
        <v>1.0272413793103401</v>
      </c>
      <c r="G78" s="60">
        <v>0.47944217983505999</v>
      </c>
      <c r="H78" s="61">
        <v>0.92563636363636403</v>
      </c>
      <c r="I78" s="62">
        <v>5.98</v>
      </c>
      <c r="J78" s="37">
        <v>5.0543636363636359</v>
      </c>
      <c r="K78" s="37">
        <v>546.04203496366108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79</v>
      </c>
      <c r="D79" s="1" t="s">
        <v>1</v>
      </c>
      <c r="E79" s="59" t="s">
        <v>14</v>
      </c>
      <c r="F79" s="60">
        <v>1.0898305084745701</v>
      </c>
      <c r="G79" s="60">
        <v>0.48386330723271598</v>
      </c>
      <c r="H79" s="61">
        <v>1.35181818181818</v>
      </c>
      <c r="I79" s="62">
        <v>2.41</v>
      </c>
      <c r="J79" s="37">
        <v>1.0581818181818201</v>
      </c>
      <c r="K79" s="37">
        <v>78.278412911903402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79</v>
      </c>
      <c r="D80" s="1" t="s">
        <v>1</v>
      </c>
      <c r="E80" s="59" t="s">
        <v>15</v>
      </c>
      <c r="F80" s="60">
        <v>6.9752542372881399</v>
      </c>
      <c r="G80" s="60">
        <v>1.1680323247387401</v>
      </c>
      <c r="H80" s="61">
        <v>7.1677192982456104</v>
      </c>
      <c r="I80" s="62">
        <v>3.91</v>
      </c>
      <c r="J80" s="37">
        <v>-3.2577192982456102</v>
      </c>
      <c r="K80" s="37">
        <v>-45.449872723712517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79</v>
      </c>
      <c r="D81" s="1" t="s">
        <v>1</v>
      </c>
      <c r="E81" s="59" t="s">
        <v>16</v>
      </c>
      <c r="F81" s="60">
        <v>0.67661016949152497</v>
      </c>
      <c r="G81" s="60">
        <v>8.3597302881874197E-2</v>
      </c>
      <c r="H81" s="61">
        <v>0.71804347826086901</v>
      </c>
      <c r="I81" s="62">
        <v>4.76</v>
      </c>
      <c r="J81" s="37">
        <v>4.0419565217391309</v>
      </c>
      <c r="K81" s="37">
        <v>562.91250378443897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79</v>
      </c>
      <c r="D82" s="1" t="s">
        <v>1</v>
      </c>
      <c r="E82" s="59" t="s">
        <v>17</v>
      </c>
      <c r="F82" s="60">
        <v>0.14338983050847401</v>
      </c>
      <c r="G82" s="60">
        <v>1.5580318907500199E-2</v>
      </c>
      <c r="H82" s="61">
        <v>0.14568627450980401</v>
      </c>
      <c r="I82" s="62">
        <v>1.37</v>
      </c>
      <c r="J82" s="37">
        <v>1.2243137254901961</v>
      </c>
      <c r="K82" s="37">
        <v>840.37685060565218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79</v>
      </c>
      <c r="D83" s="1" t="s">
        <v>1</v>
      </c>
      <c r="E83" s="59" t="s">
        <v>18</v>
      </c>
      <c r="F83" s="60">
        <v>3.8229090909090799</v>
      </c>
      <c r="G83" s="60">
        <v>1.7142638735326501</v>
      </c>
      <c r="H83" s="61">
        <v>4.6932499999999902</v>
      </c>
      <c r="I83" s="62">
        <v>3.98</v>
      </c>
      <c r="J83" s="37">
        <v>-0.71324999999999017</v>
      </c>
      <c r="K83" s="37">
        <v>-15.197357907633124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79</v>
      </c>
      <c r="D84" s="1" t="s">
        <v>1</v>
      </c>
      <c r="E84" s="59" t="s">
        <v>19</v>
      </c>
      <c r="F84" s="60">
        <v>1.2715254237288101</v>
      </c>
      <c r="G84" s="60">
        <v>1.2311752874130799</v>
      </c>
      <c r="H84" s="61">
        <v>0.787450980392157</v>
      </c>
      <c r="I84" s="62">
        <v>2.46</v>
      </c>
      <c r="J84" s="37">
        <v>1.672549019607843</v>
      </c>
      <c r="K84" s="37">
        <v>212.40039840637445</v>
      </c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79</v>
      </c>
      <c r="D85" s="1" t="s">
        <v>1</v>
      </c>
      <c r="E85" s="59" t="s">
        <v>12</v>
      </c>
      <c r="F85" s="60">
        <v>4.9374576271186399</v>
      </c>
      <c r="G85" s="60">
        <v>1.1092165401535901</v>
      </c>
      <c r="H85" s="61">
        <v>5.3980434782608597</v>
      </c>
      <c r="I85" s="62">
        <v>5.41</v>
      </c>
      <c r="J85" s="37">
        <v>1.1956521739140413E-2</v>
      </c>
      <c r="K85" s="37">
        <v>0.22149732189620233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79</v>
      </c>
      <c r="D86" s="1" t="s">
        <v>1</v>
      </c>
      <c r="E86" s="59" t="s">
        <v>13</v>
      </c>
      <c r="F86" s="60">
        <v>1.0272413793103401</v>
      </c>
      <c r="G86" s="60">
        <v>0.47944217983505999</v>
      </c>
      <c r="H86" s="61">
        <v>0.92563636363636403</v>
      </c>
      <c r="I86" s="62">
        <v>5.96</v>
      </c>
      <c r="J86" s="37">
        <v>5.0343636363636364</v>
      </c>
      <c r="K86" s="37">
        <v>543.8813592614415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79</v>
      </c>
      <c r="D87" s="1" t="s">
        <v>1</v>
      </c>
      <c r="E87" s="59" t="s">
        <v>14</v>
      </c>
      <c r="F87" s="60">
        <v>1.0898305084745701</v>
      </c>
      <c r="G87" s="60">
        <v>0.48386330723271598</v>
      </c>
      <c r="H87" s="61">
        <v>1.35181818181818</v>
      </c>
      <c r="I87" s="62">
        <v>2.4300000000000002</v>
      </c>
      <c r="J87" s="37">
        <v>1.0781818181818201</v>
      </c>
      <c r="K87" s="37">
        <v>79.757901815736631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79</v>
      </c>
      <c r="D88" s="1" t="s">
        <v>1</v>
      </c>
      <c r="E88" s="59" t="s">
        <v>15</v>
      </c>
      <c r="F88" s="60">
        <v>6.9752542372881399</v>
      </c>
      <c r="G88" s="60">
        <v>1.1680323247387401</v>
      </c>
      <c r="H88" s="61">
        <v>7.1677192982456104</v>
      </c>
      <c r="I88" s="62">
        <v>3.89</v>
      </c>
      <c r="J88" s="37">
        <v>-3.2777192982456103</v>
      </c>
      <c r="K88" s="37">
        <v>-45.728901507734456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79</v>
      </c>
      <c r="D89" s="1" t="s">
        <v>1</v>
      </c>
      <c r="E89" s="59" t="s">
        <v>16</v>
      </c>
      <c r="F89" s="60">
        <v>0.67661016949152497</v>
      </c>
      <c r="G89" s="60">
        <v>8.3597302881874197E-2</v>
      </c>
      <c r="H89" s="61">
        <v>0.71804347826086901</v>
      </c>
      <c r="I89" s="62">
        <v>4.78</v>
      </c>
      <c r="J89" s="37">
        <v>4.0619565217391314</v>
      </c>
      <c r="K89" s="37">
        <v>565.69785043899537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79</v>
      </c>
      <c r="D90" s="1" t="s">
        <v>1</v>
      </c>
      <c r="E90" s="59" t="s">
        <v>17</v>
      </c>
      <c r="F90" s="60">
        <v>0.14338983050847401</v>
      </c>
      <c r="G90" s="60">
        <v>1.5580318907500199E-2</v>
      </c>
      <c r="H90" s="61">
        <v>0.14568627450980401</v>
      </c>
      <c r="I90" s="62">
        <v>1.38</v>
      </c>
      <c r="J90" s="37">
        <v>1.2343137254901959</v>
      </c>
      <c r="K90" s="37">
        <v>847.24091520861316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79</v>
      </c>
      <c r="D91" s="1" t="s">
        <v>1</v>
      </c>
      <c r="E91" s="59" t="s">
        <v>18</v>
      </c>
      <c r="F91" s="60">
        <v>3.8229090909090799</v>
      </c>
      <c r="G91" s="60">
        <v>1.7142638735326501</v>
      </c>
      <c r="H91" s="61">
        <v>4.6932499999999902</v>
      </c>
      <c r="I91" s="62">
        <v>4.01</v>
      </c>
      <c r="J91" s="37">
        <v>-0.68324999999999037</v>
      </c>
      <c r="K91" s="37">
        <v>-14.558142012464534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79</v>
      </c>
      <c r="D92" s="1" t="s">
        <v>1</v>
      </c>
      <c r="E92" s="59" t="s">
        <v>19</v>
      </c>
      <c r="F92" s="60">
        <v>1.2715254237288101</v>
      </c>
      <c r="G92" s="60">
        <v>1.2311752874130799</v>
      </c>
      <c r="H92" s="61">
        <v>0.787450980392157</v>
      </c>
      <c r="I92" s="62">
        <v>2.48</v>
      </c>
      <c r="J92" s="37">
        <v>1.692549019607843</v>
      </c>
      <c r="K92" s="37">
        <v>214.94023904382465</v>
      </c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79</v>
      </c>
      <c r="D93" s="1" t="s">
        <v>1</v>
      </c>
      <c r="E93" s="59" t="s">
        <v>12</v>
      </c>
      <c r="F93" s="60">
        <v>4.9374576271186399</v>
      </c>
      <c r="G93" s="60">
        <v>1.1092165401535901</v>
      </c>
      <c r="H93" s="61">
        <v>5.3980434782608597</v>
      </c>
      <c r="I93" s="62">
        <v>5.45</v>
      </c>
      <c r="J93" s="37">
        <v>5.1956521739140449E-2</v>
      </c>
      <c r="K93" s="37">
        <v>0.9625065442392432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79</v>
      </c>
      <c r="D94" s="1" t="s">
        <v>1</v>
      </c>
      <c r="E94" s="59" t="s">
        <v>13</v>
      </c>
      <c r="F94" s="60">
        <v>1.0272413793103401</v>
      </c>
      <c r="G94" s="60">
        <v>0.47944217983505999</v>
      </c>
      <c r="H94" s="61">
        <v>0.92563636363636403</v>
      </c>
      <c r="I94" s="62">
        <v>6.03</v>
      </c>
      <c r="J94" s="37">
        <v>5.1043636363636367</v>
      </c>
      <c r="K94" s="37">
        <v>551.44372421921025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79</v>
      </c>
      <c r="D95" s="1" t="s">
        <v>1</v>
      </c>
      <c r="E95" s="59" t="s">
        <v>14</v>
      </c>
      <c r="F95" s="60">
        <v>1.0898305084745701</v>
      </c>
      <c r="G95" s="60">
        <v>0.48386330723271598</v>
      </c>
      <c r="H95" s="61">
        <v>1.35181818181818</v>
      </c>
      <c r="I95" s="62">
        <v>2.4500000000000002</v>
      </c>
      <c r="J95" s="37">
        <v>1.0981818181818201</v>
      </c>
      <c r="K95" s="37">
        <v>81.237390719569859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79</v>
      </c>
      <c r="D96" s="1" t="s">
        <v>1</v>
      </c>
      <c r="E96" s="59" t="s">
        <v>15</v>
      </c>
      <c r="F96" s="60">
        <v>6.9752542372881399</v>
      </c>
      <c r="G96" s="60">
        <v>1.1680323247387401</v>
      </c>
      <c r="H96" s="61">
        <v>7.1677192982456104</v>
      </c>
      <c r="I96" s="62">
        <v>3.92</v>
      </c>
      <c r="J96" s="37">
        <v>-3.2477192982456105</v>
      </c>
      <c r="K96" s="37">
        <v>-45.310358331701565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79</v>
      </c>
      <c r="D97" s="1" t="s">
        <v>1</v>
      </c>
      <c r="E97" s="59" t="s">
        <v>16</v>
      </c>
      <c r="F97" s="60">
        <v>0.67661016949152497</v>
      </c>
      <c r="G97" s="60">
        <v>8.3597302881874197E-2</v>
      </c>
      <c r="H97" s="61">
        <v>0.71804347826086901</v>
      </c>
      <c r="I97" s="62">
        <v>4.83</v>
      </c>
      <c r="J97" s="37">
        <v>4.1119565217391312</v>
      </c>
      <c r="K97" s="37">
        <v>572.6612170753865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79</v>
      </c>
      <c r="D98" s="1" t="s">
        <v>1</v>
      </c>
      <c r="E98" s="59" t="s">
        <v>17</v>
      </c>
      <c r="F98" s="60">
        <v>0.14338983050847401</v>
      </c>
      <c r="G98" s="60">
        <v>1.5580318907500199E-2</v>
      </c>
      <c r="H98" s="61">
        <v>0.14568627450980401</v>
      </c>
      <c r="I98" s="62">
        <v>1.4</v>
      </c>
      <c r="J98" s="37">
        <v>1.2543137254901959</v>
      </c>
      <c r="K98" s="37">
        <v>860.96904441453501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79</v>
      </c>
      <c r="D99" s="1" t="s">
        <v>1</v>
      </c>
      <c r="E99" s="59" t="s">
        <v>18</v>
      </c>
      <c r="F99" s="60">
        <v>3.8229090909090799</v>
      </c>
      <c r="G99" s="60">
        <v>1.7142638735326501</v>
      </c>
      <c r="H99" s="61">
        <v>4.6932499999999902</v>
      </c>
      <c r="I99" s="62">
        <v>3.97</v>
      </c>
      <c r="J99" s="37">
        <v>-0.72324999999998996</v>
      </c>
      <c r="K99" s="37">
        <v>-15.410429872689319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79</v>
      </c>
      <c r="D100" s="1" t="s">
        <v>1</v>
      </c>
      <c r="E100" s="59" t="s">
        <v>19</v>
      </c>
      <c r="F100" s="60">
        <v>1.2715254237288101</v>
      </c>
      <c r="G100" s="60">
        <v>1.2311752874130799</v>
      </c>
      <c r="H100" s="61">
        <v>0.787450980392157</v>
      </c>
      <c r="I100" s="62">
        <v>2.4900000000000002</v>
      </c>
      <c r="J100" s="37">
        <v>1.7025490196078432</v>
      </c>
      <c r="K100" s="37">
        <v>216.2101593625498</v>
      </c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79</v>
      </c>
      <c r="D102" s="1" t="s">
        <v>1</v>
      </c>
      <c r="E102" s="59" t="s">
        <v>12</v>
      </c>
      <c r="F102" s="60">
        <v>5.2451666666666696</v>
      </c>
      <c r="G102" s="60">
        <v>1.15003839307892</v>
      </c>
      <c r="H102" s="61">
        <v>5.6876086956521696</v>
      </c>
      <c r="I102" s="62">
        <v>5.47</v>
      </c>
      <c r="J102" s="37">
        <v>-0.21760869565216989</v>
      </c>
      <c r="K102" s="37">
        <v>-3.826013836333686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79</v>
      </c>
      <c r="D103" s="1" t="s">
        <v>1</v>
      </c>
      <c r="E103" s="59" t="s">
        <v>13</v>
      </c>
      <c r="F103" s="60">
        <v>1.03745762711864</v>
      </c>
      <c r="G103" s="60">
        <v>0.50713750757991505</v>
      </c>
      <c r="H103" s="61">
        <v>0.90818181818181798</v>
      </c>
      <c r="I103" s="62">
        <v>5.98</v>
      </c>
      <c r="J103" s="37">
        <v>5.0718181818181822</v>
      </c>
      <c r="K103" s="37">
        <v>558.45845845845861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79</v>
      </c>
      <c r="D104" s="1" t="s">
        <v>1</v>
      </c>
      <c r="E104" s="59" t="s">
        <v>14</v>
      </c>
      <c r="F104" s="60">
        <v>1.1311864406779599</v>
      </c>
      <c r="G104" s="60">
        <v>0.48103731398225602</v>
      </c>
      <c r="H104" s="61">
        <v>1.38304347826086</v>
      </c>
      <c r="I104" s="62">
        <v>2.41</v>
      </c>
      <c r="J104" s="37">
        <v>1.0269565217391401</v>
      </c>
      <c r="K104" s="37">
        <v>74.253379440428745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79</v>
      </c>
      <c r="D105" s="1" t="s">
        <v>1</v>
      </c>
      <c r="E105" s="59" t="s">
        <v>15</v>
      </c>
      <c r="F105" s="60">
        <v>6.3241666666666703</v>
      </c>
      <c r="G105" s="60">
        <v>2.0918949078659601</v>
      </c>
      <c r="H105" s="61">
        <v>7.1749019607843101</v>
      </c>
      <c r="I105" s="62">
        <v>3.91</v>
      </c>
      <c r="J105" s="37">
        <v>-3.2649019607843099</v>
      </c>
      <c r="K105" s="37">
        <v>-45.504481853957117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79</v>
      </c>
      <c r="D106" s="1" t="s">
        <v>1</v>
      </c>
      <c r="E106" s="59" t="s">
        <v>16</v>
      </c>
      <c r="F106" s="60">
        <v>0.67716666666666603</v>
      </c>
      <c r="G106" s="60">
        <v>0.12992423005565801</v>
      </c>
      <c r="H106" s="61">
        <v>0.72175</v>
      </c>
      <c r="I106" s="62">
        <v>4.76</v>
      </c>
      <c r="J106" s="37">
        <v>4.0382499999999997</v>
      </c>
      <c r="K106" s="37">
        <v>559.50813993765144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79</v>
      </c>
      <c r="D107" s="1" t="s">
        <v>1</v>
      </c>
      <c r="E107" s="59" t="s">
        <v>17</v>
      </c>
      <c r="F107" s="60">
        <v>0.14599999999999999</v>
      </c>
      <c r="G107" s="60">
        <v>1.69509095134548E-2</v>
      </c>
      <c r="H107" s="61">
        <v>0.1472</v>
      </c>
      <c r="I107" s="62">
        <v>1.37</v>
      </c>
      <c r="J107" s="37">
        <v>1.2228000000000001</v>
      </c>
      <c r="K107" s="37">
        <v>830.70652173913049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79</v>
      </c>
      <c r="D108" s="1" t="s">
        <v>1</v>
      </c>
      <c r="E108" s="59" t="s">
        <v>18</v>
      </c>
      <c r="F108" s="60">
        <v>4.1369811320754604</v>
      </c>
      <c r="G108" s="60">
        <v>1.46055247353386</v>
      </c>
      <c r="H108" s="61">
        <v>4.7213333333333196</v>
      </c>
      <c r="I108" s="62">
        <v>3.98</v>
      </c>
      <c r="J108" s="37">
        <v>-0.74133333333331963</v>
      </c>
      <c r="K108" s="37">
        <v>-15.701779158429577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79</v>
      </c>
      <c r="D109" s="1" t="s">
        <v>1</v>
      </c>
      <c r="E109" s="59" t="s">
        <v>19</v>
      </c>
      <c r="F109" s="60">
        <v>0.87830508474576297</v>
      </c>
      <c r="G109" s="60">
        <v>0.63069816720023697</v>
      </c>
      <c r="H109" s="61">
        <v>0.76245614035087705</v>
      </c>
      <c r="I109" s="62">
        <v>2.46</v>
      </c>
      <c r="J109" s="37">
        <v>1.697543859649123</v>
      </c>
      <c r="K109" s="37">
        <v>222.64150943396234</v>
      </c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79</v>
      </c>
      <c r="D110" s="1" t="s">
        <v>1</v>
      </c>
      <c r="E110" s="59" t="s">
        <v>12</v>
      </c>
      <c r="F110" s="60">
        <v>5.2451666666666696</v>
      </c>
      <c r="G110" s="60">
        <v>1.15003839307892</v>
      </c>
      <c r="H110" s="61">
        <v>5.6876086956521696</v>
      </c>
      <c r="I110" s="62">
        <v>5.41</v>
      </c>
      <c r="J110" s="37">
        <v>-0.2776086956521695</v>
      </c>
      <c r="K110" s="37">
        <v>-4.8809387302678617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79</v>
      </c>
      <c r="D111" s="1" t="s">
        <v>1</v>
      </c>
      <c r="E111" s="59" t="s">
        <v>13</v>
      </c>
      <c r="F111" s="60">
        <v>1.03745762711864</v>
      </c>
      <c r="G111" s="60">
        <v>0.50713750757991505</v>
      </c>
      <c r="H111" s="61">
        <v>0.90818181818181798</v>
      </c>
      <c r="I111" s="62">
        <v>5.96</v>
      </c>
      <c r="J111" s="37">
        <v>5.0518181818181818</v>
      </c>
      <c r="K111" s="37">
        <v>556.25625625625639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79</v>
      </c>
      <c r="D112" s="1" t="s">
        <v>1</v>
      </c>
      <c r="E112" s="59" t="s">
        <v>14</v>
      </c>
      <c r="F112" s="60">
        <v>1.1311864406779599</v>
      </c>
      <c r="G112" s="60">
        <v>0.48103731398225602</v>
      </c>
      <c r="H112" s="61">
        <v>1.38304347826086</v>
      </c>
      <c r="I112" s="62">
        <v>2.4300000000000002</v>
      </c>
      <c r="J112" s="37">
        <v>1.0469565217391401</v>
      </c>
      <c r="K112" s="37">
        <v>75.699465576863844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79</v>
      </c>
      <c r="D113" s="1" t="s">
        <v>1</v>
      </c>
      <c r="E113" s="59" t="s">
        <v>15</v>
      </c>
      <c r="F113" s="60">
        <v>6.3241666666666703</v>
      </c>
      <c r="G113" s="60">
        <v>2.0918949078659601</v>
      </c>
      <c r="H113" s="61">
        <v>7.1749019607843101</v>
      </c>
      <c r="I113" s="62">
        <v>3.89</v>
      </c>
      <c r="J113" s="37">
        <v>-3.28490196078431</v>
      </c>
      <c r="K113" s="37">
        <v>-45.783231307389563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79</v>
      </c>
      <c r="D114" s="1" t="s">
        <v>1</v>
      </c>
      <c r="E114" s="59" t="s">
        <v>16</v>
      </c>
      <c r="F114" s="60">
        <v>0.67716666666666603</v>
      </c>
      <c r="G114" s="60">
        <v>0.12992423005565801</v>
      </c>
      <c r="H114" s="61">
        <v>0.72175</v>
      </c>
      <c r="I114" s="62">
        <v>4.78</v>
      </c>
      <c r="J114" s="37">
        <v>4.0582500000000001</v>
      </c>
      <c r="K114" s="37">
        <v>562.27918254243161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79</v>
      </c>
      <c r="D115" s="1" t="s">
        <v>1</v>
      </c>
      <c r="E115" s="59" t="s">
        <v>17</v>
      </c>
      <c r="F115" s="60">
        <v>0.14599999999999999</v>
      </c>
      <c r="G115" s="60">
        <v>1.69509095134548E-2</v>
      </c>
      <c r="H115" s="61">
        <v>0.1472</v>
      </c>
      <c r="I115" s="62">
        <v>1.38</v>
      </c>
      <c r="J115" s="37">
        <v>1.2327999999999999</v>
      </c>
      <c r="K115" s="37">
        <v>837.5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79</v>
      </c>
      <c r="D116" s="1" t="s">
        <v>1</v>
      </c>
      <c r="E116" s="59" t="s">
        <v>18</v>
      </c>
      <c r="F116" s="60">
        <v>4.1369811320754604</v>
      </c>
      <c r="G116" s="60">
        <v>1.46055247353386</v>
      </c>
      <c r="H116" s="61">
        <v>4.7213333333333196</v>
      </c>
      <c r="I116" s="62">
        <v>4.01</v>
      </c>
      <c r="J116" s="37">
        <v>-0.71133333333331983</v>
      </c>
      <c r="K116" s="37">
        <v>-15.06636543349312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79</v>
      </c>
      <c r="D117" s="1" t="s">
        <v>1</v>
      </c>
      <c r="E117" s="59" t="s">
        <v>19</v>
      </c>
      <c r="F117" s="60">
        <v>0.87830508474576297</v>
      </c>
      <c r="G117" s="60">
        <v>0.63069816720023697</v>
      </c>
      <c r="H117" s="61">
        <v>0.76245614035087705</v>
      </c>
      <c r="I117" s="62">
        <v>2.48</v>
      </c>
      <c r="J117" s="37">
        <v>1.717543859649123</v>
      </c>
      <c r="K117" s="37">
        <v>225.26461113667747</v>
      </c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79</v>
      </c>
      <c r="D118" s="1" t="s">
        <v>1</v>
      </c>
      <c r="E118" s="59" t="s">
        <v>12</v>
      </c>
      <c r="F118" s="60">
        <v>5.2451666666666696</v>
      </c>
      <c r="G118" s="60">
        <v>1.15003839307892</v>
      </c>
      <c r="H118" s="61">
        <v>5.6876086956521696</v>
      </c>
      <c r="I118" s="62">
        <v>5.45</v>
      </c>
      <c r="J118" s="37">
        <v>-0.23760869565216947</v>
      </c>
      <c r="K118" s="37">
        <v>-4.1776554676450726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79</v>
      </c>
      <c r="D119" s="1" t="s">
        <v>1</v>
      </c>
      <c r="E119" s="59" t="s">
        <v>13</v>
      </c>
      <c r="F119" s="60">
        <v>1.03745762711864</v>
      </c>
      <c r="G119" s="60">
        <v>0.50713750757991505</v>
      </c>
      <c r="H119" s="61">
        <v>0.90818181818181798</v>
      </c>
      <c r="I119" s="62">
        <v>6.03</v>
      </c>
      <c r="J119" s="37">
        <v>5.121818181818182</v>
      </c>
      <c r="K119" s="37">
        <v>563.96396396396415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79</v>
      </c>
      <c r="D120" s="1" t="s">
        <v>1</v>
      </c>
      <c r="E120" s="59" t="s">
        <v>14</v>
      </c>
      <c r="F120" s="60">
        <v>1.1311864406779599</v>
      </c>
      <c r="G120" s="60">
        <v>0.48103731398225602</v>
      </c>
      <c r="H120" s="61">
        <v>1.38304347826086</v>
      </c>
      <c r="I120" s="62">
        <v>2.4500000000000002</v>
      </c>
      <c r="J120" s="37">
        <v>1.0669565217391401</v>
      </c>
      <c r="K120" s="37">
        <v>77.145551713298929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79</v>
      </c>
      <c r="D121" s="1" t="s">
        <v>1</v>
      </c>
      <c r="E121" s="59" t="s">
        <v>15</v>
      </c>
      <c r="F121" s="60">
        <v>6.3241666666666703</v>
      </c>
      <c r="G121" s="60">
        <v>2.0918949078659601</v>
      </c>
      <c r="H121" s="61">
        <v>7.1749019607843101</v>
      </c>
      <c r="I121" s="62">
        <v>3.92</v>
      </c>
      <c r="J121" s="37">
        <v>-3.2549019607843102</v>
      </c>
      <c r="K121" s="37">
        <v>-45.365107127240897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79</v>
      </c>
      <c r="D122" s="1" t="s">
        <v>1</v>
      </c>
      <c r="E122" s="59" t="s">
        <v>16</v>
      </c>
      <c r="F122" s="60">
        <v>0.67716666666666603</v>
      </c>
      <c r="G122" s="60">
        <v>0.12992423005565801</v>
      </c>
      <c r="H122" s="61">
        <v>0.72175</v>
      </c>
      <c r="I122" s="62">
        <v>4.83</v>
      </c>
      <c r="J122" s="37">
        <v>4.10825</v>
      </c>
      <c r="K122" s="37">
        <v>569.20678905438172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79</v>
      </c>
      <c r="D123" s="1" t="s">
        <v>1</v>
      </c>
      <c r="E123" s="59" t="s">
        <v>17</v>
      </c>
      <c r="F123" s="60">
        <v>0.14599999999999999</v>
      </c>
      <c r="G123" s="60">
        <v>1.69509095134548E-2</v>
      </c>
      <c r="H123" s="61">
        <v>0.1472</v>
      </c>
      <c r="I123" s="62">
        <v>1.4</v>
      </c>
      <c r="J123" s="37">
        <v>1.2527999999999999</v>
      </c>
      <c r="K123" s="37">
        <v>851.08695652173901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79</v>
      </c>
      <c r="D124" s="1" t="s">
        <v>1</v>
      </c>
      <c r="E124" s="59" t="s">
        <v>18</v>
      </c>
      <c r="F124" s="60">
        <v>4.1369811320754604</v>
      </c>
      <c r="G124" s="60">
        <v>1.46055247353386</v>
      </c>
      <c r="H124" s="61">
        <v>4.7213333333333196</v>
      </c>
      <c r="I124" s="62">
        <v>3.97</v>
      </c>
      <c r="J124" s="37">
        <v>-0.75133333333331942</v>
      </c>
      <c r="K124" s="37">
        <v>-15.913583733408393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79</v>
      </c>
      <c r="D125" s="1" t="s">
        <v>1</v>
      </c>
      <c r="E125" s="59" t="s">
        <v>19</v>
      </c>
      <c r="F125" s="60">
        <v>0.87830508474576297</v>
      </c>
      <c r="G125" s="60">
        <v>0.63069816720023697</v>
      </c>
      <c r="H125" s="61">
        <v>0.76245614035087705</v>
      </c>
      <c r="I125" s="62">
        <v>2.4900000000000002</v>
      </c>
      <c r="J125" s="37">
        <v>1.7275438596491233</v>
      </c>
      <c r="K125" s="37">
        <v>226.5761619880351</v>
      </c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79</v>
      </c>
      <c r="D127" s="1" t="s">
        <v>1</v>
      </c>
      <c r="E127" s="59" t="s">
        <v>12</v>
      </c>
      <c r="F127" s="60">
        <v>4.9679661016949099</v>
      </c>
      <c r="G127" s="60">
        <v>1.1425362504518899</v>
      </c>
      <c r="H127" s="61">
        <v>5.3972093023255798</v>
      </c>
      <c r="I127" s="63">
        <v>5.47</v>
      </c>
      <c r="J127" s="58">
        <v>7.2790697674419924E-2</v>
      </c>
      <c r="K127" s="58">
        <v>1.3486728714236718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79</v>
      </c>
      <c r="D128" s="1" t="s">
        <v>1</v>
      </c>
      <c r="E128" s="59" t="s">
        <v>13</v>
      </c>
      <c r="F128" s="60">
        <v>1.1187931034482701</v>
      </c>
      <c r="G128" s="60">
        <v>0.62545453151042096</v>
      </c>
      <c r="H128" s="61">
        <v>0.93754716981132102</v>
      </c>
      <c r="I128" s="63">
        <v>5.98</v>
      </c>
      <c r="J128" s="58">
        <v>5.0424528301886795</v>
      </c>
      <c r="K128" s="58">
        <v>537.83457436103834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79</v>
      </c>
      <c r="D129" s="1" t="s">
        <v>1</v>
      </c>
      <c r="E129" s="59" t="s">
        <v>14</v>
      </c>
      <c r="F129" s="60">
        <v>1.1303389830508399</v>
      </c>
      <c r="G129" s="60">
        <v>0.50196551337309503</v>
      </c>
      <c r="H129" s="61">
        <v>1.4046666666666601</v>
      </c>
      <c r="I129" s="63">
        <v>2.41</v>
      </c>
      <c r="J129" s="58">
        <v>1.0053333333333401</v>
      </c>
      <c r="K129" s="58">
        <v>71.570953962981349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79</v>
      </c>
      <c r="D130" s="1" t="s">
        <v>1</v>
      </c>
      <c r="E130" s="59" t="s">
        <v>15</v>
      </c>
      <c r="F130" s="60">
        <v>6.73864406779661</v>
      </c>
      <c r="G130" s="60">
        <v>1.53766878100972</v>
      </c>
      <c r="H130" s="61">
        <v>7.1239999999999997</v>
      </c>
      <c r="I130" s="63">
        <v>3.91</v>
      </c>
      <c r="J130" s="58">
        <v>-3.2139999999999995</v>
      </c>
      <c r="K130" s="58">
        <v>-45.115103874227955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79</v>
      </c>
      <c r="D131" s="1" t="s">
        <v>1</v>
      </c>
      <c r="E131" s="59" t="s">
        <v>16</v>
      </c>
      <c r="F131" s="60">
        <v>0.69423728813559304</v>
      </c>
      <c r="G131" s="60">
        <v>7.9600770582900396E-2</v>
      </c>
      <c r="H131" s="61">
        <v>0.71854166666666597</v>
      </c>
      <c r="I131" s="63">
        <v>4.76</v>
      </c>
      <c r="J131" s="58">
        <v>4.0414583333333338</v>
      </c>
      <c r="K131" s="58">
        <v>562.45288489417283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79</v>
      </c>
      <c r="D132" s="1" t="s">
        <v>1</v>
      </c>
      <c r="E132" s="59" t="s">
        <v>17</v>
      </c>
      <c r="F132" s="60">
        <v>0.14338983050847401</v>
      </c>
      <c r="G132" s="60">
        <v>1.46842668591799E-2</v>
      </c>
      <c r="H132" s="61">
        <v>0.14433962264150901</v>
      </c>
      <c r="I132" s="63">
        <v>1.37</v>
      </c>
      <c r="J132" s="58">
        <v>1.2256603773584911</v>
      </c>
      <c r="K132" s="58">
        <v>849.15032679738852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79</v>
      </c>
      <c r="D133" s="1" t="s">
        <v>1</v>
      </c>
      <c r="E133" s="59" t="s">
        <v>18</v>
      </c>
      <c r="F133" s="60">
        <v>4.0194642857142799</v>
      </c>
      <c r="G133" s="60">
        <v>1.54630367979677</v>
      </c>
      <c r="H133" s="61">
        <v>4.6855555555555499</v>
      </c>
      <c r="I133" s="63">
        <v>3.98</v>
      </c>
      <c r="J133" s="58">
        <v>-0.70555555555554994</v>
      </c>
      <c r="K133" s="58">
        <v>-15.058098174057285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79</v>
      </c>
      <c r="D134" s="1" t="s">
        <v>1</v>
      </c>
      <c r="E134" s="59" t="s">
        <v>19</v>
      </c>
      <c r="F134" s="60">
        <v>1.0684482758620599</v>
      </c>
      <c r="G134" s="60">
        <v>0.96131519414655398</v>
      </c>
      <c r="H134" s="61">
        <v>0.77490566037735797</v>
      </c>
      <c r="I134" s="63">
        <v>2.46</v>
      </c>
      <c r="J134" s="58">
        <v>1.6850943396226419</v>
      </c>
      <c r="K134" s="58">
        <v>217.45799853907982</v>
      </c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79</v>
      </c>
      <c r="D135" s="1" t="s">
        <v>1</v>
      </c>
      <c r="E135" s="59" t="s">
        <v>12</v>
      </c>
      <c r="F135" s="60">
        <v>4.9679661016949099</v>
      </c>
      <c r="G135" s="60">
        <v>1.1425362504518899</v>
      </c>
      <c r="H135" s="61">
        <v>5.3972093023255798</v>
      </c>
      <c r="I135" s="63">
        <v>5.41</v>
      </c>
      <c r="J135" s="58">
        <v>1.2790697674420315E-2</v>
      </c>
      <c r="K135" s="58">
        <v>0.23698724577734992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79</v>
      </c>
      <c r="D136" s="1" t="s">
        <v>1</v>
      </c>
      <c r="E136" s="59" t="s">
        <v>13</v>
      </c>
      <c r="F136" s="60">
        <v>1.1187931034482701</v>
      </c>
      <c r="G136" s="60">
        <v>0.62545453151042096</v>
      </c>
      <c r="H136" s="61">
        <v>0.93754716981132102</v>
      </c>
      <c r="I136" s="63">
        <v>5.96</v>
      </c>
      <c r="J136" s="58">
        <v>5.0224528301886791</v>
      </c>
      <c r="K136" s="58">
        <v>535.70134835983072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79</v>
      </c>
      <c r="D137" s="1" t="s">
        <v>1</v>
      </c>
      <c r="E137" s="59" t="s">
        <v>14</v>
      </c>
      <c r="F137" s="60">
        <v>1.1303389830508399</v>
      </c>
      <c r="G137" s="60">
        <v>0.50196551337309503</v>
      </c>
      <c r="H137" s="61">
        <v>1.4046666666666601</v>
      </c>
      <c r="I137" s="63">
        <v>2.4300000000000002</v>
      </c>
      <c r="J137" s="58">
        <v>1.0253333333333401</v>
      </c>
      <c r="K137" s="58">
        <v>72.994779307072491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79</v>
      </c>
      <c r="D138" s="1" t="s">
        <v>1</v>
      </c>
      <c r="E138" s="59" t="s">
        <v>15</v>
      </c>
      <c r="F138" s="60">
        <v>6.73864406779661</v>
      </c>
      <c r="G138" s="60">
        <v>1.53766878100972</v>
      </c>
      <c r="H138" s="61">
        <v>7.1239999999999997</v>
      </c>
      <c r="I138" s="63">
        <v>3.89</v>
      </c>
      <c r="J138" s="58">
        <v>-3.2339999999999995</v>
      </c>
      <c r="K138" s="58">
        <v>-45.395845030881517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79</v>
      </c>
      <c r="D139" s="1" t="s">
        <v>1</v>
      </c>
      <c r="E139" s="59" t="s">
        <v>16</v>
      </c>
      <c r="F139" s="60">
        <v>0.69423728813559304</v>
      </c>
      <c r="G139" s="60">
        <v>7.9600770582900396E-2</v>
      </c>
      <c r="H139" s="61">
        <v>0.71854166666666597</v>
      </c>
      <c r="I139" s="63">
        <v>4.78</v>
      </c>
      <c r="J139" s="58">
        <v>4.0614583333333343</v>
      </c>
      <c r="K139" s="58">
        <v>565.23630037692158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79</v>
      </c>
      <c r="D140" s="1" t="s">
        <v>1</v>
      </c>
      <c r="E140" s="59" t="s">
        <v>17</v>
      </c>
      <c r="F140" s="60">
        <v>0.14338983050847401</v>
      </c>
      <c r="G140" s="60">
        <v>1.46842668591799E-2</v>
      </c>
      <c r="H140" s="61">
        <v>0.14433962264150901</v>
      </c>
      <c r="I140" s="63">
        <v>1.38</v>
      </c>
      <c r="J140" s="58">
        <v>1.2356603773584909</v>
      </c>
      <c r="K140" s="58">
        <v>856.07843137255168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79</v>
      </c>
      <c r="D141" s="1" t="s">
        <v>1</v>
      </c>
      <c r="E141" s="59" t="s">
        <v>18</v>
      </c>
      <c r="F141" s="60">
        <v>4.0194642857142799</v>
      </c>
      <c r="G141" s="60">
        <v>1.54630367979677</v>
      </c>
      <c r="H141" s="61">
        <v>4.6855555555555499</v>
      </c>
      <c r="I141" s="63">
        <v>4.01</v>
      </c>
      <c r="J141" s="58">
        <v>-0.67555555555555014</v>
      </c>
      <c r="K141" s="58">
        <v>-14.417832582404454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79</v>
      </c>
      <c r="D142" s="1" t="s">
        <v>1</v>
      </c>
      <c r="E142" s="59" t="s">
        <v>19</v>
      </c>
      <c r="F142" s="60">
        <v>1.0684482758620599</v>
      </c>
      <c r="G142" s="60">
        <v>0.96131519414655398</v>
      </c>
      <c r="H142" s="61">
        <v>0.77490566037735797</v>
      </c>
      <c r="I142" s="63">
        <v>2.48</v>
      </c>
      <c r="J142" s="58">
        <v>1.7050943396226419</v>
      </c>
      <c r="K142" s="58">
        <v>220.03895787679593</v>
      </c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79</v>
      </c>
      <c r="D143" s="1" t="s">
        <v>1</v>
      </c>
      <c r="E143" s="59" t="s">
        <v>12</v>
      </c>
      <c r="F143" s="60">
        <v>4.9679661016949099</v>
      </c>
      <c r="G143" s="60">
        <v>1.1425362504518899</v>
      </c>
      <c r="H143" s="61">
        <v>5.3972093023255798</v>
      </c>
      <c r="I143" s="63">
        <v>5.45</v>
      </c>
      <c r="J143" s="58">
        <v>5.279069767442035E-2</v>
      </c>
      <c r="K143" s="58">
        <v>0.9781109962082366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79</v>
      </c>
      <c r="D144" s="1" t="s">
        <v>1</v>
      </c>
      <c r="E144" s="59" t="s">
        <v>13</v>
      </c>
      <c r="F144" s="60">
        <v>1.1187931034482701</v>
      </c>
      <c r="G144" s="60">
        <v>0.62545453151042096</v>
      </c>
      <c r="H144" s="61">
        <v>0.93754716981132102</v>
      </c>
      <c r="I144" s="63">
        <v>6.03</v>
      </c>
      <c r="J144" s="58">
        <v>5.0924528301886793</v>
      </c>
      <c r="K144" s="58">
        <v>543.16763936405698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79</v>
      </c>
      <c r="D145" s="1" t="s">
        <v>1</v>
      </c>
      <c r="E145" s="59" t="s">
        <v>14</v>
      </c>
      <c r="F145" s="60">
        <v>1.1303389830508399</v>
      </c>
      <c r="G145" s="60">
        <v>0.50196551337309503</v>
      </c>
      <c r="H145" s="61">
        <v>1.4046666666666601</v>
      </c>
      <c r="I145" s="63">
        <v>2.4500000000000002</v>
      </c>
      <c r="J145" s="58">
        <v>1.0453333333333401</v>
      </c>
      <c r="K145" s="58">
        <v>74.418604651163619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79</v>
      </c>
      <c r="D146" s="1" t="s">
        <v>1</v>
      </c>
      <c r="E146" s="59" t="s">
        <v>15</v>
      </c>
      <c r="F146" s="60">
        <v>6.73864406779661</v>
      </c>
      <c r="G146" s="60">
        <v>1.53766878100972</v>
      </c>
      <c r="H146" s="61">
        <v>7.1239999999999997</v>
      </c>
      <c r="I146" s="63">
        <v>3.92</v>
      </c>
      <c r="J146" s="58">
        <v>-3.2039999999999997</v>
      </c>
      <c r="K146" s="58">
        <v>-44.974733295901174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79</v>
      </c>
      <c r="D147" s="1" t="s">
        <v>1</v>
      </c>
      <c r="E147" s="59" t="s">
        <v>16</v>
      </c>
      <c r="F147" s="60">
        <v>0.69423728813559304</v>
      </c>
      <c r="G147" s="60">
        <v>7.9600770582900396E-2</v>
      </c>
      <c r="H147" s="61">
        <v>0.71854166666666597</v>
      </c>
      <c r="I147" s="63">
        <v>4.83</v>
      </c>
      <c r="J147" s="58">
        <v>4.1114583333333341</v>
      </c>
      <c r="K147" s="58">
        <v>572.194839083793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79</v>
      </c>
      <c r="D148" s="1" t="s">
        <v>1</v>
      </c>
      <c r="E148" s="59" t="s">
        <v>17</v>
      </c>
      <c r="F148" s="60">
        <v>0.14338983050847401</v>
      </c>
      <c r="G148" s="60">
        <v>1.46842668591799E-2</v>
      </c>
      <c r="H148" s="61">
        <v>0.14433962264150901</v>
      </c>
      <c r="I148" s="63">
        <v>1.4</v>
      </c>
      <c r="J148" s="58">
        <v>1.2556603773584909</v>
      </c>
      <c r="K148" s="58">
        <v>869.93464052287857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79</v>
      </c>
      <c r="D149" s="1" t="s">
        <v>1</v>
      </c>
      <c r="E149" s="59" t="s">
        <v>18</v>
      </c>
      <c r="F149" s="60">
        <v>4.0194642857142799</v>
      </c>
      <c r="G149" s="60">
        <v>1.54630367979677</v>
      </c>
      <c r="H149" s="61">
        <v>4.6855555555555499</v>
      </c>
      <c r="I149" s="63">
        <v>3.97</v>
      </c>
      <c r="J149" s="58">
        <v>-0.71555555555554973</v>
      </c>
      <c r="K149" s="58">
        <v>-15.271520037941558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79</v>
      </c>
      <c r="D150" s="1" t="s">
        <v>1</v>
      </c>
      <c r="E150" s="59" t="s">
        <v>19</v>
      </c>
      <c r="F150" s="60">
        <v>1.0684482758620599</v>
      </c>
      <c r="G150" s="60">
        <v>0.96131519414655398</v>
      </c>
      <c r="H150" s="61">
        <v>0.77490566037735797</v>
      </c>
      <c r="I150" s="63">
        <v>2.4900000000000002</v>
      </c>
      <c r="J150" s="58">
        <v>1.7150943396226421</v>
      </c>
      <c r="K150" s="58">
        <v>221.329437545654</v>
      </c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79</v>
      </c>
      <c r="D152" s="1" t="s">
        <v>1</v>
      </c>
      <c r="E152" s="59" t="s">
        <v>12</v>
      </c>
      <c r="F152" s="60">
        <v>3.2816949152542398</v>
      </c>
      <c r="G152" s="60">
        <v>1.11105714286885</v>
      </c>
      <c r="H152" s="61">
        <v>3.8791111111111101</v>
      </c>
      <c r="I152" s="62">
        <v>5.36</v>
      </c>
      <c r="J152" s="37">
        <v>1.4808888888888903</v>
      </c>
      <c r="K152" s="37">
        <v>38.175985334555499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79</v>
      </c>
      <c r="D153" s="1" t="s">
        <v>1</v>
      </c>
      <c r="E153" s="59" t="s">
        <v>13</v>
      </c>
      <c r="F153" s="60">
        <v>3.6145762711864302</v>
      </c>
      <c r="G153" s="60">
        <v>4.2739527697531896</v>
      </c>
      <c r="H153" s="61">
        <v>2.1954716981132001</v>
      </c>
      <c r="I153" s="62">
        <v>2.94</v>
      </c>
      <c r="J153" s="37">
        <v>0.74452830188679986</v>
      </c>
      <c r="K153" s="37">
        <v>33.911997249914513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79</v>
      </c>
      <c r="D154" s="1" t="s">
        <v>1</v>
      </c>
      <c r="E154" s="59" t="s">
        <v>14</v>
      </c>
      <c r="F154" s="60">
        <v>1.5710169491525401</v>
      </c>
      <c r="G154" s="60">
        <v>0.42373918631371599</v>
      </c>
      <c r="H154" s="61">
        <v>1.7307843137254899</v>
      </c>
      <c r="I154" s="62">
        <v>4.8</v>
      </c>
      <c r="J154" s="37">
        <v>3.0692156862745099</v>
      </c>
      <c r="K154" s="37">
        <v>177.33091650617428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79</v>
      </c>
      <c r="D155" s="1" t="s">
        <v>1</v>
      </c>
      <c r="E155" s="59" t="s">
        <v>15</v>
      </c>
      <c r="F155" s="60">
        <v>0.89</v>
      </c>
      <c r="G155" s="60">
        <v>0.18645670193080999</v>
      </c>
      <c r="H155" s="61">
        <v>0.81680851063829796</v>
      </c>
      <c r="I155" s="62">
        <v>3.73</v>
      </c>
      <c r="J155" s="37">
        <v>2.9131914893617021</v>
      </c>
      <c r="K155" s="37">
        <v>356.65537900494917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79</v>
      </c>
      <c r="D156" s="1" t="s">
        <v>1</v>
      </c>
      <c r="E156" s="59" t="s">
        <v>16</v>
      </c>
      <c r="F156" s="60">
        <v>12.4206779661016</v>
      </c>
      <c r="G156" s="60">
        <v>4.09805239579328</v>
      </c>
      <c r="H156" s="61">
        <v>14.143333333333301</v>
      </c>
      <c r="I156" s="62">
        <v>1.71</v>
      </c>
      <c r="J156" s="37">
        <v>-12.433333333333302</v>
      </c>
      <c r="K156" s="37">
        <v>-87.909497996700424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79</v>
      </c>
      <c r="D157" s="1" t="s">
        <v>1</v>
      </c>
      <c r="E157" s="59" t="s">
        <v>17</v>
      </c>
      <c r="F157" s="60">
        <v>3.4574576271186399</v>
      </c>
      <c r="G157" s="60">
        <v>2.2638661944800602</v>
      </c>
      <c r="H157" s="61">
        <v>3.16482758620689</v>
      </c>
      <c r="I157" s="62">
        <v>5.0599999999999996</v>
      </c>
      <c r="J157" s="37">
        <v>1.8951724137931096</v>
      </c>
      <c r="K157" s="37">
        <v>59.882327304423946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79</v>
      </c>
      <c r="D158" s="1" t="s">
        <v>1</v>
      </c>
      <c r="E158" s="59" t="s">
        <v>18</v>
      </c>
      <c r="F158" s="60">
        <v>1.2401818181818101</v>
      </c>
      <c r="G158" s="60">
        <v>0.26875125984713299</v>
      </c>
      <c r="H158" s="61">
        <v>1.17</v>
      </c>
      <c r="I158" s="62">
        <v>1.69</v>
      </c>
      <c r="J158" s="37">
        <v>0.52</v>
      </c>
      <c r="K158" s="37">
        <v>44.44444444444445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79</v>
      </c>
      <c r="D159" s="1" t="s">
        <v>1</v>
      </c>
      <c r="E159" s="59" t="s">
        <v>19</v>
      </c>
      <c r="F159" s="60">
        <v>1.3783050847457601</v>
      </c>
      <c r="G159" s="60">
        <v>0.80153275315543104</v>
      </c>
      <c r="H159" s="61">
        <v>1.20285714285714</v>
      </c>
      <c r="I159" s="62">
        <v>1.68</v>
      </c>
      <c r="J159" s="37">
        <v>0.47714285714285998</v>
      </c>
      <c r="K159" s="37">
        <v>39.667458432304372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79</v>
      </c>
      <c r="D160" s="1" t="s">
        <v>1</v>
      </c>
      <c r="E160" s="59" t="s">
        <v>12</v>
      </c>
      <c r="F160" s="60">
        <v>3.2816949152542398</v>
      </c>
      <c r="G160" s="60">
        <v>1.11105714286885</v>
      </c>
      <c r="H160" s="61">
        <v>3.8791111111111101</v>
      </c>
      <c r="I160" s="62">
        <v>5.32</v>
      </c>
      <c r="J160" s="37">
        <v>1.4408888888888902</v>
      </c>
      <c r="K160" s="37">
        <v>37.144821264894631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79</v>
      </c>
      <c r="D161" s="1" t="s">
        <v>1</v>
      </c>
      <c r="E161" s="59" t="s">
        <v>13</v>
      </c>
      <c r="F161" s="60">
        <v>3.6145762711864302</v>
      </c>
      <c r="G161" s="60">
        <v>4.2739527697531896</v>
      </c>
      <c r="H161" s="61">
        <v>2.1954716981132001</v>
      </c>
      <c r="I161" s="62">
        <v>2.95</v>
      </c>
      <c r="J161" s="37">
        <v>0.75452830188680009</v>
      </c>
      <c r="K161" s="37">
        <v>34.367480233757767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79</v>
      </c>
      <c r="D162" s="1" t="s">
        <v>1</v>
      </c>
      <c r="E162" s="59" t="s">
        <v>14</v>
      </c>
      <c r="F162" s="60">
        <v>1.5710169491525401</v>
      </c>
      <c r="G162" s="60">
        <v>0.42373918631371599</v>
      </c>
      <c r="H162" s="61">
        <v>1.7307843137254899</v>
      </c>
      <c r="I162" s="62">
        <v>4.8099999999999996</v>
      </c>
      <c r="J162" s="37">
        <v>3.0792156862745097</v>
      </c>
      <c r="K162" s="37">
        <v>177.90868924889546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79</v>
      </c>
      <c r="D163" s="1" t="s">
        <v>1</v>
      </c>
      <c r="E163" s="59" t="s">
        <v>15</v>
      </c>
      <c r="F163" s="60">
        <v>0.89</v>
      </c>
      <c r="G163" s="60">
        <v>0.18645670193080999</v>
      </c>
      <c r="H163" s="61">
        <v>0.81680851063829796</v>
      </c>
      <c r="I163" s="62">
        <v>3.68</v>
      </c>
      <c r="J163" s="37">
        <v>2.8631914893617023</v>
      </c>
      <c r="K163" s="37">
        <v>350.53399322740296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79</v>
      </c>
      <c r="D164" s="1" t="s">
        <v>1</v>
      </c>
      <c r="E164" s="59" t="s">
        <v>16</v>
      </c>
      <c r="F164" s="60">
        <v>12.4206779661016</v>
      </c>
      <c r="G164" s="60">
        <v>4.09805239579328</v>
      </c>
      <c r="H164" s="61">
        <v>14.143333333333301</v>
      </c>
      <c r="I164" s="62">
        <v>1.73</v>
      </c>
      <c r="J164" s="37">
        <v>-12.4133333333333</v>
      </c>
      <c r="K164" s="37">
        <v>-87.768088616544873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79</v>
      </c>
      <c r="D165" s="1" t="s">
        <v>1</v>
      </c>
      <c r="E165" s="59" t="s">
        <v>17</v>
      </c>
      <c r="F165" s="60">
        <v>3.4574576271186399</v>
      </c>
      <c r="G165" s="60">
        <v>2.2638661944800602</v>
      </c>
      <c r="H165" s="61">
        <v>3.16482758620689</v>
      </c>
      <c r="I165" s="62">
        <v>5.0599999999999996</v>
      </c>
      <c r="J165" s="37">
        <v>1.8951724137931096</v>
      </c>
      <c r="K165" s="37">
        <v>59.882327304423946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79</v>
      </c>
      <c r="D166" s="1" t="s">
        <v>1</v>
      </c>
      <c r="E166" s="59" t="s">
        <v>18</v>
      </c>
      <c r="F166" s="60">
        <v>1.2401818181818101</v>
      </c>
      <c r="G166" s="60">
        <v>0.26875125984713299</v>
      </c>
      <c r="H166" s="61">
        <v>1.17</v>
      </c>
      <c r="I166" s="62">
        <v>1.74</v>
      </c>
      <c r="J166" s="37">
        <v>0.57000000000000006</v>
      </c>
      <c r="K166" s="37">
        <v>48.71794871794873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79</v>
      </c>
      <c r="D167" s="1" t="s">
        <v>1</v>
      </c>
      <c r="E167" s="59" t="s">
        <v>19</v>
      </c>
      <c r="F167" s="60">
        <v>1.3783050847457601</v>
      </c>
      <c r="G167" s="60">
        <v>0.80153275315543104</v>
      </c>
      <c r="H167" s="61">
        <v>1.20285714285714</v>
      </c>
      <c r="I167" s="62">
        <v>1.74</v>
      </c>
      <c r="J167" s="37">
        <v>0.53714285714286003</v>
      </c>
      <c r="K167" s="37">
        <v>44.655581947743819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79</v>
      </c>
      <c r="D168" s="1" t="s">
        <v>1</v>
      </c>
      <c r="E168" s="59" t="s">
        <v>12</v>
      </c>
      <c r="F168" s="60">
        <v>3.2816949152542398</v>
      </c>
      <c r="G168" s="60">
        <v>1.11105714286885</v>
      </c>
      <c r="H168" s="61">
        <v>3.8791111111111101</v>
      </c>
      <c r="I168" s="62">
        <v>5.28</v>
      </c>
      <c r="J168" s="37">
        <v>1.4008888888888902</v>
      </c>
      <c r="K168" s="37">
        <v>36.11365719523377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79</v>
      </c>
      <c r="D169" s="1" t="s">
        <v>1</v>
      </c>
      <c r="E169" s="59" t="s">
        <v>13</v>
      </c>
      <c r="F169" s="60">
        <v>3.6145762711864302</v>
      </c>
      <c r="G169" s="60">
        <v>4.2739527697531896</v>
      </c>
      <c r="H169" s="61">
        <v>2.1954716981132001</v>
      </c>
      <c r="I169" s="62">
        <v>2.98</v>
      </c>
      <c r="J169" s="37">
        <v>0.78452830188679989</v>
      </c>
      <c r="K169" s="37">
        <v>35.733929185287501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79</v>
      </c>
      <c r="D170" s="1" t="s">
        <v>1</v>
      </c>
      <c r="E170" s="59" t="s">
        <v>14</v>
      </c>
      <c r="F170" s="60">
        <v>1.5710169491525401</v>
      </c>
      <c r="G170" s="60">
        <v>0.42373918631371599</v>
      </c>
      <c r="H170" s="61">
        <v>1.7307843137254899</v>
      </c>
      <c r="I170" s="62">
        <v>4.83</v>
      </c>
      <c r="J170" s="37">
        <v>3.0992156862745102</v>
      </c>
      <c r="K170" s="37">
        <v>179.06423473433787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79</v>
      </c>
      <c r="D171" s="1" t="s">
        <v>1</v>
      </c>
      <c r="E171" s="59" t="s">
        <v>15</v>
      </c>
      <c r="F171" s="60">
        <v>0.89</v>
      </c>
      <c r="G171" s="60">
        <v>0.18645670193080999</v>
      </c>
      <c r="H171" s="61">
        <v>0.81680851063829796</v>
      </c>
      <c r="I171" s="62">
        <v>3.71</v>
      </c>
      <c r="J171" s="37">
        <v>2.8931914893617021</v>
      </c>
      <c r="K171" s="37">
        <v>354.20682469393068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79</v>
      </c>
      <c r="D172" s="1" t="s">
        <v>1</v>
      </c>
      <c r="E172" s="59" t="s">
        <v>16</v>
      </c>
      <c r="F172" s="60">
        <v>12.4206779661016</v>
      </c>
      <c r="G172" s="60">
        <v>4.09805239579328</v>
      </c>
      <c r="H172" s="61">
        <v>14.143333333333301</v>
      </c>
      <c r="I172" s="62">
        <v>1.74</v>
      </c>
      <c r="J172" s="37">
        <v>-12.4033333333333</v>
      </c>
      <c r="K172" s="37">
        <v>-87.697383926467083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79</v>
      </c>
      <c r="D173" s="1" t="s">
        <v>1</v>
      </c>
      <c r="E173" s="59" t="s">
        <v>17</v>
      </c>
      <c r="F173" s="60">
        <v>3.4574576271186399</v>
      </c>
      <c r="G173" s="60">
        <v>2.2638661944800602</v>
      </c>
      <c r="H173" s="61">
        <v>3.16482758620689</v>
      </c>
      <c r="I173" s="62">
        <v>5.14</v>
      </c>
      <c r="J173" s="37">
        <v>1.9751724137931097</v>
      </c>
      <c r="K173" s="37">
        <v>62.41011113532393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79</v>
      </c>
      <c r="D174" s="1" t="s">
        <v>1</v>
      </c>
      <c r="E174" s="59" t="s">
        <v>18</v>
      </c>
      <c r="F174" s="60">
        <v>1.2401818181818101</v>
      </c>
      <c r="G174" s="60">
        <v>0.26875125984713299</v>
      </c>
      <c r="H174" s="61">
        <v>1.17</v>
      </c>
      <c r="I174" s="62">
        <v>1.7</v>
      </c>
      <c r="J174" s="37">
        <v>0.53</v>
      </c>
      <c r="K174" s="37">
        <v>45.299145299145302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79</v>
      </c>
      <c r="D175" s="1" t="s">
        <v>1</v>
      </c>
      <c r="E175" s="59" t="s">
        <v>19</v>
      </c>
      <c r="F175" s="60">
        <v>1.3783050847457601</v>
      </c>
      <c r="G175" s="60">
        <v>0.80153275315543104</v>
      </c>
      <c r="H175" s="61">
        <v>1.20285714285714</v>
      </c>
      <c r="I175" s="62">
        <v>1.73</v>
      </c>
      <c r="J175" s="37">
        <v>0.52714285714286002</v>
      </c>
      <c r="K175" s="37">
        <v>43.82422802850391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79</v>
      </c>
      <c r="D177" s="1" t="s">
        <v>1</v>
      </c>
      <c r="E177" s="59" t="s">
        <v>12</v>
      </c>
      <c r="F177" s="60">
        <v>3.3174576271186398</v>
      </c>
      <c r="G177" s="60">
        <v>0.85455230269132598</v>
      </c>
      <c r="H177" s="61">
        <v>3.5339999999999998</v>
      </c>
      <c r="I177" s="62">
        <v>5.36</v>
      </c>
      <c r="J177" s="37">
        <v>1.8260000000000005</v>
      </c>
      <c r="K177" s="37">
        <v>51.669496321448804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79</v>
      </c>
      <c r="D178" s="1" t="s">
        <v>1</v>
      </c>
      <c r="E178" s="59" t="s">
        <v>13</v>
      </c>
      <c r="F178" s="60">
        <v>3.78949152542372</v>
      </c>
      <c r="G178" s="60">
        <v>4.2498205041771797</v>
      </c>
      <c r="H178" s="61">
        <v>2.2486538461538399</v>
      </c>
      <c r="I178" s="62">
        <v>2.94</v>
      </c>
      <c r="J178" s="37">
        <v>0.69134615384616005</v>
      </c>
      <c r="K178" s="37">
        <v>30.744890105191502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79</v>
      </c>
      <c r="D179" s="1" t="s">
        <v>1</v>
      </c>
      <c r="E179" s="59" t="s">
        <v>14</v>
      </c>
      <c r="F179" s="60">
        <v>1.59779661016949</v>
      </c>
      <c r="G179" s="60">
        <v>0.53980557641385196</v>
      </c>
      <c r="H179" s="61">
        <v>1.8839130434782601</v>
      </c>
      <c r="I179" s="62">
        <v>4.8</v>
      </c>
      <c r="J179" s="37">
        <v>2.91608695652174</v>
      </c>
      <c r="K179" s="37">
        <v>154.78882990999318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79</v>
      </c>
      <c r="D180" s="1" t="s">
        <v>1</v>
      </c>
      <c r="E180" s="59" t="s">
        <v>15</v>
      </c>
      <c r="F180" s="60">
        <v>0.932881355932203</v>
      </c>
      <c r="G180" s="60">
        <v>0.20540205177343701</v>
      </c>
      <c r="H180" s="61">
        <v>0.82488372093023299</v>
      </c>
      <c r="I180" s="62">
        <v>3.73</v>
      </c>
      <c r="J180" s="37">
        <v>2.9051162790697669</v>
      </c>
      <c r="K180" s="37">
        <v>352.18494502396368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79</v>
      </c>
      <c r="D181" s="1" t="s">
        <v>1</v>
      </c>
      <c r="E181" s="59" t="s">
        <v>16</v>
      </c>
      <c r="F181" s="60">
        <v>12.9772881355932</v>
      </c>
      <c r="G181" s="60">
        <v>4.1541752859994201</v>
      </c>
      <c r="H181" s="61">
        <v>14.6978947368421</v>
      </c>
      <c r="I181" s="62">
        <v>1.71</v>
      </c>
      <c r="J181" s="37">
        <v>-12.987894736842101</v>
      </c>
      <c r="K181" s="37">
        <v>-88.365680727637326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79</v>
      </c>
      <c r="D182" s="1" t="s">
        <v>1</v>
      </c>
      <c r="E182" s="59" t="s">
        <v>17</v>
      </c>
      <c r="F182" s="60">
        <v>3.65389830508474</v>
      </c>
      <c r="G182" s="60">
        <v>3.5161549766992</v>
      </c>
      <c r="H182" s="61">
        <v>3.0035087719298201</v>
      </c>
      <c r="I182" s="62">
        <v>5.0599999999999996</v>
      </c>
      <c r="J182" s="37">
        <v>2.0564912280701795</v>
      </c>
      <c r="K182" s="37">
        <v>68.469626168224536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79</v>
      </c>
      <c r="D183" s="1" t="s">
        <v>1</v>
      </c>
      <c r="E183" s="59" t="s">
        <v>18</v>
      </c>
      <c r="F183" s="60">
        <v>1.2333898305084701</v>
      </c>
      <c r="G183" s="60">
        <v>0.20810370760013</v>
      </c>
      <c r="H183" s="61">
        <v>1.1825000000000001</v>
      </c>
      <c r="I183" s="62">
        <v>1.69</v>
      </c>
      <c r="J183" s="37">
        <v>0.50749999999999984</v>
      </c>
      <c r="K183" s="37">
        <v>42.91754756871034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79</v>
      </c>
      <c r="D184" s="1" t="s">
        <v>1</v>
      </c>
      <c r="E184" s="59" t="s">
        <v>19</v>
      </c>
      <c r="F184" s="60">
        <v>1.4769491525423699</v>
      </c>
      <c r="G184" s="60">
        <v>0.81054753253543399</v>
      </c>
      <c r="H184" s="61">
        <v>1.2674545454545401</v>
      </c>
      <c r="I184" s="62">
        <v>1.68</v>
      </c>
      <c r="J184" s="37">
        <v>0.41254545454545988</v>
      </c>
      <c r="K184" s="37">
        <v>32.549132118778353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79</v>
      </c>
      <c r="D185" s="1" t="s">
        <v>1</v>
      </c>
      <c r="E185" s="59" t="s">
        <v>12</v>
      </c>
      <c r="F185" s="60">
        <v>3.3174576271186398</v>
      </c>
      <c r="G185" s="60">
        <v>0.85455230269132598</v>
      </c>
      <c r="H185" s="61">
        <v>3.5339999999999998</v>
      </c>
      <c r="I185" s="62">
        <v>5.32</v>
      </c>
      <c r="J185" s="37">
        <v>1.7860000000000005</v>
      </c>
      <c r="K185" s="37">
        <v>50.537634408602173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79</v>
      </c>
      <c r="D186" s="1" t="s">
        <v>1</v>
      </c>
      <c r="E186" s="59" t="s">
        <v>13</v>
      </c>
      <c r="F186" s="60">
        <v>3.78949152542372</v>
      </c>
      <c r="G186" s="60">
        <v>4.2498205041771797</v>
      </c>
      <c r="H186" s="61">
        <v>2.2486538461538399</v>
      </c>
      <c r="I186" s="62">
        <v>2.95</v>
      </c>
      <c r="J186" s="37">
        <v>0.70134615384616028</v>
      </c>
      <c r="K186" s="37">
        <v>31.189600615753388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79</v>
      </c>
      <c r="D187" s="1" t="s">
        <v>1</v>
      </c>
      <c r="E187" s="59" t="s">
        <v>14</v>
      </c>
      <c r="F187" s="60">
        <v>1.59779661016949</v>
      </c>
      <c r="G187" s="60">
        <v>0.53980557641385196</v>
      </c>
      <c r="H187" s="61">
        <v>1.8839130434782601</v>
      </c>
      <c r="I187" s="62">
        <v>4.8099999999999996</v>
      </c>
      <c r="J187" s="37">
        <v>2.9260869565217398</v>
      </c>
      <c r="K187" s="37">
        <v>155.31963997230568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79</v>
      </c>
      <c r="D188" s="1" t="s">
        <v>1</v>
      </c>
      <c r="E188" s="59" t="s">
        <v>15</v>
      </c>
      <c r="F188" s="60">
        <v>0.932881355932203</v>
      </c>
      <c r="G188" s="60">
        <v>0.20540205177343701</v>
      </c>
      <c r="H188" s="61">
        <v>0.82488372093023299</v>
      </c>
      <c r="I188" s="62">
        <v>3.68</v>
      </c>
      <c r="J188" s="37">
        <v>2.8551162790697671</v>
      </c>
      <c r="K188" s="37">
        <v>346.12348463490252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79</v>
      </c>
      <c r="D189" s="1" t="s">
        <v>1</v>
      </c>
      <c r="E189" s="59" t="s">
        <v>16</v>
      </c>
      <c r="F189" s="60">
        <v>12.9772881355932</v>
      </c>
      <c r="G189" s="60">
        <v>4.1541752859994201</v>
      </c>
      <c r="H189" s="61">
        <v>14.6978947368421</v>
      </c>
      <c r="I189" s="62">
        <v>1.73</v>
      </c>
      <c r="J189" s="37">
        <v>-12.9678947368421</v>
      </c>
      <c r="K189" s="37">
        <v>-88.22960681801905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79</v>
      </c>
      <c r="D190" s="1" t="s">
        <v>1</v>
      </c>
      <c r="E190" s="59" t="s">
        <v>17</v>
      </c>
      <c r="F190" s="60">
        <v>3.65389830508474</v>
      </c>
      <c r="G190" s="60">
        <v>3.5161549766992</v>
      </c>
      <c r="H190" s="61">
        <v>3.0035087719298201</v>
      </c>
      <c r="I190" s="62">
        <v>5.0599999999999996</v>
      </c>
      <c r="J190" s="37">
        <v>2.0564912280701795</v>
      </c>
      <c r="K190" s="37">
        <v>68.469626168224536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79</v>
      </c>
      <c r="D191" s="1" t="s">
        <v>1</v>
      </c>
      <c r="E191" s="59" t="s">
        <v>18</v>
      </c>
      <c r="F191" s="60">
        <v>1.2333898305084701</v>
      </c>
      <c r="G191" s="60">
        <v>0.20810370760013</v>
      </c>
      <c r="H191" s="61">
        <v>1.1825000000000001</v>
      </c>
      <c r="I191" s="62">
        <v>1.74</v>
      </c>
      <c r="J191" s="37">
        <v>0.55749999999999988</v>
      </c>
      <c r="K191" s="37">
        <v>47.1458773784355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79</v>
      </c>
      <c r="D192" s="1" t="s">
        <v>1</v>
      </c>
      <c r="E192" s="59" t="s">
        <v>19</v>
      </c>
      <c r="F192" s="60">
        <v>1.4769491525423699</v>
      </c>
      <c r="G192" s="60">
        <v>0.81054753253543399</v>
      </c>
      <c r="H192" s="61">
        <v>1.2674545454545401</v>
      </c>
      <c r="I192" s="62">
        <v>1.74</v>
      </c>
      <c r="J192" s="37">
        <v>0.47254545454545993</v>
      </c>
      <c r="K192" s="37">
        <v>37.283029694449013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79</v>
      </c>
      <c r="D193" s="1" t="s">
        <v>1</v>
      </c>
      <c r="E193" s="59" t="s">
        <v>12</v>
      </c>
      <c r="F193" s="60">
        <v>3.3174576271186398</v>
      </c>
      <c r="G193" s="60">
        <v>0.85455230269132598</v>
      </c>
      <c r="H193" s="61">
        <v>3.5339999999999998</v>
      </c>
      <c r="I193" s="62">
        <v>5.28</v>
      </c>
      <c r="J193" s="37">
        <v>1.7460000000000004</v>
      </c>
      <c r="K193" s="37">
        <v>49.405772495755535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79</v>
      </c>
      <c r="D194" s="1" t="s">
        <v>1</v>
      </c>
      <c r="E194" s="59" t="s">
        <v>13</v>
      </c>
      <c r="F194" s="60">
        <v>3.78949152542372</v>
      </c>
      <c r="G194" s="60">
        <v>4.2498205041771797</v>
      </c>
      <c r="H194" s="61">
        <v>2.2486538461538399</v>
      </c>
      <c r="I194" s="62">
        <v>2.98</v>
      </c>
      <c r="J194" s="37">
        <v>0.73134615384616009</v>
      </c>
      <c r="K194" s="37">
        <v>32.523732147439006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79</v>
      </c>
      <c r="D195" s="1" t="s">
        <v>1</v>
      </c>
      <c r="E195" s="59" t="s">
        <v>14</v>
      </c>
      <c r="F195" s="60">
        <v>1.59779661016949</v>
      </c>
      <c r="G195" s="60">
        <v>0.53980557641385196</v>
      </c>
      <c r="H195" s="61">
        <v>1.8839130434782601</v>
      </c>
      <c r="I195" s="62">
        <v>4.83</v>
      </c>
      <c r="J195" s="37">
        <v>2.9460869565217402</v>
      </c>
      <c r="K195" s="37">
        <v>156.38126009693065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79</v>
      </c>
      <c r="D196" s="1" t="s">
        <v>1</v>
      </c>
      <c r="E196" s="59" t="s">
        <v>15</v>
      </c>
      <c r="F196" s="60">
        <v>0.932881355932203</v>
      </c>
      <c r="G196" s="60">
        <v>0.20540205177343701</v>
      </c>
      <c r="H196" s="61">
        <v>0.82488372093023299</v>
      </c>
      <c r="I196" s="62">
        <v>3.71</v>
      </c>
      <c r="J196" s="37">
        <v>2.8851162790697669</v>
      </c>
      <c r="K196" s="37">
        <v>349.76036086833921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79</v>
      </c>
      <c r="D197" s="1" t="s">
        <v>1</v>
      </c>
      <c r="E197" s="59" t="s">
        <v>16</v>
      </c>
      <c r="F197" s="60">
        <v>12.9772881355932</v>
      </c>
      <c r="G197" s="60">
        <v>4.1541752859994201</v>
      </c>
      <c r="H197" s="61">
        <v>14.6978947368421</v>
      </c>
      <c r="I197" s="62">
        <v>1.74</v>
      </c>
      <c r="J197" s="37">
        <v>-12.9578947368421</v>
      </c>
      <c r="K197" s="37">
        <v>-88.161569863209905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79</v>
      </c>
      <c r="D198" s="1" t="s">
        <v>1</v>
      </c>
      <c r="E198" s="59" t="s">
        <v>17</v>
      </c>
      <c r="F198" s="60">
        <v>3.65389830508474</v>
      </c>
      <c r="G198" s="60">
        <v>3.5161549766992</v>
      </c>
      <c r="H198" s="61">
        <v>3.0035087719298201</v>
      </c>
      <c r="I198" s="62">
        <v>5.14</v>
      </c>
      <c r="J198" s="37">
        <v>2.1364912280701795</v>
      </c>
      <c r="K198" s="37">
        <v>71.133177570093693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79</v>
      </c>
      <c r="D199" s="1" t="s">
        <v>1</v>
      </c>
      <c r="E199" s="59" t="s">
        <v>18</v>
      </c>
      <c r="F199" s="60">
        <v>1.2333898305084701</v>
      </c>
      <c r="G199" s="60">
        <v>0.20810370760013</v>
      </c>
      <c r="H199" s="61">
        <v>1.1825000000000001</v>
      </c>
      <c r="I199" s="62">
        <v>1.7</v>
      </c>
      <c r="J199" s="37">
        <v>0.51749999999999985</v>
      </c>
      <c r="K199" s="37">
        <v>43.763213530655378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79</v>
      </c>
      <c r="D200" s="1" t="s">
        <v>1</v>
      </c>
      <c r="E200" s="59" t="s">
        <v>19</v>
      </c>
      <c r="F200" s="60">
        <v>1.4769491525423699</v>
      </c>
      <c r="G200" s="60">
        <v>0.81054753253543399</v>
      </c>
      <c r="H200" s="61">
        <v>1.2674545454545401</v>
      </c>
      <c r="I200" s="62">
        <v>1.73</v>
      </c>
      <c r="J200" s="37">
        <v>0.46254545454545992</v>
      </c>
      <c r="K200" s="37">
        <v>36.494046765170566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79</v>
      </c>
      <c r="D202" s="1" t="s">
        <v>1</v>
      </c>
      <c r="E202" s="59" t="s">
        <v>12</v>
      </c>
      <c r="F202" s="60">
        <v>3.1522033898305102</v>
      </c>
      <c r="G202" s="60">
        <v>0.93598867839851796</v>
      </c>
      <c r="H202" s="61">
        <v>3.5476190476190399</v>
      </c>
      <c r="I202" s="63">
        <v>5.36</v>
      </c>
      <c r="J202" s="58">
        <v>1.8123809523809604</v>
      </c>
      <c r="K202" s="58">
        <v>51.087248322147992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79</v>
      </c>
      <c r="D203" s="1" t="s">
        <v>1</v>
      </c>
      <c r="E203" s="59" t="s">
        <v>13</v>
      </c>
      <c r="F203" s="60">
        <v>3.3806779661016901</v>
      </c>
      <c r="G203" s="60">
        <v>3.6746326298135901</v>
      </c>
      <c r="H203" s="61">
        <v>2.1622641509433902</v>
      </c>
      <c r="I203" s="63">
        <v>2.94</v>
      </c>
      <c r="J203" s="58">
        <v>0.77773584905660975</v>
      </c>
      <c r="K203" s="58">
        <v>35.968586387434932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79</v>
      </c>
      <c r="D204" s="1" t="s">
        <v>1</v>
      </c>
      <c r="E204" s="59" t="s">
        <v>14</v>
      </c>
      <c r="F204" s="60">
        <v>1.51050847457627</v>
      </c>
      <c r="G204" s="60">
        <v>0.55082195508110199</v>
      </c>
      <c r="H204" s="61">
        <v>1.82636363636363</v>
      </c>
      <c r="I204" s="63">
        <v>4.8</v>
      </c>
      <c r="J204" s="58">
        <v>2.9736363636363699</v>
      </c>
      <c r="K204" s="58">
        <v>162.81732205077245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79</v>
      </c>
      <c r="D205" s="1" t="s">
        <v>1</v>
      </c>
      <c r="E205" s="59" t="s">
        <v>15</v>
      </c>
      <c r="F205" s="60">
        <v>0.91237288135593198</v>
      </c>
      <c r="G205" s="60">
        <v>0.18371255166008801</v>
      </c>
      <c r="H205" s="61">
        <v>0.828666666666667</v>
      </c>
      <c r="I205" s="63">
        <v>3.73</v>
      </c>
      <c r="J205" s="58">
        <v>2.9013333333333331</v>
      </c>
      <c r="K205" s="58">
        <v>350.12067578439246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79</v>
      </c>
      <c r="D206" s="1" t="s">
        <v>1</v>
      </c>
      <c r="E206" s="59" t="s">
        <v>16</v>
      </c>
      <c r="F206" s="60">
        <v>14.870677966101599</v>
      </c>
      <c r="G206" s="60">
        <v>4.8851285445005503</v>
      </c>
      <c r="H206" s="61">
        <v>17.1918604651162</v>
      </c>
      <c r="I206" s="63">
        <v>1.71</v>
      </c>
      <c r="J206" s="58">
        <v>-15.481860465116199</v>
      </c>
      <c r="K206" s="58">
        <v>-90.05343253297255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79</v>
      </c>
      <c r="D207" s="1" t="s">
        <v>1</v>
      </c>
      <c r="E207" s="59" t="s">
        <v>17</v>
      </c>
      <c r="F207" s="60">
        <v>3.38389830508474</v>
      </c>
      <c r="G207" s="60">
        <v>2.7283775628111502</v>
      </c>
      <c r="H207" s="61">
        <v>3.02931034482758</v>
      </c>
      <c r="I207" s="63">
        <v>5.0599999999999996</v>
      </c>
      <c r="J207" s="58">
        <v>2.0306896551724196</v>
      </c>
      <c r="K207" s="58">
        <v>67.034718269778352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79</v>
      </c>
      <c r="D208" s="1" t="s">
        <v>1</v>
      </c>
      <c r="E208" s="59" t="s">
        <v>18</v>
      </c>
      <c r="F208" s="60">
        <v>1.25446428571428</v>
      </c>
      <c r="G208" s="60">
        <v>0.26946322067383899</v>
      </c>
      <c r="H208" s="61">
        <v>1.2047826086956499</v>
      </c>
      <c r="I208" s="63">
        <v>1.69</v>
      </c>
      <c r="J208" s="58">
        <v>0.48521739130435004</v>
      </c>
      <c r="K208" s="58">
        <v>40.274269216889472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79</v>
      </c>
      <c r="D209" s="1" t="s">
        <v>1</v>
      </c>
      <c r="E209" s="59" t="s">
        <v>19</v>
      </c>
      <c r="F209" s="60">
        <v>1.3866101694915201</v>
      </c>
      <c r="G209" s="60">
        <v>0.74586228148863198</v>
      </c>
      <c r="H209" s="61">
        <v>1.22428571428571</v>
      </c>
      <c r="I209" s="63">
        <v>1.68</v>
      </c>
      <c r="J209" s="58">
        <v>0.45571428571428996</v>
      </c>
      <c r="K209" s="58">
        <v>37.222870478413547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79</v>
      </c>
      <c r="D210" s="1" t="s">
        <v>1</v>
      </c>
      <c r="E210" s="59" t="s">
        <v>12</v>
      </c>
      <c r="F210" s="60">
        <v>3.1522033898305102</v>
      </c>
      <c r="G210" s="60">
        <v>0.93598867839851796</v>
      </c>
      <c r="H210" s="61">
        <v>3.5476190476190399</v>
      </c>
      <c r="I210" s="63">
        <v>5.32</v>
      </c>
      <c r="J210" s="58">
        <v>1.7723809523809604</v>
      </c>
      <c r="K210" s="58">
        <v>49.9597315436245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79</v>
      </c>
      <c r="D211" s="1" t="s">
        <v>1</v>
      </c>
      <c r="E211" s="59" t="s">
        <v>13</v>
      </c>
      <c r="F211" s="60">
        <v>3.3806779661016901</v>
      </c>
      <c r="G211" s="60">
        <v>3.6746326298135901</v>
      </c>
      <c r="H211" s="61">
        <v>2.1622641509433902</v>
      </c>
      <c r="I211" s="63">
        <v>2.95</v>
      </c>
      <c r="J211" s="58">
        <v>0.78773584905660998</v>
      </c>
      <c r="K211" s="58">
        <v>36.431064572426223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79</v>
      </c>
      <c r="D212" s="1" t="s">
        <v>1</v>
      </c>
      <c r="E212" s="59" t="s">
        <v>14</v>
      </c>
      <c r="F212" s="60">
        <v>1.51050847457627</v>
      </c>
      <c r="G212" s="60">
        <v>0.55082195508110199</v>
      </c>
      <c r="H212" s="61">
        <v>1.82636363636363</v>
      </c>
      <c r="I212" s="63">
        <v>4.8099999999999996</v>
      </c>
      <c r="J212" s="58">
        <v>2.9836363636363696</v>
      </c>
      <c r="K212" s="58">
        <v>163.3648581383782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79</v>
      </c>
      <c r="D213" s="1" t="s">
        <v>1</v>
      </c>
      <c r="E213" s="59" t="s">
        <v>15</v>
      </c>
      <c r="F213" s="60">
        <v>0.91237288135593198</v>
      </c>
      <c r="G213" s="60">
        <v>0.18371255166008801</v>
      </c>
      <c r="H213" s="61">
        <v>0.828666666666667</v>
      </c>
      <c r="I213" s="63">
        <v>3.68</v>
      </c>
      <c r="J213" s="58">
        <v>2.8513333333333333</v>
      </c>
      <c r="K213" s="58">
        <v>344.08688656476249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79</v>
      </c>
      <c r="D214" s="1" t="s">
        <v>1</v>
      </c>
      <c r="E214" s="59" t="s">
        <v>16</v>
      </c>
      <c r="F214" s="60">
        <v>14.870677966101599</v>
      </c>
      <c r="G214" s="60">
        <v>4.8851285445005503</v>
      </c>
      <c r="H214" s="61">
        <v>17.1918604651162</v>
      </c>
      <c r="I214" s="63">
        <v>1.73</v>
      </c>
      <c r="J214" s="58">
        <v>-15.461860465116199</v>
      </c>
      <c r="K214" s="58">
        <v>-89.937098410551187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79</v>
      </c>
      <c r="D215" s="1" t="s">
        <v>1</v>
      </c>
      <c r="E215" s="59" t="s">
        <v>17</v>
      </c>
      <c r="F215" s="60">
        <v>3.38389830508474</v>
      </c>
      <c r="G215" s="60">
        <v>2.7283775628111502</v>
      </c>
      <c r="H215" s="61">
        <v>3.02931034482758</v>
      </c>
      <c r="I215" s="63">
        <v>5.0599999999999996</v>
      </c>
      <c r="J215" s="58">
        <v>2.0306896551724196</v>
      </c>
      <c r="K215" s="58">
        <v>67.034718269778352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79</v>
      </c>
      <c r="D216" s="1" t="s">
        <v>1</v>
      </c>
      <c r="E216" s="59" t="s">
        <v>18</v>
      </c>
      <c r="F216" s="60">
        <v>1.25446428571428</v>
      </c>
      <c r="G216" s="60">
        <v>0.26946322067383899</v>
      </c>
      <c r="H216" s="61">
        <v>1.2047826086956499</v>
      </c>
      <c r="I216" s="63">
        <v>1.74</v>
      </c>
      <c r="J216" s="58">
        <v>0.53521739130435009</v>
      </c>
      <c r="K216" s="58">
        <v>44.424395525081465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79</v>
      </c>
      <c r="D217" s="1" t="s">
        <v>1</v>
      </c>
      <c r="E217" s="59" t="s">
        <v>19</v>
      </c>
      <c r="F217" s="60">
        <v>1.3866101694915201</v>
      </c>
      <c r="G217" s="60">
        <v>0.74586228148863198</v>
      </c>
      <c r="H217" s="61">
        <v>1.22428571428571</v>
      </c>
      <c r="I217" s="63">
        <v>1.74</v>
      </c>
      <c r="J217" s="58">
        <v>0.51571428571429001</v>
      </c>
      <c r="K217" s="58">
        <v>42.123687281214032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79</v>
      </c>
      <c r="D218" s="1" t="s">
        <v>1</v>
      </c>
      <c r="E218" s="59" t="s">
        <v>12</v>
      </c>
      <c r="F218" s="60">
        <v>3.1522033898305102</v>
      </c>
      <c r="G218" s="60">
        <v>0.93598867839851796</v>
      </c>
      <c r="H218" s="61">
        <v>3.5476190476190399</v>
      </c>
      <c r="I218" s="63">
        <v>5.28</v>
      </c>
      <c r="J218" s="58">
        <v>1.7323809523809603</v>
      </c>
      <c r="K218" s="58">
        <v>48.832214765101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79</v>
      </c>
      <c r="D219" s="1" t="s">
        <v>1</v>
      </c>
      <c r="E219" s="59" t="s">
        <v>13</v>
      </c>
      <c r="F219" s="60">
        <v>3.3806779661016901</v>
      </c>
      <c r="G219" s="60">
        <v>3.6746326298135901</v>
      </c>
      <c r="H219" s="61">
        <v>2.1622641509433902</v>
      </c>
      <c r="I219" s="63">
        <v>2.98</v>
      </c>
      <c r="J219" s="58">
        <v>0.81773584905660979</v>
      </c>
      <c r="K219" s="58">
        <v>37.818499127400038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79</v>
      </c>
      <c r="D220" s="1" t="s">
        <v>1</v>
      </c>
      <c r="E220" s="59" t="s">
        <v>14</v>
      </c>
      <c r="F220" s="60">
        <v>1.51050847457627</v>
      </c>
      <c r="G220" s="60">
        <v>0.55082195508110199</v>
      </c>
      <c r="H220" s="61">
        <v>1.82636363636363</v>
      </c>
      <c r="I220" s="63">
        <v>4.83</v>
      </c>
      <c r="J220" s="58">
        <v>3.0036363636363701</v>
      </c>
      <c r="K220" s="58">
        <v>164.45993031358978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79</v>
      </c>
      <c r="D221" s="1" t="s">
        <v>1</v>
      </c>
      <c r="E221" s="59" t="s">
        <v>15</v>
      </c>
      <c r="F221" s="60">
        <v>0.91237288135593198</v>
      </c>
      <c r="G221" s="60">
        <v>0.18371255166008801</v>
      </c>
      <c r="H221" s="61">
        <v>0.828666666666667</v>
      </c>
      <c r="I221" s="63">
        <v>3.71</v>
      </c>
      <c r="J221" s="58">
        <v>2.8813333333333331</v>
      </c>
      <c r="K221" s="58">
        <v>347.70716009654046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79</v>
      </c>
      <c r="D222" s="1" t="s">
        <v>1</v>
      </c>
      <c r="E222" s="59" t="s">
        <v>16</v>
      </c>
      <c r="F222" s="60">
        <v>14.870677966101599</v>
      </c>
      <c r="G222" s="60">
        <v>4.8851285445005503</v>
      </c>
      <c r="H222" s="61">
        <v>17.1918604651162</v>
      </c>
      <c r="I222" s="63">
        <v>1.74</v>
      </c>
      <c r="J222" s="58">
        <v>-15.4518604651162</v>
      </c>
      <c r="K222" s="58">
        <v>-89.87893134934049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79</v>
      </c>
      <c r="D223" s="1" t="s">
        <v>1</v>
      </c>
      <c r="E223" s="59" t="s">
        <v>17</v>
      </c>
      <c r="F223" s="60">
        <v>3.38389830508474</v>
      </c>
      <c r="G223" s="60">
        <v>2.7283775628111502</v>
      </c>
      <c r="H223" s="61">
        <v>3.02931034482758</v>
      </c>
      <c r="I223" s="63">
        <v>5.14</v>
      </c>
      <c r="J223" s="58">
        <v>2.1106896551724197</v>
      </c>
      <c r="K223" s="58">
        <v>69.675583380763001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79</v>
      </c>
      <c r="D224" s="1" t="s">
        <v>1</v>
      </c>
      <c r="E224" s="59" t="s">
        <v>18</v>
      </c>
      <c r="F224" s="60">
        <v>1.25446428571428</v>
      </c>
      <c r="G224" s="60">
        <v>0.26946322067383899</v>
      </c>
      <c r="H224" s="61">
        <v>1.2047826086956499</v>
      </c>
      <c r="I224" s="63">
        <v>1.7</v>
      </c>
      <c r="J224" s="58">
        <v>0.49521739130435005</v>
      </c>
      <c r="K224" s="58">
        <v>41.104294478527869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79</v>
      </c>
      <c r="D225" s="1" t="s">
        <v>1</v>
      </c>
      <c r="E225" s="59" t="s">
        <v>19</v>
      </c>
      <c r="F225" s="60">
        <v>1.3866101694915201</v>
      </c>
      <c r="G225" s="60">
        <v>0.74586228148863198</v>
      </c>
      <c r="H225" s="61">
        <v>1.22428571428571</v>
      </c>
      <c r="I225" s="63">
        <v>1.73</v>
      </c>
      <c r="J225" s="58">
        <v>0.50571428571429</v>
      </c>
      <c r="K225" s="58">
        <v>41.306884480747286</v>
      </c>
      <c r="L225" s="1" t="s">
        <v>69</v>
      </c>
      <c r="M225" s="1">
        <v>3</v>
      </c>
    </row>
    <row r="227" spans="1:13" x14ac:dyDescent="0.3">
      <c r="A227">
        <v>12</v>
      </c>
      <c r="B227">
        <v>1</v>
      </c>
      <c r="C227" t="s">
        <v>79</v>
      </c>
      <c r="D227" s="1" t="s">
        <v>1</v>
      </c>
      <c r="E227" s="59" t="s">
        <v>12</v>
      </c>
      <c r="F227" s="60">
        <v>1.9775471698113101</v>
      </c>
      <c r="G227" s="60">
        <v>0.44296132826810802</v>
      </c>
      <c r="H227" s="61">
        <v>2.1033333333333299</v>
      </c>
      <c r="I227" s="62">
        <v>1.95</v>
      </c>
      <c r="J227" s="37">
        <v>-0.15333333333332999</v>
      </c>
      <c r="K227" s="37">
        <v>-7.2900158478603911</v>
      </c>
      <c r="L227" s="1" t="s">
        <v>23</v>
      </c>
      <c r="M227" s="1">
        <v>1</v>
      </c>
    </row>
    <row r="228" spans="1:13" x14ac:dyDescent="0.3">
      <c r="A228">
        <v>12</v>
      </c>
      <c r="B228">
        <v>1</v>
      </c>
      <c r="C228" t="s">
        <v>79</v>
      </c>
      <c r="D228" s="1" t="s">
        <v>1</v>
      </c>
      <c r="E228" s="59" t="s">
        <v>13</v>
      </c>
      <c r="F228" s="60">
        <v>0.46263157894736801</v>
      </c>
      <c r="G228" s="60">
        <v>6.0712908416448899E-2</v>
      </c>
      <c r="H228" s="61">
        <v>0.44999999999999901</v>
      </c>
      <c r="I228" s="62">
        <v>3.4</v>
      </c>
      <c r="J228" s="37">
        <v>2.9500000000000011</v>
      </c>
      <c r="K228" s="37">
        <v>655.55555555555725</v>
      </c>
      <c r="L228" s="1" t="s">
        <v>23</v>
      </c>
      <c r="M228" s="1">
        <v>1</v>
      </c>
    </row>
    <row r="229" spans="1:13" x14ac:dyDescent="0.3">
      <c r="A229">
        <v>12</v>
      </c>
      <c r="B229">
        <v>1</v>
      </c>
      <c r="C229" t="s">
        <v>79</v>
      </c>
      <c r="D229" s="1" t="s">
        <v>1</v>
      </c>
      <c r="E229" s="59" t="s">
        <v>14</v>
      </c>
      <c r="F229" s="60">
        <v>0.231864406779661</v>
      </c>
      <c r="G229" s="60">
        <v>0.11680019991089199</v>
      </c>
      <c r="H229" s="61">
        <v>0.22</v>
      </c>
      <c r="I229" s="62">
        <v>4.83</v>
      </c>
      <c r="J229" s="37">
        <v>4.6100000000000003</v>
      </c>
      <c r="K229" s="37">
        <v>2095.4545454545455</v>
      </c>
      <c r="L229" s="1" t="s">
        <v>23</v>
      </c>
      <c r="M229" s="1">
        <v>1</v>
      </c>
    </row>
    <row r="230" spans="1:13" x14ac:dyDescent="0.3">
      <c r="A230">
        <v>12</v>
      </c>
      <c r="B230">
        <v>1</v>
      </c>
      <c r="C230" t="s">
        <v>79</v>
      </c>
      <c r="D230" s="1" t="s">
        <v>1</v>
      </c>
      <c r="E230" s="59" t="s">
        <v>15</v>
      </c>
      <c r="F230" s="60">
        <v>1.1057627118644</v>
      </c>
      <c r="G230" s="60">
        <v>1.3186731947460599</v>
      </c>
      <c r="H230" s="61">
        <v>0.73962962962962897</v>
      </c>
      <c r="I230" s="62">
        <v>5.42</v>
      </c>
      <c r="J230" s="37">
        <v>4.6803703703703707</v>
      </c>
      <c r="K230" s="37">
        <v>632.79919879819784</v>
      </c>
      <c r="L230" s="1" t="s">
        <v>23</v>
      </c>
      <c r="M230" s="1">
        <v>1</v>
      </c>
    </row>
    <row r="231" spans="1:13" x14ac:dyDescent="0.3">
      <c r="A231">
        <v>12</v>
      </c>
      <c r="B231">
        <v>1</v>
      </c>
      <c r="C231" t="s">
        <v>79</v>
      </c>
      <c r="D231" s="1" t="s">
        <v>1</v>
      </c>
      <c r="E231" s="59" t="s">
        <v>16</v>
      </c>
      <c r="F231" s="60">
        <v>2.26728813559322</v>
      </c>
      <c r="G231" s="60">
        <v>0.53637145776662398</v>
      </c>
      <c r="H231" s="61">
        <v>2.4732653061224501</v>
      </c>
      <c r="I231" s="62">
        <v>3.92</v>
      </c>
      <c r="J231" s="37">
        <v>1.4467346938775498</v>
      </c>
      <c r="K231" s="37">
        <v>58.494925323871527</v>
      </c>
      <c r="L231" s="1" t="s">
        <v>23</v>
      </c>
      <c r="M231" s="1">
        <v>1</v>
      </c>
    </row>
    <row r="232" spans="1:13" x14ac:dyDescent="0.3">
      <c r="A232">
        <v>12</v>
      </c>
      <c r="B232">
        <v>1</v>
      </c>
      <c r="C232" t="s">
        <v>79</v>
      </c>
      <c r="D232" s="1" t="s">
        <v>1</v>
      </c>
      <c r="E232" s="59" t="s">
        <v>17</v>
      </c>
      <c r="F232" s="60">
        <v>1.1348275862068899</v>
      </c>
      <c r="G232" s="60">
        <v>1.0443530275417101</v>
      </c>
      <c r="H232" s="61">
        <v>0.82075471698113101</v>
      </c>
      <c r="I232" s="62">
        <v>4.3499999999999996</v>
      </c>
      <c r="J232" s="37">
        <v>3.5292452830188688</v>
      </c>
      <c r="K232" s="37">
        <v>430.00000000000068</v>
      </c>
      <c r="L232" s="1" t="s">
        <v>23</v>
      </c>
      <c r="M232" s="1">
        <v>1</v>
      </c>
    </row>
    <row r="233" spans="1:13" x14ac:dyDescent="0.3">
      <c r="A233">
        <v>12</v>
      </c>
      <c r="B233">
        <v>1</v>
      </c>
      <c r="C233" t="s">
        <v>79</v>
      </c>
      <c r="D233" s="1" t="s">
        <v>1</v>
      </c>
      <c r="E233" s="59" t="s">
        <v>18</v>
      </c>
      <c r="F233" s="60">
        <v>2.5801694915254201</v>
      </c>
      <c r="G233" s="60">
        <v>7.9178696183573596</v>
      </c>
      <c r="H233" s="61">
        <v>0.75339285714285698</v>
      </c>
      <c r="I233" s="62">
        <v>1.86</v>
      </c>
      <c r="J233" s="37">
        <v>1.1066071428571431</v>
      </c>
      <c r="K233" s="37">
        <v>146.88314766532361</v>
      </c>
      <c r="L233" s="1" t="s">
        <v>23</v>
      </c>
      <c r="M233" s="1">
        <v>1</v>
      </c>
    </row>
    <row r="234" spans="1:13" x14ac:dyDescent="0.3">
      <c r="A234">
        <v>12</v>
      </c>
      <c r="B234">
        <v>1</v>
      </c>
      <c r="C234" t="s">
        <v>79</v>
      </c>
      <c r="D234" s="1" t="s">
        <v>1</v>
      </c>
      <c r="E234" s="59" t="s">
        <v>19</v>
      </c>
      <c r="F234" s="60">
        <v>0.65050847457627103</v>
      </c>
      <c r="G234" s="60">
        <v>0.108321926490854</v>
      </c>
      <c r="H234" s="61">
        <v>0.72175</v>
      </c>
      <c r="I234" s="62">
        <v>2.73</v>
      </c>
      <c r="J234" s="37">
        <v>2.0082499999999999</v>
      </c>
      <c r="K234" s="37">
        <v>278.24731555247661</v>
      </c>
      <c r="L234" s="1" t="s">
        <v>23</v>
      </c>
      <c r="M234" s="1">
        <v>1</v>
      </c>
    </row>
    <row r="235" spans="1:13" x14ac:dyDescent="0.3">
      <c r="A235">
        <v>12</v>
      </c>
      <c r="B235">
        <v>1</v>
      </c>
      <c r="C235" t="s">
        <v>79</v>
      </c>
      <c r="D235" s="1" t="s">
        <v>1</v>
      </c>
      <c r="E235" s="59" t="s">
        <v>12</v>
      </c>
      <c r="F235" s="60">
        <v>1.9775471698113101</v>
      </c>
      <c r="G235" s="60">
        <v>0.44296132826810802</v>
      </c>
      <c r="H235" s="61">
        <v>2.1033333333333299</v>
      </c>
      <c r="I235" s="62">
        <v>1.94</v>
      </c>
      <c r="J235" s="37">
        <v>-0.16333333333333</v>
      </c>
      <c r="K235" s="37">
        <v>-7.7654516640252105</v>
      </c>
      <c r="L235" s="1" t="s">
        <v>68</v>
      </c>
      <c r="M235" s="1">
        <v>1</v>
      </c>
    </row>
    <row r="236" spans="1:13" x14ac:dyDescent="0.3">
      <c r="A236">
        <v>12</v>
      </c>
      <c r="B236">
        <v>1</v>
      </c>
      <c r="C236" t="s">
        <v>79</v>
      </c>
      <c r="D236" s="1" t="s">
        <v>1</v>
      </c>
      <c r="E236" s="59" t="s">
        <v>13</v>
      </c>
      <c r="F236" s="60">
        <v>0.46263157894736801</v>
      </c>
      <c r="G236" s="60">
        <v>6.0712908416448899E-2</v>
      </c>
      <c r="H236" s="61">
        <v>0.44999999999999901</v>
      </c>
      <c r="I236" s="62">
        <v>3.45</v>
      </c>
      <c r="J236" s="37">
        <v>3.0000000000000013</v>
      </c>
      <c r="K236" s="37">
        <v>666.66666666666833</v>
      </c>
      <c r="L236" s="1" t="s">
        <v>68</v>
      </c>
      <c r="M236" s="1">
        <v>1</v>
      </c>
    </row>
    <row r="237" spans="1:13" x14ac:dyDescent="0.3">
      <c r="A237">
        <v>12</v>
      </c>
      <c r="B237">
        <v>1</v>
      </c>
      <c r="C237" t="s">
        <v>79</v>
      </c>
      <c r="D237" s="1" t="s">
        <v>1</v>
      </c>
      <c r="E237" s="59" t="s">
        <v>14</v>
      </c>
      <c r="F237" s="60">
        <v>0.231864406779661</v>
      </c>
      <c r="G237" s="60">
        <v>0.11680019991089199</v>
      </c>
      <c r="H237" s="61">
        <v>0.22</v>
      </c>
      <c r="I237" s="62">
        <v>4.8499999999999996</v>
      </c>
      <c r="J237" s="37">
        <v>4.63</v>
      </c>
      <c r="K237" s="37">
        <v>2104.5454545454545</v>
      </c>
      <c r="L237" s="1" t="s">
        <v>68</v>
      </c>
      <c r="M237" s="1">
        <v>1</v>
      </c>
    </row>
    <row r="238" spans="1:13" x14ac:dyDescent="0.3">
      <c r="A238">
        <v>12</v>
      </c>
      <c r="B238">
        <v>1</v>
      </c>
      <c r="C238" t="s">
        <v>79</v>
      </c>
      <c r="D238" s="1" t="s">
        <v>1</v>
      </c>
      <c r="E238" s="59" t="s">
        <v>15</v>
      </c>
      <c r="F238" s="60">
        <v>1.1057627118644</v>
      </c>
      <c r="G238" s="60">
        <v>1.3186731947460599</v>
      </c>
      <c r="H238" s="61">
        <v>0.73962962962962897</v>
      </c>
      <c r="I238" s="62">
        <v>5.37</v>
      </c>
      <c r="J238" s="37">
        <v>4.6303703703703709</v>
      </c>
      <c r="K238" s="37">
        <v>626.03905858788244</v>
      </c>
      <c r="L238" s="1" t="s">
        <v>68</v>
      </c>
      <c r="M238" s="1">
        <v>1</v>
      </c>
    </row>
    <row r="239" spans="1:13" x14ac:dyDescent="0.3">
      <c r="A239">
        <v>12</v>
      </c>
      <c r="B239">
        <v>1</v>
      </c>
      <c r="C239" t="s">
        <v>79</v>
      </c>
      <c r="D239" s="1" t="s">
        <v>1</v>
      </c>
      <c r="E239" s="59" t="s">
        <v>16</v>
      </c>
      <c r="F239" s="60">
        <v>2.26728813559322</v>
      </c>
      <c r="G239" s="60">
        <v>0.53637145776662398</v>
      </c>
      <c r="H239" s="61">
        <v>2.4732653061224501</v>
      </c>
      <c r="I239" s="62">
        <v>3.93</v>
      </c>
      <c r="J239" s="37">
        <v>1.4567346938775501</v>
      </c>
      <c r="K239" s="37">
        <v>58.899249112963048</v>
      </c>
      <c r="L239" s="1" t="s">
        <v>68</v>
      </c>
      <c r="M239" s="1">
        <v>1</v>
      </c>
    </row>
    <row r="240" spans="1:13" x14ac:dyDescent="0.3">
      <c r="A240">
        <v>12</v>
      </c>
      <c r="B240">
        <v>1</v>
      </c>
      <c r="C240" t="s">
        <v>79</v>
      </c>
      <c r="D240" s="1" t="s">
        <v>1</v>
      </c>
      <c r="E240" s="59" t="s">
        <v>17</v>
      </c>
      <c r="F240" s="60">
        <v>1.1348275862068899</v>
      </c>
      <c r="G240" s="60">
        <v>1.0443530275417101</v>
      </c>
      <c r="H240" s="61">
        <v>0.82075471698113101</v>
      </c>
      <c r="I240" s="62">
        <v>4.3499999999999996</v>
      </c>
      <c r="J240" s="37">
        <v>3.5292452830188688</v>
      </c>
      <c r="K240" s="37">
        <v>430.00000000000068</v>
      </c>
      <c r="L240" s="1" t="s">
        <v>68</v>
      </c>
      <c r="M240" s="1">
        <v>1</v>
      </c>
    </row>
    <row r="241" spans="1:13" x14ac:dyDescent="0.3">
      <c r="A241">
        <v>12</v>
      </c>
      <c r="B241">
        <v>1</v>
      </c>
      <c r="C241" t="s">
        <v>79</v>
      </c>
      <c r="D241" s="1" t="s">
        <v>1</v>
      </c>
      <c r="E241" s="59" t="s">
        <v>18</v>
      </c>
      <c r="F241" s="60">
        <v>2.5801694915254201</v>
      </c>
      <c r="G241" s="60">
        <v>7.9178696183573596</v>
      </c>
      <c r="H241" s="61">
        <v>0.75339285714285698</v>
      </c>
      <c r="I241" s="62">
        <v>1.76</v>
      </c>
      <c r="J241" s="37">
        <v>1.006607142857143</v>
      </c>
      <c r="K241" s="37">
        <v>133.60986015643525</v>
      </c>
      <c r="L241" s="1" t="s">
        <v>68</v>
      </c>
      <c r="M241" s="1">
        <v>1</v>
      </c>
    </row>
    <row r="242" spans="1:13" x14ac:dyDescent="0.3">
      <c r="A242">
        <v>12</v>
      </c>
      <c r="B242">
        <v>1</v>
      </c>
      <c r="C242" t="s">
        <v>79</v>
      </c>
      <c r="D242" s="1" t="s">
        <v>1</v>
      </c>
      <c r="E242" s="59" t="s">
        <v>19</v>
      </c>
      <c r="F242" s="60">
        <v>0.65050847457627103</v>
      </c>
      <c r="G242" s="60">
        <v>0.108321926490854</v>
      </c>
      <c r="H242" s="61">
        <v>0.72175</v>
      </c>
      <c r="I242" s="62">
        <v>2.64</v>
      </c>
      <c r="J242" s="37">
        <v>1.91825</v>
      </c>
      <c r="K242" s="37">
        <v>265.77762383096643</v>
      </c>
      <c r="L242" s="1" t="s">
        <v>68</v>
      </c>
      <c r="M242" s="1">
        <v>1</v>
      </c>
    </row>
    <row r="243" spans="1:13" x14ac:dyDescent="0.3">
      <c r="A243">
        <v>12</v>
      </c>
      <c r="B243">
        <v>1</v>
      </c>
      <c r="C243" t="s">
        <v>79</v>
      </c>
      <c r="D243" s="1" t="s">
        <v>1</v>
      </c>
      <c r="E243" s="59" t="s">
        <v>12</v>
      </c>
      <c r="F243" s="60">
        <v>1.9775471698113101</v>
      </c>
      <c r="G243" s="60">
        <v>0.44296132826810802</v>
      </c>
      <c r="H243" s="61">
        <v>2.1033333333333299</v>
      </c>
      <c r="I243" s="62">
        <v>1.87</v>
      </c>
      <c r="J243" s="37">
        <v>-0.23333333333332984</v>
      </c>
      <c r="K243" s="37">
        <v>-11.093502377178933</v>
      </c>
      <c r="L243" s="1" t="s">
        <v>69</v>
      </c>
      <c r="M243" s="1">
        <v>1</v>
      </c>
    </row>
    <row r="244" spans="1:13" x14ac:dyDescent="0.3">
      <c r="A244">
        <v>12</v>
      </c>
      <c r="B244">
        <v>1</v>
      </c>
      <c r="C244" t="s">
        <v>79</v>
      </c>
      <c r="D244" s="1" t="s">
        <v>1</v>
      </c>
      <c r="E244" s="59" t="s">
        <v>13</v>
      </c>
      <c r="F244" s="60">
        <v>0.46263157894736801</v>
      </c>
      <c r="G244" s="60">
        <v>6.0712908416448899E-2</v>
      </c>
      <c r="H244" s="61">
        <v>0.44999999999999901</v>
      </c>
      <c r="I244" s="62">
        <v>3.49</v>
      </c>
      <c r="J244" s="37">
        <v>3.0400000000000014</v>
      </c>
      <c r="K244" s="37">
        <v>675.55555555555736</v>
      </c>
      <c r="L244" s="1" t="s">
        <v>69</v>
      </c>
      <c r="M244" s="1">
        <v>1</v>
      </c>
    </row>
    <row r="245" spans="1:13" x14ac:dyDescent="0.3">
      <c r="A245">
        <v>12</v>
      </c>
      <c r="B245">
        <v>1</v>
      </c>
      <c r="C245" t="s">
        <v>79</v>
      </c>
      <c r="D245" s="1" t="s">
        <v>1</v>
      </c>
      <c r="E245" s="59" t="s">
        <v>14</v>
      </c>
      <c r="F245" s="60">
        <v>0.231864406779661</v>
      </c>
      <c r="G245" s="60">
        <v>0.11680019991089199</v>
      </c>
      <c r="H245" s="61">
        <v>0.22</v>
      </c>
      <c r="I245" s="62">
        <v>4.88</v>
      </c>
      <c r="J245" s="37">
        <v>4.66</v>
      </c>
      <c r="K245" s="37">
        <v>2118.1818181818185</v>
      </c>
      <c r="L245" s="1" t="s">
        <v>69</v>
      </c>
      <c r="M245" s="1">
        <v>1</v>
      </c>
    </row>
    <row r="246" spans="1:13" x14ac:dyDescent="0.3">
      <c r="A246">
        <v>12</v>
      </c>
      <c r="B246">
        <v>1</v>
      </c>
      <c r="C246" t="s">
        <v>79</v>
      </c>
      <c r="D246" s="1" t="s">
        <v>1</v>
      </c>
      <c r="E246" s="59" t="s">
        <v>15</v>
      </c>
      <c r="F246" s="60">
        <v>1.1057627118644</v>
      </c>
      <c r="G246" s="60">
        <v>1.3186731947460599</v>
      </c>
      <c r="H246" s="61">
        <v>0.73962962962962897</v>
      </c>
      <c r="I246" s="62">
        <v>5.41</v>
      </c>
      <c r="J246" s="37">
        <v>4.6703703703703709</v>
      </c>
      <c r="K246" s="37">
        <v>631.44717075613482</v>
      </c>
      <c r="L246" s="1" t="s">
        <v>69</v>
      </c>
      <c r="M246" s="1">
        <v>1</v>
      </c>
    </row>
    <row r="247" spans="1:13" x14ac:dyDescent="0.3">
      <c r="A247">
        <v>12</v>
      </c>
      <c r="B247">
        <v>1</v>
      </c>
      <c r="C247" t="s">
        <v>79</v>
      </c>
      <c r="D247" s="1" t="s">
        <v>1</v>
      </c>
      <c r="E247" s="59" t="s">
        <v>16</v>
      </c>
      <c r="F247" s="60">
        <v>2.26728813559322</v>
      </c>
      <c r="G247" s="60">
        <v>0.53637145776662398</v>
      </c>
      <c r="H247" s="61">
        <v>2.4732653061224501</v>
      </c>
      <c r="I247" s="62">
        <v>3.97</v>
      </c>
      <c r="J247" s="37">
        <v>1.4967346938775501</v>
      </c>
      <c r="K247" s="37">
        <v>60.516544269329088</v>
      </c>
      <c r="L247" s="1" t="s">
        <v>69</v>
      </c>
      <c r="M247" s="1">
        <v>1</v>
      </c>
    </row>
    <row r="248" spans="1:13" x14ac:dyDescent="0.3">
      <c r="A248">
        <v>12</v>
      </c>
      <c r="B248">
        <v>1</v>
      </c>
      <c r="C248" t="s">
        <v>79</v>
      </c>
      <c r="D248" s="1" t="s">
        <v>1</v>
      </c>
      <c r="E248" s="59" t="s">
        <v>17</v>
      </c>
      <c r="F248" s="60">
        <v>1.1348275862068899</v>
      </c>
      <c r="G248" s="60">
        <v>1.0443530275417101</v>
      </c>
      <c r="H248" s="61">
        <v>0.82075471698113101</v>
      </c>
      <c r="I248" s="62">
        <v>4.4000000000000004</v>
      </c>
      <c r="J248" s="37">
        <v>3.5792452830188695</v>
      </c>
      <c r="K248" s="37">
        <v>436.09195402298928</v>
      </c>
      <c r="L248" s="1" t="s">
        <v>69</v>
      </c>
      <c r="M248" s="1">
        <v>1</v>
      </c>
    </row>
    <row r="249" spans="1:13" x14ac:dyDescent="0.3">
      <c r="A249">
        <v>12</v>
      </c>
      <c r="B249">
        <v>1</v>
      </c>
      <c r="C249" t="s">
        <v>79</v>
      </c>
      <c r="D249" s="1" t="s">
        <v>1</v>
      </c>
      <c r="E249" s="59" t="s">
        <v>18</v>
      </c>
      <c r="F249" s="60">
        <v>2.5801694915254201</v>
      </c>
      <c r="G249" s="60">
        <v>7.9178696183573596</v>
      </c>
      <c r="H249" s="61">
        <v>0.75339285714285698</v>
      </c>
      <c r="I249" s="62">
        <v>1.76</v>
      </c>
      <c r="J249" s="37">
        <v>1.006607142857143</v>
      </c>
      <c r="K249" s="37">
        <v>133.60986015643525</v>
      </c>
      <c r="L249" s="1" t="s">
        <v>69</v>
      </c>
      <c r="M249" s="1">
        <v>1</v>
      </c>
    </row>
    <row r="250" spans="1:13" x14ac:dyDescent="0.3">
      <c r="A250">
        <v>12</v>
      </c>
      <c r="B250">
        <v>1</v>
      </c>
      <c r="C250" t="s">
        <v>79</v>
      </c>
      <c r="D250" s="1" t="s">
        <v>1</v>
      </c>
      <c r="E250" s="59" t="s">
        <v>19</v>
      </c>
      <c r="F250" s="60">
        <v>0.65050847457627103</v>
      </c>
      <c r="G250" s="60">
        <v>0.108321926490854</v>
      </c>
      <c r="H250" s="61">
        <v>0.72175</v>
      </c>
      <c r="I250" s="62">
        <v>2.66</v>
      </c>
      <c r="J250" s="37">
        <v>1.93825</v>
      </c>
      <c r="K250" s="37">
        <v>268.54866643574644</v>
      </c>
      <c r="L250" s="1" t="s">
        <v>69</v>
      </c>
      <c r="M250" s="1">
        <v>1</v>
      </c>
    </row>
    <row r="252" spans="1:13" x14ac:dyDescent="0.3">
      <c r="A252">
        <v>12</v>
      </c>
      <c r="B252">
        <v>1</v>
      </c>
      <c r="C252" t="s">
        <v>79</v>
      </c>
      <c r="D252" s="1" t="s">
        <v>1</v>
      </c>
      <c r="E252" s="59" t="s">
        <v>12</v>
      </c>
      <c r="F252" s="60">
        <v>1.9137037037036999</v>
      </c>
      <c r="G252" s="60">
        <v>0.50394112051830497</v>
      </c>
      <c r="H252" s="61">
        <v>2.1317777777777698</v>
      </c>
      <c r="I252" s="62">
        <v>1.95</v>
      </c>
      <c r="J252" s="37">
        <v>-0.18177777777776982</v>
      </c>
      <c r="K252" s="37">
        <v>-8.527050974668688</v>
      </c>
      <c r="L252" s="1" t="s">
        <v>23</v>
      </c>
      <c r="M252" s="1">
        <v>2</v>
      </c>
    </row>
    <row r="253" spans="1:13" x14ac:dyDescent="0.3">
      <c r="A253">
        <v>12</v>
      </c>
      <c r="B253">
        <v>1</v>
      </c>
      <c r="C253" t="s">
        <v>79</v>
      </c>
      <c r="D253" s="1" t="s">
        <v>1</v>
      </c>
      <c r="E253" s="59" t="s">
        <v>13</v>
      </c>
      <c r="F253" s="60">
        <v>0.45807017543859602</v>
      </c>
      <c r="G253" s="60">
        <v>3.1977985656321199E-2</v>
      </c>
      <c r="H253" s="61">
        <v>0.44999999999999901</v>
      </c>
      <c r="I253" s="62">
        <v>3.4</v>
      </c>
      <c r="J253" s="37">
        <v>2.9500000000000011</v>
      </c>
      <c r="K253" s="37">
        <v>655.55555555555725</v>
      </c>
      <c r="L253" s="1" t="s">
        <v>23</v>
      </c>
      <c r="M253" s="1">
        <v>2</v>
      </c>
    </row>
    <row r="254" spans="1:13" x14ac:dyDescent="0.3">
      <c r="A254">
        <v>12</v>
      </c>
      <c r="B254">
        <v>1</v>
      </c>
      <c r="C254" t="s">
        <v>79</v>
      </c>
      <c r="D254" s="1" t="s">
        <v>1</v>
      </c>
      <c r="E254" s="59" t="s">
        <v>14</v>
      </c>
      <c r="F254" s="60">
        <v>0.21915254237288101</v>
      </c>
      <c r="G254" s="60">
        <v>4.9206866531768902E-2</v>
      </c>
      <c r="H254" s="61">
        <v>0.23899999999999999</v>
      </c>
      <c r="I254" s="62">
        <v>4.83</v>
      </c>
      <c r="J254" s="37">
        <v>4.5910000000000002</v>
      </c>
      <c r="K254" s="37">
        <v>1920.9205020920504</v>
      </c>
      <c r="L254" s="1" t="s">
        <v>23</v>
      </c>
      <c r="M254" s="1">
        <v>2</v>
      </c>
    </row>
    <row r="255" spans="1:13" x14ac:dyDescent="0.3">
      <c r="A255">
        <v>12</v>
      </c>
      <c r="B255">
        <v>1</v>
      </c>
      <c r="C255" t="s">
        <v>79</v>
      </c>
      <c r="D255" s="1" t="s">
        <v>1</v>
      </c>
      <c r="E255" s="59" t="s">
        <v>15</v>
      </c>
      <c r="F255" s="60">
        <v>0.946949152542373</v>
      </c>
      <c r="G255" s="60">
        <v>0.81787499404805797</v>
      </c>
      <c r="H255" s="61">
        <v>0.48619047619047601</v>
      </c>
      <c r="I255" s="62">
        <v>5.42</v>
      </c>
      <c r="J255" s="37">
        <v>4.9338095238095239</v>
      </c>
      <c r="K255" s="37">
        <v>1014.7894221351621</v>
      </c>
      <c r="L255" s="1" t="s">
        <v>23</v>
      </c>
      <c r="M255" s="1">
        <v>2</v>
      </c>
    </row>
    <row r="256" spans="1:13" x14ac:dyDescent="0.3">
      <c r="A256">
        <v>12</v>
      </c>
      <c r="B256">
        <v>1</v>
      </c>
      <c r="C256" t="s">
        <v>79</v>
      </c>
      <c r="D256" s="1" t="s">
        <v>1</v>
      </c>
      <c r="E256" s="59" t="s">
        <v>16</v>
      </c>
      <c r="F256" s="60">
        <v>2.2367796610169499</v>
      </c>
      <c r="G256" s="60">
        <v>0.45475432249030201</v>
      </c>
      <c r="H256" s="61">
        <v>2.3526923076922999</v>
      </c>
      <c r="I256" s="62">
        <v>3.92</v>
      </c>
      <c r="J256" s="37">
        <v>1.5673076923077001</v>
      </c>
      <c r="K256" s="37">
        <v>66.617623017819739</v>
      </c>
      <c r="L256" s="1" t="s">
        <v>23</v>
      </c>
      <c r="M256" s="1">
        <v>2</v>
      </c>
    </row>
    <row r="257" spans="1:13" x14ac:dyDescent="0.3">
      <c r="A257">
        <v>12</v>
      </c>
      <c r="B257">
        <v>1</v>
      </c>
      <c r="C257" t="s">
        <v>79</v>
      </c>
      <c r="D257" s="1" t="s">
        <v>1</v>
      </c>
      <c r="E257" s="59" t="s">
        <v>17</v>
      </c>
      <c r="F257" s="60">
        <v>0.90086206896551602</v>
      </c>
      <c r="G257" s="60">
        <v>0.48231941227550401</v>
      </c>
      <c r="H257" s="61">
        <v>0.84333333333333205</v>
      </c>
      <c r="I257" s="62">
        <v>4.3499999999999996</v>
      </c>
      <c r="J257" s="37">
        <v>3.5066666666666677</v>
      </c>
      <c r="K257" s="37">
        <v>415.81027667984267</v>
      </c>
      <c r="L257" s="1" t="s">
        <v>23</v>
      </c>
      <c r="M257" s="1">
        <v>2</v>
      </c>
    </row>
    <row r="258" spans="1:13" x14ac:dyDescent="0.3">
      <c r="A258">
        <v>12</v>
      </c>
      <c r="B258">
        <v>1</v>
      </c>
      <c r="C258" t="s">
        <v>79</v>
      </c>
      <c r="D258" s="1" t="s">
        <v>1</v>
      </c>
      <c r="E258" s="59" t="s">
        <v>18</v>
      </c>
      <c r="F258" s="60">
        <v>2.9205084745762599</v>
      </c>
      <c r="G258" s="60">
        <v>9.3025712544889192</v>
      </c>
      <c r="H258" s="61">
        <v>0.77392857142857197</v>
      </c>
      <c r="I258" s="62">
        <v>1.86</v>
      </c>
      <c r="J258" s="37">
        <v>1.0860714285714281</v>
      </c>
      <c r="K258" s="37">
        <v>140.33225657591123</v>
      </c>
      <c r="L258" s="1" t="s">
        <v>23</v>
      </c>
      <c r="M258" s="1">
        <v>2</v>
      </c>
    </row>
    <row r="259" spans="1:13" x14ac:dyDescent="0.3">
      <c r="A259">
        <v>12</v>
      </c>
      <c r="B259">
        <v>1</v>
      </c>
      <c r="C259" t="s">
        <v>79</v>
      </c>
      <c r="D259" s="1" t="s">
        <v>1</v>
      </c>
      <c r="E259" s="59" t="s">
        <v>19</v>
      </c>
      <c r="F259" s="60">
        <v>0.66084745762711805</v>
      </c>
      <c r="G259" s="60">
        <v>0.106838832139154</v>
      </c>
      <c r="H259" s="61">
        <v>0.72</v>
      </c>
      <c r="I259" s="62">
        <v>2.73</v>
      </c>
      <c r="J259" s="37">
        <v>2.0099999999999998</v>
      </c>
      <c r="K259" s="37">
        <v>279.16666666666663</v>
      </c>
      <c r="L259" s="1" t="s">
        <v>23</v>
      </c>
      <c r="M259" s="1">
        <v>2</v>
      </c>
    </row>
    <row r="260" spans="1:13" x14ac:dyDescent="0.3">
      <c r="A260">
        <v>12</v>
      </c>
      <c r="B260">
        <v>1</v>
      </c>
      <c r="C260" t="s">
        <v>79</v>
      </c>
      <c r="D260" s="1" t="s">
        <v>1</v>
      </c>
      <c r="E260" s="59" t="s">
        <v>12</v>
      </c>
      <c r="F260" s="60">
        <v>1.9137037037036999</v>
      </c>
      <c r="G260" s="60">
        <v>0.50394112051830497</v>
      </c>
      <c r="H260" s="61">
        <v>2.1317777777777698</v>
      </c>
      <c r="I260" s="62">
        <v>1.94</v>
      </c>
      <c r="J260" s="37">
        <v>-0.19177777777776983</v>
      </c>
      <c r="K260" s="37">
        <v>-8.9961430209524398</v>
      </c>
      <c r="L260" s="1" t="s">
        <v>68</v>
      </c>
      <c r="M260" s="1">
        <v>2</v>
      </c>
    </row>
    <row r="261" spans="1:13" x14ac:dyDescent="0.3">
      <c r="A261">
        <v>12</v>
      </c>
      <c r="B261">
        <v>1</v>
      </c>
      <c r="C261" t="s">
        <v>79</v>
      </c>
      <c r="D261" s="1" t="s">
        <v>1</v>
      </c>
      <c r="E261" s="59" t="s">
        <v>13</v>
      </c>
      <c r="F261" s="60">
        <v>0.45807017543859602</v>
      </c>
      <c r="G261" s="60">
        <v>3.1977985656321199E-2</v>
      </c>
      <c r="H261" s="61">
        <v>0.44999999999999901</v>
      </c>
      <c r="I261" s="62">
        <v>3.45</v>
      </c>
      <c r="J261" s="37">
        <v>3.0000000000000013</v>
      </c>
      <c r="K261" s="37">
        <v>666.66666666666833</v>
      </c>
      <c r="L261" s="1" t="s">
        <v>68</v>
      </c>
      <c r="M261" s="1">
        <v>2</v>
      </c>
    </row>
    <row r="262" spans="1:13" x14ac:dyDescent="0.3">
      <c r="A262">
        <v>12</v>
      </c>
      <c r="B262">
        <v>1</v>
      </c>
      <c r="C262" t="s">
        <v>79</v>
      </c>
      <c r="D262" s="1" t="s">
        <v>1</v>
      </c>
      <c r="E262" s="59" t="s">
        <v>14</v>
      </c>
      <c r="F262" s="60">
        <v>0.21915254237288101</v>
      </c>
      <c r="G262" s="60">
        <v>4.9206866531768902E-2</v>
      </c>
      <c r="H262" s="61">
        <v>0.23899999999999999</v>
      </c>
      <c r="I262" s="62">
        <v>4.8499999999999996</v>
      </c>
      <c r="J262" s="37">
        <v>4.6109999999999998</v>
      </c>
      <c r="K262" s="37">
        <v>1929.2887029288704</v>
      </c>
      <c r="L262" s="1" t="s">
        <v>68</v>
      </c>
      <c r="M262" s="1">
        <v>2</v>
      </c>
    </row>
    <row r="263" spans="1:13" x14ac:dyDescent="0.3">
      <c r="A263">
        <v>12</v>
      </c>
      <c r="B263">
        <v>1</v>
      </c>
      <c r="C263" t="s">
        <v>79</v>
      </c>
      <c r="D263" s="1" t="s">
        <v>1</v>
      </c>
      <c r="E263" s="59" t="s">
        <v>15</v>
      </c>
      <c r="F263" s="60">
        <v>0.946949152542373</v>
      </c>
      <c r="G263" s="60">
        <v>0.81787499404805797</v>
      </c>
      <c r="H263" s="61">
        <v>0.48619047619047601</v>
      </c>
      <c r="I263" s="62">
        <v>5.37</v>
      </c>
      <c r="J263" s="37">
        <v>4.883809523809524</v>
      </c>
      <c r="K263" s="37">
        <v>1004.5053868756125</v>
      </c>
      <c r="L263" s="1" t="s">
        <v>68</v>
      </c>
      <c r="M263" s="1">
        <v>2</v>
      </c>
    </row>
    <row r="264" spans="1:13" x14ac:dyDescent="0.3">
      <c r="A264">
        <v>12</v>
      </c>
      <c r="B264">
        <v>1</v>
      </c>
      <c r="C264" t="s">
        <v>79</v>
      </c>
      <c r="D264" s="1" t="s">
        <v>1</v>
      </c>
      <c r="E264" s="59" t="s">
        <v>16</v>
      </c>
      <c r="F264" s="60">
        <v>2.2367796610169499</v>
      </c>
      <c r="G264" s="60">
        <v>0.45475432249030201</v>
      </c>
      <c r="H264" s="61">
        <v>2.3526923076922999</v>
      </c>
      <c r="I264" s="62">
        <v>3.93</v>
      </c>
      <c r="J264" s="37">
        <v>1.5773076923077003</v>
      </c>
      <c r="K264" s="37">
        <v>67.04266797449786</v>
      </c>
      <c r="L264" s="1" t="s">
        <v>68</v>
      </c>
      <c r="M264" s="1">
        <v>2</v>
      </c>
    </row>
    <row r="265" spans="1:13" x14ac:dyDescent="0.3">
      <c r="A265">
        <v>12</v>
      </c>
      <c r="B265">
        <v>1</v>
      </c>
      <c r="C265" t="s">
        <v>79</v>
      </c>
      <c r="D265" s="1" t="s">
        <v>1</v>
      </c>
      <c r="E265" s="59" t="s">
        <v>17</v>
      </c>
      <c r="F265" s="60">
        <v>0.90086206896551602</v>
      </c>
      <c r="G265" s="60">
        <v>0.48231941227550401</v>
      </c>
      <c r="H265" s="61">
        <v>0.84333333333333205</v>
      </c>
      <c r="I265" s="62">
        <v>4.3499999999999996</v>
      </c>
      <c r="J265" s="37">
        <v>3.5066666666666677</v>
      </c>
      <c r="K265" s="37">
        <v>415.81027667984267</v>
      </c>
      <c r="L265" s="1" t="s">
        <v>68</v>
      </c>
      <c r="M265" s="1">
        <v>2</v>
      </c>
    </row>
    <row r="266" spans="1:13" x14ac:dyDescent="0.3">
      <c r="A266">
        <v>12</v>
      </c>
      <c r="B266">
        <v>1</v>
      </c>
      <c r="C266" t="s">
        <v>79</v>
      </c>
      <c r="D266" s="1" t="s">
        <v>1</v>
      </c>
      <c r="E266" s="59" t="s">
        <v>18</v>
      </c>
      <c r="F266" s="60">
        <v>2.9205084745762599</v>
      </c>
      <c r="G266" s="60">
        <v>9.3025712544889192</v>
      </c>
      <c r="H266" s="61">
        <v>0.77392857142857197</v>
      </c>
      <c r="I266" s="62">
        <v>1.76</v>
      </c>
      <c r="J266" s="37">
        <v>0.98607142857142804</v>
      </c>
      <c r="K266" s="37">
        <v>127.4111675126902</v>
      </c>
      <c r="L266" s="1" t="s">
        <v>68</v>
      </c>
      <c r="M266" s="1">
        <v>2</v>
      </c>
    </row>
    <row r="267" spans="1:13" x14ac:dyDescent="0.3">
      <c r="A267">
        <v>12</v>
      </c>
      <c r="B267">
        <v>1</v>
      </c>
      <c r="C267" t="s">
        <v>79</v>
      </c>
      <c r="D267" s="1" t="s">
        <v>1</v>
      </c>
      <c r="E267" s="59" t="s">
        <v>19</v>
      </c>
      <c r="F267" s="60">
        <v>0.66084745762711805</v>
      </c>
      <c r="G267" s="60">
        <v>0.106838832139154</v>
      </c>
      <c r="H267" s="61">
        <v>0.72</v>
      </c>
      <c r="I267" s="62">
        <v>2.64</v>
      </c>
      <c r="J267" s="37">
        <v>1.9200000000000002</v>
      </c>
      <c r="K267" s="37">
        <v>266.66666666666669</v>
      </c>
      <c r="L267" s="1" t="s">
        <v>68</v>
      </c>
      <c r="M267" s="1">
        <v>2</v>
      </c>
    </row>
    <row r="268" spans="1:13" x14ac:dyDescent="0.3">
      <c r="A268">
        <v>12</v>
      </c>
      <c r="B268">
        <v>1</v>
      </c>
      <c r="C268" t="s">
        <v>79</v>
      </c>
      <c r="D268" s="1" t="s">
        <v>1</v>
      </c>
      <c r="E268" s="59" t="s">
        <v>12</v>
      </c>
      <c r="F268" s="60">
        <v>1.9137037037036999</v>
      </c>
      <c r="G268" s="60">
        <v>0.50394112051830497</v>
      </c>
      <c r="H268" s="61">
        <v>2.1317777777777698</v>
      </c>
      <c r="I268" s="62">
        <v>1.87</v>
      </c>
      <c r="J268" s="37">
        <v>-0.26177777777776967</v>
      </c>
      <c r="K268" s="37">
        <v>-12.279787344938683</v>
      </c>
      <c r="L268" s="1" t="s">
        <v>69</v>
      </c>
      <c r="M268" s="1">
        <v>2</v>
      </c>
    </row>
    <row r="269" spans="1:13" x14ac:dyDescent="0.3">
      <c r="A269">
        <v>12</v>
      </c>
      <c r="B269">
        <v>1</v>
      </c>
      <c r="C269" t="s">
        <v>79</v>
      </c>
      <c r="D269" s="1" t="s">
        <v>1</v>
      </c>
      <c r="E269" s="59" t="s">
        <v>13</v>
      </c>
      <c r="F269" s="60">
        <v>0.45807017543859602</v>
      </c>
      <c r="G269" s="60">
        <v>3.1977985656321199E-2</v>
      </c>
      <c r="H269" s="61">
        <v>0.44999999999999901</v>
      </c>
      <c r="I269" s="62">
        <v>3.49</v>
      </c>
      <c r="J269" s="37">
        <v>3.0400000000000014</v>
      </c>
      <c r="K269" s="37">
        <v>675.55555555555736</v>
      </c>
      <c r="L269" s="1" t="s">
        <v>69</v>
      </c>
      <c r="M269" s="1">
        <v>2</v>
      </c>
    </row>
    <row r="270" spans="1:13" x14ac:dyDescent="0.3">
      <c r="A270">
        <v>12</v>
      </c>
      <c r="B270">
        <v>1</v>
      </c>
      <c r="C270" t="s">
        <v>79</v>
      </c>
      <c r="D270" s="1" t="s">
        <v>1</v>
      </c>
      <c r="E270" s="59" t="s">
        <v>14</v>
      </c>
      <c r="F270" s="60">
        <v>0.21915254237288101</v>
      </c>
      <c r="G270" s="60">
        <v>4.9206866531768902E-2</v>
      </c>
      <c r="H270" s="61">
        <v>0.23899999999999999</v>
      </c>
      <c r="I270" s="62">
        <v>4.88</v>
      </c>
      <c r="J270" s="37">
        <v>4.641</v>
      </c>
      <c r="K270" s="37">
        <v>1941.8410041841003</v>
      </c>
      <c r="L270" s="1" t="s">
        <v>69</v>
      </c>
      <c r="M270" s="1">
        <v>2</v>
      </c>
    </row>
    <row r="271" spans="1:13" x14ac:dyDescent="0.3">
      <c r="A271">
        <v>12</v>
      </c>
      <c r="B271">
        <v>1</v>
      </c>
      <c r="C271" t="s">
        <v>79</v>
      </c>
      <c r="D271" s="1" t="s">
        <v>1</v>
      </c>
      <c r="E271" s="59" t="s">
        <v>15</v>
      </c>
      <c r="F271" s="60">
        <v>0.946949152542373</v>
      </c>
      <c r="G271" s="60">
        <v>0.81787499404805797</v>
      </c>
      <c r="H271" s="61">
        <v>0.48619047619047601</v>
      </c>
      <c r="I271" s="62">
        <v>5.41</v>
      </c>
      <c r="J271" s="37">
        <v>4.9238095238095241</v>
      </c>
      <c r="K271" s="37">
        <v>1012.7326150832522</v>
      </c>
      <c r="L271" s="1" t="s">
        <v>69</v>
      </c>
      <c r="M271" s="1">
        <v>2</v>
      </c>
    </row>
    <row r="272" spans="1:13" x14ac:dyDescent="0.3">
      <c r="A272">
        <v>12</v>
      </c>
      <c r="B272">
        <v>1</v>
      </c>
      <c r="C272" t="s">
        <v>79</v>
      </c>
      <c r="D272" s="1" t="s">
        <v>1</v>
      </c>
      <c r="E272" s="59" t="s">
        <v>16</v>
      </c>
      <c r="F272" s="60">
        <v>2.2367796610169499</v>
      </c>
      <c r="G272" s="60">
        <v>0.45475432249030201</v>
      </c>
      <c r="H272" s="61">
        <v>2.3526923076922999</v>
      </c>
      <c r="I272" s="62">
        <v>3.97</v>
      </c>
      <c r="J272" s="37">
        <v>1.6173076923077003</v>
      </c>
      <c r="K272" s="37">
        <v>68.742847801210317</v>
      </c>
      <c r="L272" s="1" t="s">
        <v>69</v>
      </c>
      <c r="M272" s="1">
        <v>2</v>
      </c>
    </row>
    <row r="273" spans="1:13" x14ac:dyDescent="0.3">
      <c r="A273">
        <v>12</v>
      </c>
      <c r="B273">
        <v>1</v>
      </c>
      <c r="C273" t="s">
        <v>79</v>
      </c>
      <c r="D273" s="1" t="s">
        <v>1</v>
      </c>
      <c r="E273" s="59" t="s">
        <v>17</v>
      </c>
      <c r="F273" s="60">
        <v>0.90086206896551602</v>
      </c>
      <c r="G273" s="60">
        <v>0.48231941227550401</v>
      </c>
      <c r="H273" s="61">
        <v>0.84333333333333205</v>
      </c>
      <c r="I273" s="62">
        <v>4.4000000000000004</v>
      </c>
      <c r="J273" s="37">
        <v>3.5566666666666684</v>
      </c>
      <c r="K273" s="37">
        <v>421.73913043478342</v>
      </c>
      <c r="L273" s="1" t="s">
        <v>69</v>
      </c>
      <c r="M273" s="1">
        <v>2</v>
      </c>
    </row>
    <row r="274" spans="1:13" x14ac:dyDescent="0.3">
      <c r="A274">
        <v>12</v>
      </c>
      <c r="B274">
        <v>1</v>
      </c>
      <c r="C274" t="s">
        <v>79</v>
      </c>
      <c r="D274" s="1" t="s">
        <v>1</v>
      </c>
      <c r="E274" s="59" t="s">
        <v>18</v>
      </c>
      <c r="F274" s="60">
        <v>2.9205084745762599</v>
      </c>
      <c r="G274" s="60">
        <v>9.3025712544889192</v>
      </c>
      <c r="H274" s="61">
        <v>0.77392857142857197</v>
      </c>
      <c r="I274" s="62">
        <v>1.76</v>
      </c>
      <c r="J274" s="37">
        <v>0.98607142857142804</v>
      </c>
      <c r="K274" s="37">
        <v>127.4111675126902</v>
      </c>
      <c r="L274" s="1" t="s">
        <v>69</v>
      </c>
      <c r="M274" s="1">
        <v>2</v>
      </c>
    </row>
    <row r="275" spans="1:13" x14ac:dyDescent="0.3">
      <c r="A275">
        <v>12</v>
      </c>
      <c r="B275">
        <v>1</v>
      </c>
      <c r="C275" t="s">
        <v>79</v>
      </c>
      <c r="D275" s="1" t="s">
        <v>1</v>
      </c>
      <c r="E275" s="59" t="s">
        <v>19</v>
      </c>
      <c r="F275" s="60">
        <v>0.66084745762711805</v>
      </c>
      <c r="G275" s="60">
        <v>0.106838832139154</v>
      </c>
      <c r="H275" s="61">
        <v>0.72</v>
      </c>
      <c r="I275" s="62">
        <v>2.66</v>
      </c>
      <c r="J275" s="37">
        <v>1.9400000000000002</v>
      </c>
      <c r="K275" s="37">
        <v>269.44444444444446</v>
      </c>
      <c r="L275" s="1" t="s">
        <v>69</v>
      </c>
      <c r="M275" s="1">
        <v>2</v>
      </c>
    </row>
    <row r="277" spans="1:13" x14ac:dyDescent="0.3">
      <c r="A277">
        <v>12</v>
      </c>
      <c r="B277">
        <v>1</v>
      </c>
      <c r="C277" t="s">
        <v>79</v>
      </c>
      <c r="D277" s="1" t="s">
        <v>1</v>
      </c>
      <c r="E277" s="59" t="s">
        <v>12</v>
      </c>
      <c r="F277" s="60">
        <v>1.97631578947368</v>
      </c>
      <c r="G277" s="60">
        <v>0.47751047229793903</v>
      </c>
      <c r="H277" s="61">
        <v>2.1419148936170198</v>
      </c>
      <c r="I277" s="63">
        <v>1.95</v>
      </c>
      <c r="J277" s="58">
        <v>-0.19191489361701985</v>
      </c>
      <c r="K277" s="58">
        <v>-8.9599682129730205</v>
      </c>
      <c r="L277" s="1" t="s">
        <v>23</v>
      </c>
      <c r="M277" s="1">
        <v>3</v>
      </c>
    </row>
    <row r="278" spans="1:13" x14ac:dyDescent="0.3">
      <c r="A278">
        <v>12</v>
      </c>
      <c r="B278">
        <v>1</v>
      </c>
      <c r="C278" t="s">
        <v>79</v>
      </c>
      <c r="D278" s="1" t="s">
        <v>1</v>
      </c>
      <c r="E278" s="59" t="s">
        <v>13</v>
      </c>
      <c r="F278" s="60">
        <v>0.45344827586206798</v>
      </c>
      <c r="G278" s="60">
        <v>3.3659129219068697E-2</v>
      </c>
      <c r="H278" s="61">
        <v>0.44999999999999901</v>
      </c>
      <c r="I278" s="63">
        <v>3.4</v>
      </c>
      <c r="J278" s="58">
        <v>2.9500000000000011</v>
      </c>
      <c r="K278" s="58">
        <v>655.55555555555725</v>
      </c>
      <c r="L278" s="1" t="s">
        <v>23</v>
      </c>
      <c r="M278" s="1">
        <v>3</v>
      </c>
    </row>
    <row r="279" spans="1:13" x14ac:dyDescent="0.3">
      <c r="A279">
        <v>12</v>
      </c>
      <c r="B279">
        <v>1</v>
      </c>
      <c r="C279" t="s">
        <v>79</v>
      </c>
      <c r="D279" s="1" t="s">
        <v>1</v>
      </c>
      <c r="E279" s="59" t="s">
        <v>14</v>
      </c>
      <c r="F279" s="60">
        <v>0.230833333333333</v>
      </c>
      <c r="G279" s="60">
        <v>9.4256594228497095E-2</v>
      </c>
      <c r="H279" s="61">
        <v>0.244255319148936</v>
      </c>
      <c r="I279" s="63">
        <v>4.83</v>
      </c>
      <c r="J279" s="58">
        <v>4.5857446808510645</v>
      </c>
      <c r="K279" s="58">
        <v>1877.4390243902455</v>
      </c>
      <c r="L279" s="1" t="s">
        <v>23</v>
      </c>
      <c r="M279" s="1">
        <v>3</v>
      </c>
    </row>
    <row r="280" spans="1:13" x14ac:dyDescent="0.3">
      <c r="A280">
        <v>12</v>
      </c>
      <c r="B280">
        <v>1</v>
      </c>
      <c r="C280" t="s">
        <v>79</v>
      </c>
      <c r="D280" s="1" t="s">
        <v>1</v>
      </c>
      <c r="E280" s="59" t="s">
        <v>15</v>
      </c>
      <c r="F280" s="60">
        <v>1.02866666666666</v>
      </c>
      <c r="G280" s="60">
        <v>1.1565112287488699</v>
      </c>
      <c r="H280" s="61">
        <v>0.752857142857143</v>
      </c>
      <c r="I280" s="63">
        <v>5.42</v>
      </c>
      <c r="J280" s="58">
        <v>4.6671428571428573</v>
      </c>
      <c r="K280" s="58">
        <v>619.92409867172671</v>
      </c>
      <c r="L280" s="1" t="s">
        <v>23</v>
      </c>
      <c r="M280" s="1">
        <v>3</v>
      </c>
    </row>
    <row r="281" spans="1:13" x14ac:dyDescent="0.3">
      <c r="A281">
        <v>12</v>
      </c>
      <c r="B281">
        <v>1</v>
      </c>
      <c r="C281" t="s">
        <v>79</v>
      </c>
      <c r="D281" s="1" t="s">
        <v>1</v>
      </c>
      <c r="E281" s="59" t="s">
        <v>16</v>
      </c>
      <c r="F281" s="60">
        <v>2.3530000000000002</v>
      </c>
      <c r="G281" s="60">
        <v>0.45915610998148798</v>
      </c>
      <c r="H281" s="61">
        <v>2.5504166666666599</v>
      </c>
      <c r="I281" s="63">
        <v>3.92</v>
      </c>
      <c r="J281" s="58">
        <v>1.36958333333334</v>
      </c>
      <c r="K281" s="58">
        <v>53.7003757555959</v>
      </c>
      <c r="L281" s="1" t="s">
        <v>23</v>
      </c>
      <c r="M281" s="1">
        <v>3</v>
      </c>
    </row>
    <row r="282" spans="1:13" x14ac:dyDescent="0.3">
      <c r="A282">
        <v>12</v>
      </c>
      <c r="B282">
        <v>1</v>
      </c>
      <c r="C282" t="s">
        <v>79</v>
      </c>
      <c r="D282" s="1" t="s">
        <v>1</v>
      </c>
      <c r="E282" s="59" t="s">
        <v>17</v>
      </c>
      <c r="F282" s="60">
        <v>0.97745762711864304</v>
      </c>
      <c r="G282" s="60">
        <v>0.76473013567396997</v>
      </c>
      <c r="H282" s="61">
        <v>0.84017543859649002</v>
      </c>
      <c r="I282" s="63">
        <v>4.3499999999999996</v>
      </c>
      <c r="J282" s="58">
        <v>3.5098245614035095</v>
      </c>
      <c r="K282" s="58">
        <v>417.74900814366322</v>
      </c>
      <c r="L282" s="1" t="s">
        <v>23</v>
      </c>
      <c r="M282" s="1">
        <v>3</v>
      </c>
    </row>
    <row r="283" spans="1:13" x14ac:dyDescent="0.3">
      <c r="A283">
        <v>12</v>
      </c>
      <c r="B283">
        <v>1</v>
      </c>
      <c r="C283" t="s">
        <v>79</v>
      </c>
      <c r="D283" s="1" t="s">
        <v>1</v>
      </c>
      <c r="E283" s="59" t="s">
        <v>18</v>
      </c>
      <c r="F283" s="60">
        <v>2.1403389830508401</v>
      </c>
      <c r="G283" s="60">
        <v>7.4724785364904696</v>
      </c>
      <c r="H283" s="61">
        <v>0.745789473684211</v>
      </c>
      <c r="I283" s="63">
        <v>1.86</v>
      </c>
      <c r="J283" s="58">
        <v>1.1142105263157891</v>
      </c>
      <c r="K283" s="58">
        <v>149.40014114326027</v>
      </c>
      <c r="L283" s="1" t="s">
        <v>23</v>
      </c>
      <c r="M283" s="1">
        <v>3</v>
      </c>
    </row>
    <row r="284" spans="1:13" x14ac:dyDescent="0.3">
      <c r="A284">
        <v>12</v>
      </c>
      <c r="B284">
        <v>1</v>
      </c>
      <c r="C284" t="s">
        <v>79</v>
      </c>
      <c r="D284" s="1" t="s">
        <v>1</v>
      </c>
      <c r="E284" s="59" t="s">
        <v>19</v>
      </c>
      <c r="F284" s="60">
        <v>0.65166666666666595</v>
      </c>
      <c r="G284" s="60">
        <v>0.117943018256934</v>
      </c>
      <c r="H284" s="61">
        <v>0.70799999999999996</v>
      </c>
      <c r="I284" s="63">
        <v>2.73</v>
      </c>
      <c r="J284" s="58">
        <v>2.0220000000000002</v>
      </c>
      <c r="K284" s="58">
        <v>285.59322033898309</v>
      </c>
      <c r="L284" s="1" t="s">
        <v>23</v>
      </c>
      <c r="M284" s="1">
        <v>3</v>
      </c>
    </row>
    <row r="285" spans="1:13" x14ac:dyDescent="0.3">
      <c r="A285">
        <v>12</v>
      </c>
      <c r="B285">
        <v>1</v>
      </c>
      <c r="C285" t="s">
        <v>79</v>
      </c>
      <c r="D285" s="1" t="s">
        <v>1</v>
      </c>
      <c r="E285" s="59" t="s">
        <v>12</v>
      </c>
      <c r="F285" s="60">
        <v>1.97631578947368</v>
      </c>
      <c r="G285" s="60">
        <v>0.47751047229793903</v>
      </c>
      <c r="H285" s="61">
        <v>2.1419148936170198</v>
      </c>
      <c r="I285" s="63">
        <v>1.94</v>
      </c>
      <c r="J285" s="58">
        <v>-0.20191489361701986</v>
      </c>
      <c r="K285" s="58">
        <v>-9.4268401708552112</v>
      </c>
      <c r="L285" s="1" t="s">
        <v>68</v>
      </c>
      <c r="M285" s="1">
        <v>3</v>
      </c>
    </row>
    <row r="286" spans="1:13" x14ac:dyDescent="0.3">
      <c r="A286">
        <v>12</v>
      </c>
      <c r="B286">
        <v>1</v>
      </c>
      <c r="C286" t="s">
        <v>79</v>
      </c>
      <c r="D286" s="1" t="s">
        <v>1</v>
      </c>
      <c r="E286" s="59" t="s">
        <v>13</v>
      </c>
      <c r="F286" s="60">
        <v>0.45344827586206798</v>
      </c>
      <c r="G286" s="60">
        <v>3.3659129219068697E-2</v>
      </c>
      <c r="H286" s="61">
        <v>0.44999999999999901</v>
      </c>
      <c r="I286" s="63">
        <v>3.45</v>
      </c>
      <c r="J286" s="58">
        <v>3.0000000000000013</v>
      </c>
      <c r="K286" s="58">
        <v>666.66666666666833</v>
      </c>
      <c r="L286" s="1" t="s">
        <v>68</v>
      </c>
      <c r="M286" s="1">
        <v>3</v>
      </c>
    </row>
    <row r="287" spans="1:13" x14ac:dyDescent="0.3">
      <c r="A287">
        <v>12</v>
      </c>
      <c r="B287">
        <v>1</v>
      </c>
      <c r="C287" t="s">
        <v>79</v>
      </c>
      <c r="D287" s="1" t="s">
        <v>1</v>
      </c>
      <c r="E287" s="59" t="s">
        <v>14</v>
      </c>
      <c r="F287" s="60">
        <v>0.230833333333333</v>
      </c>
      <c r="G287" s="60">
        <v>9.4256594228497095E-2</v>
      </c>
      <c r="H287" s="61">
        <v>0.244255319148936</v>
      </c>
      <c r="I287" s="63">
        <v>4.8499999999999996</v>
      </c>
      <c r="J287" s="58">
        <v>4.605744680851064</v>
      </c>
      <c r="K287" s="58">
        <v>1885.6271777003499</v>
      </c>
      <c r="L287" s="1" t="s">
        <v>68</v>
      </c>
      <c r="M287" s="1">
        <v>3</v>
      </c>
    </row>
    <row r="288" spans="1:13" x14ac:dyDescent="0.3">
      <c r="A288">
        <v>12</v>
      </c>
      <c r="B288">
        <v>1</v>
      </c>
      <c r="C288" t="s">
        <v>79</v>
      </c>
      <c r="D288" s="1" t="s">
        <v>1</v>
      </c>
      <c r="E288" s="59" t="s">
        <v>15</v>
      </c>
      <c r="F288" s="60">
        <v>1.02866666666666</v>
      </c>
      <c r="G288" s="60">
        <v>1.1565112287488699</v>
      </c>
      <c r="H288" s="61">
        <v>0.752857142857143</v>
      </c>
      <c r="I288" s="63">
        <v>5.37</v>
      </c>
      <c r="J288" s="58">
        <v>4.6171428571428574</v>
      </c>
      <c r="K288" s="58">
        <v>613.28273244781769</v>
      </c>
      <c r="L288" s="1" t="s">
        <v>68</v>
      </c>
      <c r="M288" s="1">
        <v>3</v>
      </c>
    </row>
    <row r="289" spans="1:13" x14ac:dyDescent="0.3">
      <c r="A289">
        <v>12</v>
      </c>
      <c r="B289">
        <v>1</v>
      </c>
      <c r="C289" t="s">
        <v>79</v>
      </c>
      <c r="D289" s="1" t="s">
        <v>1</v>
      </c>
      <c r="E289" s="59" t="s">
        <v>16</v>
      </c>
      <c r="F289" s="60">
        <v>2.3530000000000002</v>
      </c>
      <c r="G289" s="60">
        <v>0.45915610998148798</v>
      </c>
      <c r="H289" s="61">
        <v>2.5504166666666599</v>
      </c>
      <c r="I289" s="63">
        <v>3.93</v>
      </c>
      <c r="J289" s="58">
        <v>1.3795833333333403</v>
      </c>
      <c r="K289" s="58">
        <v>54.092468550890793</v>
      </c>
      <c r="L289" s="1" t="s">
        <v>68</v>
      </c>
      <c r="M289" s="1">
        <v>3</v>
      </c>
    </row>
    <row r="290" spans="1:13" x14ac:dyDescent="0.3">
      <c r="A290">
        <v>12</v>
      </c>
      <c r="B290">
        <v>1</v>
      </c>
      <c r="C290" t="s">
        <v>79</v>
      </c>
      <c r="D290" s="1" t="s">
        <v>1</v>
      </c>
      <c r="E290" s="59" t="s">
        <v>17</v>
      </c>
      <c r="F290" s="60">
        <v>0.97745762711864304</v>
      </c>
      <c r="G290" s="60">
        <v>0.76473013567396997</v>
      </c>
      <c r="H290" s="61">
        <v>0.84017543859649002</v>
      </c>
      <c r="I290" s="63">
        <v>4.3499999999999996</v>
      </c>
      <c r="J290" s="58">
        <v>3.5098245614035095</v>
      </c>
      <c r="K290" s="58">
        <v>417.74900814366322</v>
      </c>
      <c r="L290" s="1" t="s">
        <v>68</v>
      </c>
      <c r="M290" s="1">
        <v>3</v>
      </c>
    </row>
    <row r="291" spans="1:13" x14ac:dyDescent="0.3">
      <c r="A291">
        <v>12</v>
      </c>
      <c r="B291">
        <v>1</v>
      </c>
      <c r="C291" t="s">
        <v>79</v>
      </c>
      <c r="D291" s="1" t="s">
        <v>1</v>
      </c>
      <c r="E291" s="59" t="s">
        <v>18</v>
      </c>
      <c r="F291" s="60">
        <v>2.1403389830508401</v>
      </c>
      <c r="G291" s="60">
        <v>7.4724785364904696</v>
      </c>
      <c r="H291" s="61">
        <v>0.745789473684211</v>
      </c>
      <c r="I291" s="63">
        <v>1.76</v>
      </c>
      <c r="J291" s="58">
        <v>1.014210526315789</v>
      </c>
      <c r="K291" s="58">
        <v>135.99153140437531</v>
      </c>
      <c r="L291" s="1" t="s">
        <v>68</v>
      </c>
      <c r="M291" s="1">
        <v>3</v>
      </c>
    </row>
    <row r="292" spans="1:13" x14ac:dyDescent="0.3">
      <c r="A292">
        <v>12</v>
      </c>
      <c r="B292">
        <v>1</v>
      </c>
      <c r="C292" t="s">
        <v>79</v>
      </c>
      <c r="D292" s="1" t="s">
        <v>1</v>
      </c>
      <c r="E292" s="59" t="s">
        <v>19</v>
      </c>
      <c r="F292" s="60">
        <v>0.65166666666666595</v>
      </c>
      <c r="G292" s="60">
        <v>0.117943018256934</v>
      </c>
      <c r="H292" s="61">
        <v>0.70799999999999996</v>
      </c>
      <c r="I292" s="63">
        <v>2.64</v>
      </c>
      <c r="J292" s="58">
        <v>1.9320000000000002</v>
      </c>
      <c r="K292" s="58">
        <v>272.88135593220341</v>
      </c>
      <c r="L292" s="1" t="s">
        <v>68</v>
      </c>
      <c r="M292" s="1">
        <v>3</v>
      </c>
    </row>
    <row r="293" spans="1:13" x14ac:dyDescent="0.3">
      <c r="A293">
        <v>12</v>
      </c>
      <c r="B293">
        <v>1</v>
      </c>
      <c r="C293" t="s">
        <v>79</v>
      </c>
      <c r="D293" s="1" t="s">
        <v>1</v>
      </c>
      <c r="E293" s="59" t="s">
        <v>12</v>
      </c>
      <c r="F293" s="60">
        <v>1.97631578947368</v>
      </c>
      <c r="G293" s="60">
        <v>0.47751047229793903</v>
      </c>
      <c r="H293" s="61">
        <v>2.1419148936170198</v>
      </c>
      <c r="I293" s="63">
        <v>1.87</v>
      </c>
      <c r="J293" s="58">
        <v>-0.2719148936170197</v>
      </c>
      <c r="K293" s="58">
        <v>-12.694943876030532</v>
      </c>
      <c r="L293" s="1" t="s">
        <v>69</v>
      </c>
      <c r="M293" s="1">
        <v>3</v>
      </c>
    </row>
    <row r="294" spans="1:13" x14ac:dyDescent="0.3">
      <c r="A294">
        <v>12</v>
      </c>
      <c r="B294">
        <v>1</v>
      </c>
      <c r="C294" t="s">
        <v>79</v>
      </c>
      <c r="D294" s="1" t="s">
        <v>1</v>
      </c>
      <c r="E294" s="59" t="s">
        <v>13</v>
      </c>
      <c r="F294" s="60">
        <v>0.45344827586206798</v>
      </c>
      <c r="G294" s="60">
        <v>3.3659129219068697E-2</v>
      </c>
      <c r="H294" s="61">
        <v>0.44999999999999901</v>
      </c>
      <c r="I294" s="63">
        <v>3.49</v>
      </c>
      <c r="J294" s="58">
        <v>3.0400000000000014</v>
      </c>
      <c r="K294" s="58">
        <v>675.55555555555736</v>
      </c>
      <c r="L294" s="1" t="s">
        <v>69</v>
      </c>
      <c r="M294" s="1">
        <v>3</v>
      </c>
    </row>
    <row r="295" spans="1:13" x14ac:dyDescent="0.3">
      <c r="A295">
        <v>12</v>
      </c>
      <c r="B295">
        <v>1</v>
      </c>
      <c r="C295" t="s">
        <v>79</v>
      </c>
      <c r="D295" s="1" t="s">
        <v>1</v>
      </c>
      <c r="E295" s="59" t="s">
        <v>14</v>
      </c>
      <c r="F295" s="60">
        <v>0.230833333333333</v>
      </c>
      <c r="G295" s="60">
        <v>9.4256594228497095E-2</v>
      </c>
      <c r="H295" s="61">
        <v>0.244255319148936</v>
      </c>
      <c r="I295" s="63">
        <v>4.88</v>
      </c>
      <c r="J295" s="58">
        <v>4.6357446808510643</v>
      </c>
      <c r="K295" s="58">
        <v>1897.9094076655067</v>
      </c>
      <c r="L295" s="1" t="s">
        <v>69</v>
      </c>
      <c r="M295" s="1">
        <v>3</v>
      </c>
    </row>
    <row r="296" spans="1:13" x14ac:dyDescent="0.3">
      <c r="A296">
        <v>12</v>
      </c>
      <c r="B296">
        <v>1</v>
      </c>
      <c r="C296" t="s">
        <v>79</v>
      </c>
      <c r="D296" s="1" t="s">
        <v>1</v>
      </c>
      <c r="E296" s="59" t="s">
        <v>15</v>
      </c>
      <c r="F296" s="60">
        <v>1.02866666666666</v>
      </c>
      <c r="G296" s="60">
        <v>1.1565112287488699</v>
      </c>
      <c r="H296" s="61">
        <v>0.752857142857143</v>
      </c>
      <c r="I296" s="63">
        <v>5.41</v>
      </c>
      <c r="J296" s="58">
        <v>4.6571428571428575</v>
      </c>
      <c r="K296" s="58">
        <v>618.59582542694488</v>
      </c>
      <c r="L296" s="1" t="s">
        <v>69</v>
      </c>
      <c r="M296" s="1">
        <v>3</v>
      </c>
    </row>
    <row r="297" spans="1:13" x14ac:dyDescent="0.3">
      <c r="A297">
        <v>12</v>
      </c>
      <c r="B297">
        <v>1</v>
      </c>
      <c r="C297" t="s">
        <v>79</v>
      </c>
      <c r="D297" s="1" t="s">
        <v>1</v>
      </c>
      <c r="E297" s="59" t="s">
        <v>16</v>
      </c>
      <c r="F297" s="60">
        <v>2.3530000000000002</v>
      </c>
      <c r="G297" s="60">
        <v>0.45915610998148798</v>
      </c>
      <c r="H297" s="61">
        <v>2.5504166666666599</v>
      </c>
      <c r="I297" s="63">
        <v>3.97</v>
      </c>
      <c r="J297" s="58">
        <v>1.4195833333333403</v>
      </c>
      <c r="K297" s="58">
        <v>55.660839732070343</v>
      </c>
      <c r="L297" s="1" t="s">
        <v>69</v>
      </c>
      <c r="M297" s="1">
        <v>3</v>
      </c>
    </row>
    <row r="298" spans="1:13" x14ac:dyDescent="0.3">
      <c r="A298">
        <v>12</v>
      </c>
      <c r="B298">
        <v>1</v>
      </c>
      <c r="C298" t="s">
        <v>79</v>
      </c>
      <c r="D298" s="1" t="s">
        <v>1</v>
      </c>
      <c r="E298" s="59" t="s">
        <v>17</v>
      </c>
      <c r="F298" s="60">
        <v>0.97745762711864304</v>
      </c>
      <c r="G298" s="60">
        <v>0.76473013567396997</v>
      </c>
      <c r="H298" s="61">
        <v>0.84017543859649002</v>
      </c>
      <c r="I298" s="63">
        <v>4.4000000000000004</v>
      </c>
      <c r="J298" s="58">
        <v>3.5598245614035102</v>
      </c>
      <c r="K298" s="58">
        <v>423.70014616830315</v>
      </c>
      <c r="L298" s="1" t="s">
        <v>69</v>
      </c>
      <c r="M298" s="1">
        <v>3</v>
      </c>
    </row>
    <row r="299" spans="1:13" x14ac:dyDescent="0.3">
      <c r="A299">
        <v>12</v>
      </c>
      <c r="B299">
        <v>1</v>
      </c>
      <c r="C299" t="s">
        <v>79</v>
      </c>
      <c r="D299" s="1" t="s">
        <v>1</v>
      </c>
      <c r="E299" s="59" t="s">
        <v>18</v>
      </c>
      <c r="F299" s="60">
        <v>2.1403389830508401</v>
      </c>
      <c r="G299" s="60">
        <v>7.4724785364904696</v>
      </c>
      <c r="H299" s="61">
        <v>0.745789473684211</v>
      </c>
      <c r="I299" s="63">
        <v>1.76</v>
      </c>
      <c r="J299" s="58">
        <v>1.014210526315789</v>
      </c>
      <c r="K299" s="58">
        <v>135.99153140437531</v>
      </c>
      <c r="L299" s="1" t="s">
        <v>69</v>
      </c>
      <c r="M299" s="1">
        <v>3</v>
      </c>
    </row>
    <row r="300" spans="1:13" x14ac:dyDescent="0.3">
      <c r="A300">
        <v>12</v>
      </c>
      <c r="B300">
        <v>1</v>
      </c>
      <c r="C300" t="s">
        <v>79</v>
      </c>
      <c r="D300" s="1" t="s">
        <v>1</v>
      </c>
      <c r="E300" s="59" t="s">
        <v>19</v>
      </c>
      <c r="F300" s="60">
        <v>0.65166666666666595</v>
      </c>
      <c r="G300" s="60">
        <v>0.117943018256934</v>
      </c>
      <c r="H300" s="61">
        <v>0.70799999999999996</v>
      </c>
      <c r="I300" s="63">
        <v>2.66</v>
      </c>
      <c r="J300" s="58">
        <v>1.9520000000000002</v>
      </c>
      <c r="K300" s="58">
        <v>275.70621468926555</v>
      </c>
      <c r="L300" s="1" t="s">
        <v>69</v>
      </c>
      <c r="M300" s="1">
        <v>3</v>
      </c>
    </row>
    <row r="302" spans="1:13" x14ac:dyDescent="0.3">
      <c r="A302">
        <v>14</v>
      </c>
      <c r="B302">
        <v>1</v>
      </c>
      <c r="C302" t="s">
        <v>79</v>
      </c>
      <c r="D302" s="1" t="s">
        <v>1</v>
      </c>
      <c r="E302" s="59" t="s">
        <v>12</v>
      </c>
      <c r="F302" s="60">
        <v>0.48288135593220299</v>
      </c>
      <c r="G302" s="60">
        <v>0.18362684017337899</v>
      </c>
      <c r="H302" s="61">
        <v>0.47791666666666599</v>
      </c>
      <c r="I302" s="62">
        <v>5.07</v>
      </c>
      <c r="J302" s="37">
        <v>4.592083333333334</v>
      </c>
      <c r="K302" s="37">
        <v>960.85440278988813</v>
      </c>
      <c r="L302" s="1" t="s">
        <v>23</v>
      </c>
      <c r="M302" s="1">
        <v>1</v>
      </c>
    </row>
    <row r="303" spans="1:13" x14ac:dyDescent="0.3">
      <c r="A303">
        <v>14</v>
      </c>
      <c r="B303">
        <v>1</v>
      </c>
      <c r="C303" t="s">
        <v>79</v>
      </c>
      <c r="D303" s="1" t="s">
        <v>1</v>
      </c>
      <c r="E303" s="59" t="s">
        <v>13</v>
      </c>
      <c r="F303" s="60">
        <v>0.94070175438596504</v>
      </c>
      <c r="G303" s="60">
        <v>1.2308203791725201</v>
      </c>
      <c r="H303" s="61">
        <v>0.410833333333333</v>
      </c>
      <c r="I303" s="62">
        <v>5.65</v>
      </c>
      <c r="J303" s="37">
        <v>5.2391666666666676</v>
      </c>
      <c r="K303" s="37">
        <v>1275.2535496957416</v>
      </c>
      <c r="L303" s="1" t="s">
        <v>23</v>
      </c>
      <c r="M303" s="1">
        <v>1</v>
      </c>
    </row>
    <row r="304" spans="1:13" x14ac:dyDescent="0.3">
      <c r="A304">
        <v>14</v>
      </c>
      <c r="B304">
        <v>1</v>
      </c>
      <c r="C304" t="s">
        <v>79</v>
      </c>
      <c r="D304" s="1" t="s">
        <v>1</v>
      </c>
      <c r="E304" s="59" t="s">
        <v>14</v>
      </c>
      <c r="F304" s="60">
        <v>0.41288135593220299</v>
      </c>
      <c r="G304" s="60">
        <v>0.107009438003805</v>
      </c>
      <c r="H304" s="61">
        <v>0.43679999999999902</v>
      </c>
      <c r="I304" s="62">
        <v>1.37</v>
      </c>
      <c r="J304" s="37">
        <v>0.93320000000000114</v>
      </c>
      <c r="K304" s="37">
        <v>213.64468864468938</v>
      </c>
      <c r="L304" s="1" t="s">
        <v>23</v>
      </c>
      <c r="M304" s="1">
        <v>1</v>
      </c>
    </row>
    <row r="305" spans="1:13" x14ac:dyDescent="0.3">
      <c r="A305">
        <v>14</v>
      </c>
      <c r="B305">
        <v>1</v>
      </c>
      <c r="C305" t="s">
        <v>79</v>
      </c>
      <c r="D305" s="1" t="s">
        <v>1</v>
      </c>
      <c r="E305" s="59" t="s">
        <v>15</v>
      </c>
      <c r="F305" s="60">
        <v>2.0379661016949102</v>
      </c>
      <c r="G305" s="60">
        <v>1.5689916654681499</v>
      </c>
      <c r="H305" s="61">
        <v>1.63418181818181</v>
      </c>
      <c r="I305" s="62">
        <v>3.57</v>
      </c>
      <c r="J305" s="37">
        <v>1.9358181818181899</v>
      </c>
      <c r="K305" s="37">
        <v>118.45794392523474</v>
      </c>
      <c r="L305" s="1" t="s">
        <v>23</v>
      </c>
      <c r="M305" s="1">
        <v>1</v>
      </c>
    </row>
    <row r="306" spans="1:13" x14ac:dyDescent="0.3">
      <c r="A306">
        <v>14</v>
      </c>
      <c r="B306">
        <v>1</v>
      </c>
      <c r="C306" t="s">
        <v>79</v>
      </c>
      <c r="D306" s="1" t="s">
        <v>1</v>
      </c>
      <c r="E306" s="59" t="s">
        <v>16</v>
      </c>
      <c r="F306" s="60">
        <v>3.5891525423728798</v>
      </c>
      <c r="G306" s="60">
        <v>2.5077731955780198</v>
      </c>
      <c r="H306" s="61">
        <v>2.4075000000000002</v>
      </c>
      <c r="I306" s="62">
        <v>4.6500000000000004</v>
      </c>
      <c r="J306" s="37">
        <v>2.2425000000000002</v>
      </c>
      <c r="K306" s="37">
        <v>93.146417445482868</v>
      </c>
      <c r="L306" s="1" t="s">
        <v>23</v>
      </c>
      <c r="M306" s="1">
        <v>1</v>
      </c>
    </row>
    <row r="307" spans="1:13" x14ac:dyDescent="0.3">
      <c r="A307">
        <v>14</v>
      </c>
      <c r="B307">
        <v>1</v>
      </c>
      <c r="C307" t="s">
        <v>79</v>
      </c>
      <c r="D307" s="1" t="s">
        <v>1</v>
      </c>
      <c r="E307" s="59" t="s">
        <v>17</v>
      </c>
      <c r="F307" s="60">
        <v>0.22050847457627101</v>
      </c>
      <c r="G307" s="60">
        <v>0.15618788912025899</v>
      </c>
      <c r="H307" s="61">
        <v>0.155714285714285</v>
      </c>
      <c r="I307" s="62">
        <v>1.3</v>
      </c>
      <c r="J307" s="37">
        <v>1.144285714285715</v>
      </c>
      <c r="K307" s="37">
        <v>734.86238532110474</v>
      </c>
      <c r="L307" s="1" t="s">
        <v>23</v>
      </c>
      <c r="M307" s="1">
        <v>1</v>
      </c>
    </row>
    <row r="308" spans="1:13" x14ac:dyDescent="0.3">
      <c r="A308">
        <v>14</v>
      </c>
      <c r="B308">
        <v>1</v>
      </c>
      <c r="C308" t="s">
        <v>79</v>
      </c>
      <c r="D308" s="1" t="s">
        <v>1</v>
      </c>
      <c r="E308" s="59" t="s">
        <v>18</v>
      </c>
      <c r="F308" s="60">
        <v>0.52118644067796605</v>
      </c>
      <c r="G308" s="60">
        <v>0.13293409537981499</v>
      </c>
      <c r="H308" s="61">
        <v>0.49842105263157899</v>
      </c>
      <c r="I308" s="62">
        <v>4.17</v>
      </c>
      <c r="J308" s="37">
        <v>3.6715789473684208</v>
      </c>
      <c r="K308" s="37">
        <v>736.64202745512137</v>
      </c>
      <c r="L308" s="1" t="s">
        <v>23</v>
      </c>
      <c r="M308" s="1">
        <v>1</v>
      </c>
    </row>
    <row r="309" spans="1:13" x14ac:dyDescent="0.3">
      <c r="A309">
        <v>14</v>
      </c>
      <c r="B309">
        <v>1</v>
      </c>
      <c r="C309" t="s">
        <v>79</v>
      </c>
      <c r="D309" s="1" t="s">
        <v>1</v>
      </c>
      <c r="E309" s="59" t="s">
        <v>19</v>
      </c>
      <c r="F309" s="60">
        <v>0.18694915254237199</v>
      </c>
      <c r="G309" s="60">
        <v>0.32945385848728898</v>
      </c>
      <c r="H309" s="61">
        <v>0.110714285714285</v>
      </c>
      <c r="I309" s="62">
        <v>2.82</v>
      </c>
      <c r="J309" s="37">
        <v>2.709285714285715</v>
      </c>
      <c r="K309" s="37">
        <v>2447.0967741935647</v>
      </c>
      <c r="L309" s="1" t="s">
        <v>23</v>
      </c>
      <c r="M309" s="1">
        <v>1</v>
      </c>
    </row>
    <row r="310" spans="1:13" x14ac:dyDescent="0.3">
      <c r="A310">
        <v>14</v>
      </c>
      <c r="B310">
        <v>1</v>
      </c>
      <c r="C310" t="s">
        <v>79</v>
      </c>
      <c r="D310" s="1" t="s">
        <v>1</v>
      </c>
      <c r="E310" s="59" t="s">
        <v>12</v>
      </c>
      <c r="F310" s="60">
        <v>0.48288135593220299</v>
      </c>
      <c r="G310" s="60">
        <v>0.18362684017337899</v>
      </c>
      <c r="H310" s="61">
        <v>0.47791666666666599</v>
      </c>
      <c r="I310" s="62">
        <v>4.95</v>
      </c>
      <c r="J310" s="37">
        <v>4.4720833333333339</v>
      </c>
      <c r="K310" s="37">
        <v>935.74542284219842</v>
      </c>
      <c r="L310" s="1" t="s">
        <v>68</v>
      </c>
      <c r="M310" s="1">
        <v>1</v>
      </c>
    </row>
    <row r="311" spans="1:13" x14ac:dyDescent="0.3">
      <c r="A311">
        <v>14</v>
      </c>
      <c r="B311">
        <v>1</v>
      </c>
      <c r="C311" t="s">
        <v>79</v>
      </c>
      <c r="D311" s="1" t="s">
        <v>1</v>
      </c>
      <c r="E311" s="59" t="s">
        <v>13</v>
      </c>
      <c r="F311" s="60">
        <v>0.94070175438596504</v>
      </c>
      <c r="G311" s="60">
        <v>1.2308203791725201</v>
      </c>
      <c r="H311" s="61">
        <v>0.410833333333333</v>
      </c>
      <c r="I311" s="62">
        <v>5.51</v>
      </c>
      <c r="J311" s="37">
        <v>5.0991666666666671</v>
      </c>
      <c r="K311" s="37">
        <v>1241.1764705882365</v>
      </c>
      <c r="L311" s="1" t="s">
        <v>68</v>
      </c>
      <c r="M311" s="1">
        <v>1</v>
      </c>
    </row>
    <row r="312" spans="1:13" x14ac:dyDescent="0.3">
      <c r="A312">
        <v>14</v>
      </c>
      <c r="B312">
        <v>1</v>
      </c>
      <c r="C312" t="s">
        <v>79</v>
      </c>
      <c r="D312" s="1" t="s">
        <v>1</v>
      </c>
      <c r="E312" s="59" t="s">
        <v>14</v>
      </c>
      <c r="F312" s="60">
        <v>0.41288135593220299</v>
      </c>
      <c r="G312" s="60">
        <v>0.107009438003805</v>
      </c>
      <c r="H312" s="61">
        <v>0.43679999999999902</v>
      </c>
      <c r="I312" s="62">
        <v>1.27</v>
      </c>
      <c r="J312" s="37">
        <v>0.83320000000000105</v>
      </c>
      <c r="K312" s="37">
        <v>190.75091575091642</v>
      </c>
      <c r="L312" s="1" t="s">
        <v>68</v>
      </c>
      <c r="M312" s="1">
        <v>1</v>
      </c>
    </row>
    <row r="313" spans="1:13" x14ac:dyDescent="0.3">
      <c r="A313">
        <v>14</v>
      </c>
      <c r="B313">
        <v>1</v>
      </c>
      <c r="C313" t="s">
        <v>79</v>
      </c>
      <c r="D313" s="1" t="s">
        <v>1</v>
      </c>
      <c r="E313" s="59" t="s">
        <v>15</v>
      </c>
      <c r="F313" s="60">
        <v>2.0379661016949102</v>
      </c>
      <c r="G313" s="60">
        <v>1.5689916654681499</v>
      </c>
      <c r="H313" s="61">
        <v>1.63418181818181</v>
      </c>
      <c r="I313" s="62">
        <v>3.39</v>
      </c>
      <c r="J313" s="37">
        <v>1.7558181818181902</v>
      </c>
      <c r="K313" s="37">
        <v>107.44325767690358</v>
      </c>
      <c r="L313" s="1" t="s">
        <v>68</v>
      </c>
      <c r="M313" s="1">
        <v>1</v>
      </c>
    </row>
    <row r="314" spans="1:13" x14ac:dyDescent="0.3">
      <c r="A314">
        <v>14</v>
      </c>
      <c r="B314">
        <v>1</v>
      </c>
      <c r="C314" t="s">
        <v>79</v>
      </c>
      <c r="D314" s="1" t="s">
        <v>1</v>
      </c>
      <c r="E314" s="59" t="s">
        <v>16</v>
      </c>
      <c r="F314" s="60">
        <v>3.5891525423728798</v>
      </c>
      <c r="G314" s="60">
        <v>2.5077731955780198</v>
      </c>
      <c r="H314" s="61">
        <v>2.4075000000000002</v>
      </c>
      <c r="I314" s="62">
        <v>4.53</v>
      </c>
      <c r="J314" s="37">
        <v>2.1225000000000001</v>
      </c>
      <c r="K314" s="37">
        <v>88.161993769470399</v>
      </c>
      <c r="L314" s="1" t="s">
        <v>68</v>
      </c>
      <c r="M314" s="1">
        <v>1</v>
      </c>
    </row>
    <row r="315" spans="1:13" x14ac:dyDescent="0.3">
      <c r="A315">
        <v>14</v>
      </c>
      <c r="B315">
        <v>1</v>
      </c>
      <c r="C315" t="s">
        <v>79</v>
      </c>
      <c r="D315" s="1" t="s">
        <v>1</v>
      </c>
      <c r="E315" s="59" t="s">
        <v>17</v>
      </c>
      <c r="F315" s="60">
        <v>0.22050847457627101</v>
      </c>
      <c r="G315" s="60">
        <v>0.15618788912025899</v>
      </c>
      <c r="H315" s="61">
        <v>0.155714285714285</v>
      </c>
      <c r="I315" s="62">
        <v>1.21</v>
      </c>
      <c r="J315" s="37">
        <v>1.0542857142857149</v>
      </c>
      <c r="K315" s="37">
        <v>677.06422018348974</v>
      </c>
      <c r="L315" s="1" t="s">
        <v>68</v>
      </c>
      <c r="M315" s="1">
        <v>1</v>
      </c>
    </row>
    <row r="316" spans="1:13" x14ac:dyDescent="0.3">
      <c r="A316">
        <v>14</v>
      </c>
      <c r="B316">
        <v>1</v>
      </c>
      <c r="C316" t="s">
        <v>79</v>
      </c>
      <c r="D316" s="1" t="s">
        <v>1</v>
      </c>
      <c r="E316" s="59" t="s">
        <v>18</v>
      </c>
      <c r="F316" s="60">
        <v>0.52118644067796605</v>
      </c>
      <c r="G316" s="60">
        <v>0.13293409537981499</v>
      </c>
      <c r="H316" s="61">
        <v>0.49842105263157899</v>
      </c>
      <c r="I316" s="62">
        <v>4.07</v>
      </c>
      <c r="J316" s="37">
        <v>3.5715789473684212</v>
      </c>
      <c r="K316" s="37">
        <v>716.57866948257652</v>
      </c>
      <c r="L316" s="1" t="s">
        <v>68</v>
      </c>
      <c r="M316" s="1">
        <v>1</v>
      </c>
    </row>
    <row r="317" spans="1:13" x14ac:dyDescent="0.3">
      <c r="A317">
        <v>14</v>
      </c>
      <c r="B317">
        <v>1</v>
      </c>
      <c r="C317" t="s">
        <v>79</v>
      </c>
      <c r="D317" s="1" t="s">
        <v>1</v>
      </c>
      <c r="E317" s="59" t="s">
        <v>19</v>
      </c>
      <c r="F317" s="60">
        <v>0.18694915254237199</v>
      </c>
      <c r="G317" s="60">
        <v>0.32945385848728898</v>
      </c>
      <c r="H317" s="61">
        <v>0.110714285714285</v>
      </c>
      <c r="I317" s="62">
        <v>2.74</v>
      </c>
      <c r="J317" s="37">
        <v>2.6292857142857153</v>
      </c>
      <c r="K317" s="37">
        <v>2374.8387096774354</v>
      </c>
      <c r="L317" s="1" t="s">
        <v>68</v>
      </c>
      <c r="M317" s="1">
        <v>1</v>
      </c>
    </row>
    <row r="318" spans="1:13" x14ac:dyDescent="0.3">
      <c r="A318">
        <v>14</v>
      </c>
      <c r="B318">
        <v>1</v>
      </c>
      <c r="C318" t="s">
        <v>79</v>
      </c>
      <c r="D318" s="1" t="s">
        <v>1</v>
      </c>
      <c r="E318" s="59" t="s">
        <v>12</v>
      </c>
      <c r="F318" s="60">
        <v>0.48288135593220299</v>
      </c>
      <c r="G318" s="60">
        <v>0.18362684017337899</v>
      </c>
      <c r="H318" s="61">
        <v>0.47791666666666599</v>
      </c>
      <c r="I318" s="62">
        <v>4.93</v>
      </c>
      <c r="J318" s="37">
        <v>4.4520833333333334</v>
      </c>
      <c r="K318" s="37">
        <v>931.56059285091681</v>
      </c>
      <c r="L318" s="1" t="s">
        <v>69</v>
      </c>
      <c r="M318" s="1">
        <v>1</v>
      </c>
    </row>
    <row r="319" spans="1:13" x14ac:dyDescent="0.3">
      <c r="A319">
        <v>14</v>
      </c>
      <c r="B319">
        <v>1</v>
      </c>
      <c r="C319" t="s">
        <v>79</v>
      </c>
      <c r="D319" s="1" t="s">
        <v>1</v>
      </c>
      <c r="E319" s="59" t="s">
        <v>13</v>
      </c>
      <c r="F319" s="60">
        <v>0.94070175438596504</v>
      </c>
      <c r="G319" s="60">
        <v>1.2308203791725201</v>
      </c>
      <c r="H319" s="61">
        <v>0.410833333333333</v>
      </c>
      <c r="I319" s="62">
        <v>5.56</v>
      </c>
      <c r="J319" s="37">
        <v>5.1491666666666669</v>
      </c>
      <c r="K319" s="37">
        <v>1253.346855983774</v>
      </c>
      <c r="L319" s="1" t="s">
        <v>69</v>
      </c>
      <c r="M319" s="1">
        <v>1</v>
      </c>
    </row>
    <row r="320" spans="1:13" x14ac:dyDescent="0.3">
      <c r="A320">
        <v>14</v>
      </c>
      <c r="B320">
        <v>1</v>
      </c>
      <c r="C320" t="s">
        <v>79</v>
      </c>
      <c r="D320" s="1" t="s">
        <v>1</v>
      </c>
      <c r="E320" s="59" t="s">
        <v>14</v>
      </c>
      <c r="F320" s="60">
        <v>0.41288135593220299</v>
      </c>
      <c r="G320" s="60">
        <v>0.107009438003805</v>
      </c>
      <c r="H320" s="61">
        <v>0.43679999999999902</v>
      </c>
      <c r="I320" s="62">
        <v>1.32</v>
      </c>
      <c r="J320" s="37">
        <v>0.8832000000000011</v>
      </c>
      <c r="K320" s="37">
        <v>202.1978021978029</v>
      </c>
      <c r="L320" s="1" t="s">
        <v>69</v>
      </c>
      <c r="M320" s="1">
        <v>1</v>
      </c>
    </row>
    <row r="321" spans="1:13" x14ac:dyDescent="0.3">
      <c r="A321">
        <v>14</v>
      </c>
      <c r="B321">
        <v>1</v>
      </c>
      <c r="C321" t="s">
        <v>79</v>
      </c>
      <c r="D321" s="1" t="s">
        <v>1</v>
      </c>
      <c r="E321" s="59" t="s">
        <v>15</v>
      </c>
      <c r="F321" s="60">
        <v>2.0379661016949102</v>
      </c>
      <c r="G321" s="60">
        <v>1.5689916654681499</v>
      </c>
      <c r="H321" s="61">
        <v>1.63418181818181</v>
      </c>
      <c r="I321" s="62">
        <v>3.44</v>
      </c>
      <c r="J321" s="37">
        <v>1.80581818181819</v>
      </c>
      <c r="K321" s="37">
        <v>110.50289274588445</v>
      </c>
      <c r="L321" s="1" t="s">
        <v>69</v>
      </c>
      <c r="M321" s="1">
        <v>1</v>
      </c>
    </row>
    <row r="322" spans="1:13" x14ac:dyDescent="0.3">
      <c r="A322">
        <v>14</v>
      </c>
      <c r="B322">
        <v>1</v>
      </c>
      <c r="C322" t="s">
        <v>79</v>
      </c>
      <c r="D322" s="1" t="s">
        <v>1</v>
      </c>
      <c r="E322" s="59" t="s">
        <v>16</v>
      </c>
      <c r="F322" s="60">
        <v>3.5891525423728798</v>
      </c>
      <c r="G322" s="60">
        <v>2.5077731955780198</v>
      </c>
      <c r="H322" s="61">
        <v>2.4075000000000002</v>
      </c>
      <c r="I322" s="62">
        <v>4.59</v>
      </c>
      <c r="J322" s="37">
        <v>2.1824999999999997</v>
      </c>
      <c r="K322" s="37">
        <v>90.654205607476612</v>
      </c>
      <c r="L322" s="1" t="s">
        <v>69</v>
      </c>
      <c r="M322" s="1">
        <v>1</v>
      </c>
    </row>
    <row r="323" spans="1:13" x14ac:dyDescent="0.3">
      <c r="A323">
        <v>14</v>
      </c>
      <c r="B323">
        <v>1</v>
      </c>
      <c r="C323" t="s">
        <v>79</v>
      </c>
      <c r="D323" s="1" t="s">
        <v>1</v>
      </c>
      <c r="E323" s="59" t="s">
        <v>17</v>
      </c>
      <c r="F323" s="60">
        <v>0.22050847457627101</v>
      </c>
      <c r="G323" s="60">
        <v>0.15618788912025899</v>
      </c>
      <c r="H323" s="61">
        <v>0.155714285714285</v>
      </c>
      <c r="I323" s="62">
        <v>1.25</v>
      </c>
      <c r="J323" s="37">
        <v>1.094285714285715</v>
      </c>
      <c r="K323" s="37">
        <v>702.75229357798526</v>
      </c>
      <c r="L323" s="1" t="s">
        <v>69</v>
      </c>
      <c r="M323" s="1">
        <v>1</v>
      </c>
    </row>
    <row r="324" spans="1:13" x14ac:dyDescent="0.3">
      <c r="A324">
        <v>14</v>
      </c>
      <c r="B324">
        <v>1</v>
      </c>
      <c r="C324" t="s">
        <v>79</v>
      </c>
      <c r="D324" s="1" t="s">
        <v>1</v>
      </c>
      <c r="E324" s="59" t="s">
        <v>18</v>
      </c>
      <c r="F324" s="60">
        <v>0.52118644067796605</v>
      </c>
      <c r="G324" s="60">
        <v>0.13293409537981499</v>
      </c>
      <c r="H324" s="61">
        <v>0.49842105263157899</v>
      </c>
      <c r="I324" s="62">
        <v>4.05</v>
      </c>
      <c r="J324" s="37">
        <v>3.5515789473684207</v>
      </c>
      <c r="K324" s="37">
        <v>712.5659978880675</v>
      </c>
      <c r="L324" s="1" t="s">
        <v>69</v>
      </c>
      <c r="M324" s="1">
        <v>1</v>
      </c>
    </row>
    <row r="325" spans="1:13" x14ac:dyDescent="0.3">
      <c r="A325">
        <v>14</v>
      </c>
      <c r="B325">
        <v>1</v>
      </c>
      <c r="C325" t="s">
        <v>79</v>
      </c>
      <c r="D325" s="1" t="s">
        <v>1</v>
      </c>
      <c r="E325" s="59" t="s">
        <v>19</v>
      </c>
      <c r="F325" s="60">
        <v>0.18694915254237199</v>
      </c>
      <c r="G325" s="60">
        <v>0.32945385848728898</v>
      </c>
      <c r="H325" s="61">
        <v>0.110714285714285</v>
      </c>
      <c r="I325" s="62">
        <v>2.72</v>
      </c>
      <c r="J325" s="37">
        <v>2.6092857142857153</v>
      </c>
      <c r="K325" s="37">
        <v>2356.7741935484032</v>
      </c>
      <c r="L325" s="1" t="s">
        <v>69</v>
      </c>
      <c r="M325" s="1">
        <v>1</v>
      </c>
    </row>
    <row r="327" spans="1:13" x14ac:dyDescent="0.3">
      <c r="A327">
        <v>14</v>
      </c>
      <c r="B327">
        <v>1</v>
      </c>
      <c r="C327" t="s">
        <v>79</v>
      </c>
      <c r="D327" s="1" t="s">
        <v>1</v>
      </c>
      <c r="E327" s="59" t="s">
        <v>12</v>
      </c>
      <c r="F327" s="60">
        <v>0.47271186440677898</v>
      </c>
      <c r="G327" s="60">
        <v>0.18657329643864201</v>
      </c>
      <c r="H327" s="61">
        <v>0.47260869565217301</v>
      </c>
      <c r="I327" s="62">
        <v>5.07</v>
      </c>
      <c r="J327" s="37">
        <v>4.5973913043478269</v>
      </c>
      <c r="K327" s="37">
        <v>972.76908923643259</v>
      </c>
      <c r="L327" s="1" t="s">
        <v>23</v>
      </c>
      <c r="M327" s="1">
        <v>2</v>
      </c>
    </row>
    <row r="328" spans="1:13" x14ac:dyDescent="0.3">
      <c r="A328">
        <v>14</v>
      </c>
      <c r="B328">
        <v>1</v>
      </c>
      <c r="C328" t="s">
        <v>79</v>
      </c>
      <c r="D328" s="1" t="s">
        <v>1</v>
      </c>
      <c r="E328" s="59" t="s">
        <v>13</v>
      </c>
      <c r="F328" s="60">
        <v>1.5235087719298199</v>
      </c>
      <c r="G328" s="60">
        <v>1.5873618091288899</v>
      </c>
      <c r="H328" s="61">
        <v>0.40736842105263099</v>
      </c>
      <c r="I328" s="62">
        <v>5.65</v>
      </c>
      <c r="J328" s="37">
        <v>5.2426315789473694</v>
      </c>
      <c r="K328" s="37">
        <v>1286.9509043927669</v>
      </c>
      <c r="L328" s="1" t="s">
        <v>23</v>
      </c>
      <c r="M328" s="1">
        <v>2</v>
      </c>
    </row>
    <row r="329" spans="1:13" x14ac:dyDescent="0.3">
      <c r="A329">
        <v>14</v>
      </c>
      <c r="B329">
        <v>1</v>
      </c>
      <c r="C329" t="s">
        <v>79</v>
      </c>
      <c r="D329" s="1" t="s">
        <v>1</v>
      </c>
      <c r="E329" s="59" t="s">
        <v>14</v>
      </c>
      <c r="F329" s="60">
        <v>0.44050847457627001</v>
      </c>
      <c r="G329" s="60">
        <v>9.1121519325095504E-2</v>
      </c>
      <c r="H329" s="61">
        <v>0.45690909090908999</v>
      </c>
      <c r="I329" s="62">
        <v>1.37</v>
      </c>
      <c r="J329" s="37">
        <v>0.91309090909091006</v>
      </c>
      <c r="K329" s="37">
        <v>199.84082769598152</v>
      </c>
      <c r="L329" s="1" t="s">
        <v>23</v>
      </c>
      <c r="M329" s="1">
        <v>2</v>
      </c>
    </row>
    <row r="330" spans="1:13" x14ac:dyDescent="0.3">
      <c r="A330">
        <v>14</v>
      </c>
      <c r="B330">
        <v>1</v>
      </c>
      <c r="C330" t="s">
        <v>79</v>
      </c>
      <c r="D330" s="1" t="s">
        <v>1</v>
      </c>
      <c r="E330" s="59" t="s">
        <v>15</v>
      </c>
      <c r="F330" s="60">
        <v>1.9930508474576201</v>
      </c>
      <c r="G330" s="60">
        <v>1.5850159109903199</v>
      </c>
      <c r="H330" s="61">
        <v>1.5860000000000001</v>
      </c>
      <c r="I330" s="62">
        <v>3.57</v>
      </c>
      <c r="J330" s="37">
        <v>1.9839999999999998</v>
      </c>
      <c r="K330" s="37">
        <v>125.09457755359392</v>
      </c>
      <c r="L330" s="1" t="s">
        <v>23</v>
      </c>
      <c r="M330" s="1">
        <v>2</v>
      </c>
    </row>
    <row r="331" spans="1:13" x14ac:dyDescent="0.3">
      <c r="A331">
        <v>14</v>
      </c>
      <c r="B331">
        <v>1</v>
      </c>
      <c r="C331" t="s">
        <v>79</v>
      </c>
      <c r="D331" s="1" t="s">
        <v>1</v>
      </c>
      <c r="E331" s="59" t="s">
        <v>16</v>
      </c>
      <c r="F331" s="60">
        <v>3.95338983050847</v>
      </c>
      <c r="G331" s="60">
        <v>2.6150059857788599</v>
      </c>
      <c r="H331" s="61">
        <v>2.4722727272727201</v>
      </c>
      <c r="I331" s="62">
        <v>4.6500000000000004</v>
      </c>
      <c r="J331" s="37">
        <v>2.1777272727272803</v>
      </c>
      <c r="K331" s="37">
        <v>88.086045228902933</v>
      </c>
      <c r="L331" s="1" t="s">
        <v>23</v>
      </c>
      <c r="M331" s="1">
        <v>2</v>
      </c>
    </row>
    <row r="332" spans="1:13" x14ac:dyDescent="0.3">
      <c r="A332">
        <v>14</v>
      </c>
      <c r="B332">
        <v>1</v>
      </c>
      <c r="C332" t="s">
        <v>79</v>
      </c>
      <c r="D332" s="1" t="s">
        <v>1</v>
      </c>
      <c r="E332" s="59" t="s">
        <v>17</v>
      </c>
      <c r="F332" s="60">
        <v>0.195762711864406</v>
      </c>
      <c r="G332" s="60">
        <v>0.109222264288809</v>
      </c>
      <c r="H332" s="61">
        <v>0.15040816326530601</v>
      </c>
      <c r="I332" s="62">
        <v>1.3</v>
      </c>
      <c r="J332" s="37">
        <v>1.149591836734694</v>
      </c>
      <c r="K332" s="37">
        <v>764.31478968792464</v>
      </c>
      <c r="L332" s="1" t="s">
        <v>23</v>
      </c>
      <c r="M332" s="1">
        <v>2</v>
      </c>
    </row>
    <row r="333" spans="1:13" x14ac:dyDescent="0.3">
      <c r="A333">
        <v>14</v>
      </c>
      <c r="B333">
        <v>1</v>
      </c>
      <c r="C333" t="s">
        <v>79</v>
      </c>
      <c r="D333" s="1" t="s">
        <v>1</v>
      </c>
      <c r="E333" s="59" t="s">
        <v>18</v>
      </c>
      <c r="F333" s="60">
        <v>0.500169491525424</v>
      </c>
      <c r="G333" s="60">
        <v>5.1337749200386501E-2</v>
      </c>
      <c r="H333" s="61">
        <v>0.51745098039215698</v>
      </c>
      <c r="I333" s="62">
        <v>4.17</v>
      </c>
      <c r="J333" s="37">
        <v>3.652549019607843</v>
      </c>
      <c r="K333" s="37">
        <v>705.87343690791954</v>
      </c>
      <c r="L333" s="1" t="s">
        <v>23</v>
      </c>
      <c r="M333" s="1">
        <v>2</v>
      </c>
    </row>
    <row r="334" spans="1:13" x14ac:dyDescent="0.3">
      <c r="A334">
        <v>14</v>
      </c>
      <c r="B334">
        <v>1</v>
      </c>
      <c r="C334" t="s">
        <v>79</v>
      </c>
      <c r="D334" s="1" t="s">
        <v>1</v>
      </c>
      <c r="E334" s="59" t="s">
        <v>19</v>
      </c>
      <c r="F334" s="60">
        <v>0.21203389830508401</v>
      </c>
      <c r="G334" s="60">
        <v>0.37706619326736501</v>
      </c>
      <c r="H334" s="61">
        <v>0.110363636363636</v>
      </c>
      <c r="I334" s="62">
        <v>2.82</v>
      </c>
      <c r="J334" s="37">
        <v>2.7096363636363638</v>
      </c>
      <c r="K334" s="37">
        <v>2455.1894563426772</v>
      </c>
      <c r="L334" s="1" t="s">
        <v>23</v>
      </c>
      <c r="M334" s="1">
        <v>2</v>
      </c>
    </row>
    <row r="335" spans="1:13" x14ac:dyDescent="0.3">
      <c r="A335">
        <v>14</v>
      </c>
      <c r="B335">
        <v>1</v>
      </c>
      <c r="C335" t="s">
        <v>79</v>
      </c>
      <c r="D335" s="1" t="s">
        <v>1</v>
      </c>
      <c r="E335" s="59" t="s">
        <v>12</v>
      </c>
      <c r="F335" s="60">
        <v>0.47271186440677898</v>
      </c>
      <c r="G335" s="60">
        <v>0.18657329643864201</v>
      </c>
      <c r="H335" s="61">
        <v>0.47260869565217301</v>
      </c>
      <c r="I335" s="62">
        <v>4.95</v>
      </c>
      <c r="J335" s="37">
        <v>4.4773913043478268</v>
      </c>
      <c r="K335" s="37">
        <v>947.37810487580703</v>
      </c>
      <c r="L335" s="1" t="s">
        <v>68</v>
      </c>
      <c r="M335" s="1">
        <v>2</v>
      </c>
    </row>
    <row r="336" spans="1:13" x14ac:dyDescent="0.3">
      <c r="A336">
        <v>14</v>
      </c>
      <c r="B336">
        <v>1</v>
      </c>
      <c r="C336" t="s">
        <v>79</v>
      </c>
      <c r="D336" s="1" t="s">
        <v>1</v>
      </c>
      <c r="E336" s="59" t="s">
        <v>13</v>
      </c>
      <c r="F336" s="60">
        <v>1.5235087719298199</v>
      </c>
      <c r="G336" s="60">
        <v>1.5873618091288899</v>
      </c>
      <c r="H336" s="61">
        <v>0.40736842105263099</v>
      </c>
      <c r="I336" s="62">
        <v>5.51</v>
      </c>
      <c r="J336" s="37">
        <v>5.1026315789473689</v>
      </c>
      <c r="K336" s="37">
        <v>1252.5839793281673</v>
      </c>
      <c r="L336" s="1" t="s">
        <v>68</v>
      </c>
      <c r="M336" s="1">
        <v>2</v>
      </c>
    </row>
    <row r="337" spans="1:13" x14ac:dyDescent="0.3">
      <c r="A337">
        <v>14</v>
      </c>
      <c r="B337">
        <v>1</v>
      </c>
      <c r="C337" t="s">
        <v>79</v>
      </c>
      <c r="D337" s="1" t="s">
        <v>1</v>
      </c>
      <c r="E337" s="59" t="s">
        <v>14</v>
      </c>
      <c r="F337" s="60">
        <v>0.44050847457627001</v>
      </c>
      <c r="G337" s="60">
        <v>9.1121519325095504E-2</v>
      </c>
      <c r="H337" s="61">
        <v>0.45690909090908999</v>
      </c>
      <c r="I337" s="62">
        <v>1.27</v>
      </c>
      <c r="J337" s="37">
        <v>0.81309090909090997</v>
      </c>
      <c r="K337" s="37">
        <v>177.95463589335512</v>
      </c>
      <c r="L337" s="1" t="s">
        <v>68</v>
      </c>
      <c r="M337" s="1">
        <v>2</v>
      </c>
    </row>
    <row r="338" spans="1:13" x14ac:dyDescent="0.3">
      <c r="A338">
        <v>14</v>
      </c>
      <c r="B338">
        <v>1</v>
      </c>
      <c r="C338" t="s">
        <v>79</v>
      </c>
      <c r="D338" s="1" t="s">
        <v>1</v>
      </c>
      <c r="E338" s="59" t="s">
        <v>15</v>
      </c>
      <c r="F338" s="60">
        <v>1.9930508474576201</v>
      </c>
      <c r="G338" s="60">
        <v>1.5850159109903199</v>
      </c>
      <c r="H338" s="61">
        <v>1.5860000000000001</v>
      </c>
      <c r="I338" s="62">
        <v>3.39</v>
      </c>
      <c r="J338" s="37">
        <v>1.804</v>
      </c>
      <c r="K338" s="37">
        <v>113.74527112232029</v>
      </c>
      <c r="L338" s="1" t="s">
        <v>68</v>
      </c>
      <c r="M338" s="1">
        <v>2</v>
      </c>
    </row>
    <row r="339" spans="1:13" x14ac:dyDescent="0.3">
      <c r="A339">
        <v>14</v>
      </c>
      <c r="B339">
        <v>1</v>
      </c>
      <c r="C339" t="s">
        <v>79</v>
      </c>
      <c r="D339" s="1" t="s">
        <v>1</v>
      </c>
      <c r="E339" s="59" t="s">
        <v>16</v>
      </c>
      <c r="F339" s="60">
        <v>3.95338983050847</v>
      </c>
      <c r="G339" s="60">
        <v>2.6150059857788599</v>
      </c>
      <c r="H339" s="61">
        <v>2.4722727272727201</v>
      </c>
      <c r="I339" s="62">
        <v>4.53</v>
      </c>
      <c r="J339" s="37">
        <v>2.0577272727272802</v>
      </c>
      <c r="K339" s="37">
        <v>83.232211803640922</v>
      </c>
      <c r="L339" s="1" t="s">
        <v>68</v>
      </c>
      <c r="M339" s="1">
        <v>2</v>
      </c>
    </row>
    <row r="340" spans="1:13" x14ac:dyDescent="0.3">
      <c r="A340">
        <v>14</v>
      </c>
      <c r="B340">
        <v>1</v>
      </c>
      <c r="C340" t="s">
        <v>79</v>
      </c>
      <c r="D340" s="1" t="s">
        <v>1</v>
      </c>
      <c r="E340" s="59" t="s">
        <v>17</v>
      </c>
      <c r="F340" s="60">
        <v>0.195762711864406</v>
      </c>
      <c r="G340" s="60">
        <v>0.109222264288809</v>
      </c>
      <c r="H340" s="61">
        <v>0.15040816326530601</v>
      </c>
      <c r="I340" s="62">
        <v>1.21</v>
      </c>
      <c r="J340" s="37">
        <v>1.0595918367346939</v>
      </c>
      <c r="K340" s="37">
        <v>704.47761194029908</v>
      </c>
      <c r="L340" s="1" t="s">
        <v>68</v>
      </c>
      <c r="M340" s="1">
        <v>2</v>
      </c>
    </row>
    <row r="341" spans="1:13" x14ac:dyDescent="0.3">
      <c r="A341">
        <v>14</v>
      </c>
      <c r="B341">
        <v>1</v>
      </c>
      <c r="C341" t="s">
        <v>79</v>
      </c>
      <c r="D341" s="1" t="s">
        <v>1</v>
      </c>
      <c r="E341" s="59" t="s">
        <v>18</v>
      </c>
      <c r="F341" s="60">
        <v>0.500169491525424</v>
      </c>
      <c r="G341" s="60">
        <v>5.1337749200386501E-2</v>
      </c>
      <c r="H341" s="61">
        <v>0.51745098039215698</v>
      </c>
      <c r="I341" s="62">
        <v>4.07</v>
      </c>
      <c r="J341" s="37">
        <v>3.5525490196078433</v>
      </c>
      <c r="K341" s="37">
        <v>686.54793482379682</v>
      </c>
      <c r="L341" s="1" t="s">
        <v>68</v>
      </c>
      <c r="M341" s="1">
        <v>2</v>
      </c>
    </row>
    <row r="342" spans="1:13" x14ac:dyDescent="0.3">
      <c r="A342">
        <v>14</v>
      </c>
      <c r="B342">
        <v>1</v>
      </c>
      <c r="C342" t="s">
        <v>79</v>
      </c>
      <c r="D342" s="1" t="s">
        <v>1</v>
      </c>
      <c r="E342" s="59" t="s">
        <v>19</v>
      </c>
      <c r="F342" s="60">
        <v>0.21203389830508401</v>
      </c>
      <c r="G342" s="60">
        <v>0.37706619326736501</v>
      </c>
      <c r="H342" s="61">
        <v>0.110363636363636</v>
      </c>
      <c r="I342" s="62">
        <v>2.74</v>
      </c>
      <c r="J342" s="37">
        <v>2.6296363636363642</v>
      </c>
      <c r="K342" s="37">
        <v>2382.7018121911124</v>
      </c>
      <c r="L342" s="1" t="s">
        <v>68</v>
      </c>
      <c r="M342" s="1">
        <v>2</v>
      </c>
    </row>
    <row r="343" spans="1:13" x14ac:dyDescent="0.3">
      <c r="A343">
        <v>14</v>
      </c>
      <c r="B343">
        <v>1</v>
      </c>
      <c r="C343" t="s">
        <v>79</v>
      </c>
      <c r="D343" s="1" t="s">
        <v>1</v>
      </c>
      <c r="E343" s="59" t="s">
        <v>12</v>
      </c>
      <c r="F343" s="60">
        <v>0.47271186440677898</v>
      </c>
      <c r="G343" s="60">
        <v>0.18657329643864201</v>
      </c>
      <c r="H343" s="61">
        <v>0.47260869565217301</v>
      </c>
      <c r="I343" s="62">
        <v>4.93</v>
      </c>
      <c r="J343" s="37">
        <v>4.4573913043478264</v>
      </c>
      <c r="K343" s="37">
        <v>943.14627414903589</v>
      </c>
      <c r="L343" s="1" t="s">
        <v>69</v>
      </c>
      <c r="M343" s="1">
        <v>2</v>
      </c>
    </row>
    <row r="344" spans="1:13" x14ac:dyDescent="0.3">
      <c r="A344">
        <v>14</v>
      </c>
      <c r="B344">
        <v>1</v>
      </c>
      <c r="C344" t="s">
        <v>79</v>
      </c>
      <c r="D344" s="1" t="s">
        <v>1</v>
      </c>
      <c r="E344" s="59" t="s">
        <v>13</v>
      </c>
      <c r="F344" s="60">
        <v>1.5235087719298199</v>
      </c>
      <c r="G344" s="60">
        <v>1.5873618091288899</v>
      </c>
      <c r="H344" s="61">
        <v>0.40736842105263099</v>
      </c>
      <c r="I344" s="62">
        <v>5.56</v>
      </c>
      <c r="J344" s="37">
        <v>5.1526315789473687</v>
      </c>
      <c r="K344" s="37">
        <v>1264.8578811369528</v>
      </c>
      <c r="L344" s="1" t="s">
        <v>69</v>
      </c>
      <c r="M344" s="1">
        <v>2</v>
      </c>
    </row>
    <row r="345" spans="1:13" x14ac:dyDescent="0.3">
      <c r="A345">
        <v>14</v>
      </c>
      <c r="B345">
        <v>1</v>
      </c>
      <c r="C345" t="s">
        <v>79</v>
      </c>
      <c r="D345" s="1" t="s">
        <v>1</v>
      </c>
      <c r="E345" s="59" t="s">
        <v>14</v>
      </c>
      <c r="F345" s="60">
        <v>0.44050847457627001</v>
      </c>
      <c r="G345" s="60">
        <v>9.1121519325095504E-2</v>
      </c>
      <c r="H345" s="61">
        <v>0.45690909090908999</v>
      </c>
      <c r="I345" s="62">
        <v>1.32</v>
      </c>
      <c r="J345" s="37">
        <v>0.86309090909091002</v>
      </c>
      <c r="K345" s="37">
        <v>188.89773179466832</v>
      </c>
      <c r="L345" s="1" t="s">
        <v>69</v>
      </c>
      <c r="M345" s="1">
        <v>2</v>
      </c>
    </row>
    <row r="346" spans="1:13" x14ac:dyDescent="0.3">
      <c r="A346">
        <v>14</v>
      </c>
      <c r="B346">
        <v>1</v>
      </c>
      <c r="C346" t="s">
        <v>79</v>
      </c>
      <c r="D346" s="1" t="s">
        <v>1</v>
      </c>
      <c r="E346" s="59" t="s">
        <v>15</v>
      </c>
      <c r="F346" s="60">
        <v>1.9930508474576201</v>
      </c>
      <c r="G346" s="60">
        <v>1.5850159109903199</v>
      </c>
      <c r="H346" s="61">
        <v>1.5860000000000001</v>
      </c>
      <c r="I346" s="62">
        <v>3.44</v>
      </c>
      <c r="J346" s="37">
        <v>1.8539999999999999</v>
      </c>
      <c r="K346" s="37">
        <v>116.89785624211852</v>
      </c>
      <c r="L346" s="1" t="s">
        <v>69</v>
      </c>
      <c r="M346" s="1">
        <v>2</v>
      </c>
    </row>
    <row r="347" spans="1:13" x14ac:dyDescent="0.3">
      <c r="A347">
        <v>14</v>
      </c>
      <c r="B347">
        <v>1</v>
      </c>
      <c r="C347" t="s">
        <v>79</v>
      </c>
      <c r="D347" s="1" t="s">
        <v>1</v>
      </c>
      <c r="E347" s="59" t="s">
        <v>16</v>
      </c>
      <c r="F347" s="60">
        <v>3.95338983050847</v>
      </c>
      <c r="G347" s="60">
        <v>2.6150059857788599</v>
      </c>
      <c r="H347" s="61">
        <v>2.4722727272727201</v>
      </c>
      <c r="I347" s="62">
        <v>4.59</v>
      </c>
      <c r="J347" s="37">
        <v>2.1177272727272798</v>
      </c>
      <c r="K347" s="37">
        <v>85.659128516271906</v>
      </c>
      <c r="L347" s="1" t="s">
        <v>69</v>
      </c>
      <c r="M347" s="1">
        <v>2</v>
      </c>
    </row>
    <row r="348" spans="1:13" x14ac:dyDescent="0.3">
      <c r="A348">
        <v>14</v>
      </c>
      <c r="B348">
        <v>1</v>
      </c>
      <c r="C348" t="s">
        <v>79</v>
      </c>
      <c r="D348" s="1" t="s">
        <v>1</v>
      </c>
      <c r="E348" s="59" t="s">
        <v>17</v>
      </c>
      <c r="F348" s="60">
        <v>0.195762711864406</v>
      </c>
      <c r="G348" s="60">
        <v>0.109222264288809</v>
      </c>
      <c r="H348" s="61">
        <v>0.15040816326530601</v>
      </c>
      <c r="I348" s="62">
        <v>1.25</v>
      </c>
      <c r="J348" s="37">
        <v>1.099591836734694</v>
      </c>
      <c r="K348" s="37">
        <v>731.071913161466</v>
      </c>
      <c r="L348" s="1" t="s">
        <v>69</v>
      </c>
      <c r="M348" s="1">
        <v>2</v>
      </c>
    </row>
    <row r="349" spans="1:13" x14ac:dyDescent="0.3">
      <c r="A349">
        <v>14</v>
      </c>
      <c r="B349">
        <v>1</v>
      </c>
      <c r="C349" t="s">
        <v>79</v>
      </c>
      <c r="D349" s="1" t="s">
        <v>1</v>
      </c>
      <c r="E349" s="59" t="s">
        <v>18</v>
      </c>
      <c r="F349" s="60">
        <v>0.500169491525424</v>
      </c>
      <c r="G349" s="60">
        <v>5.1337749200386501E-2</v>
      </c>
      <c r="H349" s="61">
        <v>0.51745098039215698</v>
      </c>
      <c r="I349" s="62">
        <v>4.05</v>
      </c>
      <c r="J349" s="37">
        <v>3.5325490196078428</v>
      </c>
      <c r="K349" s="37">
        <v>682.68283440697212</v>
      </c>
      <c r="L349" s="1" t="s">
        <v>69</v>
      </c>
      <c r="M349" s="1">
        <v>2</v>
      </c>
    </row>
    <row r="350" spans="1:13" x14ac:dyDescent="0.3">
      <c r="A350">
        <v>14</v>
      </c>
      <c r="B350">
        <v>1</v>
      </c>
      <c r="C350" t="s">
        <v>79</v>
      </c>
      <c r="D350" s="1" t="s">
        <v>1</v>
      </c>
      <c r="E350" s="59" t="s">
        <v>19</v>
      </c>
      <c r="F350" s="60">
        <v>0.21203389830508401</v>
      </c>
      <c r="G350" s="60">
        <v>0.37706619326736501</v>
      </c>
      <c r="H350" s="61">
        <v>0.110363636363636</v>
      </c>
      <c r="I350" s="62">
        <v>2.72</v>
      </c>
      <c r="J350" s="37">
        <v>2.6096363636363642</v>
      </c>
      <c r="K350" s="37">
        <v>2364.5799011532208</v>
      </c>
      <c r="L350" s="1" t="s">
        <v>69</v>
      </c>
      <c r="M350" s="1">
        <v>2</v>
      </c>
    </row>
    <row r="352" spans="1:13" x14ac:dyDescent="0.3">
      <c r="A352">
        <v>14</v>
      </c>
      <c r="B352">
        <v>1</v>
      </c>
      <c r="C352" t="s">
        <v>79</v>
      </c>
      <c r="D352" s="1" t="s">
        <v>1</v>
      </c>
      <c r="E352" s="59" t="s">
        <v>12</v>
      </c>
      <c r="F352" s="60">
        <v>0.456610169491525</v>
      </c>
      <c r="G352" s="60">
        <v>0.12665996343461999</v>
      </c>
      <c r="H352" s="61">
        <v>0.46921568627450899</v>
      </c>
      <c r="I352" s="63">
        <v>5.07</v>
      </c>
      <c r="J352" s="58">
        <v>4.6007843137254909</v>
      </c>
      <c r="K352" s="58">
        <v>980.52653572921201</v>
      </c>
      <c r="L352" s="1" t="s">
        <v>23</v>
      </c>
      <c r="M352" s="1">
        <v>3</v>
      </c>
    </row>
    <row r="353" spans="1:13" x14ac:dyDescent="0.3">
      <c r="A353">
        <v>14</v>
      </c>
      <c r="B353">
        <v>1</v>
      </c>
      <c r="C353" t="s">
        <v>79</v>
      </c>
      <c r="D353" s="1" t="s">
        <v>1</v>
      </c>
      <c r="E353" s="59" t="s">
        <v>13</v>
      </c>
      <c r="F353" s="60">
        <v>1.21362068965517</v>
      </c>
      <c r="G353" s="60">
        <v>1.4473741959217701</v>
      </c>
      <c r="H353" s="61">
        <v>0.40636363636363598</v>
      </c>
      <c r="I353" s="63">
        <v>5.65</v>
      </c>
      <c r="J353" s="58">
        <v>5.2436363636363641</v>
      </c>
      <c r="K353" s="58">
        <v>1290.3803131991065</v>
      </c>
      <c r="L353" s="1" t="s">
        <v>23</v>
      </c>
      <c r="M353" s="1">
        <v>3</v>
      </c>
    </row>
    <row r="354" spans="1:13" x14ac:dyDescent="0.3">
      <c r="A354">
        <v>14</v>
      </c>
      <c r="B354">
        <v>1</v>
      </c>
      <c r="C354" t="s">
        <v>79</v>
      </c>
      <c r="D354" s="1" t="s">
        <v>1</v>
      </c>
      <c r="E354" s="59" t="s">
        <v>14</v>
      </c>
      <c r="F354" s="60">
        <v>0.44283333333333302</v>
      </c>
      <c r="G354" s="60">
        <v>5.8397821496658203E-2</v>
      </c>
      <c r="H354" s="61">
        <v>0.43981132075471602</v>
      </c>
      <c r="I354" s="63">
        <v>1.37</v>
      </c>
      <c r="J354" s="58">
        <v>0.93018867924528403</v>
      </c>
      <c r="K354" s="58">
        <v>211.49721149721219</v>
      </c>
      <c r="L354" s="1" t="s">
        <v>23</v>
      </c>
      <c r="M354" s="1">
        <v>3</v>
      </c>
    </row>
    <row r="355" spans="1:13" x14ac:dyDescent="0.3">
      <c r="A355">
        <v>14</v>
      </c>
      <c r="B355">
        <v>1</v>
      </c>
      <c r="C355" t="s">
        <v>79</v>
      </c>
      <c r="D355" s="1" t="s">
        <v>1</v>
      </c>
      <c r="E355" s="59" t="s">
        <v>15</v>
      </c>
      <c r="F355" s="60">
        <v>1.873</v>
      </c>
      <c r="G355" s="60">
        <v>1.09929416748505</v>
      </c>
      <c r="H355" s="61">
        <v>1.7566666666666599</v>
      </c>
      <c r="I355" s="63">
        <v>3.57</v>
      </c>
      <c r="J355" s="58">
        <v>1.8133333333333399</v>
      </c>
      <c r="K355" s="58">
        <v>103.22580645161368</v>
      </c>
      <c r="L355" s="1" t="s">
        <v>23</v>
      </c>
      <c r="M355" s="1">
        <v>3</v>
      </c>
    </row>
    <row r="356" spans="1:13" x14ac:dyDescent="0.3">
      <c r="A356">
        <v>14</v>
      </c>
      <c r="B356">
        <v>1</v>
      </c>
      <c r="C356" t="s">
        <v>79</v>
      </c>
      <c r="D356" s="1" t="s">
        <v>1</v>
      </c>
      <c r="E356" s="59" t="s">
        <v>16</v>
      </c>
      <c r="F356" s="60">
        <v>3.90766666666666</v>
      </c>
      <c r="G356" s="60">
        <v>2.73088103406615</v>
      </c>
      <c r="H356" s="61">
        <v>2.4562222222222201</v>
      </c>
      <c r="I356" s="63">
        <v>4.6500000000000004</v>
      </c>
      <c r="J356" s="58">
        <v>2.1937777777777803</v>
      </c>
      <c r="K356" s="58">
        <v>89.315118067493174</v>
      </c>
      <c r="L356" s="1" t="s">
        <v>23</v>
      </c>
      <c r="M356" s="1">
        <v>3</v>
      </c>
    </row>
    <row r="357" spans="1:13" x14ac:dyDescent="0.3">
      <c r="A357">
        <v>14</v>
      </c>
      <c r="B357">
        <v>1</v>
      </c>
      <c r="C357" t="s">
        <v>79</v>
      </c>
      <c r="D357" s="1" t="s">
        <v>1</v>
      </c>
      <c r="E357" s="59" t="s">
        <v>17</v>
      </c>
      <c r="F357" s="60">
        <v>0.19166666666666601</v>
      </c>
      <c r="G357" s="60">
        <v>0.108829632402617</v>
      </c>
      <c r="H357" s="61">
        <v>0.14760000000000001</v>
      </c>
      <c r="I357" s="63">
        <v>1.3</v>
      </c>
      <c r="J357" s="58">
        <v>1.1524000000000001</v>
      </c>
      <c r="K357" s="58">
        <v>780.7588075880758</v>
      </c>
      <c r="L357" s="1" t="s">
        <v>23</v>
      </c>
      <c r="M357" s="1">
        <v>3</v>
      </c>
    </row>
    <row r="358" spans="1:13" x14ac:dyDescent="0.3">
      <c r="A358">
        <v>14</v>
      </c>
      <c r="B358">
        <v>1</v>
      </c>
      <c r="C358" t="s">
        <v>79</v>
      </c>
      <c r="D358" s="1" t="s">
        <v>1</v>
      </c>
      <c r="E358" s="59" t="s">
        <v>18</v>
      </c>
      <c r="F358" s="60">
        <v>0.50866666666666704</v>
      </c>
      <c r="G358" s="60">
        <v>0.103012404862499</v>
      </c>
      <c r="H358" s="61">
        <v>0.52489361702127602</v>
      </c>
      <c r="I358" s="63">
        <v>4.17</v>
      </c>
      <c r="J358" s="58">
        <v>3.645106382978724</v>
      </c>
      <c r="K358" s="58">
        <v>694.44669639238032</v>
      </c>
      <c r="L358" s="1" t="s">
        <v>23</v>
      </c>
      <c r="M358" s="1">
        <v>3</v>
      </c>
    </row>
    <row r="359" spans="1:13" x14ac:dyDescent="0.3">
      <c r="A359">
        <v>14</v>
      </c>
      <c r="B359">
        <v>1</v>
      </c>
      <c r="C359" t="s">
        <v>79</v>
      </c>
      <c r="D359" s="1" t="s">
        <v>1</v>
      </c>
      <c r="E359" s="59" t="s">
        <v>19</v>
      </c>
      <c r="F359" s="60">
        <v>0.136333333333333</v>
      </c>
      <c r="G359" s="60">
        <v>0.192024014701865</v>
      </c>
      <c r="H359" s="61">
        <v>0.111355932203389</v>
      </c>
      <c r="I359" s="63">
        <v>2.82</v>
      </c>
      <c r="J359" s="58">
        <v>2.708644067796611</v>
      </c>
      <c r="K359" s="58">
        <v>2432.4200913242198</v>
      </c>
      <c r="L359" s="1" t="s">
        <v>23</v>
      </c>
      <c r="M359" s="1">
        <v>3</v>
      </c>
    </row>
    <row r="360" spans="1:13" x14ac:dyDescent="0.3">
      <c r="A360">
        <v>14</v>
      </c>
      <c r="B360">
        <v>1</v>
      </c>
      <c r="C360" t="s">
        <v>79</v>
      </c>
      <c r="D360" s="1" t="s">
        <v>1</v>
      </c>
      <c r="E360" s="59" t="s">
        <v>12</v>
      </c>
      <c r="F360" s="60">
        <v>0.456610169491525</v>
      </c>
      <c r="G360" s="60">
        <v>0.12665996343461999</v>
      </c>
      <c r="H360" s="61">
        <v>0.46921568627450899</v>
      </c>
      <c r="I360" s="63">
        <v>4.95</v>
      </c>
      <c r="J360" s="58">
        <v>4.4807843137254908</v>
      </c>
      <c r="K360" s="58">
        <v>954.95194316757386</v>
      </c>
      <c r="L360" s="1" t="s">
        <v>68</v>
      </c>
      <c r="M360" s="1">
        <v>3</v>
      </c>
    </row>
    <row r="361" spans="1:13" x14ac:dyDescent="0.3">
      <c r="A361">
        <v>14</v>
      </c>
      <c r="B361">
        <v>1</v>
      </c>
      <c r="C361" t="s">
        <v>79</v>
      </c>
      <c r="D361" s="1" t="s">
        <v>1</v>
      </c>
      <c r="E361" s="59" t="s">
        <v>13</v>
      </c>
      <c r="F361" s="60">
        <v>1.21362068965517</v>
      </c>
      <c r="G361" s="60">
        <v>1.4473741959217701</v>
      </c>
      <c r="H361" s="61">
        <v>0.40636363636363598</v>
      </c>
      <c r="I361" s="63">
        <v>5.51</v>
      </c>
      <c r="J361" s="58">
        <v>5.1036363636363635</v>
      </c>
      <c r="K361" s="58">
        <v>1255.9284116331107</v>
      </c>
      <c r="L361" s="1" t="s">
        <v>68</v>
      </c>
      <c r="M361" s="1">
        <v>3</v>
      </c>
    </row>
    <row r="362" spans="1:13" x14ac:dyDescent="0.3">
      <c r="A362">
        <v>14</v>
      </c>
      <c r="B362">
        <v>1</v>
      </c>
      <c r="C362" t="s">
        <v>79</v>
      </c>
      <c r="D362" s="1" t="s">
        <v>1</v>
      </c>
      <c r="E362" s="59" t="s">
        <v>14</v>
      </c>
      <c r="F362" s="60">
        <v>0.44283333333333302</v>
      </c>
      <c r="G362" s="60">
        <v>5.8397821496658203E-2</v>
      </c>
      <c r="H362" s="61">
        <v>0.43981132075471602</v>
      </c>
      <c r="I362" s="63">
        <v>1.27</v>
      </c>
      <c r="J362" s="58">
        <v>0.83018867924528394</v>
      </c>
      <c r="K362" s="58">
        <v>188.76018876018938</v>
      </c>
      <c r="L362" s="1" t="s">
        <v>68</v>
      </c>
      <c r="M362" s="1">
        <v>3</v>
      </c>
    </row>
    <row r="363" spans="1:13" x14ac:dyDescent="0.3">
      <c r="A363">
        <v>14</v>
      </c>
      <c r="B363">
        <v>1</v>
      </c>
      <c r="C363" t="s">
        <v>79</v>
      </c>
      <c r="D363" s="1" t="s">
        <v>1</v>
      </c>
      <c r="E363" s="59" t="s">
        <v>15</v>
      </c>
      <c r="F363" s="60">
        <v>1.873</v>
      </c>
      <c r="G363" s="60">
        <v>1.09929416748505</v>
      </c>
      <c r="H363" s="61">
        <v>1.7566666666666599</v>
      </c>
      <c r="I363" s="63">
        <v>3.39</v>
      </c>
      <c r="J363" s="58">
        <v>1.6333333333333402</v>
      </c>
      <c r="K363" s="58">
        <v>92.979127134725601</v>
      </c>
      <c r="L363" s="1" t="s">
        <v>68</v>
      </c>
      <c r="M363" s="1">
        <v>3</v>
      </c>
    </row>
    <row r="364" spans="1:13" x14ac:dyDescent="0.3">
      <c r="A364">
        <v>14</v>
      </c>
      <c r="B364">
        <v>1</v>
      </c>
      <c r="C364" t="s">
        <v>79</v>
      </c>
      <c r="D364" s="1" t="s">
        <v>1</v>
      </c>
      <c r="E364" s="59" t="s">
        <v>16</v>
      </c>
      <c r="F364" s="60">
        <v>3.90766666666666</v>
      </c>
      <c r="G364" s="60">
        <v>2.73088103406615</v>
      </c>
      <c r="H364" s="61">
        <v>2.4562222222222201</v>
      </c>
      <c r="I364" s="63">
        <v>4.53</v>
      </c>
      <c r="J364" s="58">
        <v>2.0737777777777802</v>
      </c>
      <c r="K364" s="58">
        <v>84.429566633493337</v>
      </c>
      <c r="L364" s="1" t="s">
        <v>68</v>
      </c>
      <c r="M364" s="1">
        <v>3</v>
      </c>
    </row>
    <row r="365" spans="1:13" x14ac:dyDescent="0.3">
      <c r="A365">
        <v>14</v>
      </c>
      <c r="B365">
        <v>1</v>
      </c>
      <c r="C365" t="s">
        <v>79</v>
      </c>
      <c r="D365" s="1" t="s">
        <v>1</v>
      </c>
      <c r="E365" s="59" t="s">
        <v>17</v>
      </c>
      <c r="F365" s="60">
        <v>0.19166666666666601</v>
      </c>
      <c r="G365" s="60">
        <v>0.108829632402617</v>
      </c>
      <c r="H365" s="61">
        <v>0.14760000000000001</v>
      </c>
      <c r="I365" s="63">
        <v>1.21</v>
      </c>
      <c r="J365" s="58">
        <v>1.0624</v>
      </c>
      <c r="K365" s="58">
        <v>719.78319783197833</v>
      </c>
      <c r="L365" s="1" t="s">
        <v>68</v>
      </c>
      <c r="M365" s="1">
        <v>3</v>
      </c>
    </row>
    <row r="366" spans="1:13" x14ac:dyDescent="0.3">
      <c r="A366">
        <v>14</v>
      </c>
      <c r="B366">
        <v>1</v>
      </c>
      <c r="C366" t="s">
        <v>79</v>
      </c>
      <c r="D366" s="1" t="s">
        <v>1</v>
      </c>
      <c r="E366" s="59" t="s">
        <v>18</v>
      </c>
      <c r="F366" s="60">
        <v>0.50866666666666704</v>
      </c>
      <c r="G366" s="60">
        <v>0.103012404862499</v>
      </c>
      <c r="H366" s="61">
        <v>0.52489361702127602</v>
      </c>
      <c r="I366" s="63">
        <v>4.07</v>
      </c>
      <c r="J366" s="58">
        <v>3.5451063829787244</v>
      </c>
      <c r="K366" s="58">
        <v>675.39521686258706</v>
      </c>
      <c r="L366" s="1" t="s">
        <v>68</v>
      </c>
      <c r="M366" s="1">
        <v>3</v>
      </c>
    </row>
    <row r="367" spans="1:13" x14ac:dyDescent="0.3">
      <c r="A367">
        <v>14</v>
      </c>
      <c r="B367">
        <v>1</v>
      </c>
      <c r="C367" t="s">
        <v>79</v>
      </c>
      <c r="D367" s="1" t="s">
        <v>1</v>
      </c>
      <c r="E367" s="59" t="s">
        <v>19</v>
      </c>
      <c r="F367" s="60">
        <v>0.136333333333333</v>
      </c>
      <c r="G367" s="60">
        <v>0.192024014701865</v>
      </c>
      <c r="H367" s="61">
        <v>0.111355932203389</v>
      </c>
      <c r="I367" s="63">
        <v>2.74</v>
      </c>
      <c r="J367" s="58">
        <v>2.6286440677966114</v>
      </c>
      <c r="K367" s="58">
        <v>2360.5783866058027</v>
      </c>
      <c r="L367" s="1" t="s">
        <v>68</v>
      </c>
      <c r="M367" s="1">
        <v>3</v>
      </c>
    </row>
    <row r="368" spans="1:13" x14ac:dyDescent="0.3">
      <c r="A368">
        <v>14</v>
      </c>
      <c r="B368">
        <v>1</v>
      </c>
      <c r="C368" t="s">
        <v>79</v>
      </c>
      <c r="D368" s="1" t="s">
        <v>1</v>
      </c>
      <c r="E368" s="59" t="s">
        <v>12</v>
      </c>
      <c r="F368" s="60">
        <v>0.456610169491525</v>
      </c>
      <c r="G368" s="60">
        <v>0.12665996343461999</v>
      </c>
      <c r="H368" s="61">
        <v>0.46921568627450899</v>
      </c>
      <c r="I368" s="63">
        <v>4.93</v>
      </c>
      <c r="J368" s="58">
        <v>4.4607843137254903</v>
      </c>
      <c r="K368" s="58">
        <v>950.68951107396731</v>
      </c>
      <c r="L368" s="1" t="s">
        <v>69</v>
      </c>
      <c r="M368" s="1">
        <v>3</v>
      </c>
    </row>
    <row r="369" spans="1:13" x14ac:dyDescent="0.3">
      <c r="A369">
        <v>14</v>
      </c>
      <c r="B369">
        <v>1</v>
      </c>
      <c r="C369" t="s">
        <v>79</v>
      </c>
      <c r="D369" s="1" t="s">
        <v>1</v>
      </c>
      <c r="E369" s="59" t="s">
        <v>13</v>
      </c>
      <c r="F369" s="60">
        <v>1.21362068965517</v>
      </c>
      <c r="G369" s="60">
        <v>1.4473741959217701</v>
      </c>
      <c r="H369" s="61">
        <v>0.40636363636363598</v>
      </c>
      <c r="I369" s="63">
        <v>5.56</v>
      </c>
      <c r="J369" s="58">
        <v>5.1536363636363633</v>
      </c>
      <c r="K369" s="58">
        <v>1268.2326621923949</v>
      </c>
      <c r="L369" s="1" t="s">
        <v>69</v>
      </c>
      <c r="M369" s="1">
        <v>3</v>
      </c>
    </row>
    <row r="370" spans="1:13" x14ac:dyDescent="0.3">
      <c r="A370">
        <v>14</v>
      </c>
      <c r="B370">
        <v>1</v>
      </c>
      <c r="C370" t="s">
        <v>79</v>
      </c>
      <c r="D370" s="1" t="s">
        <v>1</v>
      </c>
      <c r="E370" s="59" t="s">
        <v>14</v>
      </c>
      <c r="F370" s="60">
        <v>0.44283333333333302</v>
      </c>
      <c r="G370" s="60">
        <v>5.8397821496658203E-2</v>
      </c>
      <c r="H370" s="61">
        <v>0.43981132075471602</v>
      </c>
      <c r="I370" s="63">
        <v>1.32</v>
      </c>
      <c r="J370" s="58">
        <v>0.88018867924528399</v>
      </c>
      <c r="K370" s="58">
        <v>200.12870012870079</v>
      </c>
      <c r="L370" s="1" t="s">
        <v>69</v>
      </c>
      <c r="M370" s="1">
        <v>3</v>
      </c>
    </row>
    <row r="371" spans="1:13" x14ac:dyDescent="0.3">
      <c r="A371">
        <v>14</v>
      </c>
      <c r="B371">
        <v>1</v>
      </c>
      <c r="C371" t="s">
        <v>79</v>
      </c>
      <c r="D371" s="1" t="s">
        <v>1</v>
      </c>
      <c r="E371" s="59" t="s">
        <v>15</v>
      </c>
      <c r="F371" s="60">
        <v>1.873</v>
      </c>
      <c r="G371" s="60">
        <v>1.09929416748505</v>
      </c>
      <c r="H371" s="61">
        <v>1.7566666666666599</v>
      </c>
      <c r="I371" s="63">
        <v>3.44</v>
      </c>
      <c r="J371" s="58">
        <v>1.68333333333334</v>
      </c>
      <c r="K371" s="58">
        <v>95.825426944972278</v>
      </c>
      <c r="L371" s="1" t="s">
        <v>69</v>
      </c>
      <c r="M371" s="1">
        <v>3</v>
      </c>
    </row>
    <row r="372" spans="1:13" x14ac:dyDescent="0.3">
      <c r="A372">
        <v>14</v>
      </c>
      <c r="B372">
        <v>1</v>
      </c>
      <c r="C372" t="s">
        <v>79</v>
      </c>
      <c r="D372" s="1" t="s">
        <v>1</v>
      </c>
      <c r="E372" s="59" t="s">
        <v>16</v>
      </c>
      <c r="F372" s="60">
        <v>3.90766666666666</v>
      </c>
      <c r="G372" s="60">
        <v>2.73088103406615</v>
      </c>
      <c r="H372" s="61">
        <v>2.4562222222222201</v>
      </c>
      <c r="I372" s="63">
        <v>4.59</v>
      </c>
      <c r="J372" s="58">
        <v>2.1337777777777798</v>
      </c>
      <c r="K372" s="58">
        <v>86.872342350493241</v>
      </c>
      <c r="L372" s="1" t="s">
        <v>69</v>
      </c>
      <c r="M372" s="1">
        <v>3</v>
      </c>
    </row>
    <row r="373" spans="1:13" x14ac:dyDescent="0.3">
      <c r="A373">
        <v>14</v>
      </c>
      <c r="B373">
        <v>1</v>
      </c>
      <c r="C373" t="s">
        <v>79</v>
      </c>
      <c r="D373" s="1" t="s">
        <v>1</v>
      </c>
      <c r="E373" s="59" t="s">
        <v>17</v>
      </c>
      <c r="F373" s="60">
        <v>0.19166666666666601</v>
      </c>
      <c r="G373" s="60">
        <v>0.108829632402617</v>
      </c>
      <c r="H373" s="61">
        <v>0.14760000000000001</v>
      </c>
      <c r="I373" s="63">
        <v>1.25</v>
      </c>
      <c r="J373" s="58">
        <v>1.1024</v>
      </c>
      <c r="K373" s="58">
        <v>746.88346883468841</v>
      </c>
      <c r="L373" s="1" t="s">
        <v>69</v>
      </c>
      <c r="M373" s="1">
        <v>3</v>
      </c>
    </row>
    <row r="374" spans="1:13" x14ac:dyDescent="0.3">
      <c r="A374">
        <v>14</v>
      </c>
      <c r="B374">
        <v>1</v>
      </c>
      <c r="C374" t="s">
        <v>79</v>
      </c>
      <c r="D374" s="1" t="s">
        <v>1</v>
      </c>
      <c r="E374" s="59" t="s">
        <v>18</v>
      </c>
      <c r="F374" s="60">
        <v>0.50866666666666704</v>
      </c>
      <c r="G374" s="60">
        <v>0.103012404862499</v>
      </c>
      <c r="H374" s="61">
        <v>0.52489361702127602</v>
      </c>
      <c r="I374" s="63">
        <v>4.05</v>
      </c>
      <c r="J374" s="58">
        <v>3.5251063829787239</v>
      </c>
      <c r="K374" s="58">
        <v>671.58492095662825</v>
      </c>
      <c r="L374" s="1" t="s">
        <v>69</v>
      </c>
      <c r="M374" s="1">
        <v>3</v>
      </c>
    </row>
    <row r="375" spans="1:13" x14ac:dyDescent="0.3">
      <c r="A375">
        <v>14</v>
      </c>
      <c r="B375">
        <v>1</v>
      </c>
      <c r="C375" t="s">
        <v>79</v>
      </c>
      <c r="D375" s="1" t="s">
        <v>1</v>
      </c>
      <c r="E375" s="59" t="s">
        <v>19</v>
      </c>
      <c r="F375" s="60">
        <v>0.136333333333333</v>
      </c>
      <c r="G375" s="60">
        <v>0.192024014701865</v>
      </c>
      <c r="H375" s="61">
        <v>0.111355932203389</v>
      </c>
      <c r="I375" s="63">
        <v>2.72</v>
      </c>
      <c r="J375" s="58">
        <v>2.6086440677966114</v>
      </c>
      <c r="K375" s="58">
        <v>2342.6179604261984</v>
      </c>
      <c r="L375" s="1" t="s">
        <v>69</v>
      </c>
      <c r="M375" s="1">
        <v>3</v>
      </c>
    </row>
    <row r="377" spans="1:13" x14ac:dyDescent="0.3">
      <c r="A377">
        <v>16</v>
      </c>
      <c r="B377">
        <v>1</v>
      </c>
      <c r="C377" t="s">
        <v>79</v>
      </c>
      <c r="D377" s="1" t="s">
        <v>1</v>
      </c>
      <c r="E377" s="59" t="s">
        <v>12</v>
      </c>
      <c r="F377" s="60">
        <v>1.85372881355932</v>
      </c>
      <c r="G377" s="60">
        <v>0.33745256191450101</v>
      </c>
      <c r="H377" s="61">
        <v>1.7112765957446801</v>
      </c>
      <c r="I377" s="62">
        <v>3.8</v>
      </c>
      <c r="J377" s="37">
        <v>2.0887234042553198</v>
      </c>
      <c r="K377" s="37">
        <v>122.05644659952763</v>
      </c>
      <c r="L377" s="1" t="s">
        <v>23</v>
      </c>
      <c r="M377" s="1">
        <v>1</v>
      </c>
    </row>
    <row r="378" spans="1:13" x14ac:dyDescent="0.3">
      <c r="A378">
        <v>16</v>
      </c>
      <c r="B378">
        <v>1</v>
      </c>
      <c r="C378" t="s">
        <v>79</v>
      </c>
      <c r="D378" s="1" t="s">
        <v>1</v>
      </c>
      <c r="E378" s="59" t="s">
        <v>13</v>
      </c>
      <c r="F378" s="60">
        <v>0.44661016949152499</v>
      </c>
      <c r="G378" s="60">
        <v>2.3907318891532799E-2</v>
      </c>
      <c r="H378" s="61">
        <v>0.44999999999999901</v>
      </c>
      <c r="I378" s="62">
        <v>2.5</v>
      </c>
      <c r="J378" s="37">
        <v>2.0500000000000012</v>
      </c>
      <c r="K378" s="37">
        <v>455.55555555555679</v>
      </c>
      <c r="L378" s="1" t="s">
        <v>23</v>
      </c>
      <c r="M378" s="1">
        <v>1</v>
      </c>
    </row>
    <row r="379" spans="1:13" x14ac:dyDescent="0.3">
      <c r="A379">
        <v>16</v>
      </c>
      <c r="B379">
        <v>1</v>
      </c>
      <c r="C379" t="s">
        <v>79</v>
      </c>
      <c r="D379" s="1" t="s">
        <v>1</v>
      </c>
      <c r="E379" s="59" t="s">
        <v>14</v>
      </c>
      <c r="F379" s="60">
        <v>0.26779661016949102</v>
      </c>
      <c r="G379" s="60">
        <v>0.19961885543739599</v>
      </c>
      <c r="H379" s="61">
        <v>0.18</v>
      </c>
      <c r="I379" s="62">
        <v>4.05</v>
      </c>
      <c r="J379" s="37">
        <v>3.8699999999999997</v>
      </c>
      <c r="K379" s="37">
        <v>2150</v>
      </c>
      <c r="L379" s="1" t="s">
        <v>23</v>
      </c>
      <c r="M379" s="1">
        <v>1</v>
      </c>
    </row>
    <row r="380" spans="1:13" x14ac:dyDescent="0.3">
      <c r="A380">
        <v>16</v>
      </c>
      <c r="B380">
        <v>1</v>
      </c>
      <c r="C380" t="s">
        <v>79</v>
      </c>
      <c r="D380" s="1" t="s">
        <v>1</v>
      </c>
      <c r="E380" s="59" t="s">
        <v>15</v>
      </c>
      <c r="F380" s="60">
        <v>3.2686206896551702</v>
      </c>
      <c r="G380" s="60">
        <v>0.74914767264806104</v>
      </c>
      <c r="H380" s="61">
        <v>3.3387234042553202</v>
      </c>
      <c r="I380" s="62">
        <v>3.84</v>
      </c>
      <c r="J380" s="37">
        <v>0.50127659574467964</v>
      </c>
      <c r="K380" s="37">
        <v>15.014019882742758</v>
      </c>
      <c r="L380" s="1" t="s">
        <v>23</v>
      </c>
      <c r="M380" s="1">
        <v>1</v>
      </c>
    </row>
    <row r="381" spans="1:13" x14ac:dyDescent="0.3">
      <c r="A381">
        <v>16</v>
      </c>
      <c r="B381">
        <v>1</v>
      </c>
      <c r="C381" t="s">
        <v>79</v>
      </c>
      <c r="D381" s="1" t="s">
        <v>1</v>
      </c>
      <c r="E381" s="59" t="s">
        <v>16</v>
      </c>
      <c r="F381" s="60">
        <v>7.9101694915254201</v>
      </c>
      <c r="G381" s="60">
        <v>0.68142794121552797</v>
      </c>
      <c r="H381" s="61">
        <v>7.8799999999999901</v>
      </c>
      <c r="I381" s="62">
        <v>2.25</v>
      </c>
      <c r="J381" s="37">
        <v>-5.6299999999999901</v>
      </c>
      <c r="K381" s="37">
        <v>-71.446700507614182</v>
      </c>
      <c r="L381" s="1" t="s">
        <v>23</v>
      </c>
      <c r="M381" s="1">
        <v>1</v>
      </c>
    </row>
    <row r="382" spans="1:13" x14ac:dyDescent="0.3">
      <c r="A382">
        <v>16</v>
      </c>
      <c r="B382">
        <v>1</v>
      </c>
      <c r="C382" t="s">
        <v>79</v>
      </c>
      <c r="D382" s="1" t="s">
        <v>1</v>
      </c>
      <c r="E382" s="59" t="s">
        <v>17</v>
      </c>
      <c r="F382" s="60">
        <v>3.2974576271186402</v>
      </c>
      <c r="G382" s="60">
        <v>0.69497614450056999</v>
      </c>
      <c r="H382" s="61">
        <v>3.4897297297297301</v>
      </c>
      <c r="I382" s="62">
        <v>4.26</v>
      </c>
      <c r="J382" s="37">
        <v>0.77027027027026973</v>
      </c>
      <c r="K382" s="37">
        <v>22.072490706319687</v>
      </c>
      <c r="L382" s="1" t="s">
        <v>23</v>
      </c>
      <c r="M382" s="1">
        <v>1</v>
      </c>
    </row>
    <row r="383" spans="1:13" x14ac:dyDescent="0.3">
      <c r="A383">
        <v>16</v>
      </c>
      <c r="B383">
        <v>1</v>
      </c>
      <c r="C383" t="s">
        <v>79</v>
      </c>
      <c r="D383" s="1" t="s">
        <v>1</v>
      </c>
      <c r="E383" s="59" t="s">
        <v>18</v>
      </c>
      <c r="F383" s="60">
        <v>0.71372881355932205</v>
      </c>
      <c r="G383" s="60">
        <v>0.24231159590238699</v>
      </c>
      <c r="H383" s="61">
        <v>0.84733333333333405</v>
      </c>
      <c r="I383" s="62">
        <v>1.27</v>
      </c>
      <c r="J383" s="37">
        <v>0.42266666666666597</v>
      </c>
      <c r="K383" s="37">
        <v>49.881982690794523</v>
      </c>
      <c r="L383" s="1" t="s">
        <v>23</v>
      </c>
      <c r="M383" s="1">
        <v>1</v>
      </c>
    </row>
    <row r="384" spans="1:13" x14ac:dyDescent="0.3">
      <c r="A384">
        <v>16</v>
      </c>
      <c r="B384">
        <v>1</v>
      </c>
      <c r="C384" t="s">
        <v>79</v>
      </c>
      <c r="D384" s="1" t="s">
        <v>1</v>
      </c>
      <c r="E384" s="59" t="s">
        <v>19</v>
      </c>
      <c r="F384" s="60">
        <v>2.8864000000000001</v>
      </c>
      <c r="G384" s="60">
        <v>1.55823459081102</v>
      </c>
      <c r="H384" s="61">
        <v>3.7053333333333298</v>
      </c>
      <c r="I384" s="62">
        <v>1.64</v>
      </c>
      <c r="J384" s="37">
        <v>-2.0653333333333297</v>
      </c>
      <c r="K384" s="37">
        <v>-55.739474631162246</v>
      </c>
      <c r="L384" s="1" t="s">
        <v>23</v>
      </c>
      <c r="M384" s="1">
        <v>1</v>
      </c>
    </row>
    <row r="385" spans="1:13" x14ac:dyDescent="0.3">
      <c r="A385">
        <v>16</v>
      </c>
      <c r="B385">
        <v>1</v>
      </c>
      <c r="C385" t="s">
        <v>79</v>
      </c>
      <c r="D385" s="1" t="s">
        <v>1</v>
      </c>
      <c r="E385" s="59" t="s">
        <v>12</v>
      </c>
      <c r="F385" s="60">
        <v>1.85372881355932</v>
      </c>
      <c r="G385" s="60">
        <v>0.33745256191450101</v>
      </c>
      <c r="H385" s="61">
        <v>1.7112765957446801</v>
      </c>
      <c r="I385" s="62">
        <v>3.62</v>
      </c>
      <c r="J385" s="37">
        <v>1.9087234042553201</v>
      </c>
      <c r="K385" s="37">
        <v>111.53798333955002</v>
      </c>
      <c r="L385" s="1" t="s">
        <v>68</v>
      </c>
      <c r="M385" s="1">
        <v>1</v>
      </c>
    </row>
    <row r="386" spans="1:13" x14ac:dyDescent="0.3">
      <c r="A386">
        <v>16</v>
      </c>
      <c r="B386">
        <v>1</v>
      </c>
      <c r="C386" t="s">
        <v>79</v>
      </c>
      <c r="D386" s="1" t="s">
        <v>1</v>
      </c>
      <c r="E386" s="59" t="s">
        <v>13</v>
      </c>
      <c r="F386" s="60">
        <v>0.44661016949152499</v>
      </c>
      <c r="G386" s="60">
        <v>2.3907318891532799E-2</v>
      </c>
      <c r="H386" s="61">
        <v>0.44999999999999901</v>
      </c>
      <c r="I386" s="62">
        <v>2.38</v>
      </c>
      <c r="J386" s="37">
        <v>1.9300000000000008</v>
      </c>
      <c r="K386" s="37">
        <v>428.88888888889005</v>
      </c>
      <c r="L386" s="1" t="s">
        <v>68</v>
      </c>
      <c r="M386" s="1">
        <v>1</v>
      </c>
    </row>
    <row r="387" spans="1:13" x14ac:dyDescent="0.3">
      <c r="A387">
        <v>16</v>
      </c>
      <c r="B387">
        <v>1</v>
      </c>
      <c r="C387" t="s">
        <v>79</v>
      </c>
      <c r="D387" s="1" t="s">
        <v>1</v>
      </c>
      <c r="E387" s="59" t="s">
        <v>14</v>
      </c>
      <c r="F387" s="60">
        <v>0.26779661016949102</v>
      </c>
      <c r="G387" s="60">
        <v>0.19961885543739599</v>
      </c>
      <c r="H387" s="61">
        <v>0.18</v>
      </c>
      <c r="I387" s="62">
        <v>3.96</v>
      </c>
      <c r="J387" s="37">
        <v>3.78</v>
      </c>
      <c r="K387" s="37">
        <v>2100</v>
      </c>
      <c r="L387" s="1" t="s">
        <v>68</v>
      </c>
      <c r="M387" s="1">
        <v>1</v>
      </c>
    </row>
    <row r="388" spans="1:13" x14ac:dyDescent="0.3">
      <c r="A388">
        <v>16</v>
      </c>
      <c r="B388">
        <v>1</v>
      </c>
      <c r="C388" t="s">
        <v>79</v>
      </c>
      <c r="D388" s="1" t="s">
        <v>1</v>
      </c>
      <c r="E388" s="59" t="s">
        <v>15</v>
      </c>
      <c r="F388" s="60">
        <v>3.2686206896551702</v>
      </c>
      <c r="G388" s="60">
        <v>0.74914767264806104</v>
      </c>
      <c r="H388" s="61">
        <v>3.3387234042553202</v>
      </c>
      <c r="I388" s="62">
        <v>3.68</v>
      </c>
      <c r="J388" s="37">
        <v>0.34127659574467994</v>
      </c>
      <c r="K388" s="37">
        <v>10.221769054295152</v>
      </c>
      <c r="L388" s="1" t="s">
        <v>68</v>
      </c>
      <c r="M388" s="1">
        <v>1</v>
      </c>
    </row>
    <row r="389" spans="1:13" x14ac:dyDescent="0.3">
      <c r="A389">
        <v>16</v>
      </c>
      <c r="B389">
        <v>1</v>
      </c>
      <c r="C389" t="s">
        <v>79</v>
      </c>
      <c r="D389" s="1" t="s">
        <v>1</v>
      </c>
      <c r="E389" s="59" t="s">
        <v>16</v>
      </c>
      <c r="F389" s="60">
        <v>7.9101694915254201</v>
      </c>
      <c r="G389" s="60">
        <v>0.68142794121552797</v>
      </c>
      <c r="H389" s="61">
        <v>7.8799999999999901</v>
      </c>
      <c r="I389" s="62">
        <v>2.14</v>
      </c>
      <c r="J389" s="37">
        <v>-5.7399999999999896</v>
      </c>
      <c r="K389" s="37">
        <v>-72.842639593908586</v>
      </c>
      <c r="L389" s="1" t="s">
        <v>68</v>
      </c>
      <c r="M389" s="1">
        <v>1</v>
      </c>
    </row>
    <row r="390" spans="1:13" x14ac:dyDescent="0.3">
      <c r="A390">
        <v>16</v>
      </c>
      <c r="B390">
        <v>1</v>
      </c>
      <c r="C390" t="s">
        <v>79</v>
      </c>
      <c r="D390" s="1" t="s">
        <v>1</v>
      </c>
      <c r="E390" s="59" t="s">
        <v>17</v>
      </c>
      <c r="F390" s="60">
        <v>3.2974576271186402</v>
      </c>
      <c r="G390" s="60">
        <v>0.69497614450056999</v>
      </c>
      <c r="H390" s="61">
        <v>3.4897297297297301</v>
      </c>
      <c r="I390" s="62">
        <v>4.1100000000000003</v>
      </c>
      <c r="J390" s="37">
        <v>0.62027027027027026</v>
      </c>
      <c r="K390" s="37">
        <v>17.774163568773233</v>
      </c>
      <c r="L390" s="1" t="s">
        <v>68</v>
      </c>
      <c r="M390" s="1">
        <v>1</v>
      </c>
    </row>
    <row r="391" spans="1:13" x14ac:dyDescent="0.3">
      <c r="A391">
        <v>16</v>
      </c>
      <c r="B391">
        <v>1</v>
      </c>
      <c r="C391" t="s">
        <v>79</v>
      </c>
      <c r="D391" s="1" t="s">
        <v>1</v>
      </c>
      <c r="E391" s="59" t="s">
        <v>18</v>
      </c>
      <c r="F391" s="60">
        <v>0.71372881355932205</v>
      </c>
      <c r="G391" s="60">
        <v>0.24231159590238699</v>
      </c>
      <c r="H391" s="61">
        <v>0.84733333333333405</v>
      </c>
      <c r="I391" s="62">
        <v>1.1399999999999999</v>
      </c>
      <c r="J391" s="37">
        <v>0.29266666666666585</v>
      </c>
      <c r="K391" s="37">
        <v>34.539732494099006</v>
      </c>
      <c r="L391" s="1" t="s">
        <v>68</v>
      </c>
      <c r="M391" s="1">
        <v>1</v>
      </c>
    </row>
    <row r="392" spans="1:13" x14ac:dyDescent="0.3">
      <c r="A392">
        <v>16</v>
      </c>
      <c r="B392">
        <v>1</v>
      </c>
      <c r="C392" t="s">
        <v>79</v>
      </c>
      <c r="D392" s="1" t="s">
        <v>1</v>
      </c>
      <c r="E392" s="59" t="s">
        <v>19</v>
      </c>
      <c r="F392" s="60">
        <v>2.8864000000000001</v>
      </c>
      <c r="G392" s="60">
        <v>1.55823459081102</v>
      </c>
      <c r="H392" s="61">
        <v>3.7053333333333298</v>
      </c>
      <c r="I392" s="62">
        <v>1.5</v>
      </c>
      <c r="J392" s="37">
        <v>-2.2053333333333298</v>
      </c>
      <c r="K392" s="37">
        <v>-59.517812162648397</v>
      </c>
      <c r="L392" s="1" t="s">
        <v>68</v>
      </c>
      <c r="M392" s="1">
        <v>1</v>
      </c>
    </row>
    <row r="393" spans="1:13" x14ac:dyDescent="0.3">
      <c r="A393">
        <v>16</v>
      </c>
      <c r="B393">
        <v>1</v>
      </c>
      <c r="C393" t="s">
        <v>79</v>
      </c>
      <c r="D393" s="1" t="s">
        <v>1</v>
      </c>
      <c r="E393" s="59" t="s">
        <v>12</v>
      </c>
      <c r="F393" s="60">
        <v>1.85372881355932</v>
      </c>
      <c r="G393" s="60">
        <v>0.33745256191450101</v>
      </c>
      <c r="H393" s="61">
        <v>1.7112765957446801</v>
      </c>
      <c r="I393" s="62">
        <v>3.55</v>
      </c>
      <c r="J393" s="37">
        <v>1.8387234042553198</v>
      </c>
      <c r="K393" s="37">
        <v>107.4474698495587</v>
      </c>
      <c r="L393" s="1" t="s">
        <v>69</v>
      </c>
      <c r="M393" s="1">
        <v>1</v>
      </c>
    </row>
    <row r="394" spans="1:13" x14ac:dyDescent="0.3">
      <c r="A394">
        <v>16</v>
      </c>
      <c r="B394">
        <v>1</v>
      </c>
      <c r="C394" t="s">
        <v>79</v>
      </c>
      <c r="D394" s="1" t="s">
        <v>1</v>
      </c>
      <c r="E394" s="59" t="s">
        <v>13</v>
      </c>
      <c r="F394" s="60">
        <v>0.44661016949152499</v>
      </c>
      <c r="G394" s="60">
        <v>2.3907318891532799E-2</v>
      </c>
      <c r="H394" s="61">
        <v>0.44999999999999901</v>
      </c>
      <c r="I394" s="62">
        <v>2.44</v>
      </c>
      <c r="J394" s="37">
        <v>1.9900000000000009</v>
      </c>
      <c r="K394" s="37">
        <v>442.22222222222342</v>
      </c>
      <c r="L394" s="1" t="s">
        <v>69</v>
      </c>
      <c r="M394" s="1">
        <v>1</v>
      </c>
    </row>
    <row r="395" spans="1:13" x14ac:dyDescent="0.3">
      <c r="A395">
        <v>16</v>
      </c>
      <c r="B395">
        <v>1</v>
      </c>
      <c r="C395" t="s">
        <v>79</v>
      </c>
      <c r="D395" s="1" t="s">
        <v>1</v>
      </c>
      <c r="E395" s="59" t="s">
        <v>14</v>
      </c>
      <c r="F395" s="60">
        <v>0.26779661016949102</v>
      </c>
      <c r="G395" s="60">
        <v>0.19961885543739599</v>
      </c>
      <c r="H395" s="61">
        <v>0.18</v>
      </c>
      <c r="I395" s="62">
        <v>3.99</v>
      </c>
      <c r="J395" s="37">
        <v>3.81</v>
      </c>
      <c r="K395" s="37">
        <v>2116.666666666667</v>
      </c>
      <c r="L395" s="1" t="s">
        <v>69</v>
      </c>
      <c r="M395" s="1">
        <v>1</v>
      </c>
    </row>
    <row r="396" spans="1:13" x14ac:dyDescent="0.3">
      <c r="A396">
        <v>16</v>
      </c>
      <c r="B396">
        <v>1</v>
      </c>
      <c r="C396" t="s">
        <v>79</v>
      </c>
      <c r="D396" s="1" t="s">
        <v>1</v>
      </c>
      <c r="E396" s="59" t="s">
        <v>15</v>
      </c>
      <c r="F396" s="60">
        <v>3.2686206896551702</v>
      </c>
      <c r="G396" s="60">
        <v>0.74914767264806104</v>
      </c>
      <c r="H396" s="61">
        <v>3.3387234042553202</v>
      </c>
      <c r="I396" s="62">
        <v>3.75</v>
      </c>
      <c r="J396" s="37">
        <v>0.41127659574467978</v>
      </c>
      <c r="K396" s="37">
        <v>12.318378791740979</v>
      </c>
      <c r="L396" s="1" t="s">
        <v>69</v>
      </c>
      <c r="M396" s="1">
        <v>1</v>
      </c>
    </row>
    <row r="397" spans="1:13" x14ac:dyDescent="0.3">
      <c r="A397">
        <v>16</v>
      </c>
      <c r="B397">
        <v>1</v>
      </c>
      <c r="C397" t="s">
        <v>79</v>
      </c>
      <c r="D397" s="1" t="s">
        <v>1</v>
      </c>
      <c r="E397" s="59" t="s">
        <v>16</v>
      </c>
      <c r="F397" s="60">
        <v>7.9101694915254201</v>
      </c>
      <c r="G397" s="60">
        <v>0.68142794121552797</v>
      </c>
      <c r="H397" s="61">
        <v>7.8799999999999901</v>
      </c>
      <c r="I397" s="62">
        <v>2.2000000000000002</v>
      </c>
      <c r="J397" s="37">
        <v>-5.6799999999999899</v>
      </c>
      <c r="K397" s="37">
        <v>-72.081218274111635</v>
      </c>
      <c r="L397" s="1" t="s">
        <v>69</v>
      </c>
      <c r="M397" s="1">
        <v>1</v>
      </c>
    </row>
    <row r="398" spans="1:13" x14ac:dyDescent="0.3">
      <c r="A398">
        <v>16</v>
      </c>
      <c r="B398">
        <v>1</v>
      </c>
      <c r="C398" t="s">
        <v>79</v>
      </c>
      <c r="D398" s="1" t="s">
        <v>1</v>
      </c>
      <c r="E398" s="59" t="s">
        <v>17</v>
      </c>
      <c r="F398" s="60">
        <v>3.2974576271186402</v>
      </c>
      <c r="G398" s="60">
        <v>0.69497614450056999</v>
      </c>
      <c r="H398" s="61">
        <v>3.4897297297297301</v>
      </c>
      <c r="I398" s="62">
        <v>4.25</v>
      </c>
      <c r="J398" s="37">
        <v>0.76027027027026994</v>
      </c>
      <c r="K398" s="37">
        <v>21.785935563816594</v>
      </c>
      <c r="L398" s="1" t="s">
        <v>69</v>
      </c>
      <c r="M398" s="1">
        <v>1</v>
      </c>
    </row>
    <row r="399" spans="1:13" x14ac:dyDescent="0.3">
      <c r="A399">
        <v>16</v>
      </c>
      <c r="B399">
        <v>1</v>
      </c>
      <c r="C399" t="s">
        <v>79</v>
      </c>
      <c r="D399" s="1" t="s">
        <v>1</v>
      </c>
      <c r="E399" s="59" t="s">
        <v>18</v>
      </c>
      <c r="F399" s="60">
        <v>0.71372881355932205</v>
      </c>
      <c r="G399" s="60">
        <v>0.24231159590238699</v>
      </c>
      <c r="H399" s="61">
        <v>0.84733333333333405</v>
      </c>
      <c r="I399" s="62">
        <v>1.1599999999999999</v>
      </c>
      <c r="J399" s="37">
        <v>0.31266666666666587</v>
      </c>
      <c r="K399" s="37">
        <v>36.900078678206008</v>
      </c>
      <c r="L399" s="1" t="s">
        <v>69</v>
      </c>
      <c r="M399" s="1">
        <v>1</v>
      </c>
    </row>
    <row r="400" spans="1:13" x14ac:dyDescent="0.3">
      <c r="A400">
        <v>16</v>
      </c>
      <c r="B400">
        <v>1</v>
      </c>
      <c r="C400" t="s">
        <v>79</v>
      </c>
      <c r="D400" s="1" t="s">
        <v>1</v>
      </c>
      <c r="E400" s="59" t="s">
        <v>19</v>
      </c>
      <c r="F400" s="60">
        <v>2.8864000000000001</v>
      </c>
      <c r="G400" s="60">
        <v>1.55823459081102</v>
      </c>
      <c r="H400" s="61">
        <v>3.7053333333333298</v>
      </c>
      <c r="I400" s="62">
        <v>1.51</v>
      </c>
      <c r="J400" s="37">
        <v>-2.1953333333333296</v>
      </c>
      <c r="K400" s="37">
        <v>-59.247930910399383</v>
      </c>
      <c r="L400" s="1" t="s">
        <v>69</v>
      </c>
      <c r="M400" s="1">
        <v>1</v>
      </c>
    </row>
    <row r="401" spans="1:13" x14ac:dyDescent="0.3">
      <c r="D401" s="1"/>
      <c r="E401" s="59"/>
      <c r="F401" s="60"/>
      <c r="G401" s="60"/>
      <c r="H401" s="61"/>
      <c r="I401" s="62"/>
      <c r="J401" s="37"/>
      <c r="K401" s="37"/>
      <c r="L401" s="1"/>
      <c r="M401" s="1"/>
    </row>
    <row r="402" spans="1:13" x14ac:dyDescent="0.3">
      <c r="A402">
        <v>16</v>
      </c>
      <c r="B402">
        <v>1</v>
      </c>
      <c r="C402" t="s">
        <v>79</v>
      </c>
      <c r="D402" s="1" t="s">
        <v>1</v>
      </c>
      <c r="E402" s="59" t="s">
        <v>12</v>
      </c>
      <c r="F402" s="60">
        <v>1.8915254237288099</v>
      </c>
      <c r="G402" s="60">
        <v>0.35208730407757799</v>
      </c>
      <c r="H402" s="61">
        <v>1.7811999999999899</v>
      </c>
      <c r="I402" s="62">
        <v>3.8</v>
      </c>
      <c r="J402" s="37">
        <v>2.0188000000000099</v>
      </c>
      <c r="K402" s="37">
        <v>113.33932180552557</v>
      </c>
      <c r="L402" s="1" t="s">
        <v>23</v>
      </c>
      <c r="M402" s="1">
        <v>2</v>
      </c>
    </row>
    <row r="403" spans="1:13" x14ac:dyDescent="0.3">
      <c r="A403">
        <v>16</v>
      </c>
      <c r="B403">
        <v>1</v>
      </c>
      <c r="C403" t="s">
        <v>79</v>
      </c>
      <c r="D403" s="1" t="s">
        <v>1</v>
      </c>
      <c r="E403" s="59" t="s">
        <v>13</v>
      </c>
      <c r="F403" s="60">
        <v>0.446949152542372</v>
      </c>
      <c r="G403" s="60">
        <v>2.7262331203909199E-2</v>
      </c>
      <c r="H403" s="61">
        <v>0.44999999999999901</v>
      </c>
      <c r="I403" s="62">
        <v>2.5</v>
      </c>
      <c r="J403" s="37">
        <v>2.0500000000000012</v>
      </c>
      <c r="K403" s="37">
        <v>455.55555555555679</v>
      </c>
      <c r="L403" s="1" t="s">
        <v>23</v>
      </c>
      <c r="M403" s="1">
        <v>2</v>
      </c>
    </row>
    <row r="404" spans="1:13" x14ac:dyDescent="0.3">
      <c r="A404">
        <v>16</v>
      </c>
      <c r="B404">
        <v>1</v>
      </c>
      <c r="C404" t="s">
        <v>79</v>
      </c>
      <c r="D404" s="1" t="s">
        <v>1</v>
      </c>
      <c r="E404" s="59" t="s">
        <v>14</v>
      </c>
      <c r="F404" s="60">
        <v>0.27355932203389799</v>
      </c>
      <c r="G404" s="60">
        <v>0.20051427703396901</v>
      </c>
      <c r="H404" s="61">
        <v>0.163333333333333</v>
      </c>
      <c r="I404" s="62">
        <v>4.05</v>
      </c>
      <c r="J404" s="37">
        <v>3.8866666666666667</v>
      </c>
      <c r="K404" s="37">
        <v>2379.591836734699</v>
      </c>
      <c r="L404" s="1" t="s">
        <v>23</v>
      </c>
      <c r="M404" s="1">
        <v>2</v>
      </c>
    </row>
    <row r="405" spans="1:13" x14ac:dyDescent="0.3">
      <c r="A405">
        <v>16</v>
      </c>
      <c r="B405">
        <v>1</v>
      </c>
      <c r="C405" t="s">
        <v>79</v>
      </c>
      <c r="D405" s="1" t="s">
        <v>1</v>
      </c>
      <c r="E405" s="59" t="s">
        <v>15</v>
      </c>
      <c r="F405" s="60">
        <v>3.4031034482758602</v>
      </c>
      <c r="G405" s="60">
        <v>0.687590011403025</v>
      </c>
      <c r="H405" s="61">
        <v>3.3113043478260802</v>
      </c>
      <c r="I405" s="62">
        <v>3.84</v>
      </c>
      <c r="J405" s="37">
        <v>0.52869565217391967</v>
      </c>
      <c r="K405" s="37">
        <v>15.96638655462208</v>
      </c>
      <c r="L405" s="1" t="s">
        <v>23</v>
      </c>
      <c r="M405" s="1">
        <v>2</v>
      </c>
    </row>
    <row r="406" spans="1:13" x14ac:dyDescent="0.3">
      <c r="A406">
        <v>16</v>
      </c>
      <c r="B406">
        <v>1</v>
      </c>
      <c r="C406" t="s">
        <v>79</v>
      </c>
      <c r="D406" s="1" t="s">
        <v>1</v>
      </c>
      <c r="E406" s="59" t="s">
        <v>16</v>
      </c>
      <c r="F406" s="60">
        <v>7.9140677966101602</v>
      </c>
      <c r="G406" s="60">
        <v>0.740874697528211</v>
      </c>
      <c r="H406" s="61">
        <v>7.8799999999999901</v>
      </c>
      <c r="I406" s="62">
        <v>2.25</v>
      </c>
      <c r="J406" s="37">
        <v>-5.6299999999999901</v>
      </c>
      <c r="K406" s="37">
        <v>-71.446700507614182</v>
      </c>
      <c r="L406" s="1" t="s">
        <v>23</v>
      </c>
      <c r="M406" s="1">
        <v>2</v>
      </c>
    </row>
    <row r="407" spans="1:13" x14ac:dyDescent="0.3">
      <c r="A407">
        <v>16</v>
      </c>
      <c r="B407">
        <v>1</v>
      </c>
      <c r="C407" t="s">
        <v>79</v>
      </c>
      <c r="D407" s="1" t="s">
        <v>1</v>
      </c>
      <c r="E407" s="59" t="s">
        <v>17</v>
      </c>
      <c r="F407" s="60">
        <v>3.2255932203389799</v>
      </c>
      <c r="G407" s="60">
        <v>0.77450973270561996</v>
      </c>
      <c r="H407" s="61">
        <v>3.40738095238095</v>
      </c>
      <c r="I407" s="62">
        <v>4.26</v>
      </c>
      <c r="J407" s="37">
        <v>0.85261904761904983</v>
      </c>
      <c r="K407" s="37">
        <v>25.022709803647626</v>
      </c>
      <c r="L407" s="1" t="s">
        <v>23</v>
      </c>
      <c r="M407" s="1">
        <v>2</v>
      </c>
    </row>
    <row r="408" spans="1:13" x14ac:dyDescent="0.3">
      <c r="A408">
        <v>16</v>
      </c>
      <c r="B408">
        <v>1</v>
      </c>
      <c r="C408" t="s">
        <v>79</v>
      </c>
      <c r="D408" s="1" t="s">
        <v>1</v>
      </c>
      <c r="E408" s="59" t="s">
        <v>18</v>
      </c>
      <c r="F408" s="60">
        <v>0.69508474576271195</v>
      </c>
      <c r="G408" s="60">
        <v>0.247114691558914</v>
      </c>
      <c r="H408" s="61">
        <v>0.84441860465116303</v>
      </c>
      <c r="I408" s="62">
        <v>1.27</v>
      </c>
      <c r="J408" s="37">
        <v>0.42558139534883699</v>
      </c>
      <c r="K408" s="37">
        <v>50.399339025061927</v>
      </c>
      <c r="L408" s="1" t="s">
        <v>23</v>
      </c>
      <c r="M408" s="1">
        <v>2</v>
      </c>
    </row>
    <row r="409" spans="1:13" x14ac:dyDescent="0.3">
      <c r="A409">
        <v>16</v>
      </c>
      <c r="B409">
        <v>1</v>
      </c>
      <c r="C409" t="s">
        <v>79</v>
      </c>
      <c r="D409" s="1" t="s">
        <v>1</v>
      </c>
      <c r="E409" s="59" t="s">
        <v>19</v>
      </c>
      <c r="F409" s="60">
        <v>2.9559999999999902</v>
      </c>
      <c r="G409" s="60">
        <v>1.7337681505899201</v>
      </c>
      <c r="H409" s="61">
        <v>3.4224999999999999</v>
      </c>
      <c r="I409" s="62">
        <v>1.64</v>
      </c>
      <c r="J409" s="37">
        <v>-1.7825</v>
      </c>
      <c r="K409" s="37">
        <v>-52.081811541271009</v>
      </c>
      <c r="L409" s="1" t="s">
        <v>23</v>
      </c>
      <c r="M409" s="1">
        <v>2</v>
      </c>
    </row>
    <row r="410" spans="1:13" x14ac:dyDescent="0.3">
      <c r="A410">
        <v>16</v>
      </c>
      <c r="B410">
        <v>1</v>
      </c>
      <c r="C410" t="s">
        <v>79</v>
      </c>
      <c r="D410" s="1" t="s">
        <v>1</v>
      </c>
      <c r="E410" s="59" t="s">
        <v>12</v>
      </c>
      <c r="F410" s="60">
        <v>1.8915254237288099</v>
      </c>
      <c r="G410" s="60">
        <v>0.35208730407757799</v>
      </c>
      <c r="H410" s="61">
        <v>1.7811999999999899</v>
      </c>
      <c r="I410" s="62">
        <v>3.62</v>
      </c>
      <c r="J410" s="37">
        <v>1.8388000000000102</v>
      </c>
      <c r="K410" s="37">
        <v>103.23377498315858</v>
      </c>
      <c r="L410" s="1" t="s">
        <v>68</v>
      </c>
      <c r="M410" s="1">
        <v>2</v>
      </c>
    </row>
    <row r="411" spans="1:13" x14ac:dyDescent="0.3">
      <c r="A411">
        <v>16</v>
      </c>
      <c r="B411">
        <v>1</v>
      </c>
      <c r="C411" t="s">
        <v>79</v>
      </c>
      <c r="D411" s="1" t="s">
        <v>1</v>
      </c>
      <c r="E411" s="59" t="s">
        <v>13</v>
      </c>
      <c r="F411" s="60">
        <v>0.446949152542372</v>
      </c>
      <c r="G411" s="60">
        <v>2.7262331203909199E-2</v>
      </c>
      <c r="H411" s="61">
        <v>0.44999999999999901</v>
      </c>
      <c r="I411" s="62">
        <v>2.38</v>
      </c>
      <c r="J411" s="37">
        <v>1.9300000000000008</v>
      </c>
      <c r="K411" s="37">
        <v>428.88888888889005</v>
      </c>
      <c r="L411" s="1" t="s">
        <v>68</v>
      </c>
      <c r="M411" s="1">
        <v>2</v>
      </c>
    </row>
    <row r="412" spans="1:13" x14ac:dyDescent="0.3">
      <c r="A412">
        <v>16</v>
      </c>
      <c r="B412">
        <v>1</v>
      </c>
      <c r="C412" t="s">
        <v>79</v>
      </c>
      <c r="D412" s="1" t="s">
        <v>1</v>
      </c>
      <c r="E412" s="59" t="s">
        <v>14</v>
      </c>
      <c r="F412" s="60">
        <v>0.27355932203389799</v>
      </c>
      <c r="G412" s="60">
        <v>0.20051427703396901</v>
      </c>
      <c r="H412" s="61">
        <v>0.163333333333333</v>
      </c>
      <c r="I412" s="62">
        <v>3.96</v>
      </c>
      <c r="J412" s="37">
        <v>3.7966666666666669</v>
      </c>
      <c r="K412" s="37">
        <v>2324.4897959183722</v>
      </c>
      <c r="L412" s="1" t="s">
        <v>68</v>
      </c>
      <c r="M412" s="1">
        <v>2</v>
      </c>
    </row>
    <row r="413" spans="1:13" x14ac:dyDescent="0.3">
      <c r="A413">
        <v>16</v>
      </c>
      <c r="B413">
        <v>1</v>
      </c>
      <c r="C413" t="s">
        <v>79</v>
      </c>
      <c r="D413" s="1" t="s">
        <v>1</v>
      </c>
      <c r="E413" s="59" t="s">
        <v>15</v>
      </c>
      <c r="F413" s="60">
        <v>3.4031034482758602</v>
      </c>
      <c r="G413" s="60">
        <v>0.687590011403025</v>
      </c>
      <c r="H413" s="61">
        <v>3.3113043478260802</v>
      </c>
      <c r="I413" s="62">
        <v>3.68</v>
      </c>
      <c r="J413" s="37">
        <v>0.36869565217391997</v>
      </c>
      <c r="K413" s="37">
        <v>11.134453781512837</v>
      </c>
      <c r="L413" s="1" t="s">
        <v>68</v>
      </c>
      <c r="M413" s="1">
        <v>2</v>
      </c>
    </row>
    <row r="414" spans="1:13" x14ac:dyDescent="0.3">
      <c r="A414">
        <v>16</v>
      </c>
      <c r="B414">
        <v>1</v>
      </c>
      <c r="C414" t="s">
        <v>79</v>
      </c>
      <c r="D414" s="1" t="s">
        <v>1</v>
      </c>
      <c r="E414" s="59" t="s">
        <v>16</v>
      </c>
      <c r="F414" s="60">
        <v>7.9140677966101602</v>
      </c>
      <c r="G414" s="60">
        <v>0.740874697528211</v>
      </c>
      <c r="H414" s="61">
        <v>7.8799999999999901</v>
      </c>
      <c r="I414" s="62">
        <v>2.14</v>
      </c>
      <c r="J414" s="37">
        <v>-5.7399999999999896</v>
      </c>
      <c r="K414" s="37">
        <v>-72.842639593908586</v>
      </c>
      <c r="L414" s="1" t="s">
        <v>68</v>
      </c>
      <c r="M414" s="1">
        <v>2</v>
      </c>
    </row>
    <row r="415" spans="1:13" x14ac:dyDescent="0.3">
      <c r="A415">
        <v>16</v>
      </c>
      <c r="B415">
        <v>1</v>
      </c>
      <c r="C415" t="s">
        <v>79</v>
      </c>
      <c r="D415" s="1" t="s">
        <v>1</v>
      </c>
      <c r="E415" s="59" t="s">
        <v>17</v>
      </c>
      <c r="F415" s="60">
        <v>3.2255932203389799</v>
      </c>
      <c r="G415" s="60">
        <v>0.77450973270561996</v>
      </c>
      <c r="H415" s="61">
        <v>3.40738095238095</v>
      </c>
      <c r="I415" s="62">
        <v>4.1100000000000003</v>
      </c>
      <c r="J415" s="37">
        <v>0.70261904761905036</v>
      </c>
      <c r="K415" s="37">
        <v>20.620501711969908</v>
      </c>
      <c r="L415" s="1" t="s">
        <v>68</v>
      </c>
      <c r="M415" s="1">
        <v>2</v>
      </c>
    </row>
    <row r="416" spans="1:13" x14ac:dyDescent="0.3">
      <c r="A416">
        <v>16</v>
      </c>
      <c r="B416">
        <v>1</v>
      </c>
      <c r="C416" t="s">
        <v>79</v>
      </c>
      <c r="D416" s="1" t="s">
        <v>1</v>
      </c>
      <c r="E416" s="59" t="s">
        <v>18</v>
      </c>
      <c r="F416" s="60">
        <v>0.69508474576271195</v>
      </c>
      <c r="G416" s="60">
        <v>0.247114691558914</v>
      </c>
      <c r="H416" s="61">
        <v>0.84441860465116303</v>
      </c>
      <c r="I416" s="62">
        <v>1.1399999999999999</v>
      </c>
      <c r="J416" s="37">
        <v>0.29558139534883687</v>
      </c>
      <c r="K416" s="37">
        <v>35.004131093362659</v>
      </c>
      <c r="L416" s="1" t="s">
        <v>68</v>
      </c>
      <c r="M416" s="1">
        <v>2</v>
      </c>
    </row>
    <row r="417" spans="1:13" x14ac:dyDescent="0.3">
      <c r="A417">
        <v>16</v>
      </c>
      <c r="B417">
        <v>1</v>
      </c>
      <c r="C417" t="s">
        <v>79</v>
      </c>
      <c r="D417" s="1" t="s">
        <v>1</v>
      </c>
      <c r="E417" s="59" t="s">
        <v>19</v>
      </c>
      <c r="F417" s="60">
        <v>2.9559999999999902</v>
      </c>
      <c r="G417" s="60">
        <v>1.7337681505899201</v>
      </c>
      <c r="H417" s="61">
        <v>3.4224999999999999</v>
      </c>
      <c r="I417" s="62">
        <v>1.5</v>
      </c>
      <c r="J417" s="37">
        <v>-1.9224999999999999</v>
      </c>
      <c r="K417" s="37">
        <v>-56.17238860482103</v>
      </c>
      <c r="L417" s="1" t="s">
        <v>68</v>
      </c>
      <c r="M417" s="1">
        <v>2</v>
      </c>
    </row>
    <row r="418" spans="1:13" x14ac:dyDescent="0.3">
      <c r="A418">
        <v>16</v>
      </c>
      <c r="B418">
        <v>1</v>
      </c>
      <c r="C418" t="s">
        <v>79</v>
      </c>
      <c r="D418" s="1" t="s">
        <v>1</v>
      </c>
      <c r="E418" s="59" t="s">
        <v>12</v>
      </c>
      <c r="F418" s="60">
        <v>1.8915254237288099</v>
      </c>
      <c r="G418" s="60">
        <v>0.35208730407757799</v>
      </c>
      <c r="H418" s="61">
        <v>1.7811999999999899</v>
      </c>
      <c r="I418" s="62">
        <v>3.55</v>
      </c>
      <c r="J418" s="37">
        <v>1.7688000000000099</v>
      </c>
      <c r="K418" s="37">
        <v>99.303840107793619</v>
      </c>
      <c r="L418" s="1" t="s">
        <v>69</v>
      </c>
      <c r="M418" s="1">
        <v>2</v>
      </c>
    </row>
    <row r="419" spans="1:13" x14ac:dyDescent="0.3">
      <c r="A419">
        <v>16</v>
      </c>
      <c r="B419">
        <v>1</v>
      </c>
      <c r="C419" t="s">
        <v>79</v>
      </c>
      <c r="D419" s="1" t="s">
        <v>1</v>
      </c>
      <c r="E419" s="59" t="s">
        <v>13</v>
      </c>
      <c r="F419" s="60">
        <v>0.446949152542372</v>
      </c>
      <c r="G419" s="60">
        <v>2.7262331203909199E-2</v>
      </c>
      <c r="H419" s="61">
        <v>0.44999999999999901</v>
      </c>
      <c r="I419" s="62">
        <v>2.44</v>
      </c>
      <c r="J419" s="37">
        <v>1.9900000000000009</v>
      </c>
      <c r="K419" s="37">
        <v>442.22222222222342</v>
      </c>
      <c r="L419" s="1" t="s">
        <v>69</v>
      </c>
      <c r="M419" s="1">
        <v>2</v>
      </c>
    </row>
    <row r="420" spans="1:13" x14ac:dyDescent="0.3">
      <c r="A420">
        <v>16</v>
      </c>
      <c r="B420">
        <v>1</v>
      </c>
      <c r="C420" t="s">
        <v>79</v>
      </c>
      <c r="D420" s="1" t="s">
        <v>1</v>
      </c>
      <c r="E420" s="59" t="s">
        <v>14</v>
      </c>
      <c r="F420" s="60">
        <v>0.27355932203389799</v>
      </c>
      <c r="G420" s="60">
        <v>0.20051427703396901</v>
      </c>
      <c r="H420" s="61">
        <v>0.163333333333333</v>
      </c>
      <c r="I420" s="62">
        <v>3.99</v>
      </c>
      <c r="J420" s="37">
        <v>3.8266666666666671</v>
      </c>
      <c r="K420" s="37">
        <v>2342.8571428571481</v>
      </c>
      <c r="L420" s="1" t="s">
        <v>69</v>
      </c>
      <c r="M420" s="1">
        <v>2</v>
      </c>
    </row>
    <row r="421" spans="1:13" x14ac:dyDescent="0.3">
      <c r="A421">
        <v>16</v>
      </c>
      <c r="B421">
        <v>1</v>
      </c>
      <c r="C421" t="s">
        <v>79</v>
      </c>
      <c r="D421" s="1" t="s">
        <v>1</v>
      </c>
      <c r="E421" s="59" t="s">
        <v>15</v>
      </c>
      <c r="F421" s="60">
        <v>3.4031034482758602</v>
      </c>
      <c r="G421" s="60">
        <v>0.687590011403025</v>
      </c>
      <c r="H421" s="61">
        <v>3.3113043478260802</v>
      </c>
      <c r="I421" s="62">
        <v>3.75</v>
      </c>
      <c r="J421" s="37">
        <v>0.43869565217391981</v>
      </c>
      <c r="K421" s="37">
        <v>13.248424369748129</v>
      </c>
      <c r="L421" s="1" t="s">
        <v>69</v>
      </c>
      <c r="M421" s="1">
        <v>2</v>
      </c>
    </row>
    <row r="422" spans="1:13" x14ac:dyDescent="0.3">
      <c r="A422">
        <v>16</v>
      </c>
      <c r="B422">
        <v>1</v>
      </c>
      <c r="C422" t="s">
        <v>79</v>
      </c>
      <c r="D422" s="1" t="s">
        <v>1</v>
      </c>
      <c r="E422" s="59" t="s">
        <v>16</v>
      </c>
      <c r="F422" s="60">
        <v>7.9140677966101602</v>
      </c>
      <c r="G422" s="60">
        <v>0.740874697528211</v>
      </c>
      <c r="H422" s="61">
        <v>7.8799999999999901</v>
      </c>
      <c r="I422" s="62">
        <v>2.2000000000000002</v>
      </c>
      <c r="J422" s="37">
        <v>-5.6799999999999899</v>
      </c>
      <c r="K422" s="37">
        <v>-72.081218274111635</v>
      </c>
      <c r="L422" s="1" t="s">
        <v>69</v>
      </c>
      <c r="M422" s="1">
        <v>2</v>
      </c>
    </row>
    <row r="423" spans="1:13" x14ac:dyDescent="0.3">
      <c r="A423">
        <v>16</v>
      </c>
      <c r="B423">
        <v>1</v>
      </c>
      <c r="C423" t="s">
        <v>79</v>
      </c>
      <c r="D423" s="1" t="s">
        <v>1</v>
      </c>
      <c r="E423" s="59" t="s">
        <v>17</v>
      </c>
      <c r="F423" s="60">
        <v>3.2255932203389799</v>
      </c>
      <c r="G423" s="60">
        <v>0.77450973270561996</v>
      </c>
      <c r="H423" s="61">
        <v>3.40738095238095</v>
      </c>
      <c r="I423" s="62">
        <v>4.25</v>
      </c>
      <c r="J423" s="37">
        <v>0.84261904761905004</v>
      </c>
      <c r="K423" s="37">
        <v>24.729229264202452</v>
      </c>
      <c r="L423" s="1" t="s">
        <v>69</v>
      </c>
      <c r="M423" s="1">
        <v>2</v>
      </c>
    </row>
    <row r="424" spans="1:13" x14ac:dyDescent="0.3">
      <c r="A424">
        <v>16</v>
      </c>
      <c r="B424">
        <v>1</v>
      </c>
      <c r="C424" t="s">
        <v>79</v>
      </c>
      <c r="D424" s="1" t="s">
        <v>1</v>
      </c>
      <c r="E424" s="59" t="s">
        <v>18</v>
      </c>
      <c r="F424" s="60">
        <v>0.69508474576271195</v>
      </c>
      <c r="G424" s="60">
        <v>0.247114691558914</v>
      </c>
      <c r="H424" s="61">
        <v>0.84441860465116303</v>
      </c>
      <c r="I424" s="62">
        <v>1.1599999999999999</v>
      </c>
      <c r="J424" s="37">
        <v>0.31558139534883689</v>
      </c>
      <c r="K424" s="37">
        <v>37.37262462131639</v>
      </c>
      <c r="L424" s="1" t="s">
        <v>69</v>
      </c>
      <c r="M424" s="1">
        <v>2</v>
      </c>
    </row>
    <row r="425" spans="1:13" x14ac:dyDescent="0.3">
      <c r="A425">
        <v>16</v>
      </c>
      <c r="B425">
        <v>1</v>
      </c>
      <c r="C425" t="s">
        <v>79</v>
      </c>
      <c r="D425" s="1" t="s">
        <v>1</v>
      </c>
      <c r="E425" s="59" t="s">
        <v>19</v>
      </c>
      <c r="F425" s="60">
        <v>2.9559999999999902</v>
      </c>
      <c r="G425" s="60">
        <v>1.7337681505899201</v>
      </c>
      <c r="H425" s="61">
        <v>3.4224999999999999</v>
      </c>
      <c r="I425" s="62">
        <v>1.51</v>
      </c>
      <c r="J425" s="37">
        <v>-1.9124999999999999</v>
      </c>
      <c r="K425" s="37">
        <v>-55.88020452885317</v>
      </c>
      <c r="L425" s="1" t="s">
        <v>69</v>
      </c>
      <c r="M425" s="1">
        <v>2</v>
      </c>
    </row>
    <row r="426" spans="1:13" x14ac:dyDescent="0.3">
      <c r="D426" s="1"/>
      <c r="E426" s="59"/>
      <c r="F426" s="60"/>
      <c r="G426" s="60"/>
      <c r="H426" s="61"/>
      <c r="I426" s="62"/>
      <c r="J426" s="37"/>
      <c r="K426" s="37"/>
      <c r="L426" s="1"/>
      <c r="M426" s="1"/>
    </row>
    <row r="427" spans="1:13" x14ac:dyDescent="0.3">
      <c r="A427">
        <v>16</v>
      </c>
      <c r="B427">
        <v>1</v>
      </c>
      <c r="C427" t="s">
        <v>79</v>
      </c>
      <c r="D427" s="1" t="s">
        <v>1</v>
      </c>
      <c r="E427" s="59" t="s">
        <v>12</v>
      </c>
      <c r="F427" s="60">
        <v>1.91508474576271</v>
      </c>
      <c r="G427" s="60">
        <v>0.30043117535176</v>
      </c>
      <c r="H427" s="61">
        <v>1.96314285714285</v>
      </c>
      <c r="I427" s="63">
        <v>3.8</v>
      </c>
      <c r="J427" s="58">
        <v>1.8368571428571498</v>
      </c>
      <c r="K427" s="58">
        <v>93.567166351332389</v>
      </c>
      <c r="L427" s="1" t="s">
        <v>23</v>
      </c>
      <c r="M427" s="1">
        <v>3</v>
      </c>
    </row>
    <row r="428" spans="1:13" x14ac:dyDescent="0.3">
      <c r="A428">
        <v>16</v>
      </c>
      <c r="B428">
        <v>1</v>
      </c>
      <c r="C428" t="s">
        <v>79</v>
      </c>
      <c r="D428" s="1" t="s">
        <v>1</v>
      </c>
      <c r="E428" s="59" t="s">
        <v>13</v>
      </c>
      <c r="F428" s="60">
        <v>0.45084745762711798</v>
      </c>
      <c r="G428" s="60">
        <v>3.4360409598455398E-2</v>
      </c>
      <c r="H428" s="61">
        <v>0.44999999999999901</v>
      </c>
      <c r="I428" s="63">
        <v>2.5</v>
      </c>
      <c r="J428" s="58">
        <v>2.0500000000000012</v>
      </c>
      <c r="K428" s="58">
        <v>455.55555555555679</v>
      </c>
      <c r="L428" s="1" t="s">
        <v>23</v>
      </c>
      <c r="M428" s="1">
        <v>3</v>
      </c>
    </row>
    <row r="429" spans="1:13" x14ac:dyDescent="0.3">
      <c r="A429">
        <v>16</v>
      </c>
      <c r="B429">
        <v>1</v>
      </c>
      <c r="C429" t="s">
        <v>79</v>
      </c>
      <c r="D429" s="1" t="s">
        <v>1</v>
      </c>
      <c r="E429" s="59" t="s">
        <v>14</v>
      </c>
      <c r="F429" s="60">
        <v>0.27813559322033898</v>
      </c>
      <c r="G429" s="60">
        <v>0.21371987508022899</v>
      </c>
      <c r="H429" s="61">
        <v>0.154090909090909</v>
      </c>
      <c r="I429" s="63">
        <v>4.05</v>
      </c>
      <c r="J429" s="58">
        <v>3.895909090909091</v>
      </c>
      <c r="K429" s="58">
        <v>2528.3185840707979</v>
      </c>
      <c r="L429" s="1" t="s">
        <v>23</v>
      </c>
      <c r="M429" s="1">
        <v>3</v>
      </c>
    </row>
    <row r="430" spans="1:13" x14ac:dyDescent="0.3">
      <c r="A430">
        <v>16</v>
      </c>
      <c r="B430">
        <v>1</v>
      </c>
      <c r="C430" t="s">
        <v>79</v>
      </c>
      <c r="D430" s="1" t="s">
        <v>1</v>
      </c>
      <c r="E430" s="59" t="s">
        <v>15</v>
      </c>
      <c r="F430" s="60">
        <v>3.4129310344827601</v>
      </c>
      <c r="G430" s="60">
        <v>0.76204807663678598</v>
      </c>
      <c r="H430" s="61">
        <v>3.3247619047619001</v>
      </c>
      <c r="I430" s="63">
        <v>3.84</v>
      </c>
      <c r="J430" s="58">
        <v>0.51523809523809971</v>
      </c>
      <c r="K430" s="58">
        <v>15.496992265826567</v>
      </c>
      <c r="L430" s="1" t="s">
        <v>23</v>
      </c>
      <c r="M430" s="1">
        <v>3</v>
      </c>
    </row>
    <row r="431" spans="1:13" x14ac:dyDescent="0.3">
      <c r="A431">
        <v>16</v>
      </c>
      <c r="B431">
        <v>1</v>
      </c>
      <c r="C431" t="s">
        <v>79</v>
      </c>
      <c r="D431" s="1" t="s">
        <v>1</v>
      </c>
      <c r="E431" s="59" t="s">
        <v>16</v>
      </c>
      <c r="F431" s="60">
        <v>8.02881355932203</v>
      </c>
      <c r="G431" s="60">
        <v>0.80870912988867405</v>
      </c>
      <c r="H431" s="61">
        <v>7.8799999999999901</v>
      </c>
      <c r="I431" s="63">
        <v>2.25</v>
      </c>
      <c r="J431" s="58">
        <v>-5.6299999999999901</v>
      </c>
      <c r="K431" s="58">
        <v>-71.446700507614182</v>
      </c>
      <c r="L431" s="1" t="s">
        <v>23</v>
      </c>
      <c r="M431" s="1">
        <v>3</v>
      </c>
    </row>
    <row r="432" spans="1:13" x14ac:dyDescent="0.3">
      <c r="A432">
        <v>16</v>
      </c>
      <c r="B432">
        <v>1</v>
      </c>
      <c r="C432" t="s">
        <v>79</v>
      </c>
      <c r="D432" s="1" t="s">
        <v>1</v>
      </c>
      <c r="E432" s="59" t="s">
        <v>17</v>
      </c>
      <c r="F432" s="60">
        <v>3.2879661016949102</v>
      </c>
      <c r="G432" s="60">
        <v>0.68995892695493299</v>
      </c>
      <c r="H432" s="61">
        <v>3.5311111111111102</v>
      </c>
      <c r="I432" s="63">
        <v>4.26</v>
      </c>
      <c r="J432" s="58">
        <v>0.72888888888888959</v>
      </c>
      <c r="K432" s="58">
        <v>20.641913152926396</v>
      </c>
      <c r="L432" s="1" t="s">
        <v>23</v>
      </c>
      <c r="M432" s="1">
        <v>3</v>
      </c>
    </row>
    <row r="433" spans="1:13" x14ac:dyDescent="0.3">
      <c r="A433">
        <v>16</v>
      </c>
      <c r="B433">
        <v>1</v>
      </c>
      <c r="C433" t="s">
        <v>79</v>
      </c>
      <c r="D433" s="1" t="s">
        <v>1</v>
      </c>
      <c r="E433" s="59" t="s">
        <v>18</v>
      </c>
      <c r="F433" s="60">
        <v>0.70898305084745805</v>
      </c>
      <c r="G433" s="60">
        <v>0.228797111775463</v>
      </c>
      <c r="H433" s="61">
        <v>0.83399999999999996</v>
      </c>
      <c r="I433" s="63">
        <v>1.27</v>
      </c>
      <c r="J433" s="58">
        <v>0.43600000000000005</v>
      </c>
      <c r="K433" s="58">
        <v>52.278177458033582</v>
      </c>
      <c r="L433" s="1" t="s">
        <v>23</v>
      </c>
      <c r="M433" s="1">
        <v>3</v>
      </c>
    </row>
    <row r="434" spans="1:13" x14ac:dyDescent="0.3">
      <c r="A434">
        <v>16</v>
      </c>
      <c r="B434">
        <v>1</v>
      </c>
      <c r="C434" t="s">
        <v>79</v>
      </c>
      <c r="D434" s="1" t="s">
        <v>1</v>
      </c>
      <c r="E434" s="59" t="s">
        <v>19</v>
      </c>
      <c r="F434" s="60">
        <v>3.4447826086956499</v>
      </c>
      <c r="G434" s="60">
        <v>1.4866649854045699</v>
      </c>
      <c r="H434" s="61">
        <v>4.0541176470588196</v>
      </c>
      <c r="I434" s="63">
        <v>1.64</v>
      </c>
      <c r="J434" s="58">
        <v>-2.4141176470588199</v>
      </c>
      <c r="K434" s="58">
        <v>-59.547301218804385</v>
      </c>
      <c r="L434" s="1" t="s">
        <v>23</v>
      </c>
      <c r="M434" s="1">
        <v>3</v>
      </c>
    </row>
    <row r="435" spans="1:13" x14ac:dyDescent="0.3">
      <c r="A435">
        <v>16</v>
      </c>
      <c r="B435">
        <v>1</v>
      </c>
      <c r="C435" t="s">
        <v>79</v>
      </c>
      <c r="D435" s="1" t="s">
        <v>1</v>
      </c>
      <c r="E435" s="59" t="s">
        <v>12</v>
      </c>
      <c r="F435" s="60">
        <v>1.91508474576271</v>
      </c>
      <c r="G435" s="60">
        <v>0.30043117535176</v>
      </c>
      <c r="H435" s="61">
        <v>1.96314285714285</v>
      </c>
      <c r="I435" s="63">
        <v>3.62</v>
      </c>
      <c r="J435" s="58">
        <v>1.6568571428571501</v>
      </c>
      <c r="K435" s="58">
        <v>84.3981953136377</v>
      </c>
      <c r="L435" s="1" t="s">
        <v>68</v>
      </c>
      <c r="M435" s="1">
        <v>3</v>
      </c>
    </row>
    <row r="436" spans="1:13" x14ac:dyDescent="0.3">
      <c r="A436">
        <v>16</v>
      </c>
      <c r="B436">
        <v>1</v>
      </c>
      <c r="C436" t="s">
        <v>79</v>
      </c>
      <c r="D436" s="1" t="s">
        <v>1</v>
      </c>
      <c r="E436" s="59" t="s">
        <v>13</v>
      </c>
      <c r="F436" s="60">
        <v>0.45084745762711798</v>
      </c>
      <c r="G436" s="60">
        <v>3.4360409598455398E-2</v>
      </c>
      <c r="H436" s="61">
        <v>0.44999999999999901</v>
      </c>
      <c r="I436" s="63">
        <v>2.38</v>
      </c>
      <c r="J436" s="58">
        <v>1.9300000000000008</v>
      </c>
      <c r="K436" s="58">
        <v>428.88888888889005</v>
      </c>
      <c r="L436" s="1" t="s">
        <v>68</v>
      </c>
      <c r="M436" s="1">
        <v>3</v>
      </c>
    </row>
    <row r="437" spans="1:13" x14ac:dyDescent="0.3">
      <c r="A437">
        <v>16</v>
      </c>
      <c r="B437">
        <v>1</v>
      </c>
      <c r="C437" t="s">
        <v>79</v>
      </c>
      <c r="D437" s="1" t="s">
        <v>1</v>
      </c>
      <c r="E437" s="59" t="s">
        <v>14</v>
      </c>
      <c r="F437" s="60">
        <v>0.27813559322033898</v>
      </c>
      <c r="G437" s="60">
        <v>0.21371987508022899</v>
      </c>
      <c r="H437" s="61">
        <v>0.154090909090909</v>
      </c>
      <c r="I437" s="63">
        <v>3.96</v>
      </c>
      <c r="J437" s="58">
        <v>3.8059090909090911</v>
      </c>
      <c r="K437" s="58">
        <v>2469.9115044247806</v>
      </c>
      <c r="L437" s="1" t="s">
        <v>68</v>
      </c>
      <c r="M437" s="1">
        <v>3</v>
      </c>
    </row>
    <row r="438" spans="1:13" x14ac:dyDescent="0.3">
      <c r="A438">
        <v>16</v>
      </c>
      <c r="B438">
        <v>1</v>
      </c>
      <c r="C438" t="s">
        <v>79</v>
      </c>
      <c r="D438" s="1" t="s">
        <v>1</v>
      </c>
      <c r="E438" s="59" t="s">
        <v>15</v>
      </c>
      <c r="F438" s="60">
        <v>3.4129310344827601</v>
      </c>
      <c r="G438" s="60">
        <v>0.76204807663678598</v>
      </c>
      <c r="H438" s="61">
        <v>3.3247619047619001</v>
      </c>
      <c r="I438" s="63">
        <v>3.68</v>
      </c>
      <c r="J438" s="58">
        <v>0.35523809523810002</v>
      </c>
      <c r="K438" s="58">
        <v>10.684617588083801</v>
      </c>
      <c r="L438" s="1" t="s">
        <v>68</v>
      </c>
      <c r="M438" s="1">
        <v>3</v>
      </c>
    </row>
    <row r="439" spans="1:13" x14ac:dyDescent="0.3">
      <c r="A439">
        <v>16</v>
      </c>
      <c r="B439">
        <v>1</v>
      </c>
      <c r="C439" t="s">
        <v>79</v>
      </c>
      <c r="D439" s="1" t="s">
        <v>1</v>
      </c>
      <c r="E439" s="59" t="s">
        <v>16</v>
      </c>
      <c r="F439" s="60">
        <v>8.02881355932203</v>
      </c>
      <c r="G439" s="60">
        <v>0.80870912988867405</v>
      </c>
      <c r="H439" s="61">
        <v>7.8799999999999901</v>
      </c>
      <c r="I439" s="63">
        <v>2.14</v>
      </c>
      <c r="J439" s="58">
        <v>-5.7399999999999896</v>
      </c>
      <c r="K439" s="58">
        <v>-72.842639593908586</v>
      </c>
      <c r="L439" s="1" t="s">
        <v>68</v>
      </c>
      <c r="M439" s="1">
        <v>3</v>
      </c>
    </row>
    <row r="440" spans="1:13" x14ac:dyDescent="0.3">
      <c r="A440">
        <v>16</v>
      </c>
      <c r="B440">
        <v>1</v>
      </c>
      <c r="C440" t="s">
        <v>79</v>
      </c>
      <c r="D440" s="1" t="s">
        <v>1</v>
      </c>
      <c r="E440" s="59" t="s">
        <v>17</v>
      </c>
      <c r="F440" s="60">
        <v>3.2879661016949102</v>
      </c>
      <c r="G440" s="60">
        <v>0.68995892695493299</v>
      </c>
      <c r="H440" s="61">
        <v>3.5311111111111102</v>
      </c>
      <c r="I440" s="63">
        <v>4.1100000000000003</v>
      </c>
      <c r="J440" s="58">
        <v>0.57888888888889012</v>
      </c>
      <c r="K440" s="58">
        <v>16.393958464443084</v>
      </c>
      <c r="L440" s="1" t="s">
        <v>68</v>
      </c>
      <c r="M440" s="1">
        <v>3</v>
      </c>
    </row>
    <row r="441" spans="1:13" x14ac:dyDescent="0.3">
      <c r="A441">
        <v>16</v>
      </c>
      <c r="B441">
        <v>1</v>
      </c>
      <c r="C441" t="s">
        <v>79</v>
      </c>
      <c r="D441" s="1" t="s">
        <v>1</v>
      </c>
      <c r="E441" s="59" t="s">
        <v>18</v>
      </c>
      <c r="F441" s="60">
        <v>0.70898305084745805</v>
      </c>
      <c r="G441" s="60">
        <v>0.228797111775463</v>
      </c>
      <c r="H441" s="61">
        <v>0.83399999999999996</v>
      </c>
      <c r="I441" s="63">
        <v>1.1399999999999999</v>
      </c>
      <c r="J441" s="58">
        <v>0.30599999999999994</v>
      </c>
      <c r="K441" s="58">
        <v>36.690647482014384</v>
      </c>
      <c r="L441" s="1" t="s">
        <v>68</v>
      </c>
      <c r="M441" s="1">
        <v>3</v>
      </c>
    </row>
    <row r="442" spans="1:13" x14ac:dyDescent="0.3">
      <c r="A442">
        <v>16</v>
      </c>
      <c r="B442">
        <v>1</v>
      </c>
      <c r="C442" t="s">
        <v>79</v>
      </c>
      <c r="D442" s="1" t="s">
        <v>1</v>
      </c>
      <c r="E442" s="59" t="s">
        <v>19</v>
      </c>
      <c r="F442" s="60">
        <v>3.4447826086956499</v>
      </c>
      <c r="G442" s="60">
        <v>1.4866649854045699</v>
      </c>
      <c r="H442" s="61">
        <v>4.0541176470588196</v>
      </c>
      <c r="I442" s="63">
        <v>1.5</v>
      </c>
      <c r="J442" s="58">
        <v>-2.5541176470588196</v>
      </c>
      <c r="K442" s="58">
        <v>-63.000580383052785</v>
      </c>
      <c r="L442" s="1" t="s">
        <v>68</v>
      </c>
      <c r="M442" s="1">
        <v>3</v>
      </c>
    </row>
    <row r="443" spans="1:13" x14ac:dyDescent="0.3">
      <c r="A443">
        <v>16</v>
      </c>
      <c r="B443">
        <v>1</v>
      </c>
      <c r="C443" t="s">
        <v>79</v>
      </c>
      <c r="D443" s="1" t="s">
        <v>1</v>
      </c>
      <c r="E443" s="59" t="s">
        <v>12</v>
      </c>
      <c r="F443" s="60">
        <v>1.91508474576271</v>
      </c>
      <c r="G443" s="60">
        <v>0.30043117535176</v>
      </c>
      <c r="H443" s="61">
        <v>1.96314285714285</v>
      </c>
      <c r="I443" s="63">
        <v>3.55</v>
      </c>
      <c r="J443" s="58">
        <v>1.5868571428571498</v>
      </c>
      <c r="K443" s="58">
        <v>80.832484354534202</v>
      </c>
      <c r="L443" s="1" t="s">
        <v>69</v>
      </c>
      <c r="M443" s="1">
        <v>3</v>
      </c>
    </row>
    <row r="444" spans="1:13" x14ac:dyDescent="0.3">
      <c r="A444">
        <v>16</v>
      </c>
      <c r="B444">
        <v>1</v>
      </c>
      <c r="C444" t="s">
        <v>79</v>
      </c>
      <c r="D444" s="1" t="s">
        <v>1</v>
      </c>
      <c r="E444" s="59" t="s">
        <v>13</v>
      </c>
      <c r="F444" s="60">
        <v>0.45084745762711798</v>
      </c>
      <c r="G444" s="60">
        <v>3.4360409598455398E-2</v>
      </c>
      <c r="H444" s="61">
        <v>0.44999999999999901</v>
      </c>
      <c r="I444" s="63">
        <v>2.44</v>
      </c>
      <c r="J444" s="58">
        <v>1.9900000000000009</v>
      </c>
      <c r="K444" s="58">
        <v>442.22222222222342</v>
      </c>
      <c r="L444" s="1" t="s">
        <v>69</v>
      </c>
      <c r="M444" s="1">
        <v>3</v>
      </c>
    </row>
    <row r="445" spans="1:13" x14ac:dyDescent="0.3">
      <c r="A445">
        <v>16</v>
      </c>
      <c r="B445">
        <v>1</v>
      </c>
      <c r="C445" t="s">
        <v>79</v>
      </c>
      <c r="D445" s="1" t="s">
        <v>1</v>
      </c>
      <c r="E445" s="59" t="s">
        <v>14</v>
      </c>
      <c r="F445" s="60">
        <v>0.27813559322033898</v>
      </c>
      <c r="G445" s="60">
        <v>0.21371987508022899</v>
      </c>
      <c r="H445" s="61">
        <v>0.154090909090909</v>
      </c>
      <c r="I445" s="63">
        <v>3.99</v>
      </c>
      <c r="J445" s="58">
        <v>3.8359090909090914</v>
      </c>
      <c r="K445" s="58">
        <v>2489.380530973453</v>
      </c>
      <c r="L445" s="1" t="s">
        <v>69</v>
      </c>
      <c r="M445" s="1">
        <v>3</v>
      </c>
    </row>
    <row r="446" spans="1:13" x14ac:dyDescent="0.3">
      <c r="A446">
        <v>16</v>
      </c>
      <c r="B446">
        <v>1</v>
      </c>
      <c r="C446" t="s">
        <v>79</v>
      </c>
      <c r="D446" s="1" t="s">
        <v>1</v>
      </c>
      <c r="E446" s="59" t="s">
        <v>15</v>
      </c>
      <c r="F446" s="60">
        <v>3.4129310344827601</v>
      </c>
      <c r="G446" s="60">
        <v>0.76204807663678598</v>
      </c>
      <c r="H446" s="61">
        <v>3.3247619047619001</v>
      </c>
      <c r="I446" s="63">
        <v>3.75</v>
      </c>
      <c r="J446" s="58">
        <v>0.42523809523809986</v>
      </c>
      <c r="K446" s="58">
        <v>12.790031509596261</v>
      </c>
      <c r="L446" s="1" t="s">
        <v>69</v>
      </c>
      <c r="M446" s="1">
        <v>3</v>
      </c>
    </row>
    <row r="447" spans="1:13" x14ac:dyDescent="0.3">
      <c r="A447">
        <v>16</v>
      </c>
      <c r="B447">
        <v>1</v>
      </c>
      <c r="C447" t="s">
        <v>79</v>
      </c>
      <c r="D447" s="1" t="s">
        <v>1</v>
      </c>
      <c r="E447" s="59" t="s">
        <v>16</v>
      </c>
      <c r="F447" s="60">
        <v>8.02881355932203</v>
      </c>
      <c r="G447" s="60">
        <v>0.80870912988867405</v>
      </c>
      <c r="H447" s="61">
        <v>7.8799999999999901</v>
      </c>
      <c r="I447" s="63">
        <v>2.2000000000000002</v>
      </c>
      <c r="J447" s="58">
        <v>-5.6799999999999899</v>
      </c>
      <c r="K447" s="58">
        <v>-72.081218274111635</v>
      </c>
      <c r="L447" s="1" t="s">
        <v>69</v>
      </c>
      <c r="M447" s="1">
        <v>3</v>
      </c>
    </row>
    <row r="448" spans="1:13" x14ac:dyDescent="0.3">
      <c r="A448">
        <v>16</v>
      </c>
      <c r="B448">
        <v>1</v>
      </c>
      <c r="C448" t="s">
        <v>79</v>
      </c>
      <c r="D448" s="1" t="s">
        <v>1</v>
      </c>
      <c r="E448" s="59" t="s">
        <v>17</v>
      </c>
      <c r="F448" s="60">
        <v>3.2879661016949102</v>
      </c>
      <c r="G448" s="60">
        <v>0.68995892695493299</v>
      </c>
      <c r="H448" s="61">
        <v>3.5311111111111102</v>
      </c>
      <c r="I448" s="63">
        <v>4.25</v>
      </c>
      <c r="J448" s="58">
        <v>0.7188888888888898</v>
      </c>
      <c r="K448" s="58">
        <v>20.358716173694177</v>
      </c>
      <c r="L448" s="1" t="s">
        <v>69</v>
      </c>
      <c r="M448" s="1">
        <v>3</v>
      </c>
    </row>
    <row r="449" spans="1:13" x14ac:dyDescent="0.3">
      <c r="A449">
        <v>16</v>
      </c>
      <c r="B449">
        <v>1</v>
      </c>
      <c r="C449" t="s">
        <v>79</v>
      </c>
      <c r="D449" s="1" t="s">
        <v>1</v>
      </c>
      <c r="E449" s="59" t="s">
        <v>18</v>
      </c>
      <c r="F449" s="60">
        <v>0.70898305084745805</v>
      </c>
      <c r="G449" s="60">
        <v>0.228797111775463</v>
      </c>
      <c r="H449" s="61">
        <v>0.83399999999999996</v>
      </c>
      <c r="I449" s="63">
        <v>1.1599999999999999</v>
      </c>
      <c r="J449" s="58">
        <v>0.32599999999999996</v>
      </c>
      <c r="K449" s="58">
        <v>39.088729016786566</v>
      </c>
      <c r="L449" s="1" t="s">
        <v>69</v>
      </c>
      <c r="M449" s="1">
        <v>3</v>
      </c>
    </row>
    <row r="450" spans="1:13" x14ac:dyDescent="0.3">
      <c r="A450">
        <v>16</v>
      </c>
      <c r="B450">
        <v>1</v>
      </c>
      <c r="C450" t="s">
        <v>79</v>
      </c>
      <c r="D450" s="1" t="s">
        <v>1</v>
      </c>
      <c r="E450" s="59" t="s">
        <v>19</v>
      </c>
      <c r="F450" s="60">
        <v>3.4447826086956499</v>
      </c>
      <c r="G450" s="60">
        <v>1.4866649854045699</v>
      </c>
      <c r="H450" s="61">
        <v>4.0541176470588196</v>
      </c>
      <c r="I450" s="63">
        <v>1.51</v>
      </c>
      <c r="J450" s="58">
        <v>-2.5441176470588198</v>
      </c>
      <c r="K450" s="58">
        <v>-62.753917585606466</v>
      </c>
      <c r="L450" s="1" t="s">
        <v>69</v>
      </c>
      <c r="M450" s="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779A-E473-43D7-9619-036D8FC366A5}">
  <dimension ref="A1:M225"/>
  <sheetViews>
    <sheetView topLeftCell="A196" workbookViewId="0">
      <selection activeCell="M238" sqref="M238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79</v>
      </c>
      <c r="D2" s="1" t="s">
        <v>1</v>
      </c>
      <c r="E2" s="59" t="s">
        <v>12</v>
      </c>
      <c r="F2" s="60">
        <v>2.8743999999999983</v>
      </c>
      <c r="G2" s="60">
        <v>2.7835171995157504</v>
      </c>
      <c r="H2" s="61">
        <v>2.3212499999999987</v>
      </c>
      <c r="I2" s="62">
        <v>3.04</v>
      </c>
      <c r="J2" s="37">
        <v>0.71875000000000133</v>
      </c>
      <c r="K2" s="37">
        <v>30.963920301561732</v>
      </c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79</v>
      </c>
      <c r="D3" s="1" t="s">
        <v>1</v>
      </c>
      <c r="E3" s="59" t="s">
        <v>13</v>
      </c>
      <c r="F3" s="60">
        <v>1.2947916666666677</v>
      </c>
      <c r="G3" s="60">
        <v>0.62430212811035313</v>
      </c>
      <c r="H3" s="61">
        <v>1.1415555555555565</v>
      </c>
      <c r="I3" s="62">
        <v>4.01</v>
      </c>
      <c r="J3" s="37">
        <v>2.8684444444444432</v>
      </c>
      <c r="K3" s="37">
        <v>251.27506326649765</v>
      </c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79</v>
      </c>
      <c r="D4" s="1" t="s">
        <v>1</v>
      </c>
      <c r="E4" s="59" t="s">
        <v>14</v>
      </c>
      <c r="F4" s="60">
        <v>2.7509615384615396</v>
      </c>
      <c r="G4" s="60">
        <v>1.3581811072387677</v>
      </c>
      <c r="H4" s="61">
        <v>2.5597916666666682</v>
      </c>
      <c r="I4" s="62">
        <v>5.24</v>
      </c>
      <c r="J4" s="37">
        <v>2.680208333333332</v>
      </c>
      <c r="K4" s="37">
        <v>104.70415886709519</v>
      </c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79</v>
      </c>
      <c r="D5" s="1" t="s">
        <v>1</v>
      </c>
      <c r="E5" s="59" t="s">
        <v>15</v>
      </c>
      <c r="F5" s="60">
        <v>3.7483050847457626</v>
      </c>
      <c r="G5" s="60">
        <v>2.3801362990110975</v>
      </c>
      <c r="H5" s="61">
        <v>3.3131578947368432</v>
      </c>
      <c r="I5" s="62">
        <v>5.77</v>
      </c>
      <c r="J5" s="37">
        <v>2.4568421052631564</v>
      </c>
      <c r="K5" s="37">
        <v>74.154090548053944</v>
      </c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79</v>
      </c>
      <c r="D6" s="1" t="s">
        <v>1</v>
      </c>
      <c r="E6" s="59" t="s">
        <v>16</v>
      </c>
      <c r="F6" s="60">
        <v>1.7544067796610174</v>
      </c>
      <c r="G6" s="60">
        <v>1.3535066477378248</v>
      </c>
      <c r="H6" s="61">
        <v>1.393272727272727</v>
      </c>
      <c r="I6" s="62">
        <v>4.1900000000000004</v>
      </c>
      <c r="J6" s="37">
        <v>2.7967272727272734</v>
      </c>
      <c r="K6" s="37">
        <v>200.7307842881379</v>
      </c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79</v>
      </c>
      <c r="D7" s="1" t="s">
        <v>1</v>
      </c>
      <c r="E7" s="59" t="s">
        <v>17</v>
      </c>
      <c r="F7" s="60">
        <v>6.4343749999999993</v>
      </c>
      <c r="G7" s="60">
        <v>18.821901107571239</v>
      </c>
      <c r="H7" s="61">
        <v>1.6913333333333342</v>
      </c>
      <c r="I7" s="62">
        <v>4.38</v>
      </c>
      <c r="J7" s="37">
        <v>2.6886666666666654</v>
      </c>
      <c r="K7" s="37">
        <v>158.96728419392966</v>
      </c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79</v>
      </c>
      <c r="D8" s="1" t="s">
        <v>1</v>
      </c>
      <c r="E8" s="59" t="s">
        <v>18</v>
      </c>
      <c r="F8" s="60">
        <v>1.0323728813559323</v>
      </c>
      <c r="G8" s="60">
        <v>0.40578293408758054</v>
      </c>
      <c r="H8" s="61">
        <v>1.260909090909091</v>
      </c>
      <c r="I8" s="62">
        <v>1.55</v>
      </c>
      <c r="J8" s="37">
        <v>0.28909090909090907</v>
      </c>
      <c r="K8" s="37">
        <v>22.927180966113912</v>
      </c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79</v>
      </c>
      <c r="D9" s="1" t="s">
        <v>1</v>
      </c>
      <c r="E9" s="59" t="s">
        <v>19</v>
      </c>
      <c r="F9" s="60">
        <v>2.2595999999999998</v>
      </c>
      <c r="G9" s="60">
        <v>0.95837744825999238</v>
      </c>
      <c r="H9" s="61">
        <v>2.8852941176470588</v>
      </c>
      <c r="I9" s="62">
        <v>2.41</v>
      </c>
      <c r="J9" s="37">
        <v>-0.47529411764705864</v>
      </c>
      <c r="K9" s="37">
        <v>-16.472986748216101</v>
      </c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79</v>
      </c>
      <c r="D10" s="1" t="s">
        <v>1</v>
      </c>
      <c r="E10" s="59" t="s">
        <v>12</v>
      </c>
      <c r="F10" s="60">
        <v>2.8743999999999983</v>
      </c>
      <c r="G10" s="60">
        <v>2.7835171995157504</v>
      </c>
      <c r="H10" s="61">
        <v>2.3212499999999987</v>
      </c>
      <c r="I10" s="62">
        <v>2.99</v>
      </c>
      <c r="J10" s="37">
        <v>0.66875000000000151</v>
      </c>
      <c r="K10" s="37">
        <v>28.809908454496579</v>
      </c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79</v>
      </c>
      <c r="D11" s="1" t="s">
        <v>1</v>
      </c>
      <c r="E11" s="59" t="s">
        <v>13</v>
      </c>
      <c r="F11" s="60">
        <v>1.2947916666666677</v>
      </c>
      <c r="G11" s="60">
        <v>0.62430212811035313</v>
      </c>
      <c r="H11" s="61">
        <v>1.1415555555555565</v>
      </c>
      <c r="I11" s="62">
        <v>4.18</v>
      </c>
      <c r="J11" s="37">
        <v>3.0384444444444432</v>
      </c>
      <c r="K11" s="37">
        <v>266.16702355460353</v>
      </c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79</v>
      </c>
      <c r="D12" s="1" t="s">
        <v>1</v>
      </c>
      <c r="E12" s="59" t="s">
        <v>14</v>
      </c>
      <c r="F12" s="60">
        <v>2.7509615384615396</v>
      </c>
      <c r="G12" s="60">
        <v>1.3581811072387677</v>
      </c>
      <c r="H12" s="61">
        <v>2.5597916666666682</v>
      </c>
      <c r="I12" s="62">
        <v>5.28</v>
      </c>
      <c r="J12" s="37">
        <v>2.720208333333332</v>
      </c>
      <c r="K12" s="37">
        <v>106.26678603401957</v>
      </c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79</v>
      </c>
      <c r="D13" s="1" t="s">
        <v>1</v>
      </c>
      <c r="E13" s="59" t="s">
        <v>15</v>
      </c>
      <c r="F13" s="60">
        <v>3.7483050847457626</v>
      </c>
      <c r="G13" s="60">
        <v>2.3801362990110975</v>
      </c>
      <c r="H13" s="61">
        <v>3.3131578947368432</v>
      </c>
      <c r="I13" s="62">
        <v>5.69</v>
      </c>
      <c r="J13" s="37">
        <v>2.3768421052631572</v>
      </c>
      <c r="K13" s="37">
        <v>71.739475774424093</v>
      </c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79</v>
      </c>
      <c r="D14" s="1" t="s">
        <v>1</v>
      </c>
      <c r="E14" s="59" t="s">
        <v>16</v>
      </c>
      <c r="F14" s="60">
        <v>1.7544067796610174</v>
      </c>
      <c r="G14" s="60">
        <v>1.3535066477378248</v>
      </c>
      <c r="H14" s="61">
        <v>1.393272727272727</v>
      </c>
      <c r="I14" s="62">
        <v>4.22</v>
      </c>
      <c r="J14" s="37">
        <v>2.8267272727272728</v>
      </c>
      <c r="K14" s="37">
        <v>202.88398799425815</v>
      </c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79</v>
      </c>
      <c r="D15" s="1" t="s">
        <v>1</v>
      </c>
      <c r="E15" s="59" t="s">
        <v>17</v>
      </c>
      <c r="F15" s="60">
        <v>6.4343749999999993</v>
      </c>
      <c r="G15" s="60">
        <v>18.821901107571239</v>
      </c>
      <c r="H15" s="61">
        <v>1.6913333333333342</v>
      </c>
      <c r="I15" s="62">
        <v>4.3899999999999997</v>
      </c>
      <c r="J15" s="37">
        <v>2.6986666666666652</v>
      </c>
      <c r="K15" s="37">
        <v>159.55853370122176</v>
      </c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79</v>
      </c>
      <c r="D16" s="1" t="s">
        <v>1</v>
      </c>
      <c r="E16" s="59" t="s">
        <v>18</v>
      </c>
      <c r="F16" s="60">
        <v>1.0323728813559323</v>
      </c>
      <c r="G16" s="60">
        <v>0.40578293408758054</v>
      </c>
      <c r="H16" s="61">
        <v>1.260909090909091</v>
      </c>
      <c r="I16" s="62">
        <v>1.62</v>
      </c>
      <c r="J16" s="37">
        <v>0.35909090909090913</v>
      </c>
      <c r="K16" s="37">
        <v>28.478731074260999</v>
      </c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79</v>
      </c>
      <c r="D17" s="1" t="s">
        <v>1</v>
      </c>
      <c r="E17" s="59" t="s">
        <v>19</v>
      </c>
      <c r="F17" s="60">
        <v>2.2595999999999998</v>
      </c>
      <c r="G17" s="60">
        <v>0.95837744825999238</v>
      </c>
      <c r="H17" s="61">
        <v>2.8852941176470588</v>
      </c>
      <c r="I17" s="62">
        <v>2.44</v>
      </c>
      <c r="J17" s="37">
        <v>-0.44529411764705884</v>
      </c>
      <c r="K17" s="37">
        <v>-15.433231396534151</v>
      </c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79</v>
      </c>
      <c r="D18" s="1" t="s">
        <v>1</v>
      </c>
      <c r="E18" s="59" t="s">
        <v>12</v>
      </c>
      <c r="F18" s="60">
        <v>2.8743999999999983</v>
      </c>
      <c r="G18" s="60">
        <v>2.7835171995157504</v>
      </c>
      <c r="H18" s="61">
        <v>2.3212499999999987</v>
      </c>
      <c r="I18" s="62">
        <v>2.99</v>
      </c>
      <c r="J18" s="37">
        <v>0.66875000000000151</v>
      </c>
      <c r="K18" s="37">
        <v>28.809908454496579</v>
      </c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79</v>
      </c>
      <c r="D19" s="1" t="s">
        <v>1</v>
      </c>
      <c r="E19" s="59" t="s">
        <v>13</v>
      </c>
      <c r="F19" s="60">
        <v>1.2947916666666677</v>
      </c>
      <c r="G19" s="60">
        <v>0.62430212811035313</v>
      </c>
      <c r="H19" s="61">
        <v>1.1415555555555565</v>
      </c>
      <c r="I19" s="62">
        <v>4.1900000000000004</v>
      </c>
      <c r="J19" s="37">
        <v>3.0484444444444438</v>
      </c>
      <c r="K19" s="37">
        <v>267.04302121860979</v>
      </c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79</v>
      </c>
      <c r="D20" s="1" t="s">
        <v>1</v>
      </c>
      <c r="E20" s="59" t="s">
        <v>14</v>
      </c>
      <c r="F20" s="60">
        <v>2.7509615384615396</v>
      </c>
      <c r="G20" s="60">
        <v>1.3581811072387677</v>
      </c>
      <c r="H20" s="61">
        <v>2.5597916666666682</v>
      </c>
      <c r="I20" s="62">
        <v>5.3</v>
      </c>
      <c r="J20" s="37">
        <v>2.7402083333333316</v>
      </c>
      <c r="K20" s="37">
        <v>107.04809961748177</v>
      </c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79</v>
      </c>
      <c r="D21" s="1" t="s">
        <v>1</v>
      </c>
      <c r="E21" s="59" t="s">
        <v>15</v>
      </c>
      <c r="F21" s="60">
        <v>3.7483050847457626</v>
      </c>
      <c r="G21" s="60">
        <v>2.3801362990110975</v>
      </c>
      <c r="H21" s="61">
        <v>3.3131578947368432</v>
      </c>
      <c r="I21" s="62">
        <v>5.73</v>
      </c>
      <c r="J21" s="37">
        <v>2.4168421052631572</v>
      </c>
      <c r="K21" s="37">
        <v>72.94678316123904</v>
      </c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79</v>
      </c>
      <c r="D22" s="1" t="s">
        <v>1</v>
      </c>
      <c r="E22" s="59" t="s">
        <v>16</v>
      </c>
      <c r="F22" s="60">
        <v>1.7544067796610174</v>
      </c>
      <c r="G22" s="60">
        <v>1.3535066477378248</v>
      </c>
      <c r="H22" s="61">
        <v>1.393272727272727</v>
      </c>
      <c r="I22" s="62">
        <v>4.24</v>
      </c>
      <c r="J22" s="37">
        <v>2.8467272727272732</v>
      </c>
      <c r="K22" s="37">
        <v>204.31945713167175</v>
      </c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79</v>
      </c>
      <c r="D23" s="1" t="s">
        <v>1</v>
      </c>
      <c r="E23" s="59" t="s">
        <v>17</v>
      </c>
      <c r="F23" s="60">
        <v>6.4343749999999993</v>
      </c>
      <c r="G23" s="60">
        <v>18.821901107571239</v>
      </c>
      <c r="H23" s="61">
        <v>1.6913333333333342</v>
      </c>
      <c r="I23" s="62">
        <v>4.45</v>
      </c>
      <c r="J23" s="37">
        <v>2.7586666666666657</v>
      </c>
      <c r="K23" s="37">
        <v>163.10603074497422</v>
      </c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79</v>
      </c>
      <c r="D24" s="1" t="s">
        <v>1</v>
      </c>
      <c r="E24" s="59" t="s">
        <v>18</v>
      </c>
      <c r="F24" s="60">
        <v>1.0323728813559323</v>
      </c>
      <c r="G24" s="60">
        <v>0.40578293408758054</v>
      </c>
      <c r="H24" s="61">
        <v>1.260909090909091</v>
      </c>
      <c r="I24" s="62">
        <v>1.61</v>
      </c>
      <c r="J24" s="37">
        <v>0.34909090909090912</v>
      </c>
      <c r="K24" s="37">
        <v>27.685652487382839</v>
      </c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79</v>
      </c>
      <c r="D25" s="1" t="s">
        <v>1</v>
      </c>
      <c r="E25" s="59" t="s">
        <v>19</v>
      </c>
      <c r="F25" s="60">
        <v>2.2595999999999998</v>
      </c>
      <c r="G25" s="60">
        <v>0.95837744825999238</v>
      </c>
      <c r="H25" s="61">
        <v>2.8852941176470588</v>
      </c>
      <c r="I25" s="62">
        <v>2.42</v>
      </c>
      <c r="J25" s="37">
        <v>-0.46529411764705886</v>
      </c>
      <c r="K25" s="37">
        <v>-16.126401630988788</v>
      </c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79</v>
      </c>
      <c r="D27" s="1" t="s">
        <v>1</v>
      </c>
      <c r="E27" s="59" t="s">
        <v>12</v>
      </c>
      <c r="F27" s="60">
        <v>3.67584905660377</v>
      </c>
      <c r="G27" s="60">
        <v>4.7397704880197402</v>
      </c>
      <c r="H27" s="61">
        <v>2.3497959183673398</v>
      </c>
      <c r="I27" s="62">
        <v>3.04</v>
      </c>
      <c r="J27" s="37">
        <v>0.69020408163266023</v>
      </c>
      <c r="K27" s="37">
        <v>29.372937293729766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79</v>
      </c>
      <c r="D28" s="1" t="s">
        <v>1</v>
      </c>
      <c r="E28" s="59" t="s">
        <v>13</v>
      </c>
      <c r="F28" s="60">
        <v>1.2244736842105199</v>
      </c>
      <c r="G28" s="60">
        <v>0.387357426188357</v>
      </c>
      <c r="H28" s="61">
        <v>1.16135135135135</v>
      </c>
      <c r="I28" s="62">
        <v>4.01</v>
      </c>
      <c r="J28" s="37">
        <v>2.8486486486486498</v>
      </c>
      <c r="K28" s="37">
        <v>245.28740982080558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79</v>
      </c>
      <c r="D29" s="1" t="s">
        <v>1</v>
      </c>
      <c r="E29" s="59" t="s">
        <v>14</v>
      </c>
      <c r="F29" s="60">
        <v>3.09980769230769</v>
      </c>
      <c r="G29" s="60">
        <v>2.0440245843627398</v>
      </c>
      <c r="H29" s="61">
        <v>2.5554545454545399</v>
      </c>
      <c r="I29" s="62">
        <v>5.24</v>
      </c>
      <c r="J29" s="37">
        <v>2.6845454545454603</v>
      </c>
      <c r="K29" s="37">
        <v>105.05158306652483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79</v>
      </c>
      <c r="D30" s="1" t="s">
        <v>1</v>
      </c>
      <c r="E30" s="59" t="s">
        <v>15</v>
      </c>
      <c r="F30" s="60">
        <v>3.93355932203389</v>
      </c>
      <c r="G30" s="60">
        <v>2.7660727607326798</v>
      </c>
      <c r="H30" s="61">
        <v>3.3019642857142801</v>
      </c>
      <c r="I30" s="62">
        <v>5.77</v>
      </c>
      <c r="J30" s="37">
        <v>2.4680357142857194</v>
      </c>
      <c r="K30" s="37">
        <v>74.744470282840581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79</v>
      </c>
      <c r="D31" s="1" t="s">
        <v>1</v>
      </c>
      <c r="E31" s="59" t="s">
        <v>16</v>
      </c>
      <c r="F31" s="60">
        <v>1.59379310344827</v>
      </c>
      <c r="G31" s="60">
        <v>0.97513363820874799</v>
      </c>
      <c r="H31" s="61">
        <v>1.41071428571428</v>
      </c>
      <c r="I31" s="62">
        <v>4.1900000000000004</v>
      </c>
      <c r="J31" s="37">
        <v>2.7792857142857201</v>
      </c>
      <c r="K31" s="37">
        <v>197.0126582278493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79</v>
      </c>
      <c r="D32" s="1" t="s">
        <v>1</v>
      </c>
      <c r="E32" s="59" t="s">
        <v>17</v>
      </c>
      <c r="F32" s="60">
        <v>8.0749999999999993</v>
      </c>
      <c r="G32" s="60">
        <v>20.958794418132399</v>
      </c>
      <c r="H32" s="61">
        <v>1.3395744680851001</v>
      </c>
      <c r="I32" s="62">
        <v>4.38</v>
      </c>
      <c r="J32" s="37">
        <v>3.0404255319148996</v>
      </c>
      <c r="K32" s="37">
        <v>226.96950444726963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79</v>
      </c>
      <c r="D33" s="1" t="s">
        <v>1</v>
      </c>
      <c r="E33" s="59" t="s">
        <v>18</v>
      </c>
      <c r="F33" s="60">
        <v>1.05614035087719</v>
      </c>
      <c r="G33" s="60">
        <v>0.37503101338874001</v>
      </c>
      <c r="H33" s="61">
        <v>1.2245454545454499</v>
      </c>
      <c r="I33" s="62">
        <v>1.55</v>
      </c>
      <c r="J33" s="37">
        <v>0.3254545454545501</v>
      </c>
      <c r="K33" s="37">
        <v>26.577579806978953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79</v>
      </c>
      <c r="D34" s="1" t="s">
        <v>1</v>
      </c>
      <c r="E34" s="59" t="s">
        <v>19</v>
      </c>
      <c r="F34" s="60">
        <v>3.4342857142857102</v>
      </c>
      <c r="G34" s="60">
        <v>1.72203526159509</v>
      </c>
      <c r="H34" s="61">
        <v>2.9807142857142801</v>
      </c>
      <c r="I34" s="62">
        <v>2.41</v>
      </c>
      <c r="J34" s="37">
        <v>-0.57071428571427996</v>
      </c>
      <c r="K34" s="37">
        <v>-19.146896716990017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79</v>
      </c>
      <c r="D35" s="1" t="s">
        <v>1</v>
      </c>
      <c r="E35" s="59" t="s">
        <v>12</v>
      </c>
      <c r="F35" s="60">
        <v>3.67584905660377</v>
      </c>
      <c r="G35" s="60">
        <v>4.7397704880197402</v>
      </c>
      <c r="H35" s="61">
        <v>2.3497959183673398</v>
      </c>
      <c r="I35" s="62">
        <v>2.99</v>
      </c>
      <c r="J35" s="37">
        <v>0.6402040816326604</v>
      </c>
      <c r="K35" s="37">
        <v>27.245092930346061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79</v>
      </c>
      <c r="D36" s="1" t="s">
        <v>1</v>
      </c>
      <c r="E36" s="59" t="s">
        <v>13</v>
      </c>
      <c r="F36" s="60">
        <v>1.2244736842105199</v>
      </c>
      <c r="G36" s="60">
        <v>0.387357426188357</v>
      </c>
      <c r="H36" s="61">
        <v>1.16135135135135</v>
      </c>
      <c r="I36" s="62">
        <v>4.18</v>
      </c>
      <c r="J36" s="37">
        <v>3.0186486486486497</v>
      </c>
      <c r="K36" s="37">
        <v>259.92552943914393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79</v>
      </c>
      <c r="D37" s="1" t="s">
        <v>1</v>
      </c>
      <c r="E37" s="59" t="s">
        <v>14</v>
      </c>
      <c r="F37" s="60">
        <v>3.09980769230769</v>
      </c>
      <c r="G37" s="60">
        <v>2.0440245843627398</v>
      </c>
      <c r="H37" s="61">
        <v>2.5554545454545399</v>
      </c>
      <c r="I37" s="62">
        <v>5.28</v>
      </c>
      <c r="J37" s="37">
        <v>2.7245454545454604</v>
      </c>
      <c r="K37" s="37">
        <v>106.61686232657463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79</v>
      </c>
      <c r="D38" s="1" t="s">
        <v>1</v>
      </c>
      <c r="E38" s="59" t="s">
        <v>15</v>
      </c>
      <c r="F38" s="60">
        <v>3.93355932203389</v>
      </c>
      <c r="G38" s="60">
        <v>2.7660727607326798</v>
      </c>
      <c r="H38" s="61">
        <v>3.3019642857142801</v>
      </c>
      <c r="I38" s="62">
        <v>5.69</v>
      </c>
      <c r="J38" s="37">
        <v>2.3880357142857203</v>
      </c>
      <c r="K38" s="37">
        <v>72.321670001622721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79</v>
      </c>
      <c r="D39" s="1" t="s">
        <v>1</v>
      </c>
      <c r="E39" s="59" t="s">
        <v>16</v>
      </c>
      <c r="F39" s="60">
        <v>1.59379310344827</v>
      </c>
      <c r="G39" s="60">
        <v>0.97513363820874799</v>
      </c>
      <c r="H39" s="61">
        <v>1.41071428571428</v>
      </c>
      <c r="I39" s="62">
        <v>4.22</v>
      </c>
      <c r="J39" s="37">
        <v>2.8092857142857195</v>
      </c>
      <c r="K39" s="37">
        <v>199.13924050633028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79</v>
      </c>
      <c r="D40" s="1" t="s">
        <v>1</v>
      </c>
      <c r="E40" s="59" t="s">
        <v>17</v>
      </c>
      <c r="F40" s="60">
        <v>8.0749999999999993</v>
      </c>
      <c r="G40" s="60">
        <v>20.958794418132399</v>
      </c>
      <c r="H40" s="61">
        <v>1.3395744680851001</v>
      </c>
      <c r="I40" s="62">
        <v>4.3899999999999997</v>
      </c>
      <c r="J40" s="37">
        <v>3.0504255319148994</v>
      </c>
      <c r="K40" s="37">
        <v>227.71601016518574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79</v>
      </c>
      <c r="D41" s="1" t="s">
        <v>1</v>
      </c>
      <c r="E41" s="59" t="s">
        <v>18</v>
      </c>
      <c r="F41" s="60">
        <v>1.05614035087719</v>
      </c>
      <c r="G41" s="60">
        <v>0.37503101338874001</v>
      </c>
      <c r="H41" s="61">
        <v>1.2245454545454499</v>
      </c>
      <c r="I41" s="62">
        <v>1.62</v>
      </c>
      <c r="J41" s="37">
        <v>0.39545454545455017</v>
      </c>
      <c r="K41" s="37">
        <v>32.293986636971553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79</v>
      </c>
      <c r="D42" s="1" t="s">
        <v>1</v>
      </c>
      <c r="E42" s="59" t="s">
        <v>19</v>
      </c>
      <c r="F42" s="60">
        <v>3.4342857142857102</v>
      </c>
      <c r="G42" s="60">
        <v>1.72203526159509</v>
      </c>
      <c r="H42" s="61">
        <v>2.9807142857142801</v>
      </c>
      <c r="I42" s="62">
        <v>2.44</v>
      </c>
      <c r="J42" s="37">
        <v>-0.54071428571428015</v>
      </c>
      <c r="K42" s="37">
        <v>-18.140426551641355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79</v>
      </c>
      <c r="D43" s="1" t="s">
        <v>1</v>
      </c>
      <c r="E43" s="59" t="s">
        <v>12</v>
      </c>
      <c r="F43" s="60">
        <v>3.67584905660377</v>
      </c>
      <c r="G43" s="60">
        <v>4.7397704880197402</v>
      </c>
      <c r="H43" s="61">
        <v>2.3497959183673398</v>
      </c>
      <c r="I43" s="62">
        <v>2.99</v>
      </c>
      <c r="J43" s="37">
        <v>0.6402040816326604</v>
      </c>
      <c r="K43" s="37">
        <v>27.245092930346061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79</v>
      </c>
      <c r="D44" s="1" t="s">
        <v>1</v>
      </c>
      <c r="E44" s="59" t="s">
        <v>13</v>
      </c>
      <c r="F44" s="60">
        <v>1.2244736842105199</v>
      </c>
      <c r="G44" s="60">
        <v>0.387357426188357</v>
      </c>
      <c r="H44" s="61">
        <v>1.16135135135135</v>
      </c>
      <c r="I44" s="62">
        <v>4.1900000000000004</v>
      </c>
      <c r="J44" s="37">
        <v>3.0286486486486504</v>
      </c>
      <c r="K44" s="37">
        <v>260.78659529904627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79</v>
      </c>
      <c r="D45" s="1" t="s">
        <v>1</v>
      </c>
      <c r="E45" s="59" t="s">
        <v>14</v>
      </c>
      <c r="F45" s="60">
        <v>3.09980769230769</v>
      </c>
      <c r="G45" s="60">
        <v>2.0440245843627398</v>
      </c>
      <c r="H45" s="61">
        <v>2.5554545454545399</v>
      </c>
      <c r="I45" s="62">
        <v>5.3</v>
      </c>
      <c r="J45" s="37">
        <v>2.74454545454546</v>
      </c>
      <c r="K45" s="37">
        <v>107.39950195659954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79</v>
      </c>
      <c r="D46" s="1" t="s">
        <v>1</v>
      </c>
      <c r="E46" s="59" t="s">
        <v>15</v>
      </c>
      <c r="F46" s="60">
        <v>3.93355932203389</v>
      </c>
      <c r="G46" s="60">
        <v>2.7660727607326798</v>
      </c>
      <c r="H46" s="61">
        <v>3.3019642857142801</v>
      </c>
      <c r="I46" s="62">
        <v>5.73</v>
      </c>
      <c r="J46" s="37">
        <v>2.4280357142857203</v>
      </c>
      <c r="K46" s="37">
        <v>73.533070142231665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79</v>
      </c>
      <c r="D47" s="1" t="s">
        <v>1</v>
      </c>
      <c r="E47" s="59" t="s">
        <v>16</v>
      </c>
      <c r="F47" s="60">
        <v>1.59379310344827</v>
      </c>
      <c r="G47" s="60">
        <v>0.97513363820874799</v>
      </c>
      <c r="H47" s="61">
        <v>1.41071428571428</v>
      </c>
      <c r="I47" s="62">
        <v>4.24</v>
      </c>
      <c r="J47" s="37">
        <v>2.82928571428572</v>
      </c>
      <c r="K47" s="37">
        <v>200.55696202531769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79</v>
      </c>
      <c r="D48" s="1" t="s">
        <v>1</v>
      </c>
      <c r="E48" s="59" t="s">
        <v>17</v>
      </c>
      <c r="F48" s="60">
        <v>8.0749999999999993</v>
      </c>
      <c r="G48" s="60">
        <v>20.958794418132399</v>
      </c>
      <c r="H48" s="61">
        <v>1.3395744680851001</v>
      </c>
      <c r="I48" s="62">
        <v>4.45</v>
      </c>
      <c r="J48" s="37">
        <v>3.1104255319148999</v>
      </c>
      <c r="K48" s="37">
        <v>232.19504447268261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79</v>
      </c>
      <c r="D49" s="1" t="s">
        <v>1</v>
      </c>
      <c r="E49" s="59" t="s">
        <v>18</v>
      </c>
      <c r="F49" s="60">
        <v>1.05614035087719</v>
      </c>
      <c r="G49" s="60">
        <v>0.37503101338874001</v>
      </c>
      <c r="H49" s="61">
        <v>1.2245454545454499</v>
      </c>
      <c r="I49" s="62">
        <v>1.61</v>
      </c>
      <c r="J49" s="37">
        <v>0.38545454545455016</v>
      </c>
      <c r="K49" s="37">
        <v>31.477357089829756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79</v>
      </c>
      <c r="D50" s="1" t="s">
        <v>1</v>
      </c>
      <c r="E50" s="59" t="s">
        <v>19</v>
      </c>
      <c r="F50" s="60">
        <v>3.4342857142857102</v>
      </c>
      <c r="G50" s="60">
        <v>1.72203526159509</v>
      </c>
      <c r="H50" s="61">
        <v>2.9807142857142801</v>
      </c>
      <c r="I50" s="62">
        <v>2.42</v>
      </c>
      <c r="J50" s="37">
        <v>-0.56071428571428017</v>
      </c>
      <c r="K50" s="37">
        <v>-18.8114066618738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79</v>
      </c>
      <c r="D52" s="1" t="s">
        <v>1</v>
      </c>
      <c r="E52" s="59" t="s">
        <v>12</v>
      </c>
      <c r="F52" s="60">
        <v>2.52</v>
      </c>
      <c r="G52" s="60">
        <v>2.2301831016009999</v>
      </c>
      <c r="H52" s="61">
        <v>2.2027659574467999</v>
      </c>
      <c r="I52" s="63">
        <v>3.04</v>
      </c>
      <c r="J52" s="58">
        <v>0.83723404255320011</v>
      </c>
      <c r="K52" s="58">
        <v>38.008306770984795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79</v>
      </c>
      <c r="D53" s="1" t="s">
        <v>1</v>
      </c>
      <c r="E53" s="59" t="s">
        <v>13</v>
      </c>
      <c r="F53" s="60">
        <v>1.2765</v>
      </c>
      <c r="G53" s="60">
        <v>0.46784906754208599</v>
      </c>
      <c r="H53" s="61">
        <v>1.17</v>
      </c>
      <c r="I53" s="63">
        <v>4.01</v>
      </c>
      <c r="J53" s="58">
        <v>2.84</v>
      </c>
      <c r="K53" s="58">
        <v>242.73504273504273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79</v>
      </c>
      <c r="D54" s="1" t="s">
        <v>1</v>
      </c>
      <c r="E54" s="59" t="s">
        <v>14</v>
      </c>
      <c r="F54" s="60">
        <v>3.0252941176470598</v>
      </c>
      <c r="G54" s="60">
        <v>1.7271946572645001</v>
      </c>
      <c r="H54" s="61">
        <v>2.5253191489361702</v>
      </c>
      <c r="I54" s="63">
        <v>5.24</v>
      </c>
      <c r="J54" s="58">
        <v>2.7146808510638301</v>
      </c>
      <c r="K54" s="58">
        <v>107.49852557081473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79</v>
      </c>
      <c r="D55" s="1" t="s">
        <v>1</v>
      </c>
      <c r="E55" s="59" t="s">
        <v>15</v>
      </c>
      <c r="F55" s="60">
        <v>4.6628813559321998</v>
      </c>
      <c r="G55" s="60">
        <v>3.9001264868004202</v>
      </c>
      <c r="H55" s="61">
        <v>3.3624528301886798</v>
      </c>
      <c r="I55" s="63">
        <v>5.77</v>
      </c>
      <c r="J55" s="58">
        <v>2.4075471698113198</v>
      </c>
      <c r="K55" s="58">
        <v>71.600920262611496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79</v>
      </c>
      <c r="D56" s="1" t="s">
        <v>1</v>
      </c>
      <c r="E56" s="59" t="s">
        <v>16</v>
      </c>
      <c r="F56" s="60">
        <v>1.5981355932203301</v>
      </c>
      <c r="G56" s="60">
        <v>1.0788246501087499</v>
      </c>
      <c r="H56" s="61">
        <v>1.39807017543859</v>
      </c>
      <c r="I56" s="63">
        <v>4.1900000000000004</v>
      </c>
      <c r="J56" s="58">
        <v>2.7919298245614104</v>
      </c>
      <c r="K56" s="58">
        <v>199.69883297779035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79</v>
      </c>
      <c r="D57" s="1" t="s">
        <v>1</v>
      </c>
      <c r="E57" s="59" t="s">
        <v>17</v>
      </c>
      <c r="F57" s="60">
        <v>7.8286274509803899</v>
      </c>
      <c r="G57" s="60">
        <v>21.767332964573701</v>
      </c>
      <c r="H57" s="61">
        <v>1.50021276595744</v>
      </c>
      <c r="I57" s="63">
        <v>4.38</v>
      </c>
      <c r="J57" s="58">
        <v>2.8797872340425599</v>
      </c>
      <c r="K57" s="58">
        <v>191.9585874344078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79</v>
      </c>
      <c r="D58" s="1" t="s">
        <v>1</v>
      </c>
      <c r="E58" s="59" t="s">
        <v>18</v>
      </c>
      <c r="F58" s="60">
        <v>1.06915254237288</v>
      </c>
      <c r="G58" s="60">
        <v>0.39284398997520298</v>
      </c>
      <c r="H58" s="61">
        <v>1.2633333333333301</v>
      </c>
      <c r="I58" s="63">
        <v>1.55</v>
      </c>
      <c r="J58" s="58">
        <v>0.28666666666666996</v>
      </c>
      <c r="K58" s="58">
        <v>22.691292875989767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79</v>
      </c>
      <c r="D59" s="1" t="s">
        <v>1</v>
      </c>
      <c r="E59" s="59" t="s">
        <v>19</v>
      </c>
      <c r="F59" s="60">
        <v>2.89263157894736</v>
      </c>
      <c r="G59" s="60">
        <v>2.1241935735591801</v>
      </c>
      <c r="H59" s="61">
        <v>1.8719999999999899</v>
      </c>
      <c r="I59" s="63">
        <v>2.41</v>
      </c>
      <c r="J59" s="58">
        <v>0.53800000000001025</v>
      </c>
      <c r="K59" s="58">
        <v>28.739316239316942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79</v>
      </c>
      <c r="D60" s="1" t="s">
        <v>1</v>
      </c>
      <c r="E60" s="59" t="s">
        <v>12</v>
      </c>
      <c r="F60" s="60">
        <v>2.52</v>
      </c>
      <c r="G60" s="60">
        <v>2.2301831016009999</v>
      </c>
      <c r="H60" s="61">
        <v>2.2027659574467999</v>
      </c>
      <c r="I60" s="63">
        <v>2.99</v>
      </c>
      <c r="J60" s="58">
        <v>0.78723404255320029</v>
      </c>
      <c r="K60" s="58">
        <v>35.738433304356768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79</v>
      </c>
      <c r="D61" s="1" t="s">
        <v>1</v>
      </c>
      <c r="E61" s="59" t="s">
        <v>13</v>
      </c>
      <c r="F61" s="60">
        <v>1.2765</v>
      </c>
      <c r="G61" s="60">
        <v>0.46784906754208599</v>
      </c>
      <c r="H61" s="61">
        <v>1.17</v>
      </c>
      <c r="I61" s="63">
        <v>4.18</v>
      </c>
      <c r="J61" s="58">
        <v>3.01</v>
      </c>
      <c r="K61" s="58">
        <v>257.26495726495727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79</v>
      </c>
      <c r="D62" s="1" t="s">
        <v>1</v>
      </c>
      <c r="E62" s="59" t="s">
        <v>14</v>
      </c>
      <c r="F62" s="60">
        <v>3.0252941176470598</v>
      </c>
      <c r="G62" s="60">
        <v>1.7271946572645001</v>
      </c>
      <c r="H62" s="61">
        <v>2.5253191489361702</v>
      </c>
      <c r="I62" s="63">
        <v>5.28</v>
      </c>
      <c r="J62" s="58">
        <v>2.7546808510638301</v>
      </c>
      <c r="K62" s="58">
        <v>109.08248378127898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79</v>
      </c>
      <c r="D63" s="1" t="s">
        <v>1</v>
      </c>
      <c r="E63" s="59" t="s">
        <v>15</v>
      </c>
      <c r="F63" s="60">
        <v>4.6628813559321998</v>
      </c>
      <c r="G63" s="60">
        <v>3.9001264868004202</v>
      </c>
      <c r="H63" s="61">
        <v>3.3624528301886798</v>
      </c>
      <c r="I63" s="63">
        <v>5.69</v>
      </c>
      <c r="J63" s="58">
        <v>2.3275471698113206</v>
      </c>
      <c r="K63" s="58">
        <v>69.221704730374256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79</v>
      </c>
      <c r="D64" s="1" t="s">
        <v>1</v>
      </c>
      <c r="E64" s="59" t="s">
        <v>16</v>
      </c>
      <c r="F64" s="60">
        <v>1.5981355932203301</v>
      </c>
      <c r="G64" s="60">
        <v>1.0788246501087499</v>
      </c>
      <c r="H64" s="61">
        <v>1.39807017543859</v>
      </c>
      <c r="I64" s="63">
        <v>4.22</v>
      </c>
      <c r="J64" s="58">
        <v>2.8219298245614097</v>
      </c>
      <c r="K64" s="58">
        <v>201.84464801104417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79</v>
      </c>
      <c r="D65" s="1" t="s">
        <v>1</v>
      </c>
      <c r="E65" s="59" t="s">
        <v>17</v>
      </c>
      <c r="F65" s="60">
        <v>7.8286274509803899</v>
      </c>
      <c r="G65" s="60">
        <v>21.767332964573701</v>
      </c>
      <c r="H65" s="61">
        <v>1.50021276595744</v>
      </c>
      <c r="I65" s="63">
        <v>4.3899999999999997</v>
      </c>
      <c r="J65" s="58">
        <v>2.8897872340425597</v>
      </c>
      <c r="K65" s="58">
        <v>192.62515955183792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79</v>
      </c>
      <c r="D66" s="1" t="s">
        <v>1</v>
      </c>
      <c r="E66" s="59" t="s">
        <v>18</v>
      </c>
      <c r="F66" s="60">
        <v>1.06915254237288</v>
      </c>
      <c r="G66" s="60">
        <v>0.39284398997520298</v>
      </c>
      <c r="H66" s="61">
        <v>1.2633333333333301</v>
      </c>
      <c r="I66" s="63">
        <v>1.62</v>
      </c>
      <c r="J66" s="58">
        <v>0.35666666666667002</v>
      </c>
      <c r="K66" s="58">
        <v>28.232189973615114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79</v>
      </c>
      <c r="D67" s="1" t="s">
        <v>1</v>
      </c>
      <c r="E67" s="59" t="s">
        <v>19</v>
      </c>
      <c r="F67" s="60">
        <v>2.89263157894736</v>
      </c>
      <c r="G67" s="60">
        <v>2.1241935735591801</v>
      </c>
      <c r="H67" s="61">
        <v>1.8719999999999899</v>
      </c>
      <c r="I67" s="63">
        <v>2.44</v>
      </c>
      <c r="J67" s="58">
        <v>0.56800000000001005</v>
      </c>
      <c r="K67" s="58">
        <v>30.341880341881044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79</v>
      </c>
      <c r="D68" s="1" t="s">
        <v>1</v>
      </c>
      <c r="E68" s="59" t="s">
        <v>12</v>
      </c>
      <c r="F68" s="60">
        <v>2.52</v>
      </c>
      <c r="G68" s="60">
        <v>2.2301831016009999</v>
      </c>
      <c r="H68" s="61">
        <v>2.2027659574467999</v>
      </c>
      <c r="I68" s="63">
        <v>2.99</v>
      </c>
      <c r="J68" s="58">
        <v>0.78723404255320029</v>
      </c>
      <c r="K68" s="58">
        <v>35.738433304356768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79</v>
      </c>
      <c r="D69" s="1" t="s">
        <v>1</v>
      </c>
      <c r="E69" s="59" t="s">
        <v>13</v>
      </c>
      <c r="F69" s="60">
        <v>1.2765</v>
      </c>
      <c r="G69" s="60">
        <v>0.46784906754208599</v>
      </c>
      <c r="H69" s="61">
        <v>1.17</v>
      </c>
      <c r="I69" s="63">
        <v>4.1900000000000004</v>
      </c>
      <c r="J69" s="58">
        <v>3.0200000000000005</v>
      </c>
      <c r="K69" s="58">
        <v>258.1196581196582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79</v>
      </c>
      <c r="D70" s="1" t="s">
        <v>1</v>
      </c>
      <c r="E70" s="59" t="s">
        <v>14</v>
      </c>
      <c r="F70" s="60">
        <v>3.0252941176470598</v>
      </c>
      <c r="G70" s="60">
        <v>1.7271946572645001</v>
      </c>
      <c r="H70" s="61">
        <v>2.5253191489361702</v>
      </c>
      <c r="I70" s="63">
        <v>5.3</v>
      </c>
      <c r="J70" s="58">
        <v>2.7746808510638297</v>
      </c>
      <c r="K70" s="58">
        <v>109.87446288651108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79</v>
      </c>
      <c r="D71" s="1" t="s">
        <v>1</v>
      </c>
      <c r="E71" s="59" t="s">
        <v>15</v>
      </c>
      <c r="F71" s="60">
        <v>4.6628813559321998</v>
      </c>
      <c r="G71" s="60">
        <v>3.9001264868004202</v>
      </c>
      <c r="H71" s="61">
        <v>3.3624528301886798</v>
      </c>
      <c r="I71" s="63">
        <v>5.73</v>
      </c>
      <c r="J71" s="58">
        <v>2.3675471698113206</v>
      </c>
      <c r="K71" s="58">
        <v>70.411312496492883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79</v>
      </c>
      <c r="D72" s="1" t="s">
        <v>1</v>
      </c>
      <c r="E72" s="59" t="s">
        <v>16</v>
      </c>
      <c r="F72" s="60">
        <v>1.5981355932203301</v>
      </c>
      <c r="G72" s="60">
        <v>1.0788246501087499</v>
      </c>
      <c r="H72" s="61">
        <v>1.39807017543859</v>
      </c>
      <c r="I72" s="63">
        <v>4.24</v>
      </c>
      <c r="J72" s="58">
        <v>2.8419298245614102</v>
      </c>
      <c r="K72" s="58">
        <v>203.27519136654678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79</v>
      </c>
      <c r="D73" s="1" t="s">
        <v>1</v>
      </c>
      <c r="E73" s="59" t="s">
        <v>17</v>
      </c>
      <c r="F73" s="60">
        <v>7.8286274509803899</v>
      </c>
      <c r="G73" s="60">
        <v>21.767332964573701</v>
      </c>
      <c r="H73" s="61">
        <v>1.50021276595744</v>
      </c>
      <c r="I73" s="63">
        <v>4.45</v>
      </c>
      <c r="J73" s="58">
        <v>2.9497872340425602</v>
      </c>
      <c r="K73" s="58">
        <v>196.62459225641888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79</v>
      </c>
      <c r="D74" s="1" t="s">
        <v>1</v>
      </c>
      <c r="E74" s="59" t="s">
        <v>18</v>
      </c>
      <c r="F74" s="60">
        <v>1.06915254237288</v>
      </c>
      <c r="G74" s="60">
        <v>0.39284398997520298</v>
      </c>
      <c r="H74" s="61">
        <v>1.2633333333333301</v>
      </c>
      <c r="I74" s="63">
        <v>1.61</v>
      </c>
      <c r="J74" s="58">
        <v>0.34666666666667001</v>
      </c>
      <c r="K74" s="58">
        <v>27.440633245382923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79</v>
      </c>
      <c r="D75" s="1" t="s">
        <v>1</v>
      </c>
      <c r="E75" s="59" t="s">
        <v>19</v>
      </c>
      <c r="F75" s="60">
        <v>2.89263157894736</v>
      </c>
      <c r="G75" s="60">
        <v>2.1241935735591801</v>
      </c>
      <c r="H75" s="61">
        <v>1.8719999999999899</v>
      </c>
      <c r="I75" s="63">
        <v>2.42</v>
      </c>
      <c r="J75" s="58">
        <v>0.54800000000001003</v>
      </c>
      <c r="K75" s="58">
        <v>29.273504273504969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79</v>
      </c>
      <c r="D77" s="1" t="s">
        <v>1</v>
      </c>
      <c r="E77" s="59" t="s">
        <v>12</v>
      </c>
      <c r="F77" s="60">
        <v>4.9374576271186399</v>
      </c>
      <c r="G77" s="60">
        <v>1.1092165401535901</v>
      </c>
      <c r="H77" s="61">
        <v>5.3980434782608597</v>
      </c>
      <c r="I77" s="62">
        <v>5.47</v>
      </c>
      <c r="J77" s="37">
        <v>7.1956521739140022E-2</v>
      </c>
      <c r="K77" s="37">
        <v>1.3330111554107555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79</v>
      </c>
      <c r="D78" s="1" t="s">
        <v>1</v>
      </c>
      <c r="E78" s="59" t="s">
        <v>13</v>
      </c>
      <c r="F78" s="60">
        <v>1.0272413793103401</v>
      </c>
      <c r="G78" s="60">
        <v>0.47944217983505999</v>
      </c>
      <c r="H78" s="61">
        <v>0.92563636363636403</v>
      </c>
      <c r="I78" s="62">
        <v>5.98</v>
      </c>
      <c r="J78" s="37">
        <v>5.0543636363636359</v>
      </c>
      <c r="K78" s="37">
        <v>546.04203496366108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79</v>
      </c>
      <c r="D79" s="1" t="s">
        <v>1</v>
      </c>
      <c r="E79" s="59" t="s">
        <v>14</v>
      </c>
      <c r="F79" s="60">
        <v>1.0898305084745701</v>
      </c>
      <c r="G79" s="60">
        <v>0.48386330723271598</v>
      </c>
      <c r="H79" s="61">
        <v>1.35181818181818</v>
      </c>
      <c r="I79" s="62">
        <v>2.41</v>
      </c>
      <c r="J79" s="37">
        <v>1.0581818181818201</v>
      </c>
      <c r="K79" s="37">
        <v>78.278412911903402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79</v>
      </c>
      <c r="D80" s="1" t="s">
        <v>1</v>
      </c>
      <c r="E80" s="59" t="s">
        <v>15</v>
      </c>
      <c r="F80" s="60">
        <v>6.9752542372881399</v>
      </c>
      <c r="G80" s="60">
        <v>1.1680323247387401</v>
      </c>
      <c r="H80" s="61">
        <v>7.1677192982456104</v>
      </c>
      <c r="I80" s="62">
        <v>3.91</v>
      </c>
      <c r="J80" s="37">
        <v>-3.2577192982456102</v>
      </c>
      <c r="K80" s="37">
        <v>-45.449872723712517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79</v>
      </c>
      <c r="D81" s="1" t="s">
        <v>1</v>
      </c>
      <c r="E81" s="59" t="s">
        <v>16</v>
      </c>
      <c r="F81" s="60">
        <v>0.67661016949152497</v>
      </c>
      <c r="G81" s="60">
        <v>8.3597302881874197E-2</v>
      </c>
      <c r="H81" s="61">
        <v>0.71804347826086901</v>
      </c>
      <c r="I81" s="62">
        <v>4.76</v>
      </c>
      <c r="J81" s="37">
        <v>4.0419565217391309</v>
      </c>
      <c r="K81" s="37">
        <v>562.91250378443897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79</v>
      </c>
      <c r="D82" s="1" t="s">
        <v>1</v>
      </c>
      <c r="E82" s="59" t="s">
        <v>17</v>
      </c>
      <c r="F82" s="60">
        <v>0.14338983050847401</v>
      </c>
      <c r="G82" s="60">
        <v>1.5580318907500199E-2</v>
      </c>
      <c r="H82" s="61">
        <v>0.14568627450980401</v>
      </c>
      <c r="I82" s="62">
        <v>1.37</v>
      </c>
      <c r="J82" s="37">
        <v>1.2243137254901961</v>
      </c>
      <c r="K82" s="37">
        <v>840.37685060565218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79</v>
      </c>
      <c r="D83" s="1" t="s">
        <v>1</v>
      </c>
      <c r="E83" s="59" t="s">
        <v>18</v>
      </c>
      <c r="F83" s="60">
        <v>3.8229090909090799</v>
      </c>
      <c r="G83" s="60">
        <v>1.7142638735326501</v>
      </c>
      <c r="H83" s="61">
        <v>4.6932499999999902</v>
      </c>
      <c r="I83" s="62">
        <v>3.98</v>
      </c>
      <c r="J83" s="37">
        <v>-0.71324999999999017</v>
      </c>
      <c r="K83" s="37">
        <v>-15.197357907633124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79</v>
      </c>
      <c r="D84" s="1" t="s">
        <v>1</v>
      </c>
      <c r="E84" s="59" t="s">
        <v>19</v>
      </c>
      <c r="F84" s="60">
        <v>1.2715254237288101</v>
      </c>
      <c r="G84" s="60">
        <v>1.2311752874130799</v>
      </c>
      <c r="H84" s="61">
        <v>0.787450980392157</v>
      </c>
      <c r="I84" s="62">
        <v>2.46</v>
      </c>
      <c r="J84" s="37">
        <v>1.672549019607843</v>
      </c>
      <c r="K84" s="37">
        <v>212.40039840637445</v>
      </c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79</v>
      </c>
      <c r="D85" s="1" t="s">
        <v>1</v>
      </c>
      <c r="E85" s="59" t="s">
        <v>12</v>
      </c>
      <c r="F85" s="60">
        <v>4.9374576271186399</v>
      </c>
      <c r="G85" s="60">
        <v>1.1092165401535901</v>
      </c>
      <c r="H85" s="61">
        <v>5.3980434782608597</v>
      </c>
      <c r="I85" s="62">
        <v>5.41</v>
      </c>
      <c r="J85" s="37">
        <v>1.1956521739140413E-2</v>
      </c>
      <c r="K85" s="37">
        <v>0.22149732189620233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79</v>
      </c>
      <c r="D86" s="1" t="s">
        <v>1</v>
      </c>
      <c r="E86" s="59" t="s">
        <v>13</v>
      </c>
      <c r="F86" s="60">
        <v>1.0272413793103401</v>
      </c>
      <c r="G86" s="60">
        <v>0.47944217983505999</v>
      </c>
      <c r="H86" s="61">
        <v>0.92563636363636403</v>
      </c>
      <c r="I86" s="62">
        <v>5.96</v>
      </c>
      <c r="J86" s="37">
        <v>5.0343636363636364</v>
      </c>
      <c r="K86" s="37">
        <v>543.8813592614415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79</v>
      </c>
      <c r="D87" s="1" t="s">
        <v>1</v>
      </c>
      <c r="E87" s="59" t="s">
        <v>14</v>
      </c>
      <c r="F87" s="60">
        <v>1.0898305084745701</v>
      </c>
      <c r="G87" s="60">
        <v>0.48386330723271598</v>
      </c>
      <c r="H87" s="61">
        <v>1.35181818181818</v>
      </c>
      <c r="I87" s="62">
        <v>2.4300000000000002</v>
      </c>
      <c r="J87" s="37">
        <v>1.0781818181818201</v>
      </c>
      <c r="K87" s="37">
        <v>79.757901815736631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79</v>
      </c>
      <c r="D88" s="1" t="s">
        <v>1</v>
      </c>
      <c r="E88" s="59" t="s">
        <v>15</v>
      </c>
      <c r="F88" s="60">
        <v>6.9752542372881399</v>
      </c>
      <c r="G88" s="60">
        <v>1.1680323247387401</v>
      </c>
      <c r="H88" s="61">
        <v>7.1677192982456104</v>
      </c>
      <c r="I88" s="62">
        <v>3.89</v>
      </c>
      <c r="J88" s="37">
        <v>-3.2777192982456103</v>
      </c>
      <c r="K88" s="37">
        <v>-45.728901507734456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79</v>
      </c>
      <c r="D89" s="1" t="s">
        <v>1</v>
      </c>
      <c r="E89" s="59" t="s">
        <v>16</v>
      </c>
      <c r="F89" s="60">
        <v>0.67661016949152497</v>
      </c>
      <c r="G89" s="60">
        <v>8.3597302881874197E-2</v>
      </c>
      <c r="H89" s="61">
        <v>0.71804347826086901</v>
      </c>
      <c r="I89" s="62">
        <v>4.78</v>
      </c>
      <c r="J89" s="37">
        <v>4.0619565217391314</v>
      </c>
      <c r="K89" s="37">
        <v>565.69785043899537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79</v>
      </c>
      <c r="D90" s="1" t="s">
        <v>1</v>
      </c>
      <c r="E90" s="59" t="s">
        <v>17</v>
      </c>
      <c r="F90" s="60">
        <v>0.14338983050847401</v>
      </c>
      <c r="G90" s="60">
        <v>1.5580318907500199E-2</v>
      </c>
      <c r="H90" s="61">
        <v>0.14568627450980401</v>
      </c>
      <c r="I90" s="62">
        <v>1.38</v>
      </c>
      <c r="J90" s="37">
        <v>1.2343137254901959</v>
      </c>
      <c r="K90" s="37">
        <v>847.24091520861316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79</v>
      </c>
      <c r="D91" s="1" t="s">
        <v>1</v>
      </c>
      <c r="E91" s="59" t="s">
        <v>18</v>
      </c>
      <c r="F91" s="60">
        <v>3.8229090909090799</v>
      </c>
      <c r="G91" s="60">
        <v>1.7142638735326501</v>
      </c>
      <c r="H91" s="61">
        <v>4.6932499999999902</v>
      </c>
      <c r="I91" s="62">
        <v>4.01</v>
      </c>
      <c r="J91" s="37">
        <v>-0.68324999999999037</v>
      </c>
      <c r="K91" s="37">
        <v>-14.558142012464534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79</v>
      </c>
      <c r="D92" s="1" t="s">
        <v>1</v>
      </c>
      <c r="E92" s="59" t="s">
        <v>19</v>
      </c>
      <c r="F92" s="60">
        <v>1.2715254237288101</v>
      </c>
      <c r="G92" s="60">
        <v>1.2311752874130799</v>
      </c>
      <c r="H92" s="61">
        <v>0.787450980392157</v>
      </c>
      <c r="I92" s="62">
        <v>2.48</v>
      </c>
      <c r="J92" s="37">
        <v>1.692549019607843</v>
      </c>
      <c r="K92" s="37">
        <v>214.94023904382465</v>
      </c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79</v>
      </c>
      <c r="D93" s="1" t="s">
        <v>1</v>
      </c>
      <c r="E93" s="59" t="s">
        <v>12</v>
      </c>
      <c r="F93" s="60">
        <v>4.9374576271186399</v>
      </c>
      <c r="G93" s="60">
        <v>1.1092165401535901</v>
      </c>
      <c r="H93" s="61">
        <v>5.3980434782608597</v>
      </c>
      <c r="I93" s="62">
        <v>5.45</v>
      </c>
      <c r="J93" s="37">
        <v>5.1956521739140449E-2</v>
      </c>
      <c r="K93" s="37">
        <v>0.9625065442392432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79</v>
      </c>
      <c r="D94" s="1" t="s">
        <v>1</v>
      </c>
      <c r="E94" s="59" t="s">
        <v>13</v>
      </c>
      <c r="F94" s="60">
        <v>1.0272413793103401</v>
      </c>
      <c r="G94" s="60">
        <v>0.47944217983505999</v>
      </c>
      <c r="H94" s="61">
        <v>0.92563636363636403</v>
      </c>
      <c r="I94" s="62">
        <v>6.03</v>
      </c>
      <c r="J94" s="37">
        <v>5.1043636363636367</v>
      </c>
      <c r="K94" s="37">
        <v>551.44372421921025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79</v>
      </c>
      <c r="D95" s="1" t="s">
        <v>1</v>
      </c>
      <c r="E95" s="59" t="s">
        <v>14</v>
      </c>
      <c r="F95" s="60">
        <v>1.0898305084745701</v>
      </c>
      <c r="G95" s="60">
        <v>0.48386330723271598</v>
      </c>
      <c r="H95" s="61">
        <v>1.35181818181818</v>
      </c>
      <c r="I95" s="62">
        <v>2.4500000000000002</v>
      </c>
      <c r="J95" s="37">
        <v>1.0981818181818201</v>
      </c>
      <c r="K95" s="37">
        <v>81.237390719569859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79</v>
      </c>
      <c r="D96" s="1" t="s">
        <v>1</v>
      </c>
      <c r="E96" s="59" t="s">
        <v>15</v>
      </c>
      <c r="F96" s="60">
        <v>6.9752542372881399</v>
      </c>
      <c r="G96" s="60">
        <v>1.1680323247387401</v>
      </c>
      <c r="H96" s="61">
        <v>7.1677192982456104</v>
      </c>
      <c r="I96" s="62">
        <v>3.92</v>
      </c>
      <c r="J96" s="37">
        <v>-3.2477192982456105</v>
      </c>
      <c r="K96" s="37">
        <v>-45.310358331701565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79</v>
      </c>
      <c r="D97" s="1" t="s">
        <v>1</v>
      </c>
      <c r="E97" s="59" t="s">
        <v>16</v>
      </c>
      <c r="F97" s="60">
        <v>0.67661016949152497</v>
      </c>
      <c r="G97" s="60">
        <v>8.3597302881874197E-2</v>
      </c>
      <c r="H97" s="61">
        <v>0.71804347826086901</v>
      </c>
      <c r="I97" s="62">
        <v>4.83</v>
      </c>
      <c r="J97" s="37">
        <v>4.1119565217391312</v>
      </c>
      <c r="K97" s="37">
        <v>572.6612170753865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79</v>
      </c>
      <c r="D98" s="1" t="s">
        <v>1</v>
      </c>
      <c r="E98" s="59" t="s">
        <v>17</v>
      </c>
      <c r="F98" s="60">
        <v>0.14338983050847401</v>
      </c>
      <c r="G98" s="60">
        <v>1.5580318907500199E-2</v>
      </c>
      <c r="H98" s="61">
        <v>0.14568627450980401</v>
      </c>
      <c r="I98" s="62">
        <v>1.4</v>
      </c>
      <c r="J98" s="37">
        <v>1.2543137254901959</v>
      </c>
      <c r="K98" s="37">
        <v>860.96904441453501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79</v>
      </c>
      <c r="D99" s="1" t="s">
        <v>1</v>
      </c>
      <c r="E99" s="59" t="s">
        <v>18</v>
      </c>
      <c r="F99" s="60">
        <v>3.8229090909090799</v>
      </c>
      <c r="G99" s="60">
        <v>1.7142638735326501</v>
      </c>
      <c r="H99" s="61">
        <v>4.6932499999999902</v>
      </c>
      <c r="I99" s="62">
        <v>3.97</v>
      </c>
      <c r="J99" s="37">
        <v>-0.72324999999998996</v>
      </c>
      <c r="K99" s="37">
        <v>-15.410429872689319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79</v>
      </c>
      <c r="D100" s="1" t="s">
        <v>1</v>
      </c>
      <c r="E100" s="59" t="s">
        <v>19</v>
      </c>
      <c r="F100" s="60">
        <v>1.2715254237288101</v>
      </c>
      <c r="G100" s="60">
        <v>1.2311752874130799</v>
      </c>
      <c r="H100" s="61">
        <v>0.787450980392157</v>
      </c>
      <c r="I100" s="62">
        <v>2.4900000000000002</v>
      </c>
      <c r="J100" s="37">
        <v>1.7025490196078432</v>
      </c>
      <c r="K100" s="37">
        <v>216.2101593625498</v>
      </c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79</v>
      </c>
      <c r="D102" s="1" t="s">
        <v>1</v>
      </c>
      <c r="E102" s="59" t="s">
        <v>12</v>
      </c>
      <c r="F102" s="60">
        <v>5.2451666666666696</v>
      </c>
      <c r="G102" s="60">
        <v>1.15003839307892</v>
      </c>
      <c r="H102" s="61">
        <v>5.6876086956521696</v>
      </c>
      <c r="I102" s="62">
        <v>5.47</v>
      </c>
      <c r="J102" s="37">
        <v>-0.21760869565216989</v>
      </c>
      <c r="K102" s="37">
        <v>-3.826013836333686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79</v>
      </c>
      <c r="D103" s="1" t="s">
        <v>1</v>
      </c>
      <c r="E103" s="59" t="s">
        <v>13</v>
      </c>
      <c r="F103" s="60">
        <v>1.03745762711864</v>
      </c>
      <c r="G103" s="60">
        <v>0.50713750757991505</v>
      </c>
      <c r="H103" s="61">
        <v>0.90818181818181798</v>
      </c>
      <c r="I103" s="62">
        <v>5.98</v>
      </c>
      <c r="J103" s="37">
        <v>5.0718181818181822</v>
      </c>
      <c r="K103" s="37">
        <v>558.45845845845861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79</v>
      </c>
      <c r="D104" s="1" t="s">
        <v>1</v>
      </c>
      <c r="E104" s="59" t="s">
        <v>14</v>
      </c>
      <c r="F104" s="60">
        <v>1.1311864406779599</v>
      </c>
      <c r="G104" s="60">
        <v>0.48103731398225602</v>
      </c>
      <c r="H104" s="61">
        <v>1.38304347826086</v>
      </c>
      <c r="I104" s="62">
        <v>2.41</v>
      </c>
      <c r="J104" s="37">
        <v>1.0269565217391401</v>
      </c>
      <c r="K104" s="37">
        <v>74.253379440428745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79</v>
      </c>
      <c r="D105" s="1" t="s">
        <v>1</v>
      </c>
      <c r="E105" s="59" t="s">
        <v>15</v>
      </c>
      <c r="F105" s="60">
        <v>6.3241666666666703</v>
      </c>
      <c r="G105" s="60">
        <v>2.0918949078659601</v>
      </c>
      <c r="H105" s="61">
        <v>7.1749019607843101</v>
      </c>
      <c r="I105" s="62">
        <v>3.91</v>
      </c>
      <c r="J105" s="37">
        <v>-3.2649019607843099</v>
      </c>
      <c r="K105" s="37">
        <v>-45.504481853957117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79</v>
      </c>
      <c r="D106" s="1" t="s">
        <v>1</v>
      </c>
      <c r="E106" s="59" t="s">
        <v>16</v>
      </c>
      <c r="F106" s="60">
        <v>0.67716666666666603</v>
      </c>
      <c r="G106" s="60">
        <v>0.12992423005565801</v>
      </c>
      <c r="H106" s="61">
        <v>0.72175</v>
      </c>
      <c r="I106" s="62">
        <v>4.76</v>
      </c>
      <c r="J106" s="37">
        <v>4.0382499999999997</v>
      </c>
      <c r="K106" s="37">
        <v>559.50813993765144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79</v>
      </c>
      <c r="D107" s="1" t="s">
        <v>1</v>
      </c>
      <c r="E107" s="59" t="s">
        <v>17</v>
      </c>
      <c r="F107" s="60">
        <v>0.14599999999999999</v>
      </c>
      <c r="G107" s="60">
        <v>1.69509095134548E-2</v>
      </c>
      <c r="H107" s="61">
        <v>0.1472</v>
      </c>
      <c r="I107" s="62">
        <v>1.37</v>
      </c>
      <c r="J107" s="37">
        <v>1.2228000000000001</v>
      </c>
      <c r="K107" s="37">
        <v>830.70652173913049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79</v>
      </c>
      <c r="D108" s="1" t="s">
        <v>1</v>
      </c>
      <c r="E108" s="59" t="s">
        <v>18</v>
      </c>
      <c r="F108" s="60">
        <v>4.1369811320754604</v>
      </c>
      <c r="G108" s="60">
        <v>1.46055247353386</v>
      </c>
      <c r="H108" s="61">
        <v>4.7213333333333196</v>
      </c>
      <c r="I108" s="62">
        <v>3.98</v>
      </c>
      <c r="J108" s="37">
        <v>-0.74133333333331963</v>
      </c>
      <c r="K108" s="37">
        <v>-15.701779158429577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79</v>
      </c>
      <c r="D109" s="1" t="s">
        <v>1</v>
      </c>
      <c r="E109" s="59" t="s">
        <v>19</v>
      </c>
      <c r="F109" s="60">
        <v>0.87830508474576297</v>
      </c>
      <c r="G109" s="60">
        <v>0.63069816720023697</v>
      </c>
      <c r="H109" s="61">
        <v>0.76245614035087705</v>
      </c>
      <c r="I109" s="62">
        <v>2.46</v>
      </c>
      <c r="J109" s="37">
        <v>1.697543859649123</v>
      </c>
      <c r="K109" s="37">
        <v>222.64150943396234</v>
      </c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79</v>
      </c>
      <c r="D110" s="1" t="s">
        <v>1</v>
      </c>
      <c r="E110" s="59" t="s">
        <v>12</v>
      </c>
      <c r="F110" s="60">
        <v>5.2451666666666696</v>
      </c>
      <c r="G110" s="60">
        <v>1.15003839307892</v>
      </c>
      <c r="H110" s="61">
        <v>5.6876086956521696</v>
      </c>
      <c r="I110" s="62">
        <v>5.41</v>
      </c>
      <c r="J110" s="37">
        <v>-0.2776086956521695</v>
      </c>
      <c r="K110" s="37">
        <v>-4.8809387302678617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79</v>
      </c>
      <c r="D111" s="1" t="s">
        <v>1</v>
      </c>
      <c r="E111" s="59" t="s">
        <v>13</v>
      </c>
      <c r="F111" s="60">
        <v>1.03745762711864</v>
      </c>
      <c r="G111" s="60">
        <v>0.50713750757991505</v>
      </c>
      <c r="H111" s="61">
        <v>0.90818181818181798</v>
      </c>
      <c r="I111" s="62">
        <v>5.96</v>
      </c>
      <c r="J111" s="37">
        <v>5.0518181818181818</v>
      </c>
      <c r="K111" s="37">
        <v>556.25625625625639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79</v>
      </c>
      <c r="D112" s="1" t="s">
        <v>1</v>
      </c>
      <c r="E112" s="59" t="s">
        <v>14</v>
      </c>
      <c r="F112" s="60">
        <v>1.1311864406779599</v>
      </c>
      <c r="G112" s="60">
        <v>0.48103731398225602</v>
      </c>
      <c r="H112" s="61">
        <v>1.38304347826086</v>
      </c>
      <c r="I112" s="62">
        <v>2.4300000000000002</v>
      </c>
      <c r="J112" s="37">
        <v>1.0469565217391401</v>
      </c>
      <c r="K112" s="37">
        <v>75.699465576863844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79</v>
      </c>
      <c r="D113" s="1" t="s">
        <v>1</v>
      </c>
      <c r="E113" s="59" t="s">
        <v>15</v>
      </c>
      <c r="F113" s="60">
        <v>6.3241666666666703</v>
      </c>
      <c r="G113" s="60">
        <v>2.0918949078659601</v>
      </c>
      <c r="H113" s="61">
        <v>7.1749019607843101</v>
      </c>
      <c r="I113" s="62">
        <v>3.89</v>
      </c>
      <c r="J113" s="37">
        <v>-3.28490196078431</v>
      </c>
      <c r="K113" s="37">
        <v>-45.783231307389563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79</v>
      </c>
      <c r="D114" s="1" t="s">
        <v>1</v>
      </c>
      <c r="E114" s="59" t="s">
        <v>16</v>
      </c>
      <c r="F114" s="60">
        <v>0.67716666666666603</v>
      </c>
      <c r="G114" s="60">
        <v>0.12992423005565801</v>
      </c>
      <c r="H114" s="61">
        <v>0.72175</v>
      </c>
      <c r="I114" s="62">
        <v>4.78</v>
      </c>
      <c r="J114" s="37">
        <v>4.0582500000000001</v>
      </c>
      <c r="K114" s="37">
        <v>562.27918254243161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79</v>
      </c>
      <c r="D115" s="1" t="s">
        <v>1</v>
      </c>
      <c r="E115" s="59" t="s">
        <v>17</v>
      </c>
      <c r="F115" s="60">
        <v>0.14599999999999999</v>
      </c>
      <c r="G115" s="60">
        <v>1.69509095134548E-2</v>
      </c>
      <c r="H115" s="61">
        <v>0.1472</v>
      </c>
      <c r="I115" s="62">
        <v>1.38</v>
      </c>
      <c r="J115" s="37">
        <v>1.2327999999999999</v>
      </c>
      <c r="K115" s="37">
        <v>837.5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79</v>
      </c>
      <c r="D116" s="1" t="s">
        <v>1</v>
      </c>
      <c r="E116" s="59" t="s">
        <v>18</v>
      </c>
      <c r="F116" s="60">
        <v>4.1369811320754604</v>
      </c>
      <c r="G116" s="60">
        <v>1.46055247353386</v>
      </c>
      <c r="H116" s="61">
        <v>4.7213333333333196</v>
      </c>
      <c r="I116" s="62">
        <v>4.01</v>
      </c>
      <c r="J116" s="37">
        <v>-0.71133333333331983</v>
      </c>
      <c r="K116" s="37">
        <v>-15.06636543349312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79</v>
      </c>
      <c r="D117" s="1" t="s">
        <v>1</v>
      </c>
      <c r="E117" s="59" t="s">
        <v>19</v>
      </c>
      <c r="F117" s="60">
        <v>0.87830508474576297</v>
      </c>
      <c r="G117" s="60">
        <v>0.63069816720023697</v>
      </c>
      <c r="H117" s="61">
        <v>0.76245614035087705</v>
      </c>
      <c r="I117" s="62">
        <v>2.48</v>
      </c>
      <c r="J117" s="37">
        <v>1.717543859649123</v>
      </c>
      <c r="K117" s="37">
        <v>225.26461113667747</v>
      </c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79</v>
      </c>
      <c r="D118" s="1" t="s">
        <v>1</v>
      </c>
      <c r="E118" s="59" t="s">
        <v>12</v>
      </c>
      <c r="F118" s="60">
        <v>5.2451666666666696</v>
      </c>
      <c r="G118" s="60">
        <v>1.15003839307892</v>
      </c>
      <c r="H118" s="61">
        <v>5.6876086956521696</v>
      </c>
      <c r="I118" s="62">
        <v>5.45</v>
      </c>
      <c r="J118" s="37">
        <v>-0.23760869565216947</v>
      </c>
      <c r="K118" s="37">
        <v>-4.1776554676450726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79</v>
      </c>
      <c r="D119" s="1" t="s">
        <v>1</v>
      </c>
      <c r="E119" s="59" t="s">
        <v>13</v>
      </c>
      <c r="F119" s="60">
        <v>1.03745762711864</v>
      </c>
      <c r="G119" s="60">
        <v>0.50713750757991505</v>
      </c>
      <c r="H119" s="61">
        <v>0.90818181818181798</v>
      </c>
      <c r="I119" s="62">
        <v>6.03</v>
      </c>
      <c r="J119" s="37">
        <v>5.121818181818182</v>
      </c>
      <c r="K119" s="37">
        <v>563.96396396396415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79</v>
      </c>
      <c r="D120" s="1" t="s">
        <v>1</v>
      </c>
      <c r="E120" s="59" t="s">
        <v>14</v>
      </c>
      <c r="F120" s="60">
        <v>1.1311864406779599</v>
      </c>
      <c r="G120" s="60">
        <v>0.48103731398225602</v>
      </c>
      <c r="H120" s="61">
        <v>1.38304347826086</v>
      </c>
      <c r="I120" s="62">
        <v>2.4500000000000002</v>
      </c>
      <c r="J120" s="37">
        <v>1.0669565217391401</v>
      </c>
      <c r="K120" s="37">
        <v>77.145551713298929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79</v>
      </c>
      <c r="D121" s="1" t="s">
        <v>1</v>
      </c>
      <c r="E121" s="59" t="s">
        <v>15</v>
      </c>
      <c r="F121" s="60">
        <v>6.3241666666666703</v>
      </c>
      <c r="G121" s="60">
        <v>2.0918949078659601</v>
      </c>
      <c r="H121" s="61">
        <v>7.1749019607843101</v>
      </c>
      <c r="I121" s="62">
        <v>3.92</v>
      </c>
      <c r="J121" s="37">
        <v>-3.2549019607843102</v>
      </c>
      <c r="K121" s="37">
        <v>-45.365107127240897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79</v>
      </c>
      <c r="D122" s="1" t="s">
        <v>1</v>
      </c>
      <c r="E122" s="59" t="s">
        <v>16</v>
      </c>
      <c r="F122" s="60">
        <v>0.67716666666666603</v>
      </c>
      <c r="G122" s="60">
        <v>0.12992423005565801</v>
      </c>
      <c r="H122" s="61">
        <v>0.72175</v>
      </c>
      <c r="I122" s="62">
        <v>4.83</v>
      </c>
      <c r="J122" s="37">
        <v>4.10825</v>
      </c>
      <c r="K122" s="37">
        <v>569.20678905438172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79</v>
      </c>
      <c r="D123" s="1" t="s">
        <v>1</v>
      </c>
      <c r="E123" s="59" t="s">
        <v>17</v>
      </c>
      <c r="F123" s="60">
        <v>0.14599999999999999</v>
      </c>
      <c r="G123" s="60">
        <v>1.69509095134548E-2</v>
      </c>
      <c r="H123" s="61">
        <v>0.1472</v>
      </c>
      <c r="I123" s="62">
        <v>1.4</v>
      </c>
      <c r="J123" s="37">
        <v>1.2527999999999999</v>
      </c>
      <c r="K123" s="37">
        <v>851.08695652173901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79</v>
      </c>
      <c r="D124" s="1" t="s">
        <v>1</v>
      </c>
      <c r="E124" s="59" t="s">
        <v>18</v>
      </c>
      <c r="F124" s="60">
        <v>4.1369811320754604</v>
      </c>
      <c r="G124" s="60">
        <v>1.46055247353386</v>
      </c>
      <c r="H124" s="61">
        <v>4.7213333333333196</v>
      </c>
      <c r="I124" s="62">
        <v>3.97</v>
      </c>
      <c r="J124" s="37">
        <v>-0.75133333333331942</v>
      </c>
      <c r="K124" s="37">
        <v>-15.913583733408393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79</v>
      </c>
      <c r="D125" s="1" t="s">
        <v>1</v>
      </c>
      <c r="E125" s="59" t="s">
        <v>19</v>
      </c>
      <c r="F125" s="60">
        <v>0.87830508474576297</v>
      </c>
      <c r="G125" s="60">
        <v>0.63069816720023697</v>
      </c>
      <c r="H125" s="61">
        <v>0.76245614035087705</v>
      </c>
      <c r="I125" s="62">
        <v>2.4900000000000002</v>
      </c>
      <c r="J125" s="37">
        <v>1.7275438596491233</v>
      </c>
      <c r="K125" s="37">
        <v>226.5761619880351</v>
      </c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79</v>
      </c>
      <c r="D127" s="1" t="s">
        <v>1</v>
      </c>
      <c r="E127" s="59" t="s">
        <v>12</v>
      </c>
      <c r="F127" s="60">
        <v>4.9679661016949099</v>
      </c>
      <c r="G127" s="60">
        <v>1.1425362504518899</v>
      </c>
      <c r="H127" s="61">
        <v>5.3972093023255798</v>
      </c>
      <c r="I127" s="63">
        <v>5.47</v>
      </c>
      <c r="J127" s="58">
        <v>7.2790697674419924E-2</v>
      </c>
      <c r="K127" s="58">
        <v>1.3486728714236718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79</v>
      </c>
      <c r="D128" s="1" t="s">
        <v>1</v>
      </c>
      <c r="E128" s="59" t="s">
        <v>13</v>
      </c>
      <c r="F128" s="60">
        <v>1.1187931034482701</v>
      </c>
      <c r="G128" s="60">
        <v>0.62545453151042096</v>
      </c>
      <c r="H128" s="61">
        <v>0.93754716981132102</v>
      </c>
      <c r="I128" s="63">
        <v>5.98</v>
      </c>
      <c r="J128" s="58">
        <v>5.0424528301886795</v>
      </c>
      <c r="K128" s="58">
        <v>537.83457436103834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79</v>
      </c>
      <c r="D129" s="1" t="s">
        <v>1</v>
      </c>
      <c r="E129" s="59" t="s">
        <v>14</v>
      </c>
      <c r="F129" s="60">
        <v>1.1303389830508399</v>
      </c>
      <c r="G129" s="60">
        <v>0.50196551337309503</v>
      </c>
      <c r="H129" s="61">
        <v>1.4046666666666601</v>
      </c>
      <c r="I129" s="63">
        <v>2.41</v>
      </c>
      <c r="J129" s="58">
        <v>1.0053333333333401</v>
      </c>
      <c r="K129" s="58">
        <v>71.570953962981349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79</v>
      </c>
      <c r="D130" s="1" t="s">
        <v>1</v>
      </c>
      <c r="E130" s="59" t="s">
        <v>15</v>
      </c>
      <c r="F130" s="60">
        <v>6.73864406779661</v>
      </c>
      <c r="G130" s="60">
        <v>1.53766878100972</v>
      </c>
      <c r="H130" s="61">
        <v>7.1239999999999997</v>
      </c>
      <c r="I130" s="63">
        <v>3.91</v>
      </c>
      <c r="J130" s="58">
        <v>-3.2139999999999995</v>
      </c>
      <c r="K130" s="58">
        <v>-45.115103874227955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79</v>
      </c>
      <c r="D131" s="1" t="s">
        <v>1</v>
      </c>
      <c r="E131" s="59" t="s">
        <v>16</v>
      </c>
      <c r="F131" s="60">
        <v>0.69423728813559304</v>
      </c>
      <c r="G131" s="60">
        <v>7.9600770582900396E-2</v>
      </c>
      <c r="H131" s="61">
        <v>0.71854166666666597</v>
      </c>
      <c r="I131" s="63">
        <v>4.76</v>
      </c>
      <c r="J131" s="58">
        <v>4.0414583333333338</v>
      </c>
      <c r="K131" s="58">
        <v>562.45288489417283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79</v>
      </c>
      <c r="D132" s="1" t="s">
        <v>1</v>
      </c>
      <c r="E132" s="59" t="s">
        <v>17</v>
      </c>
      <c r="F132" s="60">
        <v>0.14338983050847401</v>
      </c>
      <c r="G132" s="60">
        <v>1.46842668591799E-2</v>
      </c>
      <c r="H132" s="61">
        <v>0.14433962264150901</v>
      </c>
      <c r="I132" s="63">
        <v>1.37</v>
      </c>
      <c r="J132" s="58">
        <v>1.2256603773584911</v>
      </c>
      <c r="K132" s="58">
        <v>849.15032679738852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79</v>
      </c>
      <c r="D133" s="1" t="s">
        <v>1</v>
      </c>
      <c r="E133" s="59" t="s">
        <v>18</v>
      </c>
      <c r="F133" s="60">
        <v>4.0194642857142799</v>
      </c>
      <c r="G133" s="60">
        <v>1.54630367979677</v>
      </c>
      <c r="H133" s="61">
        <v>4.6855555555555499</v>
      </c>
      <c r="I133" s="63">
        <v>3.98</v>
      </c>
      <c r="J133" s="58">
        <v>-0.70555555555554994</v>
      </c>
      <c r="K133" s="58">
        <v>-15.058098174057285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79</v>
      </c>
      <c r="D134" s="1" t="s">
        <v>1</v>
      </c>
      <c r="E134" s="59" t="s">
        <v>19</v>
      </c>
      <c r="F134" s="60">
        <v>1.0684482758620599</v>
      </c>
      <c r="G134" s="60">
        <v>0.96131519414655398</v>
      </c>
      <c r="H134" s="61">
        <v>0.77490566037735797</v>
      </c>
      <c r="I134" s="63">
        <v>2.46</v>
      </c>
      <c r="J134" s="58">
        <v>1.6850943396226419</v>
      </c>
      <c r="K134" s="58">
        <v>217.45799853907982</v>
      </c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79</v>
      </c>
      <c r="D135" s="1" t="s">
        <v>1</v>
      </c>
      <c r="E135" s="59" t="s">
        <v>12</v>
      </c>
      <c r="F135" s="60">
        <v>4.9679661016949099</v>
      </c>
      <c r="G135" s="60">
        <v>1.1425362504518899</v>
      </c>
      <c r="H135" s="61">
        <v>5.3972093023255798</v>
      </c>
      <c r="I135" s="63">
        <v>5.41</v>
      </c>
      <c r="J135" s="58">
        <v>1.2790697674420315E-2</v>
      </c>
      <c r="K135" s="58">
        <v>0.23698724577734992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79</v>
      </c>
      <c r="D136" s="1" t="s">
        <v>1</v>
      </c>
      <c r="E136" s="59" t="s">
        <v>13</v>
      </c>
      <c r="F136" s="60">
        <v>1.1187931034482701</v>
      </c>
      <c r="G136" s="60">
        <v>0.62545453151042096</v>
      </c>
      <c r="H136" s="61">
        <v>0.93754716981132102</v>
      </c>
      <c r="I136" s="63">
        <v>5.96</v>
      </c>
      <c r="J136" s="58">
        <v>5.0224528301886791</v>
      </c>
      <c r="K136" s="58">
        <v>535.70134835983072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79</v>
      </c>
      <c r="D137" s="1" t="s">
        <v>1</v>
      </c>
      <c r="E137" s="59" t="s">
        <v>14</v>
      </c>
      <c r="F137" s="60">
        <v>1.1303389830508399</v>
      </c>
      <c r="G137" s="60">
        <v>0.50196551337309503</v>
      </c>
      <c r="H137" s="61">
        <v>1.4046666666666601</v>
      </c>
      <c r="I137" s="63">
        <v>2.4300000000000002</v>
      </c>
      <c r="J137" s="58">
        <v>1.0253333333333401</v>
      </c>
      <c r="K137" s="58">
        <v>72.994779307072491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79</v>
      </c>
      <c r="D138" s="1" t="s">
        <v>1</v>
      </c>
      <c r="E138" s="59" t="s">
        <v>15</v>
      </c>
      <c r="F138" s="60">
        <v>6.73864406779661</v>
      </c>
      <c r="G138" s="60">
        <v>1.53766878100972</v>
      </c>
      <c r="H138" s="61">
        <v>7.1239999999999997</v>
      </c>
      <c r="I138" s="63">
        <v>3.89</v>
      </c>
      <c r="J138" s="58">
        <v>-3.2339999999999995</v>
      </c>
      <c r="K138" s="58">
        <v>-45.395845030881517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79</v>
      </c>
      <c r="D139" s="1" t="s">
        <v>1</v>
      </c>
      <c r="E139" s="59" t="s">
        <v>16</v>
      </c>
      <c r="F139" s="60">
        <v>0.69423728813559304</v>
      </c>
      <c r="G139" s="60">
        <v>7.9600770582900396E-2</v>
      </c>
      <c r="H139" s="61">
        <v>0.71854166666666597</v>
      </c>
      <c r="I139" s="63">
        <v>4.78</v>
      </c>
      <c r="J139" s="58">
        <v>4.0614583333333343</v>
      </c>
      <c r="K139" s="58">
        <v>565.23630037692158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79</v>
      </c>
      <c r="D140" s="1" t="s">
        <v>1</v>
      </c>
      <c r="E140" s="59" t="s">
        <v>17</v>
      </c>
      <c r="F140" s="60">
        <v>0.14338983050847401</v>
      </c>
      <c r="G140" s="60">
        <v>1.46842668591799E-2</v>
      </c>
      <c r="H140" s="61">
        <v>0.14433962264150901</v>
      </c>
      <c r="I140" s="63">
        <v>1.38</v>
      </c>
      <c r="J140" s="58">
        <v>1.2356603773584909</v>
      </c>
      <c r="K140" s="58">
        <v>856.07843137255168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79</v>
      </c>
      <c r="D141" s="1" t="s">
        <v>1</v>
      </c>
      <c r="E141" s="59" t="s">
        <v>18</v>
      </c>
      <c r="F141" s="60">
        <v>4.0194642857142799</v>
      </c>
      <c r="G141" s="60">
        <v>1.54630367979677</v>
      </c>
      <c r="H141" s="61">
        <v>4.6855555555555499</v>
      </c>
      <c r="I141" s="63">
        <v>4.01</v>
      </c>
      <c r="J141" s="58">
        <v>-0.67555555555555014</v>
      </c>
      <c r="K141" s="58">
        <v>-14.417832582404454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79</v>
      </c>
      <c r="D142" s="1" t="s">
        <v>1</v>
      </c>
      <c r="E142" s="59" t="s">
        <v>19</v>
      </c>
      <c r="F142" s="60">
        <v>1.0684482758620599</v>
      </c>
      <c r="G142" s="60">
        <v>0.96131519414655398</v>
      </c>
      <c r="H142" s="61">
        <v>0.77490566037735797</v>
      </c>
      <c r="I142" s="63">
        <v>2.48</v>
      </c>
      <c r="J142" s="58">
        <v>1.7050943396226419</v>
      </c>
      <c r="K142" s="58">
        <v>220.03895787679593</v>
      </c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79</v>
      </c>
      <c r="D143" s="1" t="s">
        <v>1</v>
      </c>
      <c r="E143" s="59" t="s">
        <v>12</v>
      </c>
      <c r="F143" s="60">
        <v>4.9679661016949099</v>
      </c>
      <c r="G143" s="60">
        <v>1.1425362504518899</v>
      </c>
      <c r="H143" s="61">
        <v>5.3972093023255798</v>
      </c>
      <c r="I143" s="63">
        <v>5.45</v>
      </c>
      <c r="J143" s="58">
        <v>5.279069767442035E-2</v>
      </c>
      <c r="K143" s="58">
        <v>0.9781109962082366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79</v>
      </c>
      <c r="D144" s="1" t="s">
        <v>1</v>
      </c>
      <c r="E144" s="59" t="s">
        <v>13</v>
      </c>
      <c r="F144" s="60">
        <v>1.1187931034482701</v>
      </c>
      <c r="G144" s="60">
        <v>0.62545453151042096</v>
      </c>
      <c r="H144" s="61">
        <v>0.93754716981132102</v>
      </c>
      <c r="I144" s="63">
        <v>6.03</v>
      </c>
      <c r="J144" s="58">
        <v>5.0924528301886793</v>
      </c>
      <c r="K144" s="58">
        <v>543.16763936405698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79</v>
      </c>
      <c r="D145" s="1" t="s">
        <v>1</v>
      </c>
      <c r="E145" s="59" t="s">
        <v>14</v>
      </c>
      <c r="F145" s="60">
        <v>1.1303389830508399</v>
      </c>
      <c r="G145" s="60">
        <v>0.50196551337309503</v>
      </c>
      <c r="H145" s="61">
        <v>1.4046666666666601</v>
      </c>
      <c r="I145" s="63">
        <v>2.4500000000000002</v>
      </c>
      <c r="J145" s="58">
        <v>1.0453333333333401</v>
      </c>
      <c r="K145" s="58">
        <v>74.418604651163619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79</v>
      </c>
      <c r="D146" s="1" t="s">
        <v>1</v>
      </c>
      <c r="E146" s="59" t="s">
        <v>15</v>
      </c>
      <c r="F146" s="60">
        <v>6.73864406779661</v>
      </c>
      <c r="G146" s="60">
        <v>1.53766878100972</v>
      </c>
      <c r="H146" s="61">
        <v>7.1239999999999997</v>
      </c>
      <c r="I146" s="63">
        <v>3.92</v>
      </c>
      <c r="J146" s="58">
        <v>-3.2039999999999997</v>
      </c>
      <c r="K146" s="58">
        <v>-44.974733295901174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79</v>
      </c>
      <c r="D147" s="1" t="s">
        <v>1</v>
      </c>
      <c r="E147" s="59" t="s">
        <v>16</v>
      </c>
      <c r="F147" s="60">
        <v>0.69423728813559304</v>
      </c>
      <c r="G147" s="60">
        <v>7.9600770582900396E-2</v>
      </c>
      <c r="H147" s="61">
        <v>0.71854166666666597</v>
      </c>
      <c r="I147" s="63">
        <v>4.83</v>
      </c>
      <c r="J147" s="58">
        <v>4.1114583333333341</v>
      </c>
      <c r="K147" s="58">
        <v>572.194839083793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79</v>
      </c>
      <c r="D148" s="1" t="s">
        <v>1</v>
      </c>
      <c r="E148" s="59" t="s">
        <v>17</v>
      </c>
      <c r="F148" s="60">
        <v>0.14338983050847401</v>
      </c>
      <c r="G148" s="60">
        <v>1.46842668591799E-2</v>
      </c>
      <c r="H148" s="61">
        <v>0.14433962264150901</v>
      </c>
      <c r="I148" s="63">
        <v>1.4</v>
      </c>
      <c r="J148" s="58">
        <v>1.2556603773584909</v>
      </c>
      <c r="K148" s="58">
        <v>869.93464052287857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79</v>
      </c>
      <c r="D149" s="1" t="s">
        <v>1</v>
      </c>
      <c r="E149" s="59" t="s">
        <v>18</v>
      </c>
      <c r="F149" s="60">
        <v>4.0194642857142799</v>
      </c>
      <c r="G149" s="60">
        <v>1.54630367979677</v>
      </c>
      <c r="H149" s="61">
        <v>4.6855555555555499</v>
      </c>
      <c r="I149" s="63">
        <v>3.97</v>
      </c>
      <c r="J149" s="58">
        <v>-0.71555555555554973</v>
      </c>
      <c r="K149" s="58">
        <v>-15.271520037941558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79</v>
      </c>
      <c r="D150" s="1" t="s">
        <v>1</v>
      </c>
      <c r="E150" s="59" t="s">
        <v>19</v>
      </c>
      <c r="F150" s="60">
        <v>1.0684482758620599</v>
      </c>
      <c r="G150" s="60">
        <v>0.96131519414655398</v>
      </c>
      <c r="H150" s="61">
        <v>0.77490566037735797</v>
      </c>
      <c r="I150" s="63">
        <v>2.4900000000000002</v>
      </c>
      <c r="J150" s="58">
        <v>1.7150943396226421</v>
      </c>
      <c r="K150" s="58">
        <v>221.329437545654</v>
      </c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79</v>
      </c>
      <c r="D152" s="1" t="s">
        <v>1</v>
      </c>
      <c r="E152" s="59" t="s">
        <v>12</v>
      </c>
      <c r="F152" s="60">
        <v>3.2816949152542398</v>
      </c>
      <c r="G152" s="60">
        <v>1.11105714286885</v>
      </c>
      <c r="H152" s="61">
        <v>3.8791111111111101</v>
      </c>
      <c r="I152" s="62">
        <v>5.36</v>
      </c>
      <c r="J152" s="37">
        <v>1.4808888888888903</v>
      </c>
      <c r="K152" s="37">
        <v>38.175985334555499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79</v>
      </c>
      <c r="D153" s="1" t="s">
        <v>1</v>
      </c>
      <c r="E153" s="59" t="s">
        <v>13</v>
      </c>
      <c r="F153" s="60">
        <v>3.6145762711864302</v>
      </c>
      <c r="G153" s="60">
        <v>4.2739527697531896</v>
      </c>
      <c r="H153" s="61">
        <v>2.1954716981132001</v>
      </c>
      <c r="I153" s="62">
        <v>2.94</v>
      </c>
      <c r="J153" s="37">
        <v>0.74452830188679986</v>
      </c>
      <c r="K153" s="37">
        <v>33.911997249914513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79</v>
      </c>
      <c r="D154" s="1" t="s">
        <v>1</v>
      </c>
      <c r="E154" s="59" t="s">
        <v>14</v>
      </c>
      <c r="F154" s="60">
        <v>1.5710169491525401</v>
      </c>
      <c r="G154" s="60">
        <v>0.42373918631371599</v>
      </c>
      <c r="H154" s="61">
        <v>1.7307843137254899</v>
      </c>
      <c r="I154" s="62">
        <v>4.8</v>
      </c>
      <c r="J154" s="37">
        <v>3.0692156862745099</v>
      </c>
      <c r="K154" s="37">
        <v>177.33091650617428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79</v>
      </c>
      <c r="D155" s="1" t="s">
        <v>1</v>
      </c>
      <c r="E155" s="59" t="s">
        <v>15</v>
      </c>
      <c r="F155" s="60">
        <v>0.89</v>
      </c>
      <c r="G155" s="60">
        <v>0.18645670193080999</v>
      </c>
      <c r="H155" s="61">
        <v>0.81680851063829796</v>
      </c>
      <c r="I155" s="62">
        <v>3.73</v>
      </c>
      <c r="J155" s="37">
        <v>2.9131914893617021</v>
      </c>
      <c r="K155" s="37">
        <v>356.65537900494917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79</v>
      </c>
      <c r="D156" s="1" t="s">
        <v>1</v>
      </c>
      <c r="E156" s="59" t="s">
        <v>16</v>
      </c>
      <c r="F156" s="60">
        <v>12.4206779661016</v>
      </c>
      <c r="G156" s="60">
        <v>4.09805239579328</v>
      </c>
      <c r="H156" s="61">
        <v>14.143333333333301</v>
      </c>
      <c r="I156" s="62">
        <v>1.71</v>
      </c>
      <c r="J156" s="37">
        <v>-12.433333333333302</v>
      </c>
      <c r="K156" s="37">
        <v>-87.909497996700424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79</v>
      </c>
      <c r="D157" s="1" t="s">
        <v>1</v>
      </c>
      <c r="E157" s="59" t="s">
        <v>17</v>
      </c>
      <c r="F157" s="60">
        <v>3.4574576271186399</v>
      </c>
      <c r="G157" s="60">
        <v>2.2638661944800602</v>
      </c>
      <c r="H157" s="61">
        <v>3.16482758620689</v>
      </c>
      <c r="I157" s="62">
        <v>5.0599999999999996</v>
      </c>
      <c r="J157" s="37">
        <v>1.8951724137931096</v>
      </c>
      <c r="K157" s="37">
        <v>59.882327304423946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79</v>
      </c>
      <c r="D158" s="1" t="s">
        <v>1</v>
      </c>
      <c r="E158" s="59" t="s">
        <v>18</v>
      </c>
      <c r="F158" s="60">
        <v>1.2401818181818101</v>
      </c>
      <c r="G158" s="60">
        <v>0.26875125984713299</v>
      </c>
      <c r="H158" s="61">
        <v>1.17</v>
      </c>
      <c r="I158" s="62">
        <v>1.69</v>
      </c>
      <c r="J158" s="37">
        <v>0.52</v>
      </c>
      <c r="K158" s="37">
        <v>44.44444444444445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79</v>
      </c>
      <c r="D159" s="1" t="s">
        <v>1</v>
      </c>
      <c r="E159" s="59" t="s">
        <v>19</v>
      </c>
      <c r="F159" s="60">
        <v>1.3783050847457601</v>
      </c>
      <c r="G159" s="60">
        <v>0.80153275315543104</v>
      </c>
      <c r="H159" s="61">
        <v>1.20285714285714</v>
      </c>
      <c r="I159" s="62">
        <v>1.68</v>
      </c>
      <c r="J159" s="37">
        <v>0.47714285714285998</v>
      </c>
      <c r="K159" s="37">
        <v>39.667458432304372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79</v>
      </c>
      <c r="D160" s="1" t="s">
        <v>1</v>
      </c>
      <c r="E160" s="59" t="s">
        <v>12</v>
      </c>
      <c r="F160" s="60">
        <v>3.2816949152542398</v>
      </c>
      <c r="G160" s="60">
        <v>1.11105714286885</v>
      </c>
      <c r="H160" s="61">
        <v>3.8791111111111101</v>
      </c>
      <c r="I160" s="62">
        <v>5.32</v>
      </c>
      <c r="J160" s="37">
        <v>1.4408888888888902</v>
      </c>
      <c r="K160" s="37">
        <v>37.144821264894631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79</v>
      </c>
      <c r="D161" s="1" t="s">
        <v>1</v>
      </c>
      <c r="E161" s="59" t="s">
        <v>13</v>
      </c>
      <c r="F161" s="60">
        <v>3.6145762711864302</v>
      </c>
      <c r="G161" s="60">
        <v>4.2739527697531896</v>
      </c>
      <c r="H161" s="61">
        <v>2.1954716981132001</v>
      </c>
      <c r="I161" s="62">
        <v>2.95</v>
      </c>
      <c r="J161" s="37">
        <v>0.75452830188680009</v>
      </c>
      <c r="K161" s="37">
        <v>34.367480233757767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79</v>
      </c>
      <c r="D162" s="1" t="s">
        <v>1</v>
      </c>
      <c r="E162" s="59" t="s">
        <v>14</v>
      </c>
      <c r="F162" s="60">
        <v>1.5710169491525401</v>
      </c>
      <c r="G162" s="60">
        <v>0.42373918631371599</v>
      </c>
      <c r="H162" s="61">
        <v>1.7307843137254899</v>
      </c>
      <c r="I162" s="62">
        <v>4.8099999999999996</v>
      </c>
      <c r="J162" s="37">
        <v>3.0792156862745097</v>
      </c>
      <c r="K162" s="37">
        <v>177.90868924889546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79</v>
      </c>
      <c r="D163" s="1" t="s">
        <v>1</v>
      </c>
      <c r="E163" s="59" t="s">
        <v>15</v>
      </c>
      <c r="F163" s="60">
        <v>0.89</v>
      </c>
      <c r="G163" s="60">
        <v>0.18645670193080999</v>
      </c>
      <c r="H163" s="61">
        <v>0.81680851063829796</v>
      </c>
      <c r="I163" s="62">
        <v>3.68</v>
      </c>
      <c r="J163" s="37">
        <v>2.8631914893617023</v>
      </c>
      <c r="K163" s="37">
        <v>350.53399322740296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79</v>
      </c>
      <c r="D164" s="1" t="s">
        <v>1</v>
      </c>
      <c r="E164" s="59" t="s">
        <v>16</v>
      </c>
      <c r="F164" s="60">
        <v>12.4206779661016</v>
      </c>
      <c r="G164" s="60">
        <v>4.09805239579328</v>
      </c>
      <c r="H164" s="61">
        <v>14.143333333333301</v>
      </c>
      <c r="I164" s="62">
        <v>1.73</v>
      </c>
      <c r="J164" s="37">
        <v>-12.4133333333333</v>
      </c>
      <c r="K164" s="37">
        <v>-87.768088616544873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79</v>
      </c>
      <c r="D165" s="1" t="s">
        <v>1</v>
      </c>
      <c r="E165" s="59" t="s">
        <v>17</v>
      </c>
      <c r="F165" s="60">
        <v>3.4574576271186399</v>
      </c>
      <c r="G165" s="60">
        <v>2.2638661944800602</v>
      </c>
      <c r="H165" s="61">
        <v>3.16482758620689</v>
      </c>
      <c r="I165" s="62">
        <v>5.0599999999999996</v>
      </c>
      <c r="J165" s="37">
        <v>1.8951724137931096</v>
      </c>
      <c r="K165" s="37">
        <v>59.882327304423946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79</v>
      </c>
      <c r="D166" s="1" t="s">
        <v>1</v>
      </c>
      <c r="E166" s="59" t="s">
        <v>18</v>
      </c>
      <c r="F166" s="60">
        <v>1.2401818181818101</v>
      </c>
      <c r="G166" s="60">
        <v>0.26875125984713299</v>
      </c>
      <c r="H166" s="61">
        <v>1.17</v>
      </c>
      <c r="I166" s="62">
        <v>1.74</v>
      </c>
      <c r="J166" s="37">
        <v>0.57000000000000006</v>
      </c>
      <c r="K166" s="37">
        <v>48.71794871794873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79</v>
      </c>
      <c r="D167" s="1" t="s">
        <v>1</v>
      </c>
      <c r="E167" s="59" t="s">
        <v>19</v>
      </c>
      <c r="F167" s="60">
        <v>1.3783050847457601</v>
      </c>
      <c r="G167" s="60">
        <v>0.80153275315543104</v>
      </c>
      <c r="H167" s="61">
        <v>1.20285714285714</v>
      </c>
      <c r="I167" s="62">
        <v>1.74</v>
      </c>
      <c r="J167" s="37">
        <v>0.53714285714286003</v>
      </c>
      <c r="K167" s="37">
        <v>44.655581947743819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79</v>
      </c>
      <c r="D168" s="1" t="s">
        <v>1</v>
      </c>
      <c r="E168" s="59" t="s">
        <v>12</v>
      </c>
      <c r="F168" s="60">
        <v>3.2816949152542398</v>
      </c>
      <c r="G168" s="60">
        <v>1.11105714286885</v>
      </c>
      <c r="H168" s="61">
        <v>3.8791111111111101</v>
      </c>
      <c r="I168" s="62">
        <v>5.28</v>
      </c>
      <c r="J168" s="37">
        <v>1.4008888888888902</v>
      </c>
      <c r="K168" s="37">
        <v>36.11365719523377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79</v>
      </c>
      <c r="D169" s="1" t="s">
        <v>1</v>
      </c>
      <c r="E169" s="59" t="s">
        <v>13</v>
      </c>
      <c r="F169" s="60">
        <v>3.6145762711864302</v>
      </c>
      <c r="G169" s="60">
        <v>4.2739527697531896</v>
      </c>
      <c r="H169" s="61">
        <v>2.1954716981132001</v>
      </c>
      <c r="I169" s="62">
        <v>2.98</v>
      </c>
      <c r="J169" s="37">
        <v>0.78452830188679989</v>
      </c>
      <c r="K169" s="37">
        <v>35.733929185287501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79</v>
      </c>
      <c r="D170" s="1" t="s">
        <v>1</v>
      </c>
      <c r="E170" s="59" t="s">
        <v>14</v>
      </c>
      <c r="F170" s="60">
        <v>1.5710169491525401</v>
      </c>
      <c r="G170" s="60">
        <v>0.42373918631371599</v>
      </c>
      <c r="H170" s="61">
        <v>1.7307843137254899</v>
      </c>
      <c r="I170" s="62">
        <v>4.83</v>
      </c>
      <c r="J170" s="37">
        <v>3.0992156862745102</v>
      </c>
      <c r="K170" s="37">
        <v>179.06423473433787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79</v>
      </c>
      <c r="D171" s="1" t="s">
        <v>1</v>
      </c>
      <c r="E171" s="59" t="s">
        <v>15</v>
      </c>
      <c r="F171" s="60">
        <v>0.89</v>
      </c>
      <c r="G171" s="60">
        <v>0.18645670193080999</v>
      </c>
      <c r="H171" s="61">
        <v>0.81680851063829796</v>
      </c>
      <c r="I171" s="62">
        <v>3.71</v>
      </c>
      <c r="J171" s="37">
        <v>2.8931914893617021</v>
      </c>
      <c r="K171" s="37">
        <v>354.20682469393068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79</v>
      </c>
      <c r="D172" s="1" t="s">
        <v>1</v>
      </c>
      <c r="E172" s="59" t="s">
        <v>16</v>
      </c>
      <c r="F172" s="60">
        <v>12.4206779661016</v>
      </c>
      <c r="G172" s="60">
        <v>4.09805239579328</v>
      </c>
      <c r="H172" s="61">
        <v>14.143333333333301</v>
      </c>
      <c r="I172" s="62">
        <v>1.74</v>
      </c>
      <c r="J172" s="37">
        <v>-12.4033333333333</v>
      </c>
      <c r="K172" s="37">
        <v>-87.697383926467083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79</v>
      </c>
      <c r="D173" s="1" t="s">
        <v>1</v>
      </c>
      <c r="E173" s="59" t="s">
        <v>17</v>
      </c>
      <c r="F173" s="60">
        <v>3.4574576271186399</v>
      </c>
      <c r="G173" s="60">
        <v>2.2638661944800602</v>
      </c>
      <c r="H173" s="61">
        <v>3.16482758620689</v>
      </c>
      <c r="I173" s="62">
        <v>5.14</v>
      </c>
      <c r="J173" s="37">
        <v>1.9751724137931097</v>
      </c>
      <c r="K173" s="37">
        <v>62.41011113532393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79</v>
      </c>
      <c r="D174" s="1" t="s">
        <v>1</v>
      </c>
      <c r="E174" s="59" t="s">
        <v>18</v>
      </c>
      <c r="F174" s="60">
        <v>1.2401818181818101</v>
      </c>
      <c r="G174" s="60">
        <v>0.26875125984713299</v>
      </c>
      <c r="H174" s="61">
        <v>1.17</v>
      </c>
      <c r="I174" s="62">
        <v>1.7</v>
      </c>
      <c r="J174" s="37">
        <v>0.53</v>
      </c>
      <c r="K174" s="37">
        <v>45.299145299145302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79</v>
      </c>
      <c r="D175" s="1" t="s">
        <v>1</v>
      </c>
      <c r="E175" s="59" t="s">
        <v>19</v>
      </c>
      <c r="F175" s="60">
        <v>1.3783050847457601</v>
      </c>
      <c r="G175" s="60">
        <v>0.80153275315543104</v>
      </c>
      <c r="H175" s="61">
        <v>1.20285714285714</v>
      </c>
      <c r="I175" s="62">
        <v>1.73</v>
      </c>
      <c r="J175" s="37">
        <v>0.52714285714286002</v>
      </c>
      <c r="K175" s="37">
        <v>43.82422802850391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79</v>
      </c>
      <c r="D177" s="1" t="s">
        <v>1</v>
      </c>
      <c r="E177" s="59" t="s">
        <v>12</v>
      </c>
      <c r="F177" s="60">
        <v>3.3174576271186398</v>
      </c>
      <c r="G177" s="60">
        <v>0.85455230269132598</v>
      </c>
      <c r="H177" s="61">
        <v>3.5339999999999998</v>
      </c>
      <c r="I177" s="62">
        <v>5.36</v>
      </c>
      <c r="J177" s="37">
        <v>1.8260000000000005</v>
      </c>
      <c r="K177" s="37">
        <v>51.669496321448804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79</v>
      </c>
      <c r="D178" s="1" t="s">
        <v>1</v>
      </c>
      <c r="E178" s="59" t="s">
        <v>13</v>
      </c>
      <c r="F178" s="60">
        <v>3.78949152542372</v>
      </c>
      <c r="G178" s="60">
        <v>4.2498205041771797</v>
      </c>
      <c r="H178" s="61">
        <v>2.2486538461538399</v>
      </c>
      <c r="I178" s="62">
        <v>2.94</v>
      </c>
      <c r="J178" s="37">
        <v>0.69134615384616005</v>
      </c>
      <c r="K178" s="37">
        <v>30.744890105191502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79</v>
      </c>
      <c r="D179" s="1" t="s">
        <v>1</v>
      </c>
      <c r="E179" s="59" t="s">
        <v>14</v>
      </c>
      <c r="F179" s="60">
        <v>1.59779661016949</v>
      </c>
      <c r="G179" s="60">
        <v>0.53980557641385196</v>
      </c>
      <c r="H179" s="61">
        <v>1.8839130434782601</v>
      </c>
      <c r="I179" s="62">
        <v>4.8</v>
      </c>
      <c r="J179" s="37">
        <v>2.91608695652174</v>
      </c>
      <c r="K179" s="37">
        <v>154.78882990999318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79</v>
      </c>
      <c r="D180" s="1" t="s">
        <v>1</v>
      </c>
      <c r="E180" s="59" t="s">
        <v>15</v>
      </c>
      <c r="F180" s="60">
        <v>0.932881355932203</v>
      </c>
      <c r="G180" s="60">
        <v>0.20540205177343701</v>
      </c>
      <c r="H180" s="61">
        <v>0.82488372093023299</v>
      </c>
      <c r="I180" s="62">
        <v>3.73</v>
      </c>
      <c r="J180" s="37">
        <v>2.9051162790697669</v>
      </c>
      <c r="K180" s="37">
        <v>352.18494502396368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79</v>
      </c>
      <c r="D181" s="1" t="s">
        <v>1</v>
      </c>
      <c r="E181" s="59" t="s">
        <v>16</v>
      </c>
      <c r="F181" s="60">
        <v>12.9772881355932</v>
      </c>
      <c r="G181" s="60">
        <v>4.1541752859994201</v>
      </c>
      <c r="H181" s="61">
        <v>14.6978947368421</v>
      </c>
      <c r="I181" s="62">
        <v>1.71</v>
      </c>
      <c r="J181" s="37">
        <v>-12.987894736842101</v>
      </c>
      <c r="K181" s="37">
        <v>-88.365680727637326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79</v>
      </c>
      <c r="D182" s="1" t="s">
        <v>1</v>
      </c>
      <c r="E182" s="59" t="s">
        <v>17</v>
      </c>
      <c r="F182" s="60">
        <v>3.65389830508474</v>
      </c>
      <c r="G182" s="60">
        <v>3.5161549766992</v>
      </c>
      <c r="H182" s="61">
        <v>3.0035087719298201</v>
      </c>
      <c r="I182" s="62">
        <v>5.0599999999999996</v>
      </c>
      <c r="J182" s="37">
        <v>2.0564912280701795</v>
      </c>
      <c r="K182" s="37">
        <v>68.469626168224536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79</v>
      </c>
      <c r="D183" s="1" t="s">
        <v>1</v>
      </c>
      <c r="E183" s="59" t="s">
        <v>18</v>
      </c>
      <c r="F183" s="60">
        <v>1.2333898305084701</v>
      </c>
      <c r="G183" s="60">
        <v>0.20810370760013</v>
      </c>
      <c r="H183" s="61">
        <v>1.1825000000000001</v>
      </c>
      <c r="I183" s="62">
        <v>1.69</v>
      </c>
      <c r="J183" s="37">
        <v>0.50749999999999984</v>
      </c>
      <c r="K183" s="37">
        <v>42.91754756871034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79</v>
      </c>
      <c r="D184" s="1" t="s">
        <v>1</v>
      </c>
      <c r="E184" s="59" t="s">
        <v>19</v>
      </c>
      <c r="F184" s="60">
        <v>1.4769491525423699</v>
      </c>
      <c r="G184" s="60">
        <v>0.81054753253543399</v>
      </c>
      <c r="H184" s="61">
        <v>1.2674545454545401</v>
      </c>
      <c r="I184" s="62">
        <v>1.68</v>
      </c>
      <c r="J184" s="37">
        <v>0.41254545454545988</v>
      </c>
      <c r="K184" s="37">
        <v>32.549132118778353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79</v>
      </c>
      <c r="D185" s="1" t="s">
        <v>1</v>
      </c>
      <c r="E185" s="59" t="s">
        <v>12</v>
      </c>
      <c r="F185" s="60">
        <v>3.3174576271186398</v>
      </c>
      <c r="G185" s="60">
        <v>0.85455230269132598</v>
      </c>
      <c r="H185" s="61">
        <v>3.5339999999999998</v>
      </c>
      <c r="I185" s="62">
        <v>5.32</v>
      </c>
      <c r="J185" s="37">
        <v>1.7860000000000005</v>
      </c>
      <c r="K185" s="37">
        <v>50.537634408602173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79</v>
      </c>
      <c r="D186" s="1" t="s">
        <v>1</v>
      </c>
      <c r="E186" s="59" t="s">
        <v>13</v>
      </c>
      <c r="F186" s="60">
        <v>3.78949152542372</v>
      </c>
      <c r="G186" s="60">
        <v>4.2498205041771797</v>
      </c>
      <c r="H186" s="61">
        <v>2.2486538461538399</v>
      </c>
      <c r="I186" s="62">
        <v>2.95</v>
      </c>
      <c r="J186" s="37">
        <v>0.70134615384616028</v>
      </c>
      <c r="K186" s="37">
        <v>31.189600615753388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79</v>
      </c>
      <c r="D187" s="1" t="s">
        <v>1</v>
      </c>
      <c r="E187" s="59" t="s">
        <v>14</v>
      </c>
      <c r="F187" s="60">
        <v>1.59779661016949</v>
      </c>
      <c r="G187" s="60">
        <v>0.53980557641385196</v>
      </c>
      <c r="H187" s="61">
        <v>1.8839130434782601</v>
      </c>
      <c r="I187" s="62">
        <v>4.8099999999999996</v>
      </c>
      <c r="J187" s="37">
        <v>2.9260869565217398</v>
      </c>
      <c r="K187" s="37">
        <v>155.31963997230568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79</v>
      </c>
      <c r="D188" s="1" t="s">
        <v>1</v>
      </c>
      <c r="E188" s="59" t="s">
        <v>15</v>
      </c>
      <c r="F188" s="60">
        <v>0.932881355932203</v>
      </c>
      <c r="G188" s="60">
        <v>0.20540205177343701</v>
      </c>
      <c r="H188" s="61">
        <v>0.82488372093023299</v>
      </c>
      <c r="I188" s="62">
        <v>3.68</v>
      </c>
      <c r="J188" s="37">
        <v>2.8551162790697671</v>
      </c>
      <c r="K188" s="37">
        <v>346.12348463490252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79</v>
      </c>
      <c r="D189" s="1" t="s">
        <v>1</v>
      </c>
      <c r="E189" s="59" t="s">
        <v>16</v>
      </c>
      <c r="F189" s="60">
        <v>12.9772881355932</v>
      </c>
      <c r="G189" s="60">
        <v>4.1541752859994201</v>
      </c>
      <c r="H189" s="61">
        <v>14.6978947368421</v>
      </c>
      <c r="I189" s="62">
        <v>1.73</v>
      </c>
      <c r="J189" s="37">
        <v>-12.9678947368421</v>
      </c>
      <c r="K189" s="37">
        <v>-88.22960681801905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79</v>
      </c>
      <c r="D190" s="1" t="s">
        <v>1</v>
      </c>
      <c r="E190" s="59" t="s">
        <v>17</v>
      </c>
      <c r="F190" s="60">
        <v>3.65389830508474</v>
      </c>
      <c r="G190" s="60">
        <v>3.5161549766992</v>
      </c>
      <c r="H190" s="61">
        <v>3.0035087719298201</v>
      </c>
      <c r="I190" s="62">
        <v>5.0599999999999996</v>
      </c>
      <c r="J190" s="37">
        <v>2.0564912280701795</v>
      </c>
      <c r="K190" s="37">
        <v>68.469626168224536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79</v>
      </c>
      <c r="D191" s="1" t="s">
        <v>1</v>
      </c>
      <c r="E191" s="59" t="s">
        <v>18</v>
      </c>
      <c r="F191" s="60">
        <v>1.2333898305084701</v>
      </c>
      <c r="G191" s="60">
        <v>0.20810370760013</v>
      </c>
      <c r="H191" s="61">
        <v>1.1825000000000001</v>
      </c>
      <c r="I191" s="62">
        <v>1.74</v>
      </c>
      <c r="J191" s="37">
        <v>0.55749999999999988</v>
      </c>
      <c r="K191" s="37">
        <v>47.1458773784355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79</v>
      </c>
      <c r="D192" s="1" t="s">
        <v>1</v>
      </c>
      <c r="E192" s="59" t="s">
        <v>19</v>
      </c>
      <c r="F192" s="60">
        <v>1.4769491525423699</v>
      </c>
      <c r="G192" s="60">
        <v>0.81054753253543399</v>
      </c>
      <c r="H192" s="61">
        <v>1.2674545454545401</v>
      </c>
      <c r="I192" s="62">
        <v>1.74</v>
      </c>
      <c r="J192" s="37">
        <v>0.47254545454545993</v>
      </c>
      <c r="K192" s="37">
        <v>37.283029694449013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79</v>
      </c>
      <c r="D193" s="1" t="s">
        <v>1</v>
      </c>
      <c r="E193" s="59" t="s">
        <v>12</v>
      </c>
      <c r="F193" s="60">
        <v>3.3174576271186398</v>
      </c>
      <c r="G193" s="60">
        <v>0.85455230269132598</v>
      </c>
      <c r="H193" s="61">
        <v>3.5339999999999998</v>
      </c>
      <c r="I193" s="62">
        <v>5.28</v>
      </c>
      <c r="J193" s="37">
        <v>1.7460000000000004</v>
      </c>
      <c r="K193" s="37">
        <v>49.405772495755535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79</v>
      </c>
      <c r="D194" s="1" t="s">
        <v>1</v>
      </c>
      <c r="E194" s="59" t="s">
        <v>13</v>
      </c>
      <c r="F194" s="60">
        <v>3.78949152542372</v>
      </c>
      <c r="G194" s="60">
        <v>4.2498205041771797</v>
      </c>
      <c r="H194" s="61">
        <v>2.2486538461538399</v>
      </c>
      <c r="I194" s="62">
        <v>2.98</v>
      </c>
      <c r="J194" s="37">
        <v>0.73134615384616009</v>
      </c>
      <c r="K194" s="37">
        <v>32.523732147439006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79</v>
      </c>
      <c r="D195" s="1" t="s">
        <v>1</v>
      </c>
      <c r="E195" s="59" t="s">
        <v>14</v>
      </c>
      <c r="F195" s="60">
        <v>1.59779661016949</v>
      </c>
      <c r="G195" s="60">
        <v>0.53980557641385196</v>
      </c>
      <c r="H195" s="61">
        <v>1.8839130434782601</v>
      </c>
      <c r="I195" s="62">
        <v>4.83</v>
      </c>
      <c r="J195" s="37">
        <v>2.9460869565217402</v>
      </c>
      <c r="K195" s="37">
        <v>156.38126009693065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79</v>
      </c>
      <c r="D196" s="1" t="s">
        <v>1</v>
      </c>
      <c r="E196" s="59" t="s">
        <v>15</v>
      </c>
      <c r="F196" s="60">
        <v>0.932881355932203</v>
      </c>
      <c r="G196" s="60">
        <v>0.20540205177343701</v>
      </c>
      <c r="H196" s="61">
        <v>0.82488372093023299</v>
      </c>
      <c r="I196" s="62">
        <v>3.71</v>
      </c>
      <c r="J196" s="37">
        <v>2.8851162790697669</v>
      </c>
      <c r="K196" s="37">
        <v>349.76036086833921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79</v>
      </c>
      <c r="D197" s="1" t="s">
        <v>1</v>
      </c>
      <c r="E197" s="59" t="s">
        <v>16</v>
      </c>
      <c r="F197" s="60">
        <v>12.9772881355932</v>
      </c>
      <c r="G197" s="60">
        <v>4.1541752859994201</v>
      </c>
      <c r="H197" s="61">
        <v>14.6978947368421</v>
      </c>
      <c r="I197" s="62">
        <v>1.74</v>
      </c>
      <c r="J197" s="37">
        <v>-12.9578947368421</v>
      </c>
      <c r="K197" s="37">
        <v>-88.161569863209905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79</v>
      </c>
      <c r="D198" s="1" t="s">
        <v>1</v>
      </c>
      <c r="E198" s="59" t="s">
        <v>17</v>
      </c>
      <c r="F198" s="60">
        <v>3.65389830508474</v>
      </c>
      <c r="G198" s="60">
        <v>3.5161549766992</v>
      </c>
      <c r="H198" s="61">
        <v>3.0035087719298201</v>
      </c>
      <c r="I198" s="62">
        <v>5.14</v>
      </c>
      <c r="J198" s="37">
        <v>2.1364912280701795</v>
      </c>
      <c r="K198" s="37">
        <v>71.133177570093693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79</v>
      </c>
      <c r="D199" s="1" t="s">
        <v>1</v>
      </c>
      <c r="E199" s="59" t="s">
        <v>18</v>
      </c>
      <c r="F199" s="60">
        <v>1.2333898305084701</v>
      </c>
      <c r="G199" s="60">
        <v>0.20810370760013</v>
      </c>
      <c r="H199" s="61">
        <v>1.1825000000000001</v>
      </c>
      <c r="I199" s="62">
        <v>1.7</v>
      </c>
      <c r="J199" s="37">
        <v>0.51749999999999985</v>
      </c>
      <c r="K199" s="37">
        <v>43.763213530655378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79</v>
      </c>
      <c r="D200" s="1" t="s">
        <v>1</v>
      </c>
      <c r="E200" s="59" t="s">
        <v>19</v>
      </c>
      <c r="F200" s="60">
        <v>1.4769491525423699</v>
      </c>
      <c r="G200" s="60">
        <v>0.81054753253543399</v>
      </c>
      <c r="H200" s="61">
        <v>1.2674545454545401</v>
      </c>
      <c r="I200" s="62">
        <v>1.73</v>
      </c>
      <c r="J200" s="37">
        <v>0.46254545454545992</v>
      </c>
      <c r="K200" s="37">
        <v>36.494046765170566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79</v>
      </c>
      <c r="D202" s="1" t="s">
        <v>1</v>
      </c>
      <c r="E202" s="59" t="s">
        <v>12</v>
      </c>
      <c r="F202" s="60">
        <v>3.1522033898305102</v>
      </c>
      <c r="G202" s="60">
        <v>0.93598867839851796</v>
      </c>
      <c r="H202" s="61">
        <v>3.5476190476190399</v>
      </c>
      <c r="I202" s="63">
        <v>5.36</v>
      </c>
      <c r="J202" s="58">
        <v>1.8123809523809604</v>
      </c>
      <c r="K202" s="58">
        <v>51.087248322147992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79</v>
      </c>
      <c r="D203" s="1" t="s">
        <v>1</v>
      </c>
      <c r="E203" s="59" t="s">
        <v>13</v>
      </c>
      <c r="F203" s="60">
        <v>3.3806779661016901</v>
      </c>
      <c r="G203" s="60">
        <v>3.6746326298135901</v>
      </c>
      <c r="H203" s="61">
        <v>2.1622641509433902</v>
      </c>
      <c r="I203" s="63">
        <v>2.94</v>
      </c>
      <c r="J203" s="58">
        <v>0.77773584905660975</v>
      </c>
      <c r="K203" s="58">
        <v>35.968586387434932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79</v>
      </c>
      <c r="D204" s="1" t="s">
        <v>1</v>
      </c>
      <c r="E204" s="59" t="s">
        <v>14</v>
      </c>
      <c r="F204" s="60">
        <v>1.51050847457627</v>
      </c>
      <c r="G204" s="60">
        <v>0.55082195508110199</v>
      </c>
      <c r="H204" s="61">
        <v>1.82636363636363</v>
      </c>
      <c r="I204" s="63">
        <v>4.8</v>
      </c>
      <c r="J204" s="58">
        <v>2.9736363636363699</v>
      </c>
      <c r="K204" s="58">
        <v>162.81732205077245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79</v>
      </c>
      <c r="D205" s="1" t="s">
        <v>1</v>
      </c>
      <c r="E205" s="59" t="s">
        <v>15</v>
      </c>
      <c r="F205" s="60">
        <v>0.91237288135593198</v>
      </c>
      <c r="G205" s="60">
        <v>0.18371255166008801</v>
      </c>
      <c r="H205" s="61">
        <v>0.828666666666667</v>
      </c>
      <c r="I205" s="63">
        <v>3.73</v>
      </c>
      <c r="J205" s="58">
        <v>2.9013333333333331</v>
      </c>
      <c r="K205" s="58">
        <v>350.12067578439246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79</v>
      </c>
      <c r="D206" s="1" t="s">
        <v>1</v>
      </c>
      <c r="E206" s="59" t="s">
        <v>16</v>
      </c>
      <c r="F206" s="60">
        <v>14.870677966101599</v>
      </c>
      <c r="G206" s="60">
        <v>4.8851285445005503</v>
      </c>
      <c r="H206" s="61">
        <v>17.1918604651162</v>
      </c>
      <c r="I206" s="63">
        <v>1.71</v>
      </c>
      <c r="J206" s="58">
        <v>-15.481860465116199</v>
      </c>
      <c r="K206" s="58">
        <v>-90.05343253297255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79</v>
      </c>
      <c r="D207" s="1" t="s">
        <v>1</v>
      </c>
      <c r="E207" s="59" t="s">
        <v>17</v>
      </c>
      <c r="F207" s="60">
        <v>3.38389830508474</v>
      </c>
      <c r="G207" s="60">
        <v>2.7283775628111502</v>
      </c>
      <c r="H207" s="61">
        <v>3.02931034482758</v>
      </c>
      <c r="I207" s="63">
        <v>5.0599999999999996</v>
      </c>
      <c r="J207" s="58">
        <v>2.0306896551724196</v>
      </c>
      <c r="K207" s="58">
        <v>67.034718269778352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79</v>
      </c>
      <c r="D208" s="1" t="s">
        <v>1</v>
      </c>
      <c r="E208" s="59" t="s">
        <v>18</v>
      </c>
      <c r="F208" s="60">
        <v>1.25446428571428</v>
      </c>
      <c r="G208" s="60">
        <v>0.26946322067383899</v>
      </c>
      <c r="H208" s="61">
        <v>1.2047826086956499</v>
      </c>
      <c r="I208" s="63">
        <v>1.69</v>
      </c>
      <c r="J208" s="58">
        <v>0.48521739130435004</v>
      </c>
      <c r="K208" s="58">
        <v>40.274269216889472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79</v>
      </c>
      <c r="D209" s="1" t="s">
        <v>1</v>
      </c>
      <c r="E209" s="59" t="s">
        <v>19</v>
      </c>
      <c r="F209" s="60">
        <v>1.3866101694915201</v>
      </c>
      <c r="G209" s="60">
        <v>0.74586228148863198</v>
      </c>
      <c r="H209" s="61">
        <v>1.22428571428571</v>
      </c>
      <c r="I209" s="63">
        <v>1.68</v>
      </c>
      <c r="J209" s="58">
        <v>0.45571428571428996</v>
      </c>
      <c r="K209" s="58">
        <v>37.222870478413547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79</v>
      </c>
      <c r="D210" s="1" t="s">
        <v>1</v>
      </c>
      <c r="E210" s="59" t="s">
        <v>12</v>
      </c>
      <c r="F210" s="60">
        <v>3.1522033898305102</v>
      </c>
      <c r="G210" s="60">
        <v>0.93598867839851796</v>
      </c>
      <c r="H210" s="61">
        <v>3.5476190476190399</v>
      </c>
      <c r="I210" s="63">
        <v>5.32</v>
      </c>
      <c r="J210" s="58">
        <v>1.7723809523809604</v>
      </c>
      <c r="K210" s="58">
        <v>49.9597315436245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79</v>
      </c>
      <c r="D211" s="1" t="s">
        <v>1</v>
      </c>
      <c r="E211" s="59" t="s">
        <v>13</v>
      </c>
      <c r="F211" s="60">
        <v>3.3806779661016901</v>
      </c>
      <c r="G211" s="60">
        <v>3.6746326298135901</v>
      </c>
      <c r="H211" s="61">
        <v>2.1622641509433902</v>
      </c>
      <c r="I211" s="63">
        <v>2.95</v>
      </c>
      <c r="J211" s="58">
        <v>0.78773584905660998</v>
      </c>
      <c r="K211" s="58">
        <v>36.431064572426223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79</v>
      </c>
      <c r="D212" s="1" t="s">
        <v>1</v>
      </c>
      <c r="E212" s="59" t="s">
        <v>14</v>
      </c>
      <c r="F212" s="60">
        <v>1.51050847457627</v>
      </c>
      <c r="G212" s="60">
        <v>0.55082195508110199</v>
      </c>
      <c r="H212" s="61">
        <v>1.82636363636363</v>
      </c>
      <c r="I212" s="63">
        <v>4.8099999999999996</v>
      </c>
      <c r="J212" s="58">
        <v>2.9836363636363696</v>
      </c>
      <c r="K212" s="58">
        <v>163.3648581383782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79</v>
      </c>
      <c r="D213" s="1" t="s">
        <v>1</v>
      </c>
      <c r="E213" s="59" t="s">
        <v>15</v>
      </c>
      <c r="F213" s="60">
        <v>0.91237288135593198</v>
      </c>
      <c r="G213" s="60">
        <v>0.18371255166008801</v>
      </c>
      <c r="H213" s="61">
        <v>0.828666666666667</v>
      </c>
      <c r="I213" s="63">
        <v>3.68</v>
      </c>
      <c r="J213" s="58">
        <v>2.8513333333333333</v>
      </c>
      <c r="K213" s="58">
        <v>344.08688656476249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79</v>
      </c>
      <c r="D214" s="1" t="s">
        <v>1</v>
      </c>
      <c r="E214" s="59" t="s">
        <v>16</v>
      </c>
      <c r="F214" s="60">
        <v>14.870677966101599</v>
      </c>
      <c r="G214" s="60">
        <v>4.8851285445005503</v>
      </c>
      <c r="H214" s="61">
        <v>17.1918604651162</v>
      </c>
      <c r="I214" s="63">
        <v>1.73</v>
      </c>
      <c r="J214" s="58">
        <v>-15.461860465116199</v>
      </c>
      <c r="K214" s="58">
        <v>-89.937098410551187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79</v>
      </c>
      <c r="D215" s="1" t="s">
        <v>1</v>
      </c>
      <c r="E215" s="59" t="s">
        <v>17</v>
      </c>
      <c r="F215" s="60">
        <v>3.38389830508474</v>
      </c>
      <c r="G215" s="60">
        <v>2.7283775628111502</v>
      </c>
      <c r="H215" s="61">
        <v>3.02931034482758</v>
      </c>
      <c r="I215" s="63">
        <v>5.0599999999999996</v>
      </c>
      <c r="J215" s="58">
        <v>2.0306896551724196</v>
      </c>
      <c r="K215" s="58">
        <v>67.034718269778352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79</v>
      </c>
      <c r="D216" s="1" t="s">
        <v>1</v>
      </c>
      <c r="E216" s="59" t="s">
        <v>18</v>
      </c>
      <c r="F216" s="60">
        <v>1.25446428571428</v>
      </c>
      <c r="G216" s="60">
        <v>0.26946322067383899</v>
      </c>
      <c r="H216" s="61">
        <v>1.2047826086956499</v>
      </c>
      <c r="I216" s="63">
        <v>1.74</v>
      </c>
      <c r="J216" s="58">
        <v>0.53521739130435009</v>
      </c>
      <c r="K216" s="58">
        <v>44.424395525081465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79</v>
      </c>
      <c r="D217" s="1" t="s">
        <v>1</v>
      </c>
      <c r="E217" s="59" t="s">
        <v>19</v>
      </c>
      <c r="F217" s="60">
        <v>1.3866101694915201</v>
      </c>
      <c r="G217" s="60">
        <v>0.74586228148863198</v>
      </c>
      <c r="H217" s="61">
        <v>1.22428571428571</v>
      </c>
      <c r="I217" s="63">
        <v>1.74</v>
      </c>
      <c r="J217" s="58">
        <v>0.51571428571429001</v>
      </c>
      <c r="K217" s="58">
        <v>42.123687281214032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79</v>
      </c>
      <c r="D218" s="1" t="s">
        <v>1</v>
      </c>
      <c r="E218" s="59" t="s">
        <v>12</v>
      </c>
      <c r="F218" s="60">
        <v>3.1522033898305102</v>
      </c>
      <c r="G218" s="60">
        <v>0.93598867839851796</v>
      </c>
      <c r="H218" s="61">
        <v>3.5476190476190399</v>
      </c>
      <c r="I218" s="63">
        <v>5.28</v>
      </c>
      <c r="J218" s="58">
        <v>1.7323809523809603</v>
      </c>
      <c r="K218" s="58">
        <v>48.832214765101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79</v>
      </c>
      <c r="D219" s="1" t="s">
        <v>1</v>
      </c>
      <c r="E219" s="59" t="s">
        <v>13</v>
      </c>
      <c r="F219" s="60">
        <v>3.3806779661016901</v>
      </c>
      <c r="G219" s="60">
        <v>3.6746326298135901</v>
      </c>
      <c r="H219" s="61">
        <v>2.1622641509433902</v>
      </c>
      <c r="I219" s="63">
        <v>2.98</v>
      </c>
      <c r="J219" s="58">
        <v>0.81773584905660979</v>
      </c>
      <c r="K219" s="58">
        <v>37.818499127400038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79</v>
      </c>
      <c r="D220" s="1" t="s">
        <v>1</v>
      </c>
      <c r="E220" s="59" t="s">
        <v>14</v>
      </c>
      <c r="F220" s="60">
        <v>1.51050847457627</v>
      </c>
      <c r="G220" s="60">
        <v>0.55082195508110199</v>
      </c>
      <c r="H220" s="61">
        <v>1.82636363636363</v>
      </c>
      <c r="I220" s="63">
        <v>4.83</v>
      </c>
      <c r="J220" s="58">
        <v>3.0036363636363701</v>
      </c>
      <c r="K220" s="58">
        <v>164.45993031358978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79</v>
      </c>
      <c r="D221" s="1" t="s">
        <v>1</v>
      </c>
      <c r="E221" s="59" t="s">
        <v>15</v>
      </c>
      <c r="F221" s="60">
        <v>0.91237288135593198</v>
      </c>
      <c r="G221" s="60">
        <v>0.18371255166008801</v>
      </c>
      <c r="H221" s="61">
        <v>0.828666666666667</v>
      </c>
      <c r="I221" s="63">
        <v>3.71</v>
      </c>
      <c r="J221" s="58">
        <v>2.8813333333333331</v>
      </c>
      <c r="K221" s="58">
        <v>347.70716009654046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79</v>
      </c>
      <c r="D222" s="1" t="s">
        <v>1</v>
      </c>
      <c r="E222" s="59" t="s">
        <v>16</v>
      </c>
      <c r="F222" s="60">
        <v>14.870677966101599</v>
      </c>
      <c r="G222" s="60">
        <v>4.8851285445005503</v>
      </c>
      <c r="H222" s="61">
        <v>17.1918604651162</v>
      </c>
      <c r="I222" s="63">
        <v>1.74</v>
      </c>
      <c r="J222" s="58">
        <v>-15.4518604651162</v>
      </c>
      <c r="K222" s="58">
        <v>-89.87893134934049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79</v>
      </c>
      <c r="D223" s="1" t="s">
        <v>1</v>
      </c>
      <c r="E223" s="59" t="s">
        <v>17</v>
      </c>
      <c r="F223" s="60">
        <v>3.38389830508474</v>
      </c>
      <c r="G223" s="60">
        <v>2.7283775628111502</v>
      </c>
      <c r="H223" s="61">
        <v>3.02931034482758</v>
      </c>
      <c r="I223" s="63">
        <v>5.14</v>
      </c>
      <c r="J223" s="58">
        <v>2.1106896551724197</v>
      </c>
      <c r="K223" s="58">
        <v>69.675583380763001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79</v>
      </c>
      <c r="D224" s="1" t="s">
        <v>1</v>
      </c>
      <c r="E224" s="59" t="s">
        <v>18</v>
      </c>
      <c r="F224" s="60">
        <v>1.25446428571428</v>
      </c>
      <c r="G224" s="60">
        <v>0.26946322067383899</v>
      </c>
      <c r="H224" s="61">
        <v>1.2047826086956499</v>
      </c>
      <c r="I224" s="63">
        <v>1.7</v>
      </c>
      <c r="J224" s="58">
        <v>0.49521739130435005</v>
      </c>
      <c r="K224" s="58">
        <v>41.104294478527869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79</v>
      </c>
      <c r="D225" s="1" t="s">
        <v>1</v>
      </c>
      <c r="E225" s="59" t="s">
        <v>19</v>
      </c>
      <c r="F225" s="60">
        <v>1.3866101694915201</v>
      </c>
      <c r="G225" s="60">
        <v>0.74586228148863198</v>
      </c>
      <c r="H225" s="61">
        <v>1.22428571428571</v>
      </c>
      <c r="I225" s="63">
        <v>1.73</v>
      </c>
      <c r="J225" s="58">
        <v>0.50571428571429</v>
      </c>
      <c r="K225" s="58">
        <v>41.306884480747286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4B40-B0E7-4424-88F8-0CD504925571}">
  <dimension ref="A1:M225"/>
  <sheetViews>
    <sheetView tabSelected="1" workbookViewId="0">
      <selection activeCell="Q7" sqref="Q7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12</v>
      </c>
      <c r="B2">
        <v>1</v>
      </c>
      <c r="C2" t="s">
        <v>79</v>
      </c>
      <c r="D2" s="1" t="s">
        <v>1</v>
      </c>
      <c r="E2" s="59" t="s">
        <v>12</v>
      </c>
      <c r="F2" s="60">
        <v>1.9775471698113101</v>
      </c>
      <c r="G2" s="60">
        <v>0.44296132826810802</v>
      </c>
      <c r="H2" s="61">
        <v>2.1033333333333299</v>
      </c>
      <c r="I2" s="62">
        <v>1.95</v>
      </c>
      <c r="J2" s="37">
        <v>-0.15333333333332999</v>
      </c>
      <c r="K2" s="37">
        <v>-7.2900158478603911</v>
      </c>
      <c r="L2" s="1" t="s">
        <v>23</v>
      </c>
      <c r="M2" s="1">
        <v>1</v>
      </c>
    </row>
    <row r="3" spans="1:13" x14ac:dyDescent="0.3">
      <c r="A3">
        <v>12</v>
      </c>
      <c r="B3">
        <v>1</v>
      </c>
      <c r="C3" t="s">
        <v>79</v>
      </c>
      <c r="D3" s="1" t="s">
        <v>1</v>
      </c>
      <c r="E3" s="59" t="s">
        <v>13</v>
      </c>
      <c r="F3" s="60">
        <v>0.46263157894736801</v>
      </c>
      <c r="G3" s="60">
        <v>6.0712908416448899E-2</v>
      </c>
      <c r="H3" s="61">
        <v>0.44999999999999901</v>
      </c>
      <c r="I3" s="62">
        <v>3.4</v>
      </c>
      <c r="J3" s="37">
        <v>2.9500000000000011</v>
      </c>
      <c r="K3" s="37">
        <v>655.55555555555725</v>
      </c>
      <c r="L3" s="1" t="s">
        <v>23</v>
      </c>
      <c r="M3" s="1">
        <v>1</v>
      </c>
    </row>
    <row r="4" spans="1:13" x14ac:dyDescent="0.3">
      <c r="A4">
        <v>12</v>
      </c>
      <c r="B4">
        <v>1</v>
      </c>
      <c r="C4" t="s">
        <v>79</v>
      </c>
      <c r="D4" s="1" t="s">
        <v>1</v>
      </c>
      <c r="E4" s="59" t="s">
        <v>14</v>
      </c>
      <c r="F4" s="60">
        <v>0.231864406779661</v>
      </c>
      <c r="G4" s="60">
        <v>0.11680019991089199</v>
      </c>
      <c r="H4" s="61">
        <v>0.22</v>
      </c>
      <c r="I4" s="62">
        <v>4.83</v>
      </c>
      <c r="J4" s="37">
        <v>4.6100000000000003</v>
      </c>
      <c r="K4" s="37">
        <v>2095.4545454545455</v>
      </c>
      <c r="L4" s="1" t="s">
        <v>23</v>
      </c>
      <c r="M4" s="1">
        <v>1</v>
      </c>
    </row>
    <row r="5" spans="1:13" x14ac:dyDescent="0.3">
      <c r="A5">
        <v>12</v>
      </c>
      <c r="B5">
        <v>1</v>
      </c>
      <c r="C5" t="s">
        <v>79</v>
      </c>
      <c r="D5" s="1" t="s">
        <v>1</v>
      </c>
      <c r="E5" s="59" t="s">
        <v>15</v>
      </c>
      <c r="F5" s="60">
        <v>1.1057627118644</v>
      </c>
      <c r="G5" s="60">
        <v>1.3186731947460599</v>
      </c>
      <c r="H5" s="61">
        <v>0.73962962962962897</v>
      </c>
      <c r="I5" s="62">
        <v>5.42</v>
      </c>
      <c r="J5" s="37">
        <v>4.6803703703703707</v>
      </c>
      <c r="K5" s="37">
        <v>632.79919879819784</v>
      </c>
      <c r="L5" s="1" t="s">
        <v>23</v>
      </c>
      <c r="M5" s="1">
        <v>1</v>
      </c>
    </row>
    <row r="6" spans="1:13" x14ac:dyDescent="0.3">
      <c r="A6">
        <v>12</v>
      </c>
      <c r="B6">
        <v>1</v>
      </c>
      <c r="C6" t="s">
        <v>79</v>
      </c>
      <c r="D6" s="1" t="s">
        <v>1</v>
      </c>
      <c r="E6" s="59" t="s">
        <v>16</v>
      </c>
      <c r="F6" s="60">
        <v>2.26728813559322</v>
      </c>
      <c r="G6" s="60">
        <v>0.53637145776662398</v>
      </c>
      <c r="H6" s="61">
        <v>2.4732653061224501</v>
      </c>
      <c r="I6" s="62">
        <v>3.92</v>
      </c>
      <c r="J6" s="37">
        <v>1.4467346938775498</v>
      </c>
      <c r="K6" s="37">
        <v>58.494925323871527</v>
      </c>
      <c r="L6" s="1" t="s">
        <v>23</v>
      </c>
      <c r="M6" s="1">
        <v>1</v>
      </c>
    </row>
    <row r="7" spans="1:13" x14ac:dyDescent="0.3">
      <c r="A7">
        <v>12</v>
      </c>
      <c r="B7">
        <v>1</v>
      </c>
      <c r="C7" t="s">
        <v>79</v>
      </c>
      <c r="D7" s="1" t="s">
        <v>1</v>
      </c>
      <c r="E7" s="59" t="s">
        <v>17</v>
      </c>
      <c r="F7" s="60">
        <v>1.1348275862068899</v>
      </c>
      <c r="G7" s="60">
        <v>1.0443530275417101</v>
      </c>
      <c r="H7" s="61">
        <v>0.82075471698113101</v>
      </c>
      <c r="I7" s="62">
        <v>4.3499999999999996</v>
      </c>
      <c r="J7" s="37">
        <v>3.5292452830188688</v>
      </c>
      <c r="K7" s="37">
        <v>430.00000000000068</v>
      </c>
      <c r="L7" s="1" t="s">
        <v>23</v>
      </c>
      <c r="M7" s="1">
        <v>1</v>
      </c>
    </row>
    <row r="8" spans="1:13" x14ac:dyDescent="0.3">
      <c r="A8">
        <v>12</v>
      </c>
      <c r="B8">
        <v>1</v>
      </c>
      <c r="C8" t="s">
        <v>79</v>
      </c>
      <c r="D8" s="1" t="s">
        <v>1</v>
      </c>
      <c r="E8" s="59" t="s">
        <v>18</v>
      </c>
      <c r="F8" s="60">
        <v>2.5801694915254201</v>
      </c>
      <c r="G8" s="60">
        <v>7.9178696183573596</v>
      </c>
      <c r="H8" s="61">
        <v>0.75339285714285698</v>
      </c>
      <c r="I8" s="62">
        <v>1.86</v>
      </c>
      <c r="J8" s="37">
        <v>1.1066071428571431</v>
      </c>
      <c r="K8" s="37">
        <v>146.88314766532361</v>
      </c>
      <c r="L8" s="1" t="s">
        <v>23</v>
      </c>
      <c r="M8" s="1">
        <v>1</v>
      </c>
    </row>
    <row r="9" spans="1:13" x14ac:dyDescent="0.3">
      <c r="A9">
        <v>12</v>
      </c>
      <c r="B9">
        <v>1</v>
      </c>
      <c r="C9" t="s">
        <v>79</v>
      </c>
      <c r="D9" s="1" t="s">
        <v>1</v>
      </c>
      <c r="E9" s="59" t="s">
        <v>19</v>
      </c>
      <c r="F9" s="60">
        <v>0.65050847457627103</v>
      </c>
      <c r="G9" s="60">
        <v>0.108321926490854</v>
      </c>
      <c r="H9" s="61">
        <v>0.72175</v>
      </c>
      <c r="I9" s="62">
        <v>2.73</v>
      </c>
      <c r="J9" s="37">
        <v>2.0082499999999999</v>
      </c>
      <c r="K9" s="37">
        <v>278.24731555247661</v>
      </c>
      <c r="L9" s="1" t="s">
        <v>23</v>
      </c>
      <c r="M9" s="1">
        <v>1</v>
      </c>
    </row>
    <row r="10" spans="1:13" x14ac:dyDescent="0.3">
      <c r="A10">
        <v>12</v>
      </c>
      <c r="B10">
        <v>1</v>
      </c>
      <c r="C10" t="s">
        <v>79</v>
      </c>
      <c r="D10" s="1" t="s">
        <v>1</v>
      </c>
      <c r="E10" s="59" t="s">
        <v>12</v>
      </c>
      <c r="F10" s="60">
        <v>1.9775471698113101</v>
      </c>
      <c r="G10" s="60">
        <v>0.44296132826810802</v>
      </c>
      <c r="H10" s="61">
        <v>2.1033333333333299</v>
      </c>
      <c r="I10" s="62">
        <v>1.94</v>
      </c>
      <c r="J10" s="37">
        <v>-0.16333333333333</v>
      </c>
      <c r="K10" s="37">
        <v>-7.7654516640252105</v>
      </c>
      <c r="L10" s="1" t="s">
        <v>68</v>
      </c>
      <c r="M10" s="1">
        <v>1</v>
      </c>
    </row>
    <row r="11" spans="1:13" x14ac:dyDescent="0.3">
      <c r="A11">
        <v>12</v>
      </c>
      <c r="B11">
        <v>1</v>
      </c>
      <c r="C11" t="s">
        <v>79</v>
      </c>
      <c r="D11" s="1" t="s">
        <v>1</v>
      </c>
      <c r="E11" s="59" t="s">
        <v>13</v>
      </c>
      <c r="F11" s="60">
        <v>0.46263157894736801</v>
      </c>
      <c r="G11" s="60">
        <v>6.0712908416448899E-2</v>
      </c>
      <c r="H11" s="61">
        <v>0.44999999999999901</v>
      </c>
      <c r="I11" s="62">
        <v>3.45</v>
      </c>
      <c r="J11" s="37">
        <v>3.0000000000000013</v>
      </c>
      <c r="K11" s="37">
        <v>666.66666666666833</v>
      </c>
      <c r="L11" s="1" t="s">
        <v>68</v>
      </c>
      <c r="M11" s="1">
        <v>1</v>
      </c>
    </row>
    <row r="12" spans="1:13" x14ac:dyDescent="0.3">
      <c r="A12">
        <v>12</v>
      </c>
      <c r="B12">
        <v>1</v>
      </c>
      <c r="C12" t="s">
        <v>79</v>
      </c>
      <c r="D12" s="1" t="s">
        <v>1</v>
      </c>
      <c r="E12" s="59" t="s">
        <v>14</v>
      </c>
      <c r="F12" s="60">
        <v>0.231864406779661</v>
      </c>
      <c r="G12" s="60">
        <v>0.11680019991089199</v>
      </c>
      <c r="H12" s="61">
        <v>0.22</v>
      </c>
      <c r="I12" s="62">
        <v>4.8499999999999996</v>
      </c>
      <c r="J12" s="37">
        <v>4.63</v>
      </c>
      <c r="K12" s="37">
        <v>2104.5454545454545</v>
      </c>
      <c r="L12" s="1" t="s">
        <v>68</v>
      </c>
      <c r="M12" s="1">
        <v>1</v>
      </c>
    </row>
    <row r="13" spans="1:13" x14ac:dyDescent="0.3">
      <c r="A13">
        <v>12</v>
      </c>
      <c r="B13">
        <v>1</v>
      </c>
      <c r="C13" t="s">
        <v>79</v>
      </c>
      <c r="D13" s="1" t="s">
        <v>1</v>
      </c>
      <c r="E13" s="59" t="s">
        <v>15</v>
      </c>
      <c r="F13" s="60">
        <v>1.1057627118644</v>
      </c>
      <c r="G13" s="60">
        <v>1.3186731947460599</v>
      </c>
      <c r="H13" s="61">
        <v>0.73962962962962897</v>
      </c>
      <c r="I13" s="62">
        <v>5.37</v>
      </c>
      <c r="J13" s="37">
        <v>4.6303703703703709</v>
      </c>
      <c r="K13" s="37">
        <v>626.03905858788244</v>
      </c>
      <c r="L13" s="1" t="s">
        <v>68</v>
      </c>
      <c r="M13" s="1">
        <v>1</v>
      </c>
    </row>
    <row r="14" spans="1:13" x14ac:dyDescent="0.3">
      <c r="A14">
        <v>12</v>
      </c>
      <c r="B14">
        <v>1</v>
      </c>
      <c r="C14" t="s">
        <v>79</v>
      </c>
      <c r="D14" s="1" t="s">
        <v>1</v>
      </c>
      <c r="E14" s="59" t="s">
        <v>16</v>
      </c>
      <c r="F14" s="60">
        <v>2.26728813559322</v>
      </c>
      <c r="G14" s="60">
        <v>0.53637145776662398</v>
      </c>
      <c r="H14" s="61">
        <v>2.4732653061224501</v>
      </c>
      <c r="I14" s="62">
        <v>3.93</v>
      </c>
      <c r="J14" s="37">
        <v>1.4567346938775501</v>
      </c>
      <c r="K14" s="37">
        <v>58.899249112963048</v>
      </c>
      <c r="L14" s="1" t="s">
        <v>68</v>
      </c>
      <c r="M14" s="1">
        <v>1</v>
      </c>
    </row>
    <row r="15" spans="1:13" x14ac:dyDescent="0.3">
      <c r="A15">
        <v>12</v>
      </c>
      <c r="B15">
        <v>1</v>
      </c>
      <c r="C15" t="s">
        <v>79</v>
      </c>
      <c r="D15" s="1" t="s">
        <v>1</v>
      </c>
      <c r="E15" s="59" t="s">
        <v>17</v>
      </c>
      <c r="F15" s="60">
        <v>1.1348275862068899</v>
      </c>
      <c r="G15" s="60">
        <v>1.0443530275417101</v>
      </c>
      <c r="H15" s="61">
        <v>0.82075471698113101</v>
      </c>
      <c r="I15" s="62">
        <v>4.3499999999999996</v>
      </c>
      <c r="J15" s="37">
        <v>3.5292452830188688</v>
      </c>
      <c r="K15" s="37">
        <v>430.00000000000068</v>
      </c>
      <c r="L15" s="1" t="s">
        <v>68</v>
      </c>
      <c r="M15" s="1">
        <v>1</v>
      </c>
    </row>
    <row r="16" spans="1:13" x14ac:dyDescent="0.3">
      <c r="A16">
        <v>12</v>
      </c>
      <c r="B16">
        <v>1</v>
      </c>
      <c r="C16" t="s">
        <v>79</v>
      </c>
      <c r="D16" s="1" t="s">
        <v>1</v>
      </c>
      <c r="E16" s="59" t="s">
        <v>18</v>
      </c>
      <c r="F16" s="60">
        <v>2.5801694915254201</v>
      </c>
      <c r="G16" s="60">
        <v>7.9178696183573596</v>
      </c>
      <c r="H16" s="61">
        <v>0.75339285714285698</v>
      </c>
      <c r="I16" s="62">
        <v>1.76</v>
      </c>
      <c r="J16" s="37">
        <v>1.006607142857143</v>
      </c>
      <c r="K16" s="37">
        <v>133.60986015643525</v>
      </c>
      <c r="L16" s="1" t="s">
        <v>68</v>
      </c>
      <c r="M16" s="1">
        <v>1</v>
      </c>
    </row>
    <row r="17" spans="1:13" x14ac:dyDescent="0.3">
      <c r="A17">
        <v>12</v>
      </c>
      <c r="B17">
        <v>1</v>
      </c>
      <c r="C17" t="s">
        <v>79</v>
      </c>
      <c r="D17" s="1" t="s">
        <v>1</v>
      </c>
      <c r="E17" s="59" t="s">
        <v>19</v>
      </c>
      <c r="F17" s="60">
        <v>0.65050847457627103</v>
      </c>
      <c r="G17" s="60">
        <v>0.108321926490854</v>
      </c>
      <c r="H17" s="61">
        <v>0.72175</v>
      </c>
      <c r="I17" s="62">
        <v>2.64</v>
      </c>
      <c r="J17" s="37">
        <v>1.91825</v>
      </c>
      <c r="K17" s="37">
        <v>265.77762383096643</v>
      </c>
      <c r="L17" s="1" t="s">
        <v>68</v>
      </c>
      <c r="M17" s="1">
        <v>1</v>
      </c>
    </row>
    <row r="18" spans="1:13" x14ac:dyDescent="0.3">
      <c r="A18">
        <v>12</v>
      </c>
      <c r="B18">
        <v>1</v>
      </c>
      <c r="C18" t="s">
        <v>79</v>
      </c>
      <c r="D18" s="1" t="s">
        <v>1</v>
      </c>
      <c r="E18" s="59" t="s">
        <v>12</v>
      </c>
      <c r="F18" s="60">
        <v>1.9775471698113101</v>
      </c>
      <c r="G18" s="60">
        <v>0.44296132826810802</v>
      </c>
      <c r="H18" s="61">
        <v>2.1033333333333299</v>
      </c>
      <c r="I18" s="62">
        <v>1.87</v>
      </c>
      <c r="J18" s="37">
        <v>-0.23333333333332984</v>
      </c>
      <c r="K18" s="37">
        <v>-11.093502377178933</v>
      </c>
      <c r="L18" s="1" t="s">
        <v>69</v>
      </c>
      <c r="M18" s="1">
        <v>1</v>
      </c>
    </row>
    <row r="19" spans="1:13" x14ac:dyDescent="0.3">
      <c r="A19">
        <v>12</v>
      </c>
      <c r="B19">
        <v>1</v>
      </c>
      <c r="C19" t="s">
        <v>79</v>
      </c>
      <c r="D19" s="1" t="s">
        <v>1</v>
      </c>
      <c r="E19" s="59" t="s">
        <v>13</v>
      </c>
      <c r="F19" s="60">
        <v>0.46263157894736801</v>
      </c>
      <c r="G19" s="60">
        <v>6.0712908416448899E-2</v>
      </c>
      <c r="H19" s="61">
        <v>0.44999999999999901</v>
      </c>
      <c r="I19" s="62">
        <v>3.49</v>
      </c>
      <c r="J19" s="37">
        <v>3.0400000000000014</v>
      </c>
      <c r="K19" s="37">
        <v>675.55555555555736</v>
      </c>
      <c r="L19" s="1" t="s">
        <v>69</v>
      </c>
      <c r="M19" s="1">
        <v>1</v>
      </c>
    </row>
    <row r="20" spans="1:13" x14ac:dyDescent="0.3">
      <c r="A20">
        <v>12</v>
      </c>
      <c r="B20">
        <v>1</v>
      </c>
      <c r="C20" t="s">
        <v>79</v>
      </c>
      <c r="D20" s="1" t="s">
        <v>1</v>
      </c>
      <c r="E20" s="59" t="s">
        <v>14</v>
      </c>
      <c r="F20" s="60">
        <v>0.231864406779661</v>
      </c>
      <c r="G20" s="60">
        <v>0.11680019991089199</v>
      </c>
      <c r="H20" s="61">
        <v>0.22</v>
      </c>
      <c r="I20" s="62">
        <v>4.88</v>
      </c>
      <c r="J20" s="37">
        <v>4.66</v>
      </c>
      <c r="K20" s="37">
        <v>2118.1818181818185</v>
      </c>
      <c r="L20" s="1" t="s">
        <v>69</v>
      </c>
      <c r="M20" s="1">
        <v>1</v>
      </c>
    </row>
    <row r="21" spans="1:13" x14ac:dyDescent="0.3">
      <c r="A21">
        <v>12</v>
      </c>
      <c r="B21">
        <v>1</v>
      </c>
      <c r="C21" t="s">
        <v>79</v>
      </c>
      <c r="D21" s="1" t="s">
        <v>1</v>
      </c>
      <c r="E21" s="59" t="s">
        <v>15</v>
      </c>
      <c r="F21" s="60">
        <v>1.1057627118644</v>
      </c>
      <c r="G21" s="60">
        <v>1.3186731947460599</v>
      </c>
      <c r="H21" s="61">
        <v>0.73962962962962897</v>
      </c>
      <c r="I21" s="62">
        <v>5.41</v>
      </c>
      <c r="J21" s="37">
        <v>4.6703703703703709</v>
      </c>
      <c r="K21" s="37">
        <v>631.44717075613482</v>
      </c>
      <c r="L21" s="1" t="s">
        <v>69</v>
      </c>
      <c r="M21" s="1">
        <v>1</v>
      </c>
    </row>
    <row r="22" spans="1:13" x14ac:dyDescent="0.3">
      <c r="A22">
        <v>12</v>
      </c>
      <c r="B22">
        <v>1</v>
      </c>
      <c r="C22" t="s">
        <v>79</v>
      </c>
      <c r="D22" s="1" t="s">
        <v>1</v>
      </c>
      <c r="E22" s="59" t="s">
        <v>16</v>
      </c>
      <c r="F22" s="60">
        <v>2.26728813559322</v>
      </c>
      <c r="G22" s="60">
        <v>0.53637145776662398</v>
      </c>
      <c r="H22" s="61">
        <v>2.4732653061224501</v>
      </c>
      <c r="I22" s="62">
        <v>3.97</v>
      </c>
      <c r="J22" s="37">
        <v>1.4967346938775501</v>
      </c>
      <c r="K22" s="37">
        <v>60.516544269329088</v>
      </c>
      <c r="L22" s="1" t="s">
        <v>69</v>
      </c>
      <c r="M22" s="1">
        <v>1</v>
      </c>
    </row>
    <row r="23" spans="1:13" x14ac:dyDescent="0.3">
      <c r="A23">
        <v>12</v>
      </c>
      <c r="B23">
        <v>1</v>
      </c>
      <c r="C23" t="s">
        <v>79</v>
      </c>
      <c r="D23" s="1" t="s">
        <v>1</v>
      </c>
      <c r="E23" s="59" t="s">
        <v>17</v>
      </c>
      <c r="F23" s="60">
        <v>1.1348275862068899</v>
      </c>
      <c r="G23" s="60">
        <v>1.0443530275417101</v>
      </c>
      <c r="H23" s="61">
        <v>0.82075471698113101</v>
      </c>
      <c r="I23" s="62">
        <v>4.4000000000000004</v>
      </c>
      <c r="J23" s="37">
        <v>3.5792452830188695</v>
      </c>
      <c r="K23" s="37">
        <v>436.09195402298928</v>
      </c>
      <c r="L23" s="1" t="s">
        <v>69</v>
      </c>
      <c r="M23" s="1">
        <v>1</v>
      </c>
    </row>
    <row r="24" spans="1:13" x14ac:dyDescent="0.3">
      <c r="A24">
        <v>12</v>
      </c>
      <c r="B24">
        <v>1</v>
      </c>
      <c r="C24" t="s">
        <v>79</v>
      </c>
      <c r="D24" s="1" t="s">
        <v>1</v>
      </c>
      <c r="E24" s="59" t="s">
        <v>18</v>
      </c>
      <c r="F24" s="60">
        <v>2.5801694915254201</v>
      </c>
      <c r="G24" s="60">
        <v>7.9178696183573596</v>
      </c>
      <c r="H24" s="61">
        <v>0.75339285714285698</v>
      </c>
      <c r="I24" s="62">
        <v>1.76</v>
      </c>
      <c r="J24" s="37">
        <v>1.006607142857143</v>
      </c>
      <c r="K24" s="37">
        <v>133.60986015643525</v>
      </c>
      <c r="L24" s="1" t="s">
        <v>69</v>
      </c>
      <c r="M24" s="1">
        <v>1</v>
      </c>
    </row>
    <row r="25" spans="1:13" x14ac:dyDescent="0.3">
      <c r="A25">
        <v>12</v>
      </c>
      <c r="B25">
        <v>1</v>
      </c>
      <c r="C25" t="s">
        <v>79</v>
      </c>
      <c r="D25" s="1" t="s">
        <v>1</v>
      </c>
      <c r="E25" s="59" t="s">
        <v>19</v>
      </c>
      <c r="F25" s="60">
        <v>0.65050847457627103</v>
      </c>
      <c r="G25" s="60">
        <v>0.108321926490854</v>
      </c>
      <c r="H25" s="61">
        <v>0.72175</v>
      </c>
      <c r="I25" s="62">
        <v>2.66</v>
      </c>
      <c r="J25" s="37">
        <v>1.93825</v>
      </c>
      <c r="K25" s="37">
        <v>268.54866643574644</v>
      </c>
      <c r="L25" s="1" t="s">
        <v>69</v>
      </c>
      <c r="M25" s="1">
        <v>1</v>
      </c>
    </row>
    <row r="27" spans="1:13" x14ac:dyDescent="0.3">
      <c r="A27">
        <v>12</v>
      </c>
      <c r="B27">
        <v>1</v>
      </c>
      <c r="C27" t="s">
        <v>79</v>
      </c>
      <c r="D27" s="1" t="s">
        <v>1</v>
      </c>
      <c r="E27" s="59" t="s">
        <v>12</v>
      </c>
      <c r="F27" s="60">
        <v>1.9137037037036999</v>
      </c>
      <c r="G27" s="60">
        <v>0.50394112051830497</v>
      </c>
      <c r="H27" s="61">
        <v>2.1317777777777698</v>
      </c>
      <c r="I27" s="62">
        <v>1.95</v>
      </c>
      <c r="J27" s="37">
        <v>-0.18177777777776982</v>
      </c>
      <c r="K27" s="37">
        <v>-8.527050974668688</v>
      </c>
      <c r="L27" s="1" t="s">
        <v>23</v>
      </c>
      <c r="M27" s="1">
        <v>2</v>
      </c>
    </row>
    <row r="28" spans="1:13" x14ac:dyDescent="0.3">
      <c r="A28">
        <v>12</v>
      </c>
      <c r="B28">
        <v>1</v>
      </c>
      <c r="C28" t="s">
        <v>79</v>
      </c>
      <c r="D28" s="1" t="s">
        <v>1</v>
      </c>
      <c r="E28" s="59" t="s">
        <v>13</v>
      </c>
      <c r="F28" s="60">
        <v>0.45807017543859602</v>
      </c>
      <c r="G28" s="60">
        <v>3.1977985656321199E-2</v>
      </c>
      <c r="H28" s="61">
        <v>0.44999999999999901</v>
      </c>
      <c r="I28" s="62">
        <v>3.4</v>
      </c>
      <c r="J28" s="37">
        <v>2.9500000000000011</v>
      </c>
      <c r="K28" s="37">
        <v>655.55555555555725</v>
      </c>
      <c r="L28" s="1" t="s">
        <v>23</v>
      </c>
      <c r="M28" s="1">
        <v>2</v>
      </c>
    </row>
    <row r="29" spans="1:13" x14ac:dyDescent="0.3">
      <c r="A29">
        <v>12</v>
      </c>
      <c r="B29">
        <v>1</v>
      </c>
      <c r="C29" t="s">
        <v>79</v>
      </c>
      <c r="D29" s="1" t="s">
        <v>1</v>
      </c>
      <c r="E29" s="59" t="s">
        <v>14</v>
      </c>
      <c r="F29" s="60">
        <v>0.21915254237288101</v>
      </c>
      <c r="G29" s="60">
        <v>4.9206866531768902E-2</v>
      </c>
      <c r="H29" s="61">
        <v>0.23899999999999999</v>
      </c>
      <c r="I29" s="62">
        <v>4.83</v>
      </c>
      <c r="J29" s="37">
        <v>4.5910000000000002</v>
      </c>
      <c r="K29" s="37">
        <v>1920.9205020920504</v>
      </c>
      <c r="L29" s="1" t="s">
        <v>23</v>
      </c>
      <c r="M29" s="1">
        <v>2</v>
      </c>
    </row>
    <row r="30" spans="1:13" x14ac:dyDescent="0.3">
      <c r="A30">
        <v>12</v>
      </c>
      <c r="B30">
        <v>1</v>
      </c>
      <c r="C30" t="s">
        <v>79</v>
      </c>
      <c r="D30" s="1" t="s">
        <v>1</v>
      </c>
      <c r="E30" s="59" t="s">
        <v>15</v>
      </c>
      <c r="F30" s="60">
        <v>0.946949152542373</v>
      </c>
      <c r="G30" s="60">
        <v>0.81787499404805797</v>
      </c>
      <c r="H30" s="61">
        <v>0.48619047619047601</v>
      </c>
      <c r="I30" s="62">
        <v>5.42</v>
      </c>
      <c r="J30" s="37">
        <v>4.9338095238095239</v>
      </c>
      <c r="K30" s="37">
        <v>1014.7894221351621</v>
      </c>
      <c r="L30" s="1" t="s">
        <v>23</v>
      </c>
      <c r="M30" s="1">
        <v>2</v>
      </c>
    </row>
    <row r="31" spans="1:13" x14ac:dyDescent="0.3">
      <c r="A31">
        <v>12</v>
      </c>
      <c r="B31">
        <v>1</v>
      </c>
      <c r="C31" t="s">
        <v>79</v>
      </c>
      <c r="D31" s="1" t="s">
        <v>1</v>
      </c>
      <c r="E31" s="59" t="s">
        <v>16</v>
      </c>
      <c r="F31" s="60">
        <v>2.2367796610169499</v>
      </c>
      <c r="G31" s="60">
        <v>0.45475432249030201</v>
      </c>
      <c r="H31" s="61">
        <v>2.3526923076922999</v>
      </c>
      <c r="I31" s="62">
        <v>3.92</v>
      </c>
      <c r="J31" s="37">
        <v>1.5673076923077001</v>
      </c>
      <c r="K31" s="37">
        <v>66.617623017819739</v>
      </c>
      <c r="L31" s="1" t="s">
        <v>23</v>
      </c>
      <c r="M31" s="1">
        <v>2</v>
      </c>
    </row>
    <row r="32" spans="1:13" x14ac:dyDescent="0.3">
      <c r="A32">
        <v>12</v>
      </c>
      <c r="B32">
        <v>1</v>
      </c>
      <c r="C32" t="s">
        <v>79</v>
      </c>
      <c r="D32" s="1" t="s">
        <v>1</v>
      </c>
      <c r="E32" s="59" t="s">
        <v>17</v>
      </c>
      <c r="F32" s="60">
        <v>0.90086206896551602</v>
      </c>
      <c r="G32" s="60">
        <v>0.48231941227550401</v>
      </c>
      <c r="H32" s="61">
        <v>0.84333333333333205</v>
      </c>
      <c r="I32" s="62">
        <v>4.3499999999999996</v>
      </c>
      <c r="J32" s="37">
        <v>3.5066666666666677</v>
      </c>
      <c r="K32" s="37">
        <v>415.81027667984267</v>
      </c>
      <c r="L32" s="1" t="s">
        <v>23</v>
      </c>
      <c r="M32" s="1">
        <v>2</v>
      </c>
    </row>
    <row r="33" spans="1:13" x14ac:dyDescent="0.3">
      <c r="A33">
        <v>12</v>
      </c>
      <c r="B33">
        <v>1</v>
      </c>
      <c r="C33" t="s">
        <v>79</v>
      </c>
      <c r="D33" s="1" t="s">
        <v>1</v>
      </c>
      <c r="E33" s="59" t="s">
        <v>18</v>
      </c>
      <c r="F33" s="60">
        <v>2.9205084745762599</v>
      </c>
      <c r="G33" s="60">
        <v>9.3025712544889192</v>
      </c>
      <c r="H33" s="61">
        <v>0.77392857142857197</v>
      </c>
      <c r="I33" s="62">
        <v>1.86</v>
      </c>
      <c r="J33" s="37">
        <v>1.0860714285714281</v>
      </c>
      <c r="K33" s="37">
        <v>140.33225657591123</v>
      </c>
      <c r="L33" s="1" t="s">
        <v>23</v>
      </c>
      <c r="M33" s="1">
        <v>2</v>
      </c>
    </row>
    <row r="34" spans="1:13" x14ac:dyDescent="0.3">
      <c r="A34">
        <v>12</v>
      </c>
      <c r="B34">
        <v>1</v>
      </c>
      <c r="C34" t="s">
        <v>79</v>
      </c>
      <c r="D34" s="1" t="s">
        <v>1</v>
      </c>
      <c r="E34" s="59" t="s">
        <v>19</v>
      </c>
      <c r="F34" s="60">
        <v>0.66084745762711805</v>
      </c>
      <c r="G34" s="60">
        <v>0.106838832139154</v>
      </c>
      <c r="H34" s="61">
        <v>0.72</v>
      </c>
      <c r="I34" s="62">
        <v>2.73</v>
      </c>
      <c r="J34" s="37">
        <v>2.0099999999999998</v>
      </c>
      <c r="K34" s="37">
        <v>279.16666666666663</v>
      </c>
      <c r="L34" s="1" t="s">
        <v>23</v>
      </c>
      <c r="M34" s="1">
        <v>2</v>
      </c>
    </row>
    <row r="35" spans="1:13" x14ac:dyDescent="0.3">
      <c r="A35">
        <v>12</v>
      </c>
      <c r="B35">
        <v>1</v>
      </c>
      <c r="C35" t="s">
        <v>79</v>
      </c>
      <c r="D35" s="1" t="s">
        <v>1</v>
      </c>
      <c r="E35" s="59" t="s">
        <v>12</v>
      </c>
      <c r="F35" s="60">
        <v>1.9137037037036999</v>
      </c>
      <c r="G35" s="60">
        <v>0.50394112051830497</v>
      </c>
      <c r="H35" s="61">
        <v>2.1317777777777698</v>
      </c>
      <c r="I35" s="62">
        <v>1.94</v>
      </c>
      <c r="J35" s="37">
        <v>-0.19177777777776983</v>
      </c>
      <c r="K35" s="37">
        <v>-8.9961430209524398</v>
      </c>
      <c r="L35" s="1" t="s">
        <v>68</v>
      </c>
      <c r="M35" s="1">
        <v>2</v>
      </c>
    </row>
    <row r="36" spans="1:13" x14ac:dyDescent="0.3">
      <c r="A36">
        <v>12</v>
      </c>
      <c r="B36">
        <v>1</v>
      </c>
      <c r="C36" t="s">
        <v>79</v>
      </c>
      <c r="D36" s="1" t="s">
        <v>1</v>
      </c>
      <c r="E36" s="59" t="s">
        <v>13</v>
      </c>
      <c r="F36" s="60">
        <v>0.45807017543859602</v>
      </c>
      <c r="G36" s="60">
        <v>3.1977985656321199E-2</v>
      </c>
      <c r="H36" s="61">
        <v>0.44999999999999901</v>
      </c>
      <c r="I36" s="62">
        <v>3.45</v>
      </c>
      <c r="J36" s="37">
        <v>3.0000000000000013</v>
      </c>
      <c r="K36" s="37">
        <v>666.66666666666833</v>
      </c>
      <c r="L36" s="1" t="s">
        <v>68</v>
      </c>
      <c r="M36" s="1">
        <v>2</v>
      </c>
    </row>
    <row r="37" spans="1:13" x14ac:dyDescent="0.3">
      <c r="A37">
        <v>12</v>
      </c>
      <c r="B37">
        <v>1</v>
      </c>
      <c r="C37" t="s">
        <v>79</v>
      </c>
      <c r="D37" s="1" t="s">
        <v>1</v>
      </c>
      <c r="E37" s="59" t="s">
        <v>14</v>
      </c>
      <c r="F37" s="60">
        <v>0.21915254237288101</v>
      </c>
      <c r="G37" s="60">
        <v>4.9206866531768902E-2</v>
      </c>
      <c r="H37" s="61">
        <v>0.23899999999999999</v>
      </c>
      <c r="I37" s="62">
        <v>4.8499999999999996</v>
      </c>
      <c r="J37" s="37">
        <v>4.6109999999999998</v>
      </c>
      <c r="K37" s="37">
        <v>1929.2887029288704</v>
      </c>
      <c r="L37" s="1" t="s">
        <v>68</v>
      </c>
      <c r="M37" s="1">
        <v>2</v>
      </c>
    </row>
    <row r="38" spans="1:13" x14ac:dyDescent="0.3">
      <c r="A38">
        <v>12</v>
      </c>
      <c r="B38">
        <v>1</v>
      </c>
      <c r="C38" t="s">
        <v>79</v>
      </c>
      <c r="D38" s="1" t="s">
        <v>1</v>
      </c>
      <c r="E38" s="59" t="s">
        <v>15</v>
      </c>
      <c r="F38" s="60">
        <v>0.946949152542373</v>
      </c>
      <c r="G38" s="60">
        <v>0.81787499404805797</v>
      </c>
      <c r="H38" s="61">
        <v>0.48619047619047601</v>
      </c>
      <c r="I38" s="62">
        <v>5.37</v>
      </c>
      <c r="J38" s="37">
        <v>4.883809523809524</v>
      </c>
      <c r="K38" s="37">
        <v>1004.5053868756125</v>
      </c>
      <c r="L38" s="1" t="s">
        <v>68</v>
      </c>
      <c r="M38" s="1">
        <v>2</v>
      </c>
    </row>
    <row r="39" spans="1:13" x14ac:dyDescent="0.3">
      <c r="A39">
        <v>12</v>
      </c>
      <c r="B39">
        <v>1</v>
      </c>
      <c r="C39" t="s">
        <v>79</v>
      </c>
      <c r="D39" s="1" t="s">
        <v>1</v>
      </c>
      <c r="E39" s="59" t="s">
        <v>16</v>
      </c>
      <c r="F39" s="60">
        <v>2.2367796610169499</v>
      </c>
      <c r="G39" s="60">
        <v>0.45475432249030201</v>
      </c>
      <c r="H39" s="61">
        <v>2.3526923076922999</v>
      </c>
      <c r="I39" s="62">
        <v>3.93</v>
      </c>
      <c r="J39" s="37">
        <v>1.5773076923077003</v>
      </c>
      <c r="K39" s="37">
        <v>67.04266797449786</v>
      </c>
      <c r="L39" s="1" t="s">
        <v>68</v>
      </c>
      <c r="M39" s="1">
        <v>2</v>
      </c>
    </row>
    <row r="40" spans="1:13" x14ac:dyDescent="0.3">
      <c r="A40">
        <v>12</v>
      </c>
      <c r="B40">
        <v>1</v>
      </c>
      <c r="C40" t="s">
        <v>79</v>
      </c>
      <c r="D40" s="1" t="s">
        <v>1</v>
      </c>
      <c r="E40" s="59" t="s">
        <v>17</v>
      </c>
      <c r="F40" s="60">
        <v>0.90086206896551602</v>
      </c>
      <c r="G40" s="60">
        <v>0.48231941227550401</v>
      </c>
      <c r="H40" s="61">
        <v>0.84333333333333205</v>
      </c>
      <c r="I40" s="62">
        <v>4.3499999999999996</v>
      </c>
      <c r="J40" s="37">
        <v>3.5066666666666677</v>
      </c>
      <c r="K40" s="37">
        <v>415.81027667984267</v>
      </c>
      <c r="L40" s="1" t="s">
        <v>68</v>
      </c>
      <c r="M40" s="1">
        <v>2</v>
      </c>
    </row>
    <row r="41" spans="1:13" x14ac:dyDescent="0.3">
      <c r="A41">
        <v>12</v>
      </c>
      <c r="B41">
        <v>1</v>
      </c>
      <c r="C41" t="s">
        <v>79</v>
      </c>
      <c r="D41" s="1" t="s">
        <v>1</v>
      </c>
      <c r="E41" s="59" t="s">
        <v>18</v>
      </c>
      <c r="F41" s="60">
        <v>2.9205084745762599</v>
      </c>
      <c r="G41" s="60">
        <v>9.3025712544889192</v>
      </c>
      <c r="H41" s="61">
        <v>0.77392857142857197</v>
      </c>
      <c r="I41" s="62">
        <v>1.76</v>
      </c>
      <c r="J41" s="37">
        <v>0.98607142857142804</v>
      </c>
      <c r="K41" s="37">
        <v>127.4111675126902</v>
      </c>
      <c r="L41" s="1" t="s">
        <v>68</v>
      </c>
      <c r="M41" s="1">
        <v>2</v>
      </c>
    </row>
    <row r="42" spans="1:13" x14ac:dyDescent="0.3">
      <c r="A42">
        <v>12</v>
      </c>
      <c r="B42">
        <v>1</v>
      </c>
      <c r="C42" t="s">
        <v>79</v>
      </c>
      <c r="D42" s="1" t="s">
        <v>1</v>
      </c>
      <c r="E42" s="59" t="s">
        <v>19</v>
      </c>
      <c r="F42" s="60">
        <v>0.66084745762711805</v>
      </c>
      <c r="G42" s="60">
        <v>0.106838832139154</v>
      </c>
      <c r="H42" s="61">
        <v>0.72</v>
      </c>
      <c r="I42" s="62">
        <v>2.64</v>
      </c>
      <c r="J42" s="37">
        <v>1.9200000000000002</v>
      </c>
      <c r="K42" s="37">
        <v>266.66666666666669</v>
      </c>
      <c r="L42" s="1" t="s">
        <v>68</v>
      </c>
      <c r="M42" s="1">
        <v>2</v>
      </c>
    </row>
    <row r="43" spans="1:13" x14ac:dyDescent="0.3">
      <c r="A43">
        <v>12</v>
      </c>
      <c r="B43">
        <v>1</v>
      </c>
      <c r="C43" t="s">
        <v>79</v>
      </c>
      <c r="D43" s="1" t="s">
        <v>1</v>
      </c>
      <c r="E43" s="59" t="s">
        <v>12</v>
      </c>
      <c r="F43" s="60">
        <v>1.9137037037036999</v>
      </c>
      <c r="G43" s="60">
        <v>0.50394112051830497</v>
      </c>
      <c r="H43" s="61">
        <v>2.1317777777777698</v>
      </c>
      <c r="I43" s="62">
        <v>1.87</v>
      </c>
      <c r="J43" s="37">
        <v>-0.26177777777776967</v>
      </c>
      <c r="K43" s="37">
        <v>-12.279787344938683</v>
      </c>
      <c r="L43" s="1" t="s">
        <v>69</v>
      </c>
      <c r="M43" s="1">
        <v>2</v>
      </c>
    </row>
    <row r="44" spans="1:13" x14ac:dyDescent="0.3">
      <c r="A44">
        <v>12</v>
      </c>
      <c r="B44">
        <v>1</v>
      </c>
      <c r="C44" t="s">
        <v>79</v>
      </c>
      <c r="D44" s="1" t="s">
        <v>1</v>
      </c>
      <c r="E44" s="59" t="s">
        <v>13</v>
      </c>
      <c r="F44" s="60">
        <v>0.45807017543859602</v>
      </c>
      <c r="G44" s="60">
        <v>3.1977985656321199E-2</v>
      </c>
      <c r="H44" s="61">
        <v>0.44999999999999901</v>
      </c>
      <c r="I44" s="62">
        <v>3.49</v>
      </c>
      <c r="J44" s="37">
        <v>3.0400000000000014</v>
      </c>
      <c r="K44" s="37">
        <v>675.55555555555736</v>
      </c>
      <c r="L44" s="1" t="s">
        <v>69</v>
      </c>
      <c r="M44" s="1">
        <v>2</v>
      </c>
    </row>
    <row r="45" spans="1:13" x14ac:dyDescent="0.3">
      <c r="A45">
        <v>12</v>
      </c>
      <c r="B45">
        <v>1</v>
      </c>
      <c r="C45" t="s">
        <v>79</v>
      </c>
      <c r="D45" s="1" t="s">
        <v>1</v>
      </c>
      <c r="E45" s="59" t="s">
        <v>14</v>
      </c>
      <c r="F45" s="60">
        <v>0.21915254237288101</v>
      </c>
      <c r="G45" s="60">
        <v>4.9206866531768902E-2</v>
      </c>
      <c r="H45" s="61">
        <v>0.23899999999999999</v>
      </c>
      <c r="I45" s="62">
        <v>4.88</v>
      </c>
      <c r="J45" s="37">
        <v>4.641</v>
      </c>
      <c r="K45" s="37">
        <v>1941.8410041841003</v>
      </c>
      <c r="L45" s="1" t="s">
        <v>69</v>
      </c>
      <c r="M45" s="1">
        <v>2</v>
      </c>
    </row>
    <row r="46" spans="1:13" x14ac:dyDescent="0.3">
      <c r="A46">
        <v>12</v>
      </c>
      <c r="B46">
        <v>1</v>
      </c>
      <c r="C46" t="s">
        <v>79</v>
      </c>
      <c r="D46" s="1" t="s">
        <v>1</v>
      </c>
      <c r="E46" s="59" t="s">
        <v>15</v>
      </c>
      <c r="F46" s="60">
        <v>0.946949152542373</v>
      </c>
      <c r="G46" s="60">
        <v>0.81787499404805797</v>
      </c>
      <c r="H46" s="61">
        <v>0.48619047619047601</v>
      </c>
      <c r="I46" s="62">
        <v>5.41</v>
      </c>
      <c r="J46" s="37">
        <v>4.9238095238095241</v>
      </c>
      <c r="K46" s="37">
        <v>1012.7326150832522</v>
      </c>
      <c r="L46" s="1" t="s">
        <v>69</v>
      </c>
      <c r="M46" s="1">
        <v>2</v>
      </c>
    </row>
    <row r="47" spans="1:13" x14ac:dyDescent="0.3">
      <c r="A47">
        <v>12</v>
      </c>
      <c r="B47">
        <v>1</v>
      </c>
      <c r="C47" t="s">
        <v>79</v>
      </c>
      <c r="D47" s="1" t="s">
        <v>1</v>
      </c>
      <c r="E47" s="59" t="s">
        <v>16</v>
      </c>
      <c r="F47" s="60">
        <v>2.2367796610169499</v>
      </c>
      <c r="G47" s="60">
        <v>0.45475432249030201</v>
      </c>
      <c r="H47" s="61">
        <v>2.3526923076922999</v>
      </c>
      <c r="I47" s="62">
        <v>3.97</v>
      </c>
      <c r="J47" s="37">
        <v>1.6173076923077003</v>
      </c>
      <c r="K47" s="37">
        <v>68.742847801210317</v>
      </c>
      <c r="L47" s="1" t="s">
        <v>69</v>
      </c>
      <c r="M47" s="1">
        <v>2</v>
      </c>
    </row>
    <row r="48" spans="1:13" x14ac:dyDescent="0.3">
      <c r="A48">
        <v>12</v>
      </c>
      <c r="B48">
        <v>1</v>
      </c>
      <c r="C48" t="s">
        <v>79</v>
      </c>
      <c r="D48" s="1" t="s">
        <v>1</v>
      </c>
      <c r="E48" s="59" t="s">
        <v>17</v>
      </c>
      <c r="F48" s="60">
        <v>0.90086206896551602</v>
      </c>
      <c r="G48" s="60">
        <v>0.48231941227550401</v>
      </c>
      <c r="H48" s="61">
        <v>0.84333333333333205</v>
      </c>
      <c r="I48" s="62">
        <v>4.4000000000000004</v>
      </c>
      <c r="J48" s="37">
        <v>3.5566666666666684</v>
      </c>
      <c r="K48" s="37">
        <v>421.73913043478342</v>
      </c>
      <c r="L48" s="1" t="s">
        <v>69</v>
      </c>
      <c r="M48" s="1">
        <v>2</v>
      </c>
    </row>
    <row r="49" spans="1:13" x14ac:dyDescent="0.3">
      <c r="A49">
        <v>12</v>
      </c>
      <c r="B49">
        <v>1</v>
      </c>
      <c r="C49" t="s">
        <v>79</v>
      </c>
      <c r="D49" s="1" t="s">
        <v>1</v>
      </c>
      <c r="E49" s="59" t="s">
        <v>18</v>
      </c>
      <c r="F49" s="60">
        <v>2.9205084745762599</v>
      </c>
      <c r="G49" s="60">
        <v>9.3025712544889192</v>
      </c>
      <c r="H49" s="61">
        <v>0.77392857142857197</v>
      </c>
      <c r="I49" s="62">
        <v>1.76</v>
      </c>
      <c r="J49" s="37">
        <v>0.98607142857142804</v>
      </c>
      <c r="K49" s="37">
        <v>127.4111675126902</v>
      </c>
      <c r="L49" s="1" t="s">
        <v>69</v>
      </c>
      <c r="M49" s="1">
        <v>2</v>
      </c>
    </row>
    <row r="50" spans="1:13" x14ac:dyDescent="0.3">
      <c r="A50">
        <v>12</v>
      </c>
      <c r="B50">
        <v>1</v>
      </c>
      <c r="C50" t="s">
        <v>79</v>
      </c>
      <c r="D50" s="1" t="s">
        <v>1</v>
      </c>
      <c r="E50" s="59" t="s">
        <v>19</v>
      </c>
      <c r="F50" s="60">
        <v>0.66084745762711805</v>
      </c>
      <c r="G50" s="60">
        <v>0.106838832139154</v>
      </c>
      <c r="H50" s="61">
        <v>0.72</v>
      </c>
      <c r="I50" s="62">
        <v>2.66</v>
      </c>
      <c r="J50" s="37">
        <v>1.9400000000000002</v>
      </c>
      <c r="K50" s="37">
        <v>269.44444444444446</v>
      </c>
      <c r="L50" s="1" t="s">
        <v>69</v>
      </c>
      <c r="M50" s="1">
        <v>2</v>
      </c>
    </row>
    <row r="52" spans="1:13" x14ac:dyDescent="0.3">
      <c r="A52">
        <v>12</v>
      </c>
      <c r="B52">
        <v>1</v>
      </c>
      <c r="C52" t="s">
        <v>79</v>
      </c>
      <c r="D52" s="1" t="s">
        <v>1</v>
      </c>
      <c r="E52" s="59" t="s">
        <v>12</v>
      </c>
      <c r="F52" s="60">
        <v>1.97631578947368</v>
      </c>
      <c r="G52" s="60">
        <v>0.47751047229793903</v>
      </c>
      <c r="H52" s="61">
        <v>2.1419148936170198</v>
      </c>
      <c r="I52" s="63">
        <v>1.95</v>
      </c>
      <c r="J52" s="58">
        <v>-0.19191489361701985</v>
      </c>
      <c r="K52" s="58">
        <v>-8.9599682129730205</v>
      </c>
      <c r="L52" s="1" t="s">
        <v>23</v>
      </c>
      <c r="M52" s="1">
        <v>3</v>
      </c>
    </row>
    <row r="53" spans="1:13" x14ac:dyDescent="0.3">
      <c r="A53">
        <v>12</v>
      </c>
      <c r="B53">
        <v>1</v>
      </c>
      <c r="C53" t="s">
        <v>79</v>
      </c>
      <c r="D53" s="1" t="s">
        <v>1</v>
      </c>
      <c r="E53" s="59" t="s">
        <v>13</v>
      </c>
      <c r="F53" s="60">
        <v>0.45344827586206798</v>
      </c>
      <c r="G53" s="60">
        <v>3.3659129219068697E-2</v>
      </c>
      <c r="H53" s="61">
        <v>0.44999999999999901</v>
      </c>
      <c r="I53" s="63">
        <v>3.4</v>
      </c>
      <c r="J53" s="58">
        <v>2.9500000000000011</v>
      </c>
      <c r="K53" s="58">
        <v>655.55555555555725</v>
      </c>
      <c r="L53" s="1" t="s">
        <v>23</v>
      </c>
      <c r="M53" s="1">
        <v>3</v>
      </c>
    </row>
    <row r="54" spans="1:13" x14ac:dyDescent="0.3">
      <c r="A54">
        <v>12</v>
      </c>
      <c r="B54">
        <v>1</v>
      </c>
      <c r="C54" t="s">
        <v>79</v>
      </c>
      <c r="D54" s="1" t="s">
        <v>1</v>
      </c>
      <c r="E54" s="59" t="s">
        <v>14</v>
      </c>
      <c r="F54" s="60">
        <v>0.230833333333333</v>
      </c>
      <c r="G54" s="60">
        <v>9.4256594228497095E-2</v>
      </c>
      <c r="H54" s="61">
        <v>0.244255319148936</v>
      </c>
      <c r="I54" s="63">
        <v>4.83</v>
      </c>
      <c r="J54" s="58">
        <v>4.5857446808510645</v>
      </c>
      <c r="K54" s="58">
        <v>1877.4390243902455</v>
      </c>
      <c r="L54" s="1" t="s">
        <v>23</v>
      </c>
      <c r="M54" s="1">
        <v>3</v>
      </c>
    </row>
    <row r="55" spans="1:13" x14ac:dyDescent="0.3">
      <c r="A55">
        <v>12</v>
      </c>
      <c r="B55">
        <v>1</v>
      </c>
      <c r="C55" t="s">
        <v>79</v>
      </c>
      <c r="D55" s="1" t="s">
        <v>1</v>
      </c>
      <c r="E55" s="59" t="s">
        <v>15</v>
      </c>
      <c r="F55" s="60">
        <v>1.02866666666666</v>
      </c>
      <c r="G55" s="60">
        <v>1.1565112287488699</v>
      </c>
      <c r="H55" s="61">
        <v>0.752857142857143</v>
      </c>
      <c r="I55" s="63">
        <v>5.42</v>
      </c>
      <c r="J55" s="58">
        <v>4.6671428571428573</v>
      </c>
      <c r="K55" s="58">
        <v>619.92409867172671</v>
      </c>
      <c r="L55" s="1" t="s">
        <v>23</v>
      </c>
      <c r="M55" s="1">
        <v>3</v>
      </c>
    </row>
    <row r="56" spans="1:13" x14ac:dyDescent="0.3">
      <c r="A56">
        <v>12</v>
      </c>
      <c r="B56">
        <v>1</v>
      </c>
      <c r="C56" t="s">
        <v>79</v>
      </c>
      <c r="D56" s="1" t="s">
        <v>1</v>
      </c>
      <c r="E56" s="59" t="s">
        <v>16</v>
      </c>
      <c r="F56" s="60">
        <v>2.3530000000000002</v>
      </c>
      <c r="G56" s="60">
        <v>0.45915610998148798</v>
      </c>
      <c r="H56" s="61">
        <v>2.5504166666666599</v>
      </c>
      <c r="I56" s="63">
        <v>3.92</v>
      </c>
      <c r="J56" s="58">
        <v>1.36958333333334</v>
      </c>
      <c r="K56" s="58">
        <v>53.7003757555959</v>
      </c>
      <c r="L56" s="1" t="s">
        <v>23</v>
      </c>
      <c r="M56" s="1">
        <v>3</v>
      </c>
    </row>
    <row r="57" spans="1:13" x14ac:dyDescent="0.3">
      <c r="A57">
        <v>12</v>
      </c>
      <c r="B57">
        <v>1</v>
      </c>
      <c r="C57" t="s">
        <v>79</v>
      </c>
      <c r="D57" s="1" t="s">
        <v>1</v>
      </c>
      <c r="E57" s="59" t="s">
        <v>17</v>
      </c>
      <c r="F57" s="60">
        <v>0.97745762711864304</v>
      </c>
      <c r="G57" s="60">
        <v>0.76473013567396997</v>
      </c>
      <c r="H57" s="61">
        <v>0.84017543859649002</v>
      </c>
      <c r="I57" s="63">
        <v>4.3499999999999996</v>
      </c>
      <c r="J57" s="58">
        <v>3.5098245614035095</v>
      </c>
      <c r="K57" s="58">
        <v>417.74900814366322</v>
      </c>
      <c r="L57" s="1" t="s">
        <v>23</v>
      </c>
      <c r="M57" s="1">
        <v>3</v>
      </c>
    </row>
    <row r="58" spans="1:13" x14ac:dyDescent="0.3">
      <c r="A58">
        <v>12</v>
      </c>
      <c r="B58">
        <v>1</v>
      </c>
      <c r="C58" t="s">
        <v>79</v>
      </c>
      <c r="D58" s="1" t="s">
        <v>1</v>
      </c>
      <c r="E58" s="59" t="s">
        <v>18</v>
      </c>
      <c r="F58" s="60">
        <v>2.1403389830508401</v>
      </c>
      <c r="G58" s="60">
        <v>7.4724785364904696</v>
      </c>
      <c r="H58" s="61">
        <v>0.745789473684211</v>
      </c>
      <c r="I58" s="63">
        <v>1.86</v>
      </c>
      <c r="J58" s="58">
        <v>1.1142105263157891</v>
      </c>
      <c r="K58" s="58">
        <v>149.40014114326027</v>
      </c>
      <c r="L58" s="1" t="s">
        <v>23</v>
      </c>
      <c r="M58" s="1">
        <v>3</v>
      </c>
    </row>
    <row r="59" spans="1:13" x14ac:dyDescent="0.3">
      <c r="A59">
        <v>12</v>
      </c>
      <c r="B59">
        <v>1</v>
      </c>
      <c r="C59" t="s">
        <v>79</v>
      </c>
      <c r="D59" s="1" t="s">
        <v>1</v>
      </c>
      <c r="E59" s="59" t="s">
        <v>19</v>
      </c>
      <c r="F59" s="60">
        <v>0.65166666666666595</v>
      </c>
      <c r="G59" s="60">
        <v>0.117943018256934</v>
      </c>
      <c r="H59" s="61">
        <v>0.70799999999999996</v>
      </c>
      <c r="I59" s="63">
        <v>2.73</v>
      </c>
      <c r="J59" s="58">
        <v>2.0220000000000002</v>
      </c>
      <c r="K59" s="58">
        <v>285.59322033898309</v>
      </c>
      <c r="L59" s="1" t="s">
        <v>23</v>
      </c>
      <c r="M59" s="1">
        <v>3</v>
      </c>
    </row>
    <row r="60" spans="1:13" x14ac:dyDescent="0.3">
      <c r="A60">
        <v>12</v>
      </c>
      <c r="B60">
        <v>1</v>
      </c>
      <c r="C60" t="s">
        <v>79</v>
      </c>
      <c r="D60" s="1" t="s">
        <v>1</v>
      </c>
      <c r="E60" s="59" t="s">
        <v>12</v>
      </c>
      <c r="F60" s="60">
        <v>1.97631578947368</v>
      </c>
      <c r="G60" s="60">
        <v>0.47751047229793903</v>
      </c>
      <c r="H60" s="61">
        <v>2.1419148936170198</v>
      </c>
      <c r="I60" s="63">
        <v>1.94</v>
      </c>
      <c r="J60" s="58">
        <v>-0.20191489361701986</v>
      </c>
      <c r="K60" s="58">
        <v>-9.4268401708552112</v>
      </c>
      <c r="L60" s="1" t="s">
        <v>68</v>
      </c>
      <c r="M60" s="1">
        <v>3</v>
      </c>
    </row>
    <row r="61" spans="1:13" x14ac:dyDescent="0.3">
      <c r="A61">
        <v>12</v>
      </c>
      <c r="B61">
        <v>1</v>
      </c>
      <c r="C61" t="s">
        <v>79</v>
      </c>
      <c r="D61" s="1" t="s">
        <v>1</v>
      </c>
      <c r="E61" s="59" t="s">
        <v>13</v>
      </c>
      <c r="F61" s="60">
        <v>0.45344827586206798</v>
      </c>
      <c r="G61" s="60">
        <v>3.3659129219068697E-2</v>
      </c>
      <c r="H61" s="61">
        <v>0.44999999999999901</v>
      </c>
      <c r="I61" s="63">
        <v>3.45</v>
      </c>
      <c r="J61" s="58">
        <v>3.0000000000000013</v>
      </c>
      <c r="K61" s="58">
        <v>666.66666666666833</v>
      </c>
      <c r="L61" s="1" t="s">
        <v>68</v>
      </c>
      <c r="M61" s="1">
        <v>3</v>
      </c>
    </row>
    <row r="62" spans="1:13" x14ac:dyDescent="0.3">
      <c r="A62">
        <v>12</v>
      </c>
      <c r="B62">
        <v>1</v>
      </c>
      <c r="C62" t="s">
        <v>79</v>
      </c>
      <c r="D62" s="1" t="s">
        <v>1</v>
      </c>
      <c r="E62" s="59" t="s">
        <v>14</v>
      </c>
      <c r="F62" s="60">
        <v>0.230833333333333</v>
      </c>
      <c r="G62" s="60">
        <v>9.4256594228497095E-2</v>
      </c>
      <c r="H62" s="61">
        <v>0.244255319148936</v>
      </c>
      <c r="I62" s="63">
        <v>4.8499999999999996</v>
      </c>
      <c r="J62" s="58">
        <v>4.605744680851064</v>
      </c>
      <c r="K62" s="58">
        <v>1885.6271777003499</v>
      </c>
      <c r="L62" s="1" t="s">
        <v>68</v>
      </c>
      <c r="M62" s="1">
        <v>3</v>
      </c>
    </row>
    <row r="63" spans="1:13" x14ac:dyDescent="0.3">
      <c r="A63">
        <v>12</v>
      </c>
      <c r="B63">
        <v>1</v>
      </c>
      <c r="C63" t="s">
        <v>79</v>
      </c>
      <c r="D63" s="1" t="s">
        <v>1</v>
      </c>
      <c r="E63" s="59" t="s">
        <v>15</v>
      </c>
      <c r="F63" s="60">
        <v>1.02866666666666</v>
      </c>
      <c r="G63" s="60">
        <v>1.1565112287488699</v>
      </c>
      <c r="H63" s="61">
        <v>0.752857142857143</v>
      </c>
      <c r="I63" s="63">
        <v>5.37</v>
      </c>
      <c r="J63" s="58">
        <v>4.6171428571428574</v>
      </c>
      <c r="K63" s="58">
        <v>613.28273244781769</v>
      </c>
      <c r="L63" s="1" t="s">
        <v>68</v>
      </c>
      <c r="M63" s="1">
        <v>3</v>
      </c>
    </row>
    <row r="64" spans="1:13" x14ac:dyDescent="0.3">
      <c r="A64">
        <v>12</v>
      </c>
      <c r="B64">
        <v>1</v>
      </c>
      <c r="C64" t="s">
        <v>79</v>
      </c>
      <c r="D64" s="1" t="s">
        <v>1</v>
      </c>
      <c r="E64" s="59" t="s">
        <v>16</v>
      </c>
      <c r="F64" s="60">
        <v>2.3530000000000002</v>
      </c>
      <c r="G64" s="60">
        <v>0.45915610998148798</v>
      </c>
      <c r="H64" s="61">
        <v>2.5504166666666599</v>
      </c>
      <c r="I64" s="63">
        <v>3.93</v>
      </c>
      <c r="J64" s="58">
        <v>1.3795833333333403</v>
      </c>
      <c r="K64" s="58">
        <v>54.092468550890793</v>
      </c>
      <c r="L64" s="1" t="s">
        <v>68</v>
      </c>
      <c r="M64" s="1">
        <v>3</v>
      </c>
    </row>
    <row r="65" spans="1:13" x14ac:dyDescent="0.3">
      <c r="A65">
        <v>12</v>
      </c>
      <c r="B65">
        <v>1</v>
      </c>
      <c r="C65" t="s">
        <v>79</v>
      </c>
      <c r="D65" s="1" t="s">
        <v>1</v>
      </c>
      <c r="E65" s="59" t="s">
        <v>17</v>
      </c>
      <c r="F65" s="60">
        <v>0.97745762711864304</v>
      </c>
      <c r="G65" s="60">
        <v>0.76473013567396997</v>
      </c>
      <c r="H65" s="61">
        <v>0.84017543859649002</v>
      </c>
      <c r="I65" s="63">
        <v>4.3499999999999996</v>
      </c>
      <c r="J65" s="58">
        <v>3.5098245614035095</v>
      </c>
      <c r="K65" s="58">
        <v>417.74900814366322</v>
      </c>
      <c r="L65" s="1" t="s">
        <v>68</v>
      </c>
      <c r="M65" s="1">
        <v>3</v>
      </c>
    </row>
    <row r="66" spans="1:13" x14ac:dyDescent="0.3">
      <c r="A66">
        <v>12</v>
      </c>
      <c r="B66">
        <v>1</v>
      </c>
      <c r="C66" t="s">
        <v>79</v>
      </c>
      <c r="D66" s="1" t="s">
        <v>1</v>
      </c>
      <c r="E66" s="59" t="s">
        <v>18</v>
      </c>
      <c r="F66" s="60">
        <v>2.1403389830508401</v>
      </c>
      <c r="G66" s="60">
        <v>7.4724785364904696</v>
      </c>
      <c r="H66" s="61">
        <v>0.745789473684211</v>
      </c>
      <c r="I66" s="63">
        <v>1.76</v>
      </c>
      <c r="J66" s="58">
        <v>1.014210526315789</v>
      </c>
      <c r="K66" s="58">
        <v>135.99153140437531</v>
      </c>
      <c r="L66" s="1" t="s">
        <v>68</v>
      </c>
      <c r="M66" s="1">
        <v>3</v>
      </c>
    </row>
    <row r="67" spans="1:13" x14ac:dyDescent="0.3">
      <c r="A67">
        <v>12</v>
      </c>
      <c r="B67">
        <v>1</v>
      </c>
      <c r="C67" t="s">
        <v>79</v>
      </c>
      <c r="D67" s="1" t="s">
        <v>1</v>
      </c>
      <c r="E67" s="59" t="s">
        <v>19</v>
      </c>
      <c r="F67" s="60">
        <v>0.65166666666666595</v>
      </c>
      <c r="G67" s="60">
        <v>0.117943018256934</v>
      </c>
      <c r="H67" s="61">
        <v>0.70799999999999996</v>
      </c>
      <c r="I67" s="63">
        <v>2.64</v>
      </c>
      <c r="J67" s="58">
        <v>1.9320000000000002</v>
      </c>
      <c r="K67" s="58">
        <v>272.88135593220341</v>
      </c>
      <c r="L67" s="1" t="s">
        <v>68</v>
      </c>
      <c r="M67" s="1">
        <v>3</v>
      </c>
    </row>
    <row r="68" spans="1:13" x14ac:dyDescent="0.3">
      <c r="A68">
        <v>12</v>
      </c>
      <c r="B68">
        <v>1</v>
      </c>
      <c r="C68" t="s">
        <v>79</v>
      </c>
      <c r="D68" s="1" t="s">
        <v>1</v>
      </c>
      <c r="E68" s="59" t="s">
        <v>12</v>
      </c>
      <c r="F68" s="60">
        <v>1.97631578947368</v>
      </c>
      <c r="G68" s="60">
        <v>0.47751047229793903</v>
      </c>
      <c r="H68" s="61">
        <v>2.1419148936170198</v>
      </c>
      <c r="I68" s="63">
        <v>1.87</v>
      </c>
      <c r="J68" s="58">
        <v>-0.2719148936170197</v>
      </c>
      <c r="K68" s="58">
        <v>-12.694943876030532</v>
      </c>
      <c r="L68" s="1" t="s">
        <v>69</v>
      </c>
      <c r="M68" s="1">
        <v>3</v>
      </c>
    </row>
    <row r="69" spans="1:13" x14ac:dyDescent="0.3">
      <c r="A69">
        <v>12</v>
      </c>
      <c r="B69">
        <v>1</v>
      </c>
      <c r="C69" t="s">
        <v>79</v>
      </c>
      <c r="D69" s="1" t="s">
        <v>1</v>
      </c>
      <c r="E69" s="59" t="s">
        <v>13</v>
      </c>
      <c r="F69" s="60">
        <v>0.45344827586206798</v>
      </c>
      <c r="G69" s="60">
        <v>3.3659129219068697E-2</v>
      </c>
      <c r="H69" s="61">
        <v>0.44999999999999901</v>
      </c>
      <c r="I69" s="63">
        <v>3.49</v>
      </c>
      <c r="J69" s="58">
        <v>3.0400000000000014</v>
      </c>
      <c r="K69" s="58">
        <v>675.55555555555736</v>
      </c>
      <c r="L69" s="1" t="s">
        <v>69</v>
      </c>
      <c r="M69" s="1">
        <v>3</v>
      </c>
    </row>
    <row r="70" spans="1:13" x14ac:dyDescent="0.3">
      <c r="A70">
        <v>12</v>
      </c>
      <c r="B70">
        <v>1</v>
      </c>
      <c r="C70" t="s">
        <v>79</v>
      </c>
      <c r="D70" s="1" t="s">
        <v>1</v>
      </c>
      <c r="E70" s="59" t="s">
        <v>14</v>
      </c>
      <c r="F70" s="60">
        <v>0.230833333333333</v>
      </c>
      <c r="G70" s="60">
        <v>9.4256594228497095E-2</v>
      </c>
      <c r="H70" s="61">
        <v>0.244255319148936</v>
      </c>
      <c r="I70" s="63">
        <v>4.88</v>
      </c>
      <c r="J70" s="58">
        <v>4.6357446808510643</v>
      </c>
      <c r="K70" s="58">
        <v>1897.9094076655067</v>
      </c>
      <c r="L70" s="1" t="s">
        <v>69</v>
      </c>
      <c r="M70" s="1">
        <v>3</v>
      </c>
    </row>
    <row r="71" spans="1:13" x14ac:dyDescent="0.3">
      <c r="A71">
        <v>12</v>
      </c>
      <c r="B71">
        <v>1</v>
      </c>
      <c r="C71" t="s">
        <v>79</v>
      </c>
      <c r="D71" s="1" t="s">
        <v>1</v>
      </c>
      <c r="E71" s="59" t="s">
        <v>15</v>
      </c>
      <c r="F71" s="60">
        <v>1.02866666666666</v>
      </c>
      <c r="G71" s="60">
        <v>1.1565112287488699</v>
      </c>
      <c r="H71" s="61">
        <v>0.752857142857143</v>
      </c>
      <c r="I71" s="63">
        <v>5.41</v>
      </c>
      <c r="J71" s="58">
        <v>4.6571428571428575</v>
      </c>
      <c r="K71" s="58">
        <v>618.59582542694488</v>
      </c>
      <c r="L71" s="1" t="s">
        <v>69</v>
      </c>
      <c r="M71" s="1">
        <v>3</v>
      </c>
    </row>
    <row r="72" spans="1:13" x14ac:dyDescent="0.3">
      <c r="A72">
        <v>12</v>
      </c>
      <c r="B72">
        <v>1</v>
      </c>
      <c r="C72" t="s">
        <v>79</v>
      </c>
      <c r="D72" s="1" t="s">
        <v>1</v>
      </c>
      <c r="E72" s="59" t="s">
        <v>16</v>
      </c>
      <c r="F72" s="60">
        <v>2.3530000000000002</v>
      </c>
      <c r="G72" s="60">
        <v>0.45915610998148798</v>
      </c>
      <c r="H72" s="61">
        <v>2.5504166666666599</v>
      </c>
      <c r="I72" s="63">
        <v>3.97</v>
      </c>
      <c r="J72" s="58">
        <v>1.4195833333333403</v>
      </c>
      <c r="K72" s="58">
        <v>55.660839732070343</v>
      </c>
      <c r="L72" s="1" t="s">
        <v>69</v>
      </c>
      <c r="M72" s="1">
        <v>3</v>
      </c>
    </row>
    <row r="73" spans="1:13" x14ac:dyDescent="0.3">
      <c r="A73">
        <v>12</v>
      </c>
      <c r="B73">
        <v>1</v>
      </c>
      <c r="C73" t="s">
        <v>79</v>
      </c>
      <c r="D73" s="1" t="s">
        <v>1</v>
      </c>
      <c r="E73" s="59" t="s">
        <v>17</v>
      </c>
      <c r="F73" s="60">
        <v>0.97745762711864304</v>
      </c>
      <c r="G73" s="60">
        <v>0.76473013567396997</v>
      </c>
      <c r="H73" s="61">
        <v>0.84017543859649002</v>
      </c>
      <c r="I73" s="63">
        <v>4.4000000000000004</v>
      </c>
      <c r="J73" s="58">
        <v>3.5598245614035102</v>
      </c>
      <c r="K73" s="58">
        <v>423.70014616830315</v>
      </c>
      <c r="L73" s="1" t="s">
        <v>69</v>
      </c>
      <c r="M73" s="1">
        <v>3</v>
      </c>
    </row>
    <row r="74" spans="1:13" x14ac:dyDescent="0.3">
      <c r="A74">
        <v>12</v>
      </c>
      <c r="B74">
        <v>1</v>
      </c>
      <c r="C74" t="s">
        <v>79</v>
      </c>
      <c r="D74" s="1" t="s">
        <v>1</v>
      </c>
      <c r="E74" s="59" t="s">
        <v>18</v>
      </c>
      <c r="F74" s="60">
        <v>2.1403389830508401</v>
      </c>
      <c r="G74" s="60">
        <v>7.4724785364904696</v>
      </c>
      <c r="H74" s="61">
        <v>0.745789473684211</v>
      </c>
      <c r="I74" s="63">
        <v>1.76</v>
      </c>
      <c r="J74" s="58">
        <v>1.014210526315789</v>
      </c>
      <c r="K74" s="58">
        <v>135.99153140437531</v>
      </c>
      <c r="L74" s="1" t="s">
        <v>69</v>
      </c>
      <c r="M74" s="1">
        <v>3</v>
      </c>
    </row>
    <row r="75" spans="1:13" x14ac:dyDescent="0.3">
      <c r="A75">
        <v>12</v>
      </c>
      <c r="B75">
        <v>1</v>
      </c>
      <c r="C75" t="s">
        <v>79</v>
      </c>
      <c r="D75" s="1" t="s">
        <v>1</v>
      </c>
      <c r="E75" s="59" t="s">
        <v>19</v>
      </c>
      <c r="F75" s="60">
        <v>0.65166666666666595</v>
      </c>
      <c r="G75" s="60">
        <v>0.117943018256934</v>
      </c>
      <c r="H75" s="61">
        <v>0.70799999999999996</v>
      </c>
      <c r="I75" s="63">
        <v>2.66</v>
      </c>
      <c r="J75" s="58">
        <v>1.9520000000000002</v>
      </c>
      <c r="K75" s="58">
        <v>275.70621468926555</v>
      </c>
      <c r="L75" s="1" t="s">
        <v>69</v>
      </c>
      <c r="M75" s="1">
        <v>3</v>
      </c>
    </row>
    <row r="77" spans="1:13" x14ac:dyDescent="0.3">
      <c r="A77">
        <v>14</v>
      </c>
      <c r="B77">
        <v>1</v>
      </c>
      <c r="C77" t="s">
        <v>79</v>
      </c>
      <c r="D77" s="1" t="s">
        <v>1</v>
      </c>
      <c r="E77" s="59" t="s">
        <v>12</v>
      </c>
      <c r="F77" s="60">
        <v>0.48288135593220299</v>
      </c>
      <c r="G77" s="60">
        <v>0.18362684017337899</v>
      </c>
      <c r="H77" s="61">
        <v>0.47791666666666599</v>
      </c>
      <c r="I77" s="62">
        <v>5.07</v>
      </c>
      <c r="J77" s="37">
        <v>4.592083333333334</v>
      </c>
      <c r="K77" s="37">
        <v>960.85440278988813</v>
      </c>
      <c r="L77" s="1" t="s">
        <v>23</v>
      </c>
      <c r="M77" s="1">
        <v>1</v>
      </c>
    </row>
    <row r="78" spans="1:13" x14ac:dyDescent="0.3">
      <c r="A78">
        <v>14</v>
      </c>
      <c r="B78">
        <v>1</v>
      </c>
      <c r="C78" t="s">
        <v>79</v>
      </c>
      <c r="D78" s="1" t="s">
        <v>1</v>
      </c>
      <c r="E78" s="59" t="s">
        <v>13</v>
      </c>
      <c r="F78" s="60">
        <v>0.94070175438596504</v>
      </c>
      <c r="G78" s="60">
        <v>1.2308203791725201</v>
      </c>
      <c r="H78" s="61">
        <v>0.410833333333333</v>
      </c>
      <c r="I78" s="62">
        <v>5.65</v>
      </c>
      <c r="J78" s="37">
        <v>5.2391666666666676</v>
      </c>
      <c r="K78" s="37">
        <v>1275.2535496957416</v>
      </c>
      <c r="L78" s="1" t="s">
        <v>23</v>
      </c>
      <c r="M78" s="1">
        <v>1</v>
      </c>
    </row>
    <row r="79" spans="1:13" x14ac:dyDescent="0.3">
      <c r="A79">
        <v>14</v>
      </c>
      <c r="B79">
        <v>1</v>
      </c>
      <c r="C79" t="s">
        <v>79</v>
      </c>
      <c r="D79" s="1" t="s">
        <v>1</v>
      </c>
      <c r="E79" s="59" t="s">
        <v>14</v>
      </c>
      <c r="F79" s="60">
        <v>0.41288135593220299</v>
      </c>
      <c r="G79" s="60">
        <v>0.107009438003805</v>
      </c>
      <c r="H79" s="61">
        <v>0.43679999999999902</v>
      </c>
      <c r="I79" s="62">
        <v>1.37</v>
      </c>
      <c r="J79" s="37">
        <v>0.93320000000000114</v>
      </c>
      <c r="K79" s="37">
        <v>213.64468864468938</v>
      </c>
      <c r="L79" s="1" t="s">
        <v>23</v>
      </c>
      <c r="M79" s="1">
        <v>1</v>
      </c>
    </row>
    <row r="80" spans="1:13" x14ac:dyDescent="0.3">
      <c r="A80">
        <v>14</v>
      </c>
      <c r="B80">
        <v>1</v>
      </c>
      <c r="C80" t="s">
        <v>79</v>
      </c>
      <c r="D80" s="1" t="s">
        <v>1</v>
      </c>
      <c r="E80" s="59" t="s">
        <v>15</v>
      </c>
      <c r="F80" s="60">
        <v>2.0379661016949102</v>
      </c>
      <c r="G80" s="60">
        <v>1.5689916654681499</v>
      </c>
      <c r="H80" s="61">
        <v>1.63418181818181</v>
      </c>
      <c r="I80" s="62">
        <v>3.57</v>
      </c>
      <c r="J80" s="37">
        <v>1.9358181818181899</v>
      </c>
      <c r="K80" s="37">
        <v>118.45794392523474</v>
      </c>
      <c r="L80" s="1" t="s">
        <v>23</v>
      </c>
      <c r="M80" s="1">
        <v>1</v>
      </c>
    </row>
    <row r="81" spans="1:13" x14ac:dyDescent="0.3">
      <c r="A81">
        <v>14</v>
      </c>
      <c r="B81">
        <v>1</v>
      </c>
      <c r="C81" t="s">
        <v>79</v>
      </c>
      <c r="D81" s="1" t="s">
        <v>1</v>
      </c>
      <c r="E81" s="59" t="s">
        <v>16</v>
      </c>
      <c r="F81" s="60">
        <v>3.5891525423728798</v>
      </c>
      <c r="G81" s="60">
        <v>2.5077731955780198</v>
      </c>
      <c r="H81" s="61">
        <v>2.4075000000000002</v>
      </c>
      <c r="I81" s="62">
        <v>4.6500000000000004</v>
      </c>
      <c r="J81" s="37">
        <v>2.2425000000000002</v>
      </c>
      <c r="K81" s="37">
        <v>93.146417445482868</v>
      </c>
      <c r="L81" s="1" t="s">
        <v>23</v>
      </c>
      <c r="M81" s="1">
        <v>1</v>
      </c>
    </row>
    <row r="82" spans="1:13" x14ac:dyDescent="0.3">
      <c r="A82">
        <v>14</v>
      </c>
      <c r="B82">
        <v>1</v>
      </c>
      <c r="C82" t="s">
        <v>79</v>
      </c>
      <c r="D82" s="1" t="s">
        <v>1</v>
      </c>
      <c r="E82" s="59" t="s">
        <v>17</v>
      </c>
      <c r="F82" s="60">
        <v>0.22050847457627101</v>
      </c>
      <c r="G82" s="60">
        <v>0.15618788912025899</v>
      </c>
      <c r="H82" s="61">
        <v>0.155714285714285</v>
      </c>
      <c r="I82" s="62">
        <v>1.3</v>
      </c>
      <c r="J82" s="37">
        <v>1.144285714285715</v>
      </c>
      <c r="K82" s="37">
        <v>734.86238532110474</v>
      </c>
      <c r="L82" s="1" t="s">
        <v>23</v>
      </c>
      <c r="M82" s="1">
        <v>1</v>
      </c>
    </row>
    <row r="83" spans="1:13" x14ac:dyDescent="0.3">
      <c r="A83">
        <v>14</v>
      </c>
      <c r="B83">
        <v>1</v>
      </c>
      <c r="C83" t="s">
        <v>79</v>
      </c>
      <c r="D83" s="1" t="s">
        <v>1</v>
      </c>
      <c r="E83" s="59" t="s">
        <v>18</v>
      </c>
      <c r="F83" s="60">
        <v>0.52118644067796605</v>
      </c>
      <c r="G83" s="60">
        <v>0.13293409537981499</v>
      </c>
      <c r="H83" s="61">
        <v>0.49842105263157899</v>
      </c>
      <c r="I83" s="62">
        <v>4.17</v>
      </c>
      <c r="J83" s="37">
        <v>3.6715789473684208</v>
      </c>
      <c r="K83" s="37">
        <v>736.64202745512137</v>
      </c>
      <c r="L83" s="1" t="s">
        <v>23</v>
      </c>
      <c r="M83" s="1">
        <v>1</v>
      </c>
    </row>
    <row r="84" spans="1:13" x14ac:dyDescent="0.3">
      <c r="A84">
        <v>14</v>
      </c>
      <c r="B84">
        <v>1</v>
      </c>
      <c r="C84" t="s">
        <v>79</v>
      </c>
      <c r="D84" s="1" t="s">
        <v>1</v>
      </c>
      <c r="E84" s="59" t="s">
        <v>19</v>
      </c>
      <c r="F84" s="60">
        <v>0.18694915254237199</v>
      </c>
      <c r="G84" s="60">
        <v>0.32945385848728898</v>
      </c>
      <c r="H84" s="61">
        <v>0.110714285714285</v>
      </c>
      <c r="I84" s="62">
        <v>2.82</v>
      </c>
      <c r="J84" s="37">
        <v>2.709285714285715</v>
      </c>
      <c r="K84" s="37">
        <v>2447.0967741935647</v>
      </c>
      <c r="L84" s="1" t="s">
        <v>23</v>
      </c>
      <c r="M84" s="1">
        <v>1</v>
      </c>
    </row>
    <row r="85" spans="1:13" x14ac:dyDescent="0.3">
      <c r="A85">
        <v>14</v>
      </c>
      <c r="B85">
        <v>1</v>
      </c>
      <c r="C85" t="s">
        <v>79</v>
      </c>
      <c r="D85" s="1" t="s">
        <v>1</v>
      </c>
      <c r="E85" s="59" t="s">
        <v>12</v>
      </c>
      <c r="F85" s="60">
        <v>0.48288135593220299</v>
      </c>
      <c r="G85" s="60">
        <v>0.18362684017337899</v>
      </c>
      <c r="H85" s="61">
        <v>0.47791666666666599</v>
      </c>
      <c r="I85" s="62">
        <v>4.95</v>
      </c>
      <c r="J85" s="37">
        <v>4.4720833333333339</v>
      </c>
      <c r="K85" s="37">
        <v>935.74542284219842</v>
      </c>
      <c r="L85" s="1" t="s">
        <v>68</v>
      </c>
      <c r="M85" s="1">
        <v>1</v>
      </c>
    </row>
    <row r="86" spans="1:13" x14ac:dyDescent="0.3">
      <c r="A86">
        <v>14</v>
      </c>
      <c r="B86">
        <v>1</v>
      </c>
      <c r="C86" t="s">
        <v>79</v>
      </c>
      <c r="D86" s="1" t="s">
        <v>1</v>
      </c>
      <c r="E86" s="59" t="s">
        <v>13</v>
      </c>
      <c r="F86" s="60">
        <v>0.94070175438596504</v>
      </c>
      <c r="G86" s="60">
        <v>1.2308203791725201</v>
      </c>
      <c r="H86" s="61">
        <v>0.410833333333333</v>
      </c>
      <c r="I86" s="62">
        <v>5.51</v>
      </c>
      <c r="J86" s="37">
        <v>5.0991666666666671</v>
      </c>
      <c r="K86" s="37">
        <v>1241.1764705882365</v>
      </c>
      <c r="L86" s="1" t="s">
        <v>68</v>
      </c>
      <c r="M86" s="1">
        <v>1</v>
      </c>
    </row>
    <row r="87" spans="1:13" x14ac:dyDescent="0.3">
      <c r="A87">
        <v>14</v>
      </c>
      <c r="B87">
        <v>1</v>
      </c>
      <c r="C87" t="s">
        <v>79</v>
      </c>
      <c r="D87" s="1" t="s">
        <v>1</v>
      </c>
      <c r="E87" s="59" t="s">
        <v>14</v>
      </c>
      <c r="F87" s="60">
        <v>0.41288135593220299</v>
      </c>
      <c r="G87" s="60">
        <v>0.107009438003805</v>
      </c>
      <c r="H87" s="61">
        <v>0.43679999999999902</v>
      </c>
      <c r="I87" s="62">
        <v>1.27</v>
      </c>
      <c r="J87" s="37">
        <v>0.83320000000000105</v>
      </c>
      <c r="K87" s="37">
        <v>190.75091575091642</v>
      </c>
      <c r="L87" s="1" t="s">
        <v>68</v>
      </c>
      <c r="M87" s="1">
        <v>1</v>
      </c>
    </row>
    <row r="88" spans="1:13" x14ac:dyDescent="0.3">
      <c r="A88">
        <v>14</v>
      </c>
      <c r="B88">
        <v>1</v>
      </c>
      <c r="C88" t="s">
        <v>79</v>
      </c>
      <c r="D88" s="1" t="s">
        <v>1</v>
      </c>
      <c r="E88" s="59" t="s">
        <v>15</v>
      </c>
      <c r="F88" s="60">
        <v>2.0379661016949102</v>
      </c>
      <c r="G88" s="60">
        <v>1.5689916654681499</v>
      </c>
      <c r="H88" s="61">
        <v>1.63418181818181</v>
      </c>
      <c r="I88" s="62">
        <v>3.39</v>
      </c>
      <c r="J88" s="37">
        <v>1.7558181818181902</v>
      </c>
      <c r="K88" s="37">
        <v>107.44325767690358</v>
      </c>
      <c r="L88" s="1" t="s">
        <v>68</v>
      </c>
      <c r="M88" s="1">
        <v>1</v>
      </c>
    </row>
    <row r="89" spans="1:13" x14ac:dyDescent="0.3">
      <c r="A89">
        <v>14</v>
      </c>
      <c r="B89">
        <v>1</v>
      </c>
      <c r="C89" t="s">
        <v>79</v>
      </c>
      <c r="D89" s="1" t="s">
        <v>1</v>
      </c>
      <c r="E89" s="59" t="s">
        <v>16</v>
      </c>
      <c r="F89" s="60">
        <v>3.5891525423728798</v>
      </c>
      <c r="G89" s="60">
        <v>2.5077731955780198</v>
      </c>
      <c r="H89" s="61">
        <v>2.4075000000000002</v>
      </c>
      <c r="I89" s="62">
        <v>4.53</v>
      </c>
      <c r="J89" s="37">
        <v>2.1225000000000001</v>
      </c>
      <c r="K89" s="37">
        <v>88.161993769470399</v>
      </c>
      <c r="L89" s="1" t="s">
        <v>68</v>
      </c>
      <c r="M89" s="1">
        <v>1</v>
      </c>
    </row>
    <row r="90" spans="1:13" x14ac:dyDescent="0.3">
      <c r="A90">
        <v>14</v>
      </c>
      <c r="B90">
        <v>1</v>
      </c>
      <c r="C90" t="s">
        <v>79</v>
      </c>
      <c r="D90" s="1" t="s">
        <v>1</v>
      </c>
      <c r="E90" s="59" t="s">
        <v>17</v>
      </c>
      <c r="F90" s="60">
        <v>0.22050847457627101</v>
      </c>
      <c r="G90" s="60">
        <v>0.15618788912025899</v>
      </c>
      <c r="H90" s="61">
        <v>0.155714285714285</v>
      </c>
      <c r="I90" s="62">
        <v>1.21</v>
      </c>
      <c r="J90" s="37">
        <v>1.0542857142857149</v>
      </c>
      <c r="K90" s="37">
        <v>677.06422018348974</v>
      </c>
      <c r="L90" s="1" t="s">
        <v>68</v>
      </c>
      <c r="M90" s="1">
        <v>1</v>
      </c>
    </row>
    <row r="91" spans="1:13" x14ac:dyDescent="0.3">
      <c r="A91">
        <v>14</v>
      </c>
      <c r="B91">
        <v>1</v>
      </c>
      <c r="C91" t="s">
        <v>79</v>
      </c>
      <c r="D91" s="1" t="s">
        <v>1</v>
      </c>
      <c r="E91" s="59" t="s">
        <v>18</v>
      </c>
      <c r="F91" s="60">
        <v>0.52118644067796605</v>
      </c>
      <c r="G91" s="60">
        <v>0.13293409537981499</v>
      </c>
      <c r="H91" s="61">
        <v>0.49842105263157899</v>
      </c>
      <c r="I91" s="62">
        <v>4.07</v>
      </c>
      <c r="J91" s="37">
        <v>3.5715789473684212</v>
      </c>
      <c r="K91" s="37">
        <v>716.57866948257652</v>
      </c>
      <c r="L91" s="1" t="s">
        <v>68</v>
      </c>
      <c r="M91" s="1">
        <v>1</v>
      </c>
    </row>
    <row r="92" spans="1:13" x14ac:dyDescent="0.3">
      <c r="A92">
        <v>14</v>
      </c>
      <c r="B92">
        <v>1</v>
      </c>
      <c r="C92" t="s">
        <v>79</v>
      </c>
      <c r="D92" s="1" t="s">
        <v>1</v>
      </c>
      <c r="E92" s="59" t="s">
        <v>19</v>
      </c>
      <c r="F92" s="60">
        <v>0.18694915254237199</v>
      </c>
      <c r="G92" s="60">
        <v>0.32945385848728898</v>
      </c>
      <c r="H92" s="61">
        <v>0.110714285714285</v>
      </c>
      <c r="I92" s="62">
        <v>2.74</v>
      </c>
      <c r="J92" s="37">
        <v>2.6292857142857153</v>
      </c>
      <c r="K92" s="37">
        <v>2374.8387096774354</v>
      </c>
      <c r="L92" s="1" t="s">
        <v>68</v>
      </c>
      <c r="M92" s="1">
        <v>1</v>
      </c>
    </row>
    <row r="93" spans="1:13" x14ac:dyDescent="0.3">
      <c r="A93">
        <v>14</v>
      </c>
      <c r="B93">
        <v>1</v>
      </c>
      <c r="C93" t="s">
        <v>79</v>
      </c>
      <c r="D93" s="1" t="s">
        <v>1</v>
      </c>
      <c r="E93" s="59" t="s">
        <v>12</v>
      </c>
      <c r="F93" s="60">
        <v>0.48288135593220299</v>
      </c>
      <c r="G93" s="60">
        <v>0.18362684017337899</v>
      </c>
      <c r="H93" s="61">
        <v>0.47791666666666599</v>
      </c>
      <c r="I93" s="62">
        <v>4.93</v>
      </c>
      <c r="J93" s="37">
        <v>4.4520833333333334</v>
      </c>
      <c r="K93" s="37">
        <v>931.56059285091681</v>
      </c>
      <c r="L93" s="1" t="s">
        <v>69</v>
      </c>
      <c r="M93" s="1">
        <v>1</v>
      </c>
    </row>
    <row r="94" spans="1:13" x14ac:dyDescent="0.3">
      <c r="A94">
        <v>14</v>
      </c>
      <c r="B94">
        <v>1</v>
      </c>
      <c r="C94" t="s">
        <v>79</v>
      </c>
      <c r="D94" s="1" t="s">
        <v>1</v>
      </c>
      <c r="E94" s="59" t="s">
        <v>13</v>
      </c>
      <c r="F94" s="60">
        <v>0.94070175438596504</v>
      </c>
      <c r="G94" s="60">
        <v>1.2308203791725201</v>
      </c>
      <c r="H94" s="61">
        <v>0.410833333333333</v>
      </c>
      <c r="I94" s="62">
        <v>5.56</v>
      </c>
      <c r="J94" s="37">
        <v>5.1491666666666669</v>
      </c>
      <c r="K94" s="37">
        <v>1253.346855983774</v>
      </c>
      <c r="L94" s="1" t="s">
        <v>69</v>
      </c>
      <c r="M94" s="1">
        <v>1</v>
      </c>
    </row>
    <row r="95" spans="1:13" x14ac:dyDescent="0.3">
      <c r="A95">
        <v>14</v>
      </c>
      <c r="B95">
        <v>1</v>
      </c>
      <c r="C95" t="s">
        <v>79</v>
      </c>
      <c r="D95" s="1" t="s">
        <v>1</v>
      </c>
      <c r="E95" s="59" t="s">
        <v>14</v>
      </c>
      <c r="F95" s="60">
        <v>0.41288135593220299</v>
      </c>
      <c r="G95" s="60">
        <v>0.107009438003805</v>
      </c>
      <c r="H95" s="61">
        <v>0.43679999999999902</v>
      </c>
      <c r="I95" s="62">
        <v>1.32</v>
      </c>
      <c r="J95" s="37">
        <v>0.8832000000000011</v>
      </c>
      <c r="K95" s="37">
        <v>202.1978021978029</v>
      </c>
      <c r="L95" s="1" t="s">
        <v>69</v>
      </c>
      <c r="M95" s="1">
        <v>1</v>
      </c>
    </row>
    <row r="96" spans="1:13" x14ac:dyDescent="0.3">
      <c r="A96">
        <v>14</v>
      </c>
      <c r="B96">
        <v>1</v>
      </c>
      <c r="C96" t="s">
        <v>79</v>
      </c>
      <c r="D96" s="1" t="s">
        <v>1</v>
      </c>
      <c r="E96" s="59" t="s">
        <v>15</v>
      </c>
      <c r="F96" s="60">
        <v>2.0379661016949102</v>
      </c>
      <c r="G96" s="60">
        <v>1.5689916654681499</v>
      </c>
      <c r="H96" s="61">
        <v>1.63418181818181</v>
      </c>
      <c r="I96" s="62">
        <v>3.44</v>
      </c>
      <c r="J96" s="37">
        <v>1.80581818181819</v>
      </c>
      <c r="K96" s="37">
        <v>110.50289274588445</v>
      </c>
      <c r="L96" s="1" t="s">
        <v>69</v>
      </c>
      <c r="M96" s="1">
        <v>1</v>
      </c>
    </row>
    <row r="97" spans="1:13" x14ac:dyDescent="0.3">
      <c r="A97">
        <v>14</v>
      </c>
      <c r="B97">
        <v>1</v>
      </c>
      <c r="C97" t="s">
        <v>79</v>
      </c>
      <c r="D97" s="1" t="s">
        <v>1</v>
      </c>
      <c r="E97" s="59" t="s">
        <v>16</v>
      </c>
      <c r="F97" s="60">
        <v>3.5891525423728798</v>
      </c>
      <c r="G97" s="60">
        <v>2.5077731955780198</v>
      </c>
      <c r="H97" s="61">
        <v>2.4075000000000002</v>
      </c>
      <c r="I97" s="62">
        <v>4.59</v>
      </c>
      <c r="J97" s="37">
        <v>2.1824999999999997</v>
      </c>
      <c r="K97" s="37">
        <v>90.654205607476612</v>
      </c>
      <c r="L97" s="1" t="s">
        <v>69</v>
      </c>
      <c r="M97" s="1">
        <v>1</v>
      </c>
    </row>
    <row r="98" spans="1:13" x14ac:dyDescent="0.3">
      <c r="A98">
        <v>14</v>
      </c>
      <c r="B98">
        <v>1</v>
      </c>
      <c r="C98" t="s">
        <v>79</v>
      </c>
      <c r="D98" s="1" t="s">
        <v>1</v>
      </c>
      <c r="E98" s="59" t="s">
        <v>17</v>
      </c>
      <c r="F98" s="60">
        <v>0.22050847457627101</v>
      </c>
      <c r="G98" s="60">
        <v>0.15618788912025899</v>
      </c>
      <c r="H98" s="61">
        <v>0.155714285714285</v>
      </c>
      <c r="I98" s="62">
        <v>1.25</v>
      </c>
      <c r="J98" s="37">
        <v>1.094285714285715</v>
      </c>
      <c r="K98" s="37">
        <v>702.75229357798526</v>
      </c>
      <c r="L98" s="1" t="s">
        <v>69</v>
      </c>
      <c r="M98" s="1">
        <v>1</v>
      </c>
    </row>
    <row r="99" spans="1:13" x14ac:dyDescent="0.3">
      <c r="A99">
        <v>14</v>
      </c>
      <c r="B99">
        <v>1</v>
      </c>
      <c r="C99" t="s">
        <v>79</v>
      </c>
      <c r="D99" s="1" t="s">
        <v>1</v>
      </c>
      <c r="E99" s="59" t="s">
        <v>18</v>
      </c>
      <c r="F99" s="60">
        <v>0.52118644067796605</v>
      </c>
      <c r="G99" s="60">
        <v>0.13293409537981499</v>
      </c>
      <c r="H99" s="61">
        <v>0.49842105263157899</v>
      </c>
      <c r="I99" s="62">
        <v>4.05</v>
      </c>
      <c r="J99" s="37">
        <v>3.5515789473684207</v>
      </c>
      <c r="K99" s="37">
        <v>712.5659978880675</v>
      </c>
      <c r="L99" s="1" t="s">
        <v>69</v>
      </c>
      <c r="M99" s="1">
        <v>1</v>
      </c>
    </row>
    <row r="100" spans="1:13" x14ac:dyDescent="0.3">
      <c r="A100">
        <v>14</v>
      </c>
      <c r="B100">
        <v>1</v>
      </c>
      <c r="C100" t="s">
        <v>79</v>
      </c>
      <c r="D100" s="1" t="s">
        <v>1</v>
      </c>
      <c r="E100" s="59" t="s">
        <v>19</v>
      </c>
      <c r="F100" s="60">
        <v>0.18694915254237199</v>
      </c>
      <c r="G100" s="60">
        <v>0.32945385848728898</v>
      </c>
      <c r="H100" s="61">
        <v>0.110714285714285</v>
      </c>
      <c r="I100" s="62">
        <v>2.72</v>
      </c>
      <c r="J100" s="37">
        <v>2.6092857142857153</v>
      </c>
      <c r="K100" s="37">
        <v>2356.7741935484032</v>
      </c>
      <c r="L100" s="1" t="s">
        <v>69</v>
      </c>
      <c r="M100" s="1">
        <v>1</v>
      </c>
    </row>
    <row r="102" spans="1:13" x14ac:dyDescent="0.3">
      <c r="A102">
        <v>14</v>
      </c>
      <c r="B102">
        <v>1</v>
      </c>
      <c r="C102" t="s">
        <v>79</v>
      </c>
      <c r="D102" s="1" t="s">
        <v>1</v>
      </c>
      <c r="E102" s="59" t="s">
        <v>12</v>
      </c>
      <c r="F102" s="60">
        <v>0.47271186440677898</v>
      </c>
      <c r="G102" s="60">
        <v>0.18657329643864201</v>
      </c>
      <c r="H102" s="61">
        <v>0.47260869565217301</v>
      </c>
      <c r="I102" s="62">
        <v>5.07</v>
      </c>
      <c r="J102" s="37">
        <v>4.5973913043478269</v>
      </c>
      <c r="K102" s="37">
        <v>972.76908923643259</v>
      </c>
      <c r="L102" s="1" t="s">
        <v>23</v>
      </c>
      <c r="M102" s="1">
        <v>2</v>
      </c>
    </row>
    <row r="103" spans="1:13" x14ac:dyDescent="0.3">
      <c r="A103">
        <v>14</v>
      </c>
      <c r="B103">
        <v>1</v>
      </c>
      <c r="C103" t="s">
        <v>79</v>
      </c>
      <c r="D103" s="1" t="s">
        <v>1</v>
      </c>
      <c r="E103" s="59" t="s">
        <v>13</v>
      </c>
      <c r="F103" s="60">
        <v>1.5235087719298199</v>
      </c>
      <c r="G103" s="60">
        <v>1.5873618091288899</v>
      </c>
      <c r="H103" s="61">
        <v>0.40736842105263099</v>
      </c>
      <c r="I103" s="62">
        <v>5.65</v>
      </c>
      <c r="J103" s="37">
        <v>5.2426315789473694</v>
      </c>
      <c r="K103" s="37">
        <v>1286.9509043927669</v>
      </c>
      <c r="L103" s="1" t="s">
        <v>23</v>
      </c>
      <c r="M103" s="1">
        <v>2</v>
      </c>
    </row>
    <row r="104" spans="1:13" x14ac:dyDescent="0.3">
      <c r="A104">
        <v>14</v>
      </c>
      <c r="B104">
        <v>1</v>
      </c>
      <c r="C104" t="s">
        <v>79</v>
      </c>
      <c r="D104" s="1" t="s">
        <v>1</v>
      </c>
      <c r="E104" s="59" t="s">
        <v>14</v>
      </c>
      <c r="F104" s="60">
        <v>0.44050847457627001</v>
      </c>
      <c r="G104" s="60">
        <v>9.1121519325095504E-2</v>
      </c>
      <c r="H104" s="61">
        <v>0.45690909090908999</v>
      </c>
      <c r="I104" s="62">
        <v>1.37</v>
      </c>
      <c r="J104" s="37">
        <v>0.91309090909091006</v>
      </c>
      <c r="K104" s="37">
        <v>199.84082769598152</v>
      </c>
      <c r="L104" s="1" t="s">
        <v>23</v>
      </c>
      <c r="M104" s="1">
        <v>2</v>
      </c>
    </row>
    <row r="105" spans="1:13" x14ac:dyDescent="0.3">
      <c r="A105">
        <v>14</v>
      </c>
      <c r="B105">
        <v>1</v>
      </c>
      <c r="C105" t="s">
        <v>79</v>
      </c>
      <c r="D105" s="1" t="s">
        <v>1</v>
      </c>
      <c r="E105" s="59" t="s">
        <v>15</v>
      </c>
      <c r="F105" s="60">
        <v>1.9930508474576201</v>
      </c>
      <c r="G105" s="60">
        <v>1.5850159109903199</v>
      </c>
      <c r="H105" s="61">
        <v>1.5860000000000001</v>
      </c>
      <c r="I105" s="62">
        <v>3.57</v>
      </c>
      <c r="J105" s="37">
        <v>1.9839999999999998</v>
      </c>
      <c r="K105" s="37">
        <v>125.09457755359392</v>
      </c>
      <c r="L105" s="1" t="s">
        <v>23</v>
      </c>
      <c r="M105" s="1">
        <v>2</v>
      </c>
    </row>
    <row r="106" spans="1:13" x14ac:dyDescent="0.3">
      <c r="A106">
        <v>14</v>
      </c>
      <c r="B106">
        <v>1</v>
      </c>
      <c r="C106" t="s">
        <v>79</v>
      </c>
      <c r="D106" s="1" t="s">
        <v>1</v>
      </c>
      <c r="E106" s="59" t="s">
        <v>16</v>
      </c>
      <c r="F106" s="60">
        <v>3.95338983050847</v>
      </c>
      <c r="G106" s="60">
        <v>2.6150059857788599</v>
      </c>
      <c r="H106" s="61">
        <v>2.4722727272727201</v>
      </c>
      <c r="I106" s="62">
        <v>4.6500000000000004</v>
      </c>
      <c r="J106" s="37">
        <v>2.1777272727272803</v>
      </c>
      <c r="K106" s="37">
        <v>88.086045228902933</v>
      </c>
      <c r="L106" s="1" t="s">
        <v>23</v>
      </c>
      <c r="M106" s="1">
        <v>2</v>
      </c>
    </row>
    <row r="107" spans="1:13" x14ac:dyDescent="0.3">
      <c r="A107">
        <v>14</v>
      </c>
      <c r="B107">
        <v>1</v>
      </c>
      <c r="C107" t="s">
        <v>79</v>
      </c>
      <c r="D107" s="1" t="s">
        <v>1</v>
      </c>
      <c r="E107" s="59" t="s">
        <v>17</v>
      </c>
      <c r="F107" s="60">
        <v>0.195762711864406</v>
      </c>
      <c r="G107" s="60">
        <v>0.109222264288809</v>
      </c>
      <c r="H107" s="61">
        <v>0.15040816326530601</v>
      </c>
      <c r="I107" s="62">
        <v>1.3</v>
      </c>
      <c r="J107" s="37">
        <v>1.149591836734694</v>
      </c>
      <c r="K107" s="37">
        <v>764.31478968792464</v>
      </c>
      <c r="L107" s="1" t="s">
        <v>23</v>
      </c>
      <c r="M107" s="1">
        <v>2</v>
      </c>
    </row>
    <row r="108" spans="1:13" x14ac:dyDescent="0.3">
      <c r="A108">
        <v>14</v>
      </c>
      <c r="B108">
        <v>1</v>
      </c>
      <c r="C108" t="s">
        <v>79</v>
      </c>
      <c r="D108" s="1" t="s">
        <v>1</v>
      </c>
      <c r="E108" s="59" t="s">
        <v>18</v>
      </c>
      <c r="F108" s="60">
        <v>0.500169491525424</v>
      </c>
      <c r="G108" s="60">
        <v>5.1337749200386501E-2</v>
      </c>
      <c r="H108" s="61">
        <v>0.51745098039215698</v>
      </c>
      <c r="I108" s="62">
        <v>4.17</v>
      </c>
      <c r="J108" s="37">
        <v>3.652549019607843</v>
      </c>
      <c r="K108" s="37">
        <v>705.87343690791954</v>
      </c>
      <c r="L108" s="1" t="s">
        <v>23</v>
      </c>
      <c r="M108" s="1">
        <v>2</v>
      </c>
    </row>
    <row r="109" spans="1:13" x14ac:dyDescent="0.3">
      <c r="A109">
        <v>14</v>
      </c>
      <c r="B109">
        <v>1</v>
      </c>
      <c r="C109" t="s">
        <v>79</v>
      </c>
      <c r="D109" s="1" t="s">
        <v>1</v>
      </c>
      <c r="E109" s="59" t="s">
        <v>19</v>
      </c>
      <c r="F109" s="60">
        <v>0.21203389830508401</v>
      </c>
      <c r="G109" s="60">
        <v>0.37706619326736501</v>
      </c>
      <c r="H109" s="61">
        <v>0.110363636363636</v>
      </c>
      <c r="I109" s="62">
        <v>2.82</v>
      </c>
      <c r="J109" s="37">
        <v>2.7096363636363638</v>
      </c>
      <c r="K109" s="37">
        <v>2455.1894563426772</v>
      </c>
      <c r="L109" s="1" t="s">
        <v>23</v>
      </c>
      <c r="M109" s="1">
        <v>2</v>
      </c>
    </row>
    <row r="110" spans="1:13" x14ac:dyDescent="0.3">
      <c r="A110">
        <v>14</v>
      </c>
      <c r="B110">
        <v>1</v>
      </c>
      <c r="C110" t="s">
        <v>79</v>
      </c>
      <c r="D110" s="1" t="s">
        <v>1</v>
      </c>
      <c r="E110" s="59" t="s">
        <v>12</v>
      </c>
      <c r="F110" s="60">
        <v>0.47271186440677898</v>
      </c>
      <c r="G110" s="60">
        <v>0.18657329643864201</v>
      </c>
      <c r="H110" s="61">
        <v>0.47260869565217301</v>
      </c>
      <c r="I110" s="62">
        <v>4.95</v>
      </c>
      <c r="J110" s="37">
        <v>4.4773913043478268</v>
      </c>
      <c r="K110" s="37">
        <v>947.37810487580703</v>
      </c>
      <c r="L110" s="1" t="s">
        <v>68</v>
      </c>
      <c r="M110" s="1">
        <v>2</v>
      </c>
    </row>
    <row r="111" spans="1:13" x14ac:dyDescent="0.3">
      <c r="A111">
        <v>14</v>
      </c>
      <c r="B111">
        <v>1</v>
      </c>
      <c r="C111" t="s">
        <v>79</v>
      </c>
      <c r="D111" s="1" t="s">
        <v>1</v>
      </c>
      <c r="E111" s="59" t="s">
        <v>13</v>
      </c>
      <c r="F111" s="60">
        <v>1.5235087719298199</v>
      </c>
      <c r="G111" s="60">
        <v>1.5873618091288899</v>
      </c>
      <c r="H111" s="61">
        <v>0.40736842105263099</v>
      </c>
      <c r="I111" s="62">
        <v>5.51</v>
      </c>
      <c r="J111" s="37">
        <v>5.1026315789473689</v>
      </c>
      <c r="K111" s="37">
        <v>1252.5839793281673</v>
      </c>
      <c r="L111" s="1" t="s">
        <v>68</v>
      </c>
      <c r="M111" s="1">
        <v>2</v>
      </c>
    </row>
    <row r="112" spans="1:13" x14ac:dyDescent="0.3">
      <c r="A112">
        <v>14</v>
      </c>
      <c r="B112">
        <v>1</v>
      </c>
      <c r="C112" t="s">
        <v>79</v>
      </c>
      <c r="D112" s="1" t="s">
        <v>1</v>
      </c>
      <c r="E112" s="59" t="s">
        <v>14</v>
      </c>
      <c r="F112" s="60">
        <v>0.44050847457627001</v>
      </c>
      <c r="G112" s="60">
        <v>9.1121519325095504E-2</v>
      </c>
      <c r="H112" s="61">
        <v>0.45690909090908999</v>
      </c>
      <c r="I112" s="62">
        <v>1.27</v>
      </c>
      <c r="J112" s="37">
        <v>0.81309090909090997</v>
      </c>
      <c r="K112" s="37">
        <v>177.95463589335512</v>
      </c>
      <c r="L112" s="1" t="s">
        <v>68</v>
      </c>
      <c r="M112" s="1">
        <v>2</v>
      </c>
    </row>
    <row r="113" spans="1:13" x14ac:dyDescent="0.3">
      <c r="A113">
        <v>14</v>
      </c>
      <c r="B113">
        <v>1</v>
      </c>
      <c r="C113" t="s">
        <v>79</v>
      </c>
      <c r="D113" s="1" t="s">
        <v>1</v>
      </c>
      <c r="E113" s="59" t="s">
        <v>15</v>
      </c>
      <c r="F113" s="60">
        <v>1.9930508474576201</v>
      </c>
      <c r="G113" s="60">
        <v>1.5850159109903199</v>
      </c>
      <c r="H113" s="61">
        <v>1.5860000000000001</v>
      </c>
      <c r="I113" s="62">
        <v>3.39</v>
      </c>
      <c r="J113" s="37">
        <v>1.804</v>
      </c>
      <c r="K113" s="37">
        <v>113.74527112232029</v>
      </c>
      <c r="L113" s="1" t="s">
        <v>68</v>
      </c>
      <c r="M113" s="1">
        <v>2</v>
      </c>
    </row>
    <row r="114" spans="1:13" x14ac:dyDescent="0.3">
      <c r="A114">
        <v>14</v>
      </c>
      <c r="B114">
        <v>1</v>
      </c>
      <c r="C114" t="s">
        <v>79</v>
      </c>
      <c r="D114" s="1" t="s">
        <v>1</v>
      </c>
      <c r="E114" s="59" t="s">
        <v>16</v>
      </c>
      <c r="F114" s="60">
        <v>3.95338983050847</v>
      </c>
      <c r="G114" s="60">
        <v>2.6150059857788599</v>
      </c>
      <c r="H114" s="61">
        <v>2.4722727272727201</v>
      </c>
      <c r="I114" s="62">
        <v>4.53</v>
      </c>
      <c r="J114" s="37">
        <v>2.0577272727272802</v>
      </c>
      <c r="K114" s="37">
        <v>83.232211803640922</v>
      </c>
      <c r="L114" s="1" t="s">
        <v>68</v>
      </c>
      <c r="M114" s="1">
        <v>2</v>
      </c>
    </row>
    <row r="115" spans="1:13" x14ac:dyDescent="0.3">
      <c r="A115">
        <v>14</v>
      </c>
      <c r="B115">
        <v>1</v>
      </c>
      <c r="C115" t="s">
        <v>79</v>
      </c>
      <c r="D115" s="1" t="s">
        <v>1</v>
      </c>
      <c r="E115" s="59" t="s">
        <v>17</v>
      </c>
      <c r="F115" s="60">
        <v>0.195762711864406</v>
      </c>
      <c r="G115" s="60">
        <v>0.109222264288809</v>
      </c>
      <c r="H115" s="61">
        <v>0.15040816326530601</v>
      </c>
      <c r="I115" s="62">
        <v>1.21</v>
      </c>
      <c r="J115" s="37">
        <v>1.0595918367346939</v>
      </c>
      <c r="K115" s="37">
        <v>704.47761194029908</v>
      </c>
      <c r="L115" s="1" t="s">
        <v>68</v>
      </c>
      <c r="M115" s="1">
        <v>2</v>
      </c>
    </row>
    <row r="116" spans="1:13" x14ac:dyDescent="0.3">
      <c r="A116">
        <v>14</v>
      </c>
      <c r="B116">
        <v>1</v>
      </c>
      <c r="C116" t="s">
        <v>79</v>
      </c>
      <c r="D116" s="1" t="s">
        <v>1</v>
      </c>
      <c r="E116" s="59" t="s">
        <v>18</v>
      </c>
      <c r="F116" s="60">
        <v>0.500169491525424</v>
      </c>
      <c r="G116" s="60">
        <v>5.1337749200386501E-2</v>
      </c>
      <c r="H116" s="61">
        <v>0.51745098039215698</v>
      </c>
      <c r="I116" s="62">
        <v>4.07</v>
      </c>
      <c r="J116" s="37">
        <v>3.5525490196078433</v>
      </c>
      <c r="K116" s="37">
        <v>686.54793482379682</v>
      </c>
      <c r="L116" s="1" t="s">
        <v>68</v>
      </c>
      <c r="M116" s="1">
        <v>2</v>
      </c>
    </row>
    <row r="117" spans="1:13" x14ac:dyDescent="0.3">
      <c r="A117">
        <v>14</v>
      </c>
      <c r="B117">
        <v>1</v>
      </c>
      <c r="C117" t="s">
        <v>79</v>
      </c>
      <c r="D117" s="1" t="s">
        <v>1</v>
      </c>
      <c r="E117" s="59" t="s">
        <v>19</v>
      </c>
      <c r="F117" s="60">
        <v>0.21203389830508401</v>
      </c>
      <c r="G117" s="60">
        <v>0.37706619326736501</v>
      </c>
      <c r="H117" s="61">
        <v>0.110363636363636</v>
      </c>
      <c r="I117" s="62">
        <v>2.74</v>
      </c>
      <c r="J117" s="37">
        <v>2.6296363636363642</v>
      </c>
      <c r="K117" s="37">
        <v>2382.7018121911124</v>
      </c>
      <c r="L117" s="1" t="s">
        <v>68</v>
      </c>
      <c r="M117" s="1">
        <v>2</v>
      </c>
    </row>
    <row r="118" spans="1:13" x14ac:dyDescent="0.3">
      <c r="A118">
        <v>14</v>
      </c>
      <c r="B118">
        <v>1</v>
      </c>
      <c r="C118" t="s">
        <v>79</v>
      </c>
      <c r="D118" s="1" t="s">
        <v>1</v>
      </c>
      <c r="E118" s="59" t="s">
        <v>12</v>
      </c>
      <c r="F118" s="60">
        <v>0.47271186440677898</v>
      </c>
      <c r="G118" s="60">
        <v>0.18657329643864201</v>
      </c>
      <c r="H118" s="61">
        <v>0.47260869565217301</v>
      </c>
      <c r="I118" s="62">
        <v>4.93</v>
      </c>
      <c r="J118" s="37">
        <v>4.4573913043478264</v>
      </c>
      <c r="K118" s="37">
        <v>943.14627414903589</v>
      </c>
      <c r="L118" s="1" t="s">
        <v>69</v>
      </c>
      <c r="M118" s="1">
        <v>2</v>
      </c>
    </row>
    <row r="119" spans="1:13" x14ac:dyDescent="0.3">
      <c r="A119">
        <v>14</v>
      </c>
      <c r="B119">
        <v>1</v>
      </c>
      <c r="C119" t="s">
        <v>79</v>
      </c>
      <c r="D119" s="1" t="s">
        <v>1</v>
      </c>
      <c r="E119" s="59" t="s">
        <v>13</v>
      </c>
      <c r="F119" s="60">
        <v>1.5235087719298199</v>
      </c>
      <c r="G119" s="60">
        <v>1.5873618091288899</v>
      </c>
      <c r="H119" s="61">
        <v>0.40736842105263099</v>
      </c>
      <c r="I119" s="62">
        <v>5.56</v>
      </c>
      <c r="J119" s="37">
        <v>5.1526315789473687</v>
      </c>
      <c r="K119" s="37">
        <v>1264.8578811369528</v>
      </c>
      <c r="L119" s="1" t="s">
        <v>69</v>
      </c>
      <c r="M119" s="1">
        <v>2</v>
      </c>
    </row>
    <row r="120" spans="1:13" x14ac:dyDescent="0.3">
      <c r="A120">
        <v>14</v>
      </c>
      <c r="B120">
        <v>1</v>
      </c>
      <c r="C120" t="s">
        <v>79</v>
      </c>
      <c r="D120" s="1" t="s">
        <v>1</v>
      </c>
      <c r="E120" s="59" t="s">
        <v>14</v>
      </c>
      <c r="F120" s="60">
        <v>0.44050847457627001</v>
      </c>
      <c r="G120" s="60">
        <v>9.1121519325095504E-2</v>
      </c>
      <c r="H120" s="61">
        <v>0.45690909090908999</v>
      </c>
      <c r="I120" s="62">
        <v>1.32</v>
      </c>
      <c r="J120" s="37">
        <v>0.86309090909091002</v>
      </c>
      <c r="K120" s="37">
        <v>188.89773179466832</v>
      </c>
      <c r="L120" s="1" t="s">
        <v>69</v>
      </c>
      <c r="M120" s="1">
        <v>2</v>
      </c>
    </row>
    <row r="121" spans="1:13" x14ac:dyDescent="0.3">
      <c r="A121">
        <v>14</v>
      </c>
      <c r="B121">
        <v>1</v>
      </c>
      <c r="C121" t="s">
        <v>79</v>
      </c>
      <c r="D121" s="1" t="s">
        <v>1</v>
      </c>
      <c r="E121" s="59" t="s">
        <v>15</v>
      </c>
      <c r="F121" s="60">
        <v>1.9930508474576201</v>
      </c>
      <c r="G121" s="60">
        <v>1.5850159109903199</v>
      </c>
      <c r="H121" s="61">
        <v>1.5860000000000001</v>
      </c>
      <c r="I121" s="62">
        <v>3.44</v>
      </c>
      <c r="J121" s="37">
        <v>1.8539999999999999</v>
      </c>
      <c r="K121" s="37">
        <v>116.89785624211852</v>
      </c>
      <c r="L121" s="1" t="s">
        <v>69</v>
      </c>
      <c r="M121" s="1">
        <v>2</v>
      </c>
    </row>
    <row r="122" spans="1:13" x14ac:dyDescent="0.3">
      <c r="A122">
        <v>14</v>
      </c>
      <c r="B122">
        <v>1</v>
      </c>
      <c r="C122" t="s">
        <v>79</v>
      </c>
      <c r="D122" s="1" t="s">
        <v>1</v>
      </c>
      <c r="E122" s="59" t="s">
        <v>16</v>
      </c>
      <c r="F122" s="60">
        <v>3.95338983050847</v>
      </c>
      <c r="G122" s="60">
        <v>2.6150059857788599</v>
      </c>
      <c r="H122" s="61">
        <v>2.4722727272727201</v>
      </c>
      <c r="I122" s="62">
        <v>4.59</v>
      </c>
      <c r="J122" s="37">
        <v>2.1177272727272798</v>
      </c>
      <c r="K122" s="37">
        <v>85.659128516271906</v>
      </c>
      <c r="L122" s="1" t="s">
        <v>69</v>
      </c>
      <c r="M122" s="1">
        <v>2</v>
      </c>
    </row>
    <row r="123" spans="1:13" x14ac:dyDescent="0.3">
      <c r="A123">
        <v>14</v>
      </c>
      <c r="B123">
        <v>1</v>
      </c>
      <c r="C123" t="s">
        <v>79</v>
      </c>
      <c r="D123" s="1" t="s">
        <v>1</v>
      </c>
      <c r="E123" s="59" t="s">
        <v>17</v>
      </c>
      <c r="F123" s="60">
        <v>0.195762711864406</v>
      </c>
      <c r="G123" s="60">
        <v>0.109222264288809</v>
      </c>
      <c r="H123" s="61">
        <v>0.15040816326530601</v>
      </c>
      <c r="I123" s="62">
        <v>1.25</v>
      </c>
      <c r="J123" s="37">
        <v>1.099591836734694</v>
      </c>
      <c r="K123" s="37">
        <v>731.071913161466</v>
      </c>
      <c r="L123" s="1" t="s">
        <v>69</v>
      </c>
      <c r="M123" s="1">
        <v>2</v>
      </c>
    </row>
    <row r="124" spans="1:13" x14ac:dyDescent="0.3">
      <c r="A124">
        <v>14</v>
      </c>
      <c r="B124">
        <v>1</v>
      </c>
      <c r="C124" t="s">
        <v>79</v>
      </c>
      <c r="D124" s="1" t="s">
        <v>1</v>
      </c>
      <c r="E124" s="59" t="s">
        <v>18</v>
      </c>
      <c r="F124" s="60">
        <v>0.500169491525424</v>
      </c>
      <c r="G124" s="60">
        <v>5.1337749200386501E-2</v>
      </c>
      <c r="H124" s="61">
        <v>0.51745098039215698</v>
      </c>
      <c r="I124" s="62">
        <v>4.05</v>
      </c>
      <c r="J124" s="37">
        <v>3.5325490196078428</v>
      </c>
      <c r="K124" s="37">
        <v>682.68283440697212</v>
      </c>
      <c r="L124" s="1" t="s">
        <v>69</v>
      </c>
      <c r="M124" s="1">
        <v>2</v>
      </c>
    </row>
    <row r="125" spans="1:13" x14ac:dyDescent="0.3">
      <c r="A125">
        <v>14</v>
      </c>
      <c r="B125">
        <v>1</v>
      </c>
      <c r="C125" t="s">
        <v>79</v>
      </c>
      <c r="D125" s="1" t="s">
        <v>1</v>
      </c>
      <c r="E125" s="59" t="s">
        <v>19</v>
      </c>
      <c r="F125" s="60">
        <v>0.21203389830508401</v>
      </c>
      <c r="G125" s="60">
        <v>0.37706619326736501</v>
      </c>
      <c r="H125" s="61">
        <v>0.110363636363636</v>
      </c>
      <c r="I125" s="62">
        <v>2.72</v>
      </c>
      <c r="J125" s="37">
        <v>2.6096363636363642</v>
      </c>
      <c r="K125" s="37">
        <v>2364.5799011532208</v>
      </c>
      <c r="L125" s="1" t="s">
        <v>69</v>
      </c>
      <c r="M125" s="1">
        <v>2</v>
      </c>
    </row>
    <row r="127" spans="1:13" x14ac:dyDescent="0.3">
      <c r="A127">
        <v>14</v>
      </c>
      <c r="B127">
        <v>1</v>
      </c>
      <c r="C127" t="s">
        <v>79</v>
      </c>
      <c r="D127" s="1" t="s">
        <v>1</v>
      </c>
      <c r="E127" s="59" t="s">
        <v>12</v>
      </c>
      <c r="F127" s="60">
        <v>0.456610169491525</v>
      </c>
      <c r="G127" s="60">
        <v>0.12665996343461999</v>
      </c>
      <c r="H127" s="61">
        <v>0.46921568627450899</v>
      </c>
      <c r="I127" s="63">
        <v>5.07</v>
      </c>
      <c r="J127" s="58">
        <v>4.6007843137254909</v>
      </c>
      <c r="K127" s="58">
        <v>980.52653572921201</v>
      </c>
      <c r="L127" s="1" t="s">
        <v>23</v>
      </c>
      <c r="M127" s="1">
        <v>3</v>
      </c>
    </row>
    <row r="128" spans="1:13" x14ac:dyDescent="0.3">
      <c r="A128">
        <v>14</v>
      </c>
      <c r="B128">
        <v>1</v>
      </c>
      <c r="C128" t="s">
        <v>79</v>
      </c>
      <c r="D128" s="1" t="s">
        <v>1</v>
      </c>
      <c r="E128" s="59" t="s">
        <v>13</v>
      </c>
      <c r="F128" s="60">
        <v>1.21362068965517</v>
      </c>
      <c r="G128" s="60">
        <v>1.4473741959217701</v>
      </c>
      <c r="H128" s="61">
        <v>0.40636363636363598</v>
      </c>
      <c r="I128" s="63">
        <v>5.65</v>
      </c>
      <c r="J128" s="58">
        <v>5.2436363636363641</v>
      </c>
      <c r="K128" s="58">
        <v>1290.3803131991065</v>
      </c>
      <c r="L128" s="1" t="s">
        <v>23</v>
      </c>
      <c r="M128" s="1">
        <v>3</v>
      </c>
    </row>
    <row r="129" spans="1:13" x14ac:dyDescent="0.3">
      <c r="A129">
        <v>14</v>
      </c>
      <c r="B129">
        <v>1</v>
      </c>
      <c r="C129" t="s">
        <v>79</v>
      </c>
      <c r="D129" s="1" t="s">
        <v>1</v>
      </c>
      <c r="E129" s="59" t="s">
        <v>14</v>
      </c>
      <c r="F129" s="60">
        <v>0.44283333333333302</v>
      </c>
      <c r="G129" s="60">
        <v>5.8397821496658203E-2</v>
      </c>
      <c r="H129" s="61">
        <v>0.43981132075471602</v>
      </c>
      <c r="I129" s="63">
        <v>1.37</v>
      </c>
      <c r="J129" s="58">
        <v>0.93018867924528403</v>
      </c>
      <c r="K129" s="58">
        <v>211.49721149721219</v>
      </c>
      <c r="L129" s="1" t="s">
        <v>23</v>
      </c>
      <c r="M129" s="1">
        <v>3</v>
      </c>
    </row>
    <row r="130" spans="1:13" x14ac:dyDescent="0.3">
      <c r="A130">
        <v>14</v>
      </c>
      <c r="B130">
        <v>1</v>
      </c>
      <c r="C130" t="s">
        <v>79</v>
      </c>
      <c r="D130" s="1" t="s">
        <v>1</v>
      </c>
      <c r="E130" s="59" t="s">
        <v>15</v>
      </c>
      <c r="F130" s="60">
        <v>1.873</v>
      </c>
      <c r="G130" s="60">
        <v>1.09929416748505</v>
      </c>
      <c r="H130" s="61">
        <v>1.7566666666666599</v>
      </c>
      <c r="I130" s="63">
        <v>3.57</v>
      </c>
      <c r="J130" s="58">
        <v>1.8133333333333399</v>
      </c>
      <c r="K130" s="58">
        <v>103.22580645161368</v>
      </c>
      <c r="L130" s="1" t="s">
        <v>23</v>
      </c>
      <c r="M130" s="1">
        <v>3</v>
      </c>
    </row>
    <row r="131" spans="1:13" x14ac:dyDescent="0.3">
      <c r="A131">
        <v>14</v>
      </c>
      <c r="B131">
        <v>1</v>
      </c>
      <c r="C131" t="s">
        <v>79</v>
      </c>
      <c r="D131" s="1" t="s">
        <v>1</v>
      </c>
      <c r="E131" s="59" t="s">
        <v>16</v>
      </c>
      <c r="F131" s="60">
        <v>3.90766666666666</v>
      </c>
      <c r="G131" s="60">
        <v>2.73088103406615</v>
      </c>
      <c r="H131" s="61">
        <v>2.4562222222222201</v>
      </c>
      <c r="I131" s="63">
        <v>4.6500000000000004</v>
      </c>
      <c r="J131" s="58">
        <v>2.1937777777777803</v>
      </c>
      <c r="K131" s="58">
        <v>89.315118067493174</v>
      </c>
      <c r="L131" s="1" t="s">
        <v>23</v>
      </c>
      <c r="M131" s="1">
        <v>3</v>
      </c>
    </row>
    <row r="132" spans="1:13" x14ac:dyDescent="0.3">
      <c r="A132">
        <v>14</v>
      </c>
      <c r="B132">
        <v>1</v>
      </c>
      <c r="C132" t="s">
        <v>79</v>
      </c>
      <c r="D132" s="1" t="s">
        <v>1</v>
      </c>
      <c r="E132" s="59" t="s">
        <v>17</v>
      </c>
      <c r="F132" s="60">
        <v>0.19166666666666601</v>
      </c>
      <c r="G132" s="60">
        <v>0.108829632402617</v>
      </c>
      <c r="H132" s="61">
        <v>0.14760000000000001</v>
      </c>
      <c r="I132" s="63">
        <v>1.3</v>
      </c>
      <c r="J132" s="58">
        <v>1.1524000000000001</v>
      </c>
      <c r="K132" s="58">
        <v>780.7588075880758</v>
      </c>
      <c r="L132" s="1" t="s">
        <v>23</v>
      </c>
      <c r="M132" s="1">
        <v>3</v>
      </c>
    </row>
    <row r="133" spans="1:13" x14ac:dyDescent="0.3">
      <c r="A133">
        <v>14</v>
      </c>
      <c r="B133">
        <v>1</v>
      </c>
      <c r="C133" t="s">
        <v>79</v>
      </c>
      <c r="D133" s="1" t="s">
        <v>1</v>
      </c>
      <c r="E133" s="59" t="s">
        <v>18</v>
      </c>
      <c r="F133" s="60">
        <v>0.50866666666666704</v>
      </c>
      <c r="G133" s="60">
        <v>0.103012404862499</v>
      </c>
      <c r="H133" s="61">
        <v>0.52489361702127602</v>
      </c>
      <c r="I133" s="63">
        <v>4.17</v>
      </c>
      <c r="J133" s="58">
        <v>3.645106382978724</v>
      </c>
      <c r="K133" s="58">
        <v>694.44669639238032</v>
      </c>
      <c r="L133" s="1" t="s">
        <v>23</v>
      </c>
      <c r="M133" s="1">
        <v>3</v>
      </c>
    </row>
    <row r="134" spans="1:13" x14ac:dyDescent="0.3">
      <c r="A134">
        <v>14</v>
      </c>
      <c r="B134">
        <v>1</v>
      </c>
      <c r="C134" t="s">
        <v>79</v>
      </c>
      <c r="D134" s="1" t="s">
        <v>1</v>
      </c>
      <c r="E134" s="59" t="s">
        <v>19</v>
      </c>
      <c r="F134" s="60">
        <v>0.136333333333333</v>
      </c>
      <c r="G134" s="60">
        <v>0.192024014701865</v>
      </c>
      <c r="H134" s="61">
        <v>0.111355932203389</v>
      </c>
      <c r="I134" s="63">
        <v>2.82</v>
      </c>
      <c r="J134" s="58">
        <v>2.708644067796611</v>
      </c>
      <c r="K134" s="58">
        <v>2432.4200913242198</v>
      </c>
      <c r="L134" s="1" t="s">
        <v>23</v>
      </c>
      <c r="M134" s="1">
        <v>3</v>
      </c>
    </row>
    <row r="135" spans="1:13" x14ac:dyDescent="0.3">
      <c r="A135">
        <v>14</v>
      </c>
      <c r="B135">
        <v>1</v>
      </c>
      <c r="C135" t="s">
        <v>79</v>
      </c>
      <c r="D135" s="1" t="s">
        <v>1</v>
      </c>
      <c r="E135" s="59" t="s">
        <v>12</v>
      </c>
      <c r="F135" s="60">
        <v>0.456610169491525</v>
      </c>
      <c r="G135" s="60">
        <v>0.12665996343461999</v>
      </c>
      <c r="H135" s="61">
        <v>0.46921568627450899</v>
      </c>
      <c r="I135" s="63">
        <v>4.95</v>
      </c>
      <c r="J135" s="58">
        <v>4.4807843137254908</v>
      </c>
      <c r="K135" s="58">
        <v>954.95194316757386</v>
      </c>
      <c r="L135" s="1" t="s">
        <v>68</v>
      </c>
      <c r="M135" s="1">
        <v>3</v>
      </c>
    </row>
    <row r="136" spans="1:13" x14ac:dyDescent="0.3">
      <c r="A136">
        <v>14</v>
      </c>
      <c r="B136">
        <v>1</v>
      </c>
      <c r="C136" t="s">
        <v>79</v>
      </c>
      <c r="D136" s="1" t="s">
        <v>1</v>
      </c>
      <c r="E136" s="59" t="s">
        <v>13</v>
      </c>
      <c r="F136" s="60">
        <v>1.21362068965517</v>
      </c>
      <c r="G136" s="60">
        <v>1.4473741959217701</v>
      </c>
      <c r="H136" s="61">
        <v>0.40636363636363598</v>
      </c>
      <c r="I136" s="63">
        <v>5.51</v>
      </c>
      <c r="J136" s="58">
        <v>5.1036363636363635</v>
      </c>
      <c r="K136" s="58">
        <v>1255.9284116331107</v>
      </c>
      <c r="L136" s="1" t="s">
        <v>68</v>
      </c>
      <c r="M136" s="1">
        <v>3</v>
      </c>
    </row>
    <row r="137" spans="1:13" x14ac:dyDescent="0.3">
      <c r="A137">
        <v>14</v>
      </c>
      <c r="B137">
        <v>1</v>
      </c>
      <c r="C137" t="s">
        <v>79</v>
      </c>
      <c r="D137" s="1" t="s">
        <v>1</v>
      </c>
      <c r="E137" s="59" t="s">
        <v>14</v>
      </c>
      <c r="F137" s="60">
        <v>0.44283333333333302</v>
      </c>
      <c r="G137" s="60">
        <v>5.8397821496658203E-2</v>
      </c>
      <c r="H137" s="61">
        <v>0.43981132075471602</v>
      </c>
      <c r="I137" s="63">
        <v>1.27</v>
      </c>
      <c r="J137" s="58">
        <v>0.83018867924528394</v>
      </c>
      <c r="K137" s="58">
        <v>188.76018876018938</v>
      </c>
      <c r="L137" s="1" t="s">
        <v>68</v>
      </c>
      <c r="M137" s="1">
        <v>3</v>
      </c>
    </row>
    <row r="138" spans="1:13" x14ac:dyDescent="0.3">
      <c r="A138">
        <v>14</v>
      </c>
      <c r="B138">
        <v>1</v>
      </c>
      <c r="C138" t="s">
        <v>79</v>
      </c>
      <c r="D138" s="1" t="s">
        <v>1</v>
      </c>
      <c r="E138" s="59" t="s">
        <v>15</v>
      </c>
      <c r="F138" s="60">
        <v>1.873</v>
      </c>
      <c r="G138" s="60">
        <v>1.09929416748505</v>
      </c>
      <c r="H138" s="61">
        <v>1.7566666666666599</v>
      </c>
      <c r="I138" s="63">
        <v>3.39</v>
      </c>
      <c r="J138" s="58">
        <v>1.6333333333333402</v>
      </c>
      <c r="K138" s="58">
        <v>92.979127134725601</v>
      </c>
      <c r="L138" s="1" t="s">
        <v>68</v>
      </c>
      <c r="M138" s="1">
        <v>3</v>
      </c>
    </row>
    <row r="139" spans="1:13" x14ac:dyDescent="0.3">
      <c r="A139">
        <v>14</v>
      </c>
      <c r="B139">
        <v>1</v>
      </c>
      <c r="C139" t="s">
        <v>79</v>
      </c>
      <c r="D139" s="1" t="s">
        <v>1</v>
      </c>
      <c r="E139" s="59" t="s">
        <v>16</v>
      </c>
      <c r="F139" s="60">
        <v>3.90766666666666</v>
      </c>
      <c r="G139" s="60">
        <v>2.73088103406615</v>
      </c>
      <c r="H139" s="61">
        <v>2.4562222222222201</v>
      </c>
      <c r="I139" s="63">
        <v>4.53</v>
      </c>
      <c r="J139" s="58">
        <v>2.0737777777777802</v>
      </c>
      <c r="K139" s="58">
        <v>84.429566633493337</v>
      </c>
      <c r="L139" s="1" t="s">
        <v>68</v>
      </c>
      <c r="M139" s="1">
        <v>3</v>
      </c>
    </row>
    <row r="140" spans="1:13" x14ac:dyDescent="0.3">
      <c r="A140">
        <v>14</v>
      </c>
      <c r="B140">
        <v>1</v>
      </c>
      <c r="C140" t="s">
        <v>79</v>
      </c>
      <c r="D140" s="1" t="s">
        <v>1</v>
      </c>
      <c r="E140" s="59" t="s">
        <v>17</v>
      </c>
      <c r="F140" s="60">
        <v>0.19166666666666601</v>
      </c>
      <c r="G140" s="60">
        <v>0.108829632402617</v>
      </c>
      <c r="H140" s="61">
        <v>0.14760000000000001</v>
      </c>
      <c r="I140" s="63">
        <v>1.21</v>
      </c>
      <c r="J140" s="58">
        <v>1.0624</v>
      </c>
      <c r="K140" s="58">
        <v>719.78319783197833</v>
      </c>
      <c r="L140" s="1" t="s">
        <v>68</v>
      </c>
      <c r="M140" s="1">
        <v>3</v>
      </c>
    </row>
    <row r="141" spans="1:13" x14ac:dyDescent="0.3">
      <c r="A141">
        <v>14</v>
      </c>
      <c r="B141">
        <v>1</v>
      </c>
      <c r="C141" t="s">
        <v>79</v>
      </c>
      <c r="D141" s="1" t="s">
        <v>1</v>
      </c>
      <c r="E141" s="59" t="s">
        <v>18</v>
      </c>
      <c r="F141" s="60">
        <v>0.50866666666666704</v>
      </c>
      <c r="G141" s="60">
        <v>0.103012404862499</v>
      </c>
      <c r="H141" s="61">
        <v>0.52489361702127602</v>
      </c>
      <c r="I141" s="63">
        <v>4.07</v>
      </c>
      <c r="J141" s="58">
        <v>3.5451063829787244</v>
      </c>
      <c r="K141" s="58">
        <v>675.39521686258706</v>
      </c>
      <c r="L141" s="1" t="s">
        <v>68</v>
      </c>
      <c r="M141" s="1">
        <v>3</v>
      </c>
    </row>
    <row r="142" spans="1:13" x14ac:dyDescent="0.3">
      <c r="A142">
        <v>14</v>
      </c>
      <c r="B142">
        <v>1</v>
      </c>
      <c r="C142" t="s">
        <v>79</v>
      </c>
      <c r="D142" s="1" t="s">
        <v>1</v>
      </c>
      <c r="E142" s="59" t="s">
        <v>19</v>
      </c>
      <c r="F142" s="60">
        <v>0.136333333333333</v>
      </c>
      <c r="G142" s="60">
        <v>0.192024014701865</v>
      </c>
      <c r="H142" s="61">
        <v>0.111355932203389</v>
      </c>
      <c r="I142" s="63">
        <v>2.74</v>
      </c>
      <c r="J142" s="58">
        <v>2.6286440677966114</v>
      </c>
      <c r="K142" s="58">
        <v>2360.5783866058027</v>
      </c>
      <c r="L142" s="1" t="s">
        <v>68</v>
      </c>
      <c r="M142" s="1">
        <v>3</v>
      </c>
    </row>
    <row r="143" spans="1:13" x14ac:dyDescent="0.3">
      <c r="A143">
        <v>14</v>
      </c>
      <c r="B143">
        <v>1</v>
      </c>
      <c r="C143" t="s">
        <v>79</v>
      </c>
      <c r="D143" s="1" t="s">
        <v>1</v>
      </c>
      <c r="E143" s="59" t="s">
        <v>12</v>
      </c>
      <c r="F143" s="60">
        <v>0.456610169491525</v>
      </c>
      <c r="G143" s="60">
        <v>0.12665996343461999</v>
      </c>
      <c r="H143" s="61">
        <v>0.46921568627450899</v>
      </c>
      <c r="I143" s="63">
        <v>4.93</v>
      </c>
      <c r="J143" s="58">
        <v>4.4607843137254903</v>
      </c>
      <c r="K143" s="58">
        <v>950.68951107396731</v>
      </c>
      <c r="L143" s="1" t="s">
        <v>69</v>
      </c>
      <c r="M143" s="1">
        <v>3</v>
      </c>
    </row>
    <row r="144" spans="1:13" x14ac:dyDescent="0.3">
      <c r="A144">
        <v>14</v>
      </c>
      <c r="B144">
        <v>1</v>
      </c>
      <c r="C144" t="s">
        <v>79</v>
      </c>
      <c r="D144" s="1" t="s">
        <v>1</v>
      </c>
      <c r="E144" s="59" t="s">
        <v>13</v>
      </c>
      <c r="F144" s="60">
        <v>1.21362068965517</v>
      </c>
      <c r="G144" s="60">
        <v>1.4473741959217701</v>
      </c>
      <c r="H144" s="61">
        <v>0.40636363636363598</v>
      </c>
      <c r="I144" s="63">
        <v>5.56</v>
      </c>
      <c r="J144" s="58">
        <v>5.1536363636363633</v>
      </c>
      <c r="K144" s="58">
        <v>1268.2326621923949</v>
      </c>
      <c r="L144" s="1" t="s">
        <v>69</v>
      </c>
      <c r="M144" s="1">
        <v>3</v>
      </c>
    </row>
    <row r="145" spans="1:13" x14ac:dyDescent="0.3">
      <c r="A145">
        <v>14</v>
      </c>
      <c r="B145">
        <v>1</v>
      </c>
      <c r="C145" t="s">
        <v>79</v>
      </c>
      <c r="D145" s="1" t="s">
        <v>1</v>
      </c>
      <c r="E145" s="59" t="s">
        <v>14</v>
      </c>
      <c r="F145" s="60">
        <v>0.44283333333333302</v>
      </c>
      <c r="G145" s="60">
        <v>5.8397821496658203E-2</v>
      </c>
      <c r="H145" s="61">
        <v>0.43981132075471602</v>
      </c>
      <c r="I145" s="63">
        <v>1.32</v>
      </c>
      <c r="J145" s="58">
        <v>0.88018867924528399</v>
      </c>
      <c r="K145" s="58">
        <v>200.12870012870079</v>
      </c>
      <c r="L145" s="1" t="s">
        <v>69</v>
      </c>
      <c r="M145" s="1">
        <v>3</v>
      </c>
    </row>
    <row r="146" spans="1:13" x14ac:dyDescent="0.3">
      <c r="A146">
        <v>14</v>
      </c>
      <c r="B146">
        <v>1</v>
      </c>
      <c r="C146" t="s">
        <v>79</v>
      </c>
      <c r="D146" s="1" t="s">
        <v>1</v>
      </c>
      <c r="E146" s="59" t="s">
        <v>15</v>
      </c>
      <c r="F146" s="60">
        <v>1.873</v>
      </c>
      <c r="G146" s="60">
        <v>1.09929416748505</v>
      </c>
      <c r="H146" s="61">
        <v>1.7566666666666599</v>
      </c>
      <c r="I146" s="63">
        <v>3.44</v>
      </c>
      <c r="J146" s="58">
        <v>1.68333333333334</v>
      </c>
      <c r="K146" s="58">
        <v>95.825426944972278</v>
      </c>
      <c r="L146" s="1" t="s">
        <v>69</v>
      </c>
      <c r="M146" s="1">
        <v>3</v>
      </c>
    </row>
    <row r="147" spans="1:13" x14ac:dyDescent="0.3">
      <c r="A147">
        <v>14</v>
      </c>
      <c r="B147">
        <v>1</v>
      </c>
      <c r="C147" t="s">
        <v>79</v>
      </c>
      <c r="D147" s="1" t="s">
        <v>1</v>
      </c>
      <c r="E147" s="59" t="s">
        <v>16</v>
      </c>
      <c r="F147" s="60">
        <v>3.90766666666666</v>
      </c>
      <c r="G147" s="60">
        <v>2.73088103406615</v>
      </c>
      <c r="H147" s="61">
        <v>2.4562222222222201</v>
      </c>
      <c r="I147" s="63">
        <v>4.59</v>
      </c>
      <c r="J147" s="58">
        <v>2.1337777777777798</v>
      </c>
      <c r="K147" s="58">
        <v>86.872342350493241</v>
      </c>
      <c r="L147" s="1" t="s">
        <v>69</v>
      </c>
      <c r="M147" s="1">
        <v>3</v>
      </c>
    </row>
    <row r="148" spans="1:13" x14ac:dyDescent="0.3">
      <c r="A148">
        <v>14</v>
      </c>
      <c r="B148">
        <v>1</v>
      </c>
      <c r="C148" t="s">
        <v>79</v>
      </c>
      <c r="D148" s="1" t="s">
        <v>1</v>
      </c>
      <c r="E148" s="59" t="s">
        <v>17</v>
      </c>
      <c r="F148" s="60">
        <v>0.19166666666666601</v>
      </c>
      <c r="G148" s="60">
        <v>0.108829632402617</v>
      </c>
      <c r="H148" s="61">
        <v>0.14760000000000001</v>
      </c>
      <c r="I148" s="63">
        <v>1.25</v>
      </c>
      <c r="J148" s="58">
        <v>1.1024</v>
      </c>
      <c r="K148" s="58">
        <v>746.88346883468841</v>
      </c>
      <c r="L148" s="1" t="s">
        <v>69</v>
      </c>
      <c r="M148" s="1">
        <v>3</v>
      </c>
    </row>
    <row r="149" spans="1:13" x14ac:dyDescent="0.3">
      <c r="A149">
        <v>14</v>
      </c>
      <c r="B149">
        <v>1</v>
      </c>
      <c r="C149" t="s">
        <v>79</v>
      </c>
      <c r="D149" s="1" t="s">
        <v>1</v>
      </c>
      <c r="E149" s="59" t="s">
        <v>18</v>
      </c>
      <c r="F149" s="60">
        <v>0.50866666666666704</v>
      </c>
      <c r="G149" s="60">
        <v>0.103012404862499</v>
      </c>
      <c r="H149" s="61">
        <v>0.52489361702127602</v>
      </c>
      <c r="I149" s="63">
        <v>4.05</v>
      </c>
      <c r="J149" s="58">
        <v>3.5251063829787239</v>
      </c>
      <c r="K149" s="58">
        <v>671.58492095662825</v>
      </c>
      <c r="L149" s="1" t="s">
        <v>69</v>
      </c>
      <c r="M149" s="1">
        <v>3</v>
      </c>
    </row>
    <row r="150" spans="1:13" x14ac:dyDescent="0.3">
      <c r="A150">
        <v>14</v>
      </c>
      <c r="B150">
        <v>1</v>
      </c>
      <c r="C150" t="s">
        <v>79</v>
      </c>
      <c r="D150" s="1" t="s">
        <v>1</v>
      </c>
      <c r="E150" s="59" t="s">
        <v>19</v>
      </c>
      <c r="F150" s="60">
        <v>0.136333333333333</v>
      </c>
      <c r="G150" s="60">
        <v>0.192024014701865</v>
      </c>
      <c r="H150" s="61">
        <v>0.111355932203389</v>
      </c>
      <c r="I150" s="63">
        <v>2.72</v>
      </c>
      <c r="J150" s="58">
        <v>2.6086440677966114</v>
      </c>
      <c r="K150" s="58">
        <v>2342.6179604261984</v>
      </c>
      <c r="L150" s="1" t="s">
        <v>69</v>
      </c>
      <c r="M150" s="1">
        <v>3</v>
      </c>
    </row>
    <row r="152" spans="1:13" x14ac:dyDescent="0.3">
      <c r="A152">
        <v>16</v>
      </c>
      <c r="B152">
        <v>1</v>
      </c>
      <c r="C152" t="s">
        <v>79</v>
      </c>
      <c r="D152" s="1" t="s">
        <v>1</v>
      </c>
      <c r="E152" s="59" t="s">
        <v>12</v>
      </c>
      <c r="F152" s="60">
        <v>1.85372881355932</v>
      </c>
      <c r="G152" s="60">
        <v>0.33745256191450101</v>
      </c>
      <c r="H152" s="61">
        <v>1.7112765957446801</v>
      </c>
      <c r="I152" s="62">
        <v>3.8</v>
      </c>
      <c r="J152" s="37">
        <v>2.0887234042553198</v>
      </c>
      <c r="K152" s="37">
        <v>122.05644659952763</v>
      </c>
      <c r="L152" s="1" t="s">
        <v>23</v>
      </c>
      <c r="M152" s="1">
        <v>1</v>
      </c>
    </row>
    <row r="153" spans="1:13" x14ac:dyDescent="0.3">
      <c r="A153">
        <v>16</v>
      </c>
      <c r="B153">
        <v>1</v>
      </c>
      <c r="C153" t="s">
        <v>79</v>
      </c>
      <c r="D153" s="1" t="s">
        <v>1</v>
      </c>
      <c r="E153" s="59" t="s">
        <v>13</v>
      </c>
      <c r="F153" s="60">
        <v>0.44661016949152499</v>
      </c>
      <c r="G153" s="60">
        <v>2.3907318891532799E-2</v>
      </c>
      <c r="H153" s="61">
        <v>0.44999999999999901</v>
      </c>
      <c r="I153" s="62">
        <v>2.5</v>
      </c>
      <c r="J153" s="37">
        <v>2.0500000000000012</v>
      </c>
      <c r="K153" s="37">
        <v>455.55555555555679</v>
      </c>
      <c r="L153" s="1" t="s">
        <v>23</v>
      </c>
      <c r="M153" s="1">
        <v>1</v>
      </c>
    </row>
    <row r="154" spans="1:13" x14ac:dyDescent="0.3">
      <c r="A154">
        <v>16</v>
      </c>
      <c r="B154">
        <v>1</v>
      </c>
      <c r="C154" t="s">
        <v>79</v>
      </c>
      <c r="D154" s="1" t="s">
        <v>1</v>
      </c>
      <c r="E154" s="59" t="s">
        <v>14</v>
      </c>
      <c r="F154" s="60">
        <v>0.26779661016949102</v>
      </c>
      <c r="G154" s="60">
        <v>0.19961885543739599</v>
      </c>
      <c r="H154" s="61">
        <v>0.18</v>
      </c>
      <c r="I154" s="62">
        <v>4.05</v>
      </c>
      <c r="J154" s="37">
        <v>3.8699999999999997</v>
      </c>
      <c r="K154" s="37">
        <v>2150</v>
      </c>
      <c r="L154" s="1" t="s">
        <v>23</v>
      </c>
      <c r="M154" s="1">
        <v>1</v>
      </c>
    </row>
    <row r="155" spans="1:13" x14ac:dyDescent="0.3">
      <c r="A155">
        <v>16</v>
      </c>
      <c r="B155">
        <v>1</v>
      </c>
      <c r="C155" t="s">
        <v>79</v>
      </c>
      <c r="D155" s="1" t="s">
        <v>1</v>
      </c>
      <c r="E155" s="59" t="s">
        <v>15</v>
      </c>
      <c r="F155" s="60">
        <v>3.2686206896551702</v>
      </c>
      <c r="G155" s="60">
        <v>0.74914767264806104</v>
      </c>
      <c r="H155" s="61">
        <v>3.3387234042553202</v>
      </c>
      <c r="I155" s="62">
        <v>3.84</v>
      </c>
      <c r="J155" s="37">
        <v>0.50127659574467964</v>
      </c>
      <c r="K155" s="37">
        <v>15.014019882742758</v>
      </c>
      <c r="L155" s="1" t="s">
        <v>23</v>
      </c>
      <c r="M155" s="1">
        <v>1</v>
      </c>
    </row>
    <row r="156" spans="1:13" x14ac:dyDescent="0.3">
      <c r="A156">
        <v>16</v>
      </c>
      <c r="B156">
        <v>1</v>
      </c>
      <c r="C156" t="s">
        <v>79</v>
      </c>
      <c r="D156" s="1" t="s">
        <v>1</v>
      </c>
      <c r="E156" s="59" t="s">
        <v>16</v>
      </c>
      <c r="F156" s="60">
        <v>7.9101694915254201</v>
      </c>
      <c r="G156" s="60">
        <v>0.68142794121552797</v>
      </c>
      <c r="H156" s="61">
        <v>7.8799999999999901</v>
      </c>
      <c r="I156" s="62">
        <v>2.25</v>
      </c>
      <c r="J156" s="37">
        <v>-5.6299999999999901</v>
      </c>
      <c r="K156" s="37">
        <v>-71.446700507614182</v>
      </c>
      <c r="L156" s="1" t="s">
        <v>23</v>
      </c>
      <c r="M156" s="1">
        <v>1</v>
      </c>
    </row>
    <row r="157" spans="1:13" x14ac:dyDescent="0.3">
      <c r="A157">
        <v>16</v>
      </c>
      <c r="B157">
        <v>1</v>
      </c>
      <c r="C157" t="s">
        <v>79</v>
      </c>
      <c r="D157" s="1" t="s">
        <v>1</v>
      </c>
      <c r="E157" s="59" t="s">
        <v>17</v>
      </c>
      <c r="F157" s="60">
        <v>3.2974576271186402</v>
      </c>
      <c r="G157" s="60">
        <v>0.69497614450056999</v>
      </c>
      <c r="H157" s="61">
        <v>3.4897297297297301</v>
      </c>
      <c r="I157" s="62">
        <v>4.26</v>
      </c>
      <c r="J157" s="37">
        <v>0.77027027027026973</v>
      </c>
      <c r="K157" s="37">
        <v>22.072490706319687</v>
      </c>
      <c r="L157" s="1" t="s">
        <v>23</v>
      </c>
      <c r="M157" s="1">
        <v>1</v>
      </c>
    </row>
    <row r="158" spans="1:13" x14ac:dyDescent="0.3">
      <c r="A158">
        <v>16</v>
      </c>
      <c r="B158">
        <v>1</v>
      </c>
      <c r="C158" t="s">
        <v>79</v>
      </c>
      <c r="D158" s="1" t="s">
        <v>1</v>
      </c>
      <c r="E158" s="59" t="s">
        <v>18</v>
      </c>
      <c r="F158" s="60">
        <v>0.71372881355932205</v>
      </c>
      <c r="G158" s="60">
        <v>0.24231159590238699</v>
      </c>
      <c r="H158" s="61">
        <v>0.84733333333333405</v>
      </c>
      <c r="I158" s="62">
        <v>1.27</v>
      </c>
      <c r="J158" s="37">
        <v>0.42266666666666597</v>
      </c>
      <c r="K158" s="37">
        <v>49.881982690794523</v>
      </c>
      <c r="L158" s="1" t="s">
        <v>23</v>
      </c>
      <c r="M158" s="1">
        <v>1</v>
      </c>
    </row>
    <row r="159" spans="1:13" x14ac:dyDescent="0.3">
      <c r="A159">
        <v>16</v>
      </c>
      <c r="B159">
        <v>1</v>
      </c>
      <c r="C159" t="s">
        <v>79</v>
      </c>
      <c r="D159" s="1" t="s">
        <v>1</v>
      </c>
      <c r="E159" s="59" t="s">
        <v>19</v>
      </c>
      <c r="F159" s="60">
        <v>2.8864000000000001</v>
      </c>
      <c r="G159" s="60">
        <v>1.55823459081102</v>
      </c>
      <c r="H159" s="61">
        <v>3.7053333333333298</v>
      </c>
      <c r="I159" s="62">
        <v>1.64</v>
      </c>
      <c r="J159" s="37">
        <v>-2.0653333333333297</v>
      </c>
      <c r="K159" s="37">
        <v>-55.739474631162246</v>
      </c>
      <c r="L159" s="1" t="s">
        <v>23</v>
      </c>
      <c r="M159" s="1">
        <v>1</v>
      </c>
    </row>
    <row r="160" spans="1:13" x14ac:dyDescent="0.3">
      <c r="A160">
        <v>16</v>
      </c>
      <c r="B160">
        <v>1</v>
      </c>
      <c r="C160" t="s">
        <v>79</v>
      </c>
      <c r="D160" s="1" t="s">
        <v>1</v>
      </c>
      <c r="E160" s="59" t="s">
        <v>12</v>
      </c>
      <c r="F160" s="60">
        <v>1.85372881355932</v>
      </c>
      <c r="G160" s="60">
        <v>0.33745256191450101</v>
      </c>
      <c r="H160" s="61">
        <v>1.7112765957446801</v>
      </c>
      <c r="I160" s="62">
        <v>3.62</v>
      </c>
      <c r="J160" s="37">
        <v>1.9087234042553201</v>
      </c>
      <c r="K160" s="37">
        <v>111.53798333955002</v>
      </c>
      <c r="L160" s="1" t="s">
        <v>68</v>
      </c>
      <c r="M160" s="1">
        <v>1</v>
      </c>
    </row>
    <row r="161" spans="1:13" x14ac:dyDescent="0.3">
      <c r="A161">
        <v>16</v>
      </c>
      <c r="B161">
        <v>1</v>
      </c>
      <c r="C161" t="s">
        <v>79</v>
      </c>
      <c r="D161" s="1" t="s">
        <v>1</v>
      </c>
      <c r="E161" s="59" t="s">
        <v>13</v>
      </c>
      <c r="F161" s="60">
        <v>0.44661016949152499</v>
      </c>
      <c r="G161" s="60">
        <v>2.3907318891532799E-2</v>
      </c>
      <c r="H161" s="61">
        <v>0.44999999999999901</v>
      </c>
      <c r="I161" s="62">
        <v>2.38</v>
      </c>
      <c r="J161" s="37">
        <v>1.9300000000000008</v>
      </c>
      <c r="K161" s="37">
        <v>428.88888888889005</v>
      </c>
      <c r="L161" s="1" t="s">
        <v>68</v>
      </c>
      <c r="M161" s="1">
        <v>1</v>
      </c>
    </row>
    <row r="162" spans="1:13" x14ac:dyDescent="0.3">
      <c r="A162">
        <v>16</v>
      </c>
      <c r="B162">
        <v>1</v>
      </c>
      <c r="C162" t="s">
        <v>79</v>
      </c>
      <c r="D162" s="1" t="s">
        <v>1</v>
      </c>
      <c r="E162" s="59" t="s">
        <v>14</v>
      </c>
      <c r="F162" s="60">
        <v>0.26779661016949102</v>
      </c>
      <c r="G162" s="60">
        <v>0.19961885543739599</v>
      </c>
      <c r="H162" s="61">
        <v>0.18</v>
      </c>
      <c r="I162" s="62">
        <v>3.96</v>
      </c>
      <c r="J162" s="37">
        <v>3.78</v>
      </c>
      <c r="K162" s="37">
        <v>2100</v>
      </c>
      <c r="L162" s="1" t="s">
        <v>68</v>
      </c>
      <c r="M162" s="1">
        <v>1</v>
      </c>
    </row>
    <row r="163" spans="1:13" x14ac:dyDescent="0.3">
      <c r="A163">
        <v>16</v>
      </c>
      <c r="B163">
        <v>1</v>
      </c>
      <c r="C163" t="s">
        <v>79</v>
      </c>
      <c r="D163" s="1" t="s">
        <v>1</v>
      </c>
      <c r="E163" s="59" t="s">
        <v>15</v>
      </c>
      <c r="F163" s="60">
        <v>3.2686206896551702</v>
      </c>
      <c r="G163" s="60">
        <v>0.74914767264806104</v>
      </c>
      <c r="H163" s="61">
        <v>3.3387234042553202</v>
      </c>
      <c r="I163" s="62">
        <v>3.68</v>
      </c>
      <c r="J163" s="37">
        <v>0.34127659574467994</v>
      </c>
      <c r="K163" s="37">
        <v>10.221769054295152</v>
      </c>
      <c r="L163" s="1" t="s">
        <v>68</v>
      </c>
      <c r="M163" s="1">
        <v>1</v>
      </c>
    </row>
    <row r="164" spans="1:13" x14ac:dyDescent="0.3">
      <c r="A164">
        <v>16</v>
      </c>
      <c r="B164">
        <v>1</v>
      </c>
      <c r="C164" t="s">
        <v>79</v>
      </c>
      <c r="D164" s="1" t="s">
        <v>1</v>
      </c>
      <c r="E164" s="59" t="s">
        <v>16</v>
      </c>
      <c r="F164" s="60">
        <v>7.9101694915254201</v>
      </c>
      <c r="G164" s="60">
        <v>0.68142794121552797</v>
      </c>
      <c r="H164" s="61">
        <v>7.8799999999999901</v>
      </c>
      <c r="I164" s="62">
        <v>2.14</v>
      </c>
      <c r="J164" s="37">
        <v>-5.7399999999999896</v>
      </c>
      <c r="K164" s="37">
        <v>-72.842639593908586</v>
      </c>
      <c r="L164" s="1" t="s">
        <v>68</v>
      </c>
      <c r="M164" s="1">
        <v>1</v>
      </c>
    </row>
    <row r="165" spans="1:13" x14ac:dyDescent="0.3">
      <c r="A165">
        <v>16</v>
      </c>
      <c r="B165">
        <v>1</v>
      </c>
      <c r="C165" t="s">
        <v>79</v>
      </c>
      <c r="D165" s="1" t="s">
        <v>1</v>
      </c>
      <c r="E165" s="59" t="s">
        <v>17</v>
      </c>
      <c r="F165" s="60">
        <v>3.2974576271186402</v>
      </c>
      <c r="G165" s="60">
        <v>0.69497614450056999</v>
      </c>
      <c r="H165" s="61">
        <v>3.4897297297297301</v>
      </c>
      <c r="I165" s="62">
        <v>4.1100000000000003</v>
      </c>
      <c r="J165" s="37">
        <v>0.62027027027027026</v>
      </c>
      <c r="K165" s="37">
        <v>17.774163568773233</v>
      </c>
      <c r="L165" s="1" t="s">
        <v>68</v>
      </c>
      <c r="M165" s="1">
        <v>1</v>
      </c>
    </row>
    <row r="166" spans="1:13" x14ac:dyDescent="0.3">
      <c r="A166">
        <v>16</v>
      </c>
      <c r="B166">
        <v>1</v>
      </c>
      <c r="C166" t="s">
        <v>79</v>
      </c>
      <c r="D166" s="1" t="s">
        <v>1</v>
      </c>
      <c r="E166" s="59" t="s">
        <v>18</v>
      </c>
      <c r="F166" s="60">
        <v>0.71372881355932205</v>
      </c>
      <c r="G166" s="60">
        <v>0.24231159590238699</v>
      </c>
      <c r="H166" s="61">
        <v>0.84733333333333405</v>
      </c>
      <c r="I166" s="62">
        <v>1.1399999999999999</v>
      </c>
      <c r="J166" s="37">
        <v>0.29266666666666585</v>
      </c>
      <c r="K166" s="37">
        <v>34.539732494099006</v>
      </c>
      <c r="L166" s="1" t="s">
        <v>68</v>
      </c>
      <c r="M166" s="1">
        <v>1</v>
      </c>
    </row>
    <row r="167" spans="1:13" x14ac:dyDescent="0.3">
      <c r="A167">
        <v>16</v>
      </c>
      <c r="B167">
        <v>1</v>
      </c>
      <c r="C167" t="s">
        <v>79</v>
      </c>
      <c r="D167" s="1" t="s">
        <v>1</v>
      </c>
      <c r="E167" s="59" t="s">
        <v>19</v>
      </c>
      <c r="F167" s="60">
        <v>2.8864000000000001</v>
      </c>
      <c r="G167" s="60">
        <v>1.55823459081102</v>
      </c>
      <c r="H167" s="61">
        <v>3.7053333333333298</v>
      </c>
      <c r="I167" s="62">
        <v>1.5</v>
      </c>
      <c r="J167" s="37">
        <v>-2.2053333333333298</v>
      </c>
      <c r="K167" s="37">
        <v>-59.517812162648397</v>
      </c>
      <c r="L167" s="1" t="s">
        <v>68</v>
      </c>
      <c r="M167" s="1">
        <v>1</v>
      </c>
    </row>
    <row r="168" spans="1:13" x14ac:dyDescent="0.3">
      <c r="A168">
        <v>16</v>
      </c>
      <c r="B168">
        <v>1</v>
      </c>
      <c r="C168" t="s">
        <v>79</v>
      </c>
      <c r="D168" s="1" t="s">
        <v>1</v>
      </c>
      <c r="E168" s="59" t="s">
        <v>12</v>
      </c>
      <c r="F168" s="60">
        <v>1.85372881355932</v>
      </c>
      <c r="G168" s="60">
        <v>0.33745256191450101</v>
      </c>
      <c r="H168" s="61">
        <v>1.7112765957446801</v>
      </c>
      <c r="I168" s="62">
        <v>3.55</v>
      </c>
      <c r="J168" s="37">
        <v>1.8387234042553198</v>
      </c>
      <c r="K168" s="37">
        <v>107.4474698495587</v>
      </c>
      <c r="L168" s="1" t="s">
        <v>69</v>
      </c>
      <c r="M168" s="1">
        <v>1</v>
      </c>
    </row>
    <row r="169" spans="1:13" x14ac:dyDescent="0.3">
      <c r="A169">
        <v>16</v>
      </c>
      <c r="B169">
        <v>1</v>
      </c>
      <c r="C169" t="s">
        <v>79</v>
      </c>
      <c r="D169" s="1" t="s">
        <v>1</v>
      </c>
      <c r="E169" s="59" t="s">
        <v>13</v>
      </c>
      <c r="F169" s="60">
        <v>0.44661016949152499</v>
      </c>
      <c r="G169" s="60">
        <v>2.3907318891532799E-2</v>
      </c>
      <c r="H169" s="61">
        <v>0.44999999999999901</v>
      </c>
      <c r="I169" s="62">
        <v>2.44</v>
      </c>
      <c r="J169" s="37">
        <v>1.9900000000000009</v>
      </c>
      <c r="K169" s="37">
        <v>442.22222222222342</v>
      </c>
      <c r="L169" s="1" t="s">
        <v>69</v>
      </c>
      <c r="M169" s="1">
        <v>1</v>
      </c>
    </row>
    <row r="170" spans="1:13" x14ac:dyDescent="0.3">
      <c r="A170">
        <v>16</v>
      </c>
      <c r="B170">
        <v>1</v>
      </c>
      <c r="C170" t="s">
        <v>79</v>
      </c>
      <c r="D170" s="1" t="s">
        <v>1</v>
      </c>
      <c r="E170" s="59" t="s">
        <v>14</v>
      </c>
      <c r="F170" s="60">
        <v>0.26779661016949102</v>
      </c>
      <c r="G170" s="60">
        <v>0.19961885543739599</v>
      </c>
      <c r="H170" s="61">
        <v>0.18</v>
      </c>
      <c r="I170" s="62">
        <v>3.99</v>
      </c>
      <c r="J170" s="37">
        <v>3.81</v>
      </c>
      <c r="K170" s="37">
        <v>2116.666666666667</v>
      </c>
      <c r="L170" s="1" t="s">
        <v>69</v>
      </c>
      <c r="M170" s="1">
        <v>1</v>
      </c>
    </row>
    <row r="171" spans="1:13" x14ac:dyDescent="0.3">
      <c r="A171">
        <v>16</v>
      </c>
      <c r="B171">
        <v>1</v>
      </c>
      <c r="C171" t="s">
        <v>79</v>
      </c>
      <c r="D171" s="1" t="s">
        <v>1</v>
      </c>
      <c r="E171" s="59" t="s">
        <v>15</v>
      </c>
      <c r="F171" s="60">
        <v>3.2686206896551702</v>
      </c>
      <c r="G171" s="60">
        <v>0.74914767264806104</v>
      </c>
      <c r="H171" s="61">
        <v>3.3387234042553202</v>
      </c>
      <c r="I171" s="62">
        <v>3.75</v>
      </c>
      <c r="J171" s="37">
        <v>0.41127659574467978</v>
      </c>
      <c r="K171" s="37">
        <v>12.318378791740979</v>
      </c>
      <c r="L171" s="1" t="s">
        <v>69</v>
      </c>
      <c r="M171" s="1">
        <v>1</v>
      </c>
    </row>
    <row r="172" spans="1:13" x14ac:dyDescent="0.3">
      <c r="A172">
        <v>16</v>
      </c>
      <c r="B172">
        <v>1</v>
      </c>
      <c r="C172" t="s">
        <v>79</v>
      </c>
      <c r="D172" s="1" t="s">
        <v>1</v>
      </c>
      <c r="E172" s="59" t="s">
        <v>16</v>
      </c>
      <c r="F172" s="60">
        <v>7.9101694915254201</v>
      </c>
      <c r="G172" s="60">
        <v>0.68142794121552797</v>
      </c>
      <c r="H172" s="61">
        <v>7.8799999999999901</v>
      </c>
      <c r="I172" s="62">
        <v>2.2000000000000002</v>
      </c>
      <c r="J172" s="37">
        <v>-5.6799999999999899</v>
      </c>
      <c r="K172" s="37">
        <v>-72.081218274111635</v>
      </c>
      <c r="L172" s="1" t="s">
        <v>69</v>
      </c>
      <c r="M172" s="1">
        <v>1</v>
      </c>
    </row>
    <row r="173" spans="1:13" x14ac:dyDescent="0.3">
      <c r="A173">
        <v>16</v>
      </c>
      <c r="B173">
        <v>1</v>
      </c>
      <c r="C173" t="s">
        <v>79</v>
      </c>
      <c r="D173" s="1" t="s">
        <v>1</v>
      </c>
      <c r="E173" s="59" t="s">
        <v>17</v>
      </c>
      <c r="F173" s="60">
        <v>3.2974576271186402</v>
      </c>
      <c r="G173" s="60">
        <v>0.69497614450056999</v>
      </c>
      <c r="H173" s="61">
        <v>3.4897297297297301</v>
      </c>
      <c r="I173" s="62">
        <v>4.25</v>
      </c>
      <c r="J173" s="37">
        <v>0.76027027027026994</v>
      </c>
      <c r="K173" s="37">
        <v>21.785935563816594</v>
      </c>
      <c r="L173" s="1" t="s">
        <v>69</v>
      </c>
      <c r="M173" s="1">
        <v>1</v>
      </c>
    </row>
    <row r="174" spans="1:13" x14ac:dyDescent="0.3">
      <c r="A174">
        <v>16</v>
      </c>
      <c r="B174">
        <v>1</v>
      </c>
      <c r="C174" t="s">
        <v>79</v>
      </c>
      <c r="D174" s="1" t="s">
        <v>1</v>
      </c>
      <c r="E174" s="59" t="s">
        <v>18</v>
      </c>
      <c r="F174" s="60">
        <v>0.71372881355932205</v>
      </c>
      <c r="G174" s="60">
        <v>0.24231159590238699</v>
      </c>
      <c r="H174" s="61">
        <v>0.84733333333333405</v>
      </c>
      <c r="I174" s="62">
        <v>1.1599999999999999</v>
      </c>
      <c r="J174" s="37">
        <v>0.31266666666666587</v>
      </c>
      <c r="K174" s="37">
        <v>36.900078678206008</v>
      </c>
      <c r="L174" s="1" t="s">
        <v>69</v>
      </c>
      <c r="M174" s="1">
        <v>1</v>
      </c>
    </row>
    <row r="175" spans="1:13" x14ac:dyDescent="0.3">
      <c r="A175">
        <v>16</v>
      </c>
      <c r="B175">
        <v>1</v>
      </c>
      <c r="C175" t="s">
        <v>79</v>
      </c>
      <c r="D175" s="1" t="s">
        <v>1</v>
      </c>
      <c r="E175" s="59" t="s">
        <v>19</v>
      </c>
      <c r="F175" s="60">
        <v>2.8864000000000001</v>
      </c>
      <c r="G175" s="60">
        <v>1.55823459081102</v>
      </c>
      <c r="H175" s="61">
        <v>3.7053333333333298</v>
      </c>
      <c r="I175" s="62">
        <v>1.51</v>
      </c>
      <c r="J175" s="37">
        <v>-2.1953333333333296</v>
      </c>
      <c r="K175" s="37">
        <v>-59.247930910399383</v>
      </c>
      <c r="L175" s="1" t="s">
        <v>69</v>
      </c>
      <c r="M175" s="1">
        <v>1</v>
      </c>
    </row>
    <row r="176" spans="1:13" x14ac:dyDescent="0.3">
      <c r="D176" s="1"/>
      <c r="E176" s="59"/>
      <c r="F176" s="60"/>
      <c r="G176" s="60"/>
      <c r="H176" s="61"/>
      <c r="I176" s="62"/>
      <c r="J176" s="37"/>
      <c r="K176" s="37"/>
      <c r="L176" s="1"/>
      <c r="M176" s="1"/>
    </row>
    <row r="177" spans="1:13" x14ac:dyDescent="0.3">
      <c r="A177">
        <v>16</v>
      </c>
      <c r="B177">
        <v>1</v>
      </c>
      <c r="C177" t="s">
        <v>79</v>
      </c>
      <c r="D177" s="1" t="s">
        <v>1</v>
      </c>
      <c r="E177" s="59" t="s">
        <v>12</v>
      </c>
      <c r="F177" s="60">
        <v>1.8915254237288099</v>
      </c>
      <c r="G177" s="60">
        <v>0.35208730407757799</v>
      </c>
      <c r="H177" s="61">
        <v>1.7811999999999899</v>
      </c>
      <c r="I177" s="62">
        <v>3.8</v>
      </c>
      <c r="J177" s="37">
        <v>2.0188000000000099</v>
      </c>
      <c r="K177" s="37">
        <v>113.33932180552557</v>
      </c>
      <c r="L177" s="1" t="s">
        <v>23</v>
      </c>
      <c r="M177" s="1">
        <v>2</v>
      </c>
    </row>
    <row r="178" spans="1:13" x14ac:dyDescent="0.3">
      <c r="A178">
        <v>16</v>
      </c>
      <c r="B178">
        <v>1</v>
      </c>
      <c r="C178" t="s">
        <v>79</v>
      </c>
      <c r="D178" s="1" t="s">
        <v>1</v>
      </c>
      <c r="E178" s="59" t="s">
        <v>13</v>
      </c>
      <c r="F178" s="60">
        <v>0.446949152542372</v>
      </c>
      <c r="G178" s="60">
        <v>2.7262331203909199E-2</v>
      </c>
      <c r="H178" s="61">
        <v>0.44999999999999901</v>
      </c>
      <c r="I178" s="62">
        <v>2.5</v>
      </c>
      <c r="J178" s="37">
        <v>2.0500000000000012</v>
      </c>
      <c r="K178" s="37">
        <v>455.55555555555679</v>
      </c>
      <c r="L178" s="1" t="s">
        <v>23</v>
      </c>
      <c r="M178" s="1">
        <v>2</v>
      </c>
    </row>
    <row r="179" spans="1:13" x14ac:dyDescent="0.3">
      <c r="A179">
        <v>16</v>
      </c>
      <c r="B179">
        <v>1</v>
      </c>
      <c r="C179" t="s">
        <v>79</v>
      </c>
      <c r="D179" s="1" t="s">
        <v>1</v>
      </c>
      <c r="E179" s="59" t="s">
        <v>14</v>
      </c>
      <c r="F179" s="60">
        <v>0.27355932203389799</v>
      </c>
      <c r="G179" s="60">
        <v>0.20051427703396901</v>
      </c>
      <c r="H179" s="61">
        <v>0.163333333333333</v>
      </c>
      <c r="I179" s="62">
        <v>4.05</v>
      </c>
      <c r="J179" s="37">
        <v>3.8866666666666667</v>
      </c>
      <c r="K179" s="37">
        <v>2379.591836734699</v>
      </c>
      <c r="L179" s="1" t="s">
        <v>23</v>
      </c>
      <c r="M179" s="1">
        <v>2</v>
      </c>
    </row>
    <row r="180" spans="1:13" x14ac:dyDescent="0.3">
      <c r="A180">
        <v>16</v>
      </c>
      <c r="B180">
        <v>1</v>
      </c>
      <c r="C180" t="s">
        <v>79</v>
      </c>
      <c r="D180" s="1" t="s">
        <v>1</v>
      </c>
      <c r="E180" s="59" t="s">
        <v>15</v>
      </c>
      <c r="F180" s="60">
        <v>3.4031034482758602</v>
      </c>
      <c r="G180" s="60">
        <v>0.687590011403025</v>
      </c>
      <c r="H180" s="61">
        <v>3.3113043478260802</v>
      </c>
      <c r="I180" s="62">
        <v>3.84</v>
      </c>
      <c r="J180" s="37">
        <v>0.52869565217391967</v>
      </c>
      <c r="K180" s="37">
        <v>15.96638655462208</v>
      </c>
      <c r="L180" s="1" t="s">
        <v>23</v>
      </c>
      <c r="M180" s="1">
        <v>2</v>
      </c>
    </row>
    <row r="181" spans="1:13" x14ac:dyDescent="0.3">
      <c r="A181">
        <v>16</v>
      </c>
      <c r="B181">
        <v>1</v>
      </c>
      <c r="C181" t="s">
        <v>79</v>
      </c>
      <c r="D181" s="1" t="s">
        <v>1</v>
      </c>
      <c r="E181" s="59" t="s">
        <v>16</v>
      </c>
      <c r="F181" s="60">
        <v>7.9140677966101602</v>
      </c>
      <c r="G181" s="60">
        <v>0.740874697528211</v>
      </c>
      <c r="H181" s="61">
        <v>7.8799999999999901</v>
      </c>
      <c r="I181" s="62">
        <v>2.25</v>
      </c>
      <c r="J181" s="37">
        <v>-5.6299999999999901</v>
      </c>
      <c r="K181" s="37">
        <v>-71.446700507614182</v>
      </c>
      <c r="L181" s="1" t="s">
        <v>23</v>
      </c>
      <c r="M181" s="1">
        <v>2</v>
      </c>
    </row>
    <row r="182" spans="1:13" x14ac:dyDescent="0.3">
      <c r="A182">
        <v>16</v>
      </c>
      <c r="B182">
        <v>1</v>
      </c>
      <c r="C182" t="s">
        <v>79</v>
      </c>
      <c r="D182" s="1" t="s">
        <v>1</v>
      </c>
      <c r="E182" s="59" t="s">
        <v>17</v>
      </c>
      <c r="F182" s="60">
        <v>3.2255932203389799</v>
      </c>
      <c r="G182" s="60">
        <v>0.77450973270561996</v>
      </c>
      <c r="H182" s="61">
        <v>3.40738095238095</v>
      </c>
      <c r="I182" s="62">
        <v>4.26</v>
      </c>
      <c r="J182" s="37">
        <v>0.85261904761904983</v>
      </c>
      <c r="K182" s="37">
        <v>25.022709803647626</v>
      </c>
      <c r="L182" s="1" t="s">
        <v>23</v>
      </c>
      <c r="M182" s="1">
        <v>2</v>
      </c>
    </row>
    <row r="183" spans="1:13" x14ac:dyDescent="0.3">
      <c r="A183">
        <v>16</v>
      </c>
      <c r="B183">
        <v>1</v>
      </c>
      <c r="C183" t="s">
        <v>79</v>
      </c>
      <c r="D183" s="1" t="s">
        <v>1</v>
      </c>
      <c r="E183" s="59" t="s">
        <v>18</v>
      </c>
      <c r="F183" s="60">
        <v>0.69508474576271195</v>
      </c>
      <c r="G183" s="60">
        <v>0.247114691558914</v>
      </c>
      <c r="H183" s="61">
        <v>0.84441860465116303</v>
      </c>
      <c r="I183" s="62">
        <v>1.27</v>
      </c>
      <c r="J183" s="37">
        <v>0.42558139534883699</v>
      </c>
      <c r="K183" s="37">
        <v>50.399339025061927</v>
      </c>
      <c r="L183" s="1" t="s">
        <v>23</v>
      </c>
      <c r="M183" s="1">
        <v>2</v>
      </c>
    </row>
    <row r="184" spans="1:13" x14ac:dyDescent="0.3">
      <c r="A184">
        <v>16</v>
      </c>
      <c r="B184">
        <v>1</v>
      </c>
      <c r="C184" t="s">
        <v>79</v>
      </c>
      <c r="D184" s="1" t="s">
        <v>1</v>
      </c>
      <c r="E184" s="59" t="s">
        <v>19</v>
      </c>
      <c r="F184" s="60">
        <v>2.9559999999999902</v>
      </c>
      <c r="G184" s="60">
        <v>1.7337681505899201</v>
      </c>
      <c r="H184" s="61">
        <v>3.4224999999999999</v>
      </c>
      <c r="I184" s="62">
        <v>1.64</v>
      </c>
      <c r="J184" s="37">
        <v>-1.7825</v>
      </c>
      <c r="K184" s="37">
        <v>-52.081811541271009</v>
      </c>
      <c r="L184" s="1" t="s">
        <v>23</v>
      </c>
      <c r="M184" s="1">
        <v>2</v>
      </c>
    </row>
    <row r="185" spans="1:13" x14ac:dyDescent="0.3">
      <c r="A185">
        <v>16</v>
      </c>
      <c r="B185">
        <v>1</v>
      </c>
      <c r="C185" t="s">
        <v>79</v>
      </c>
      <c r="D185" s="1" t="s">
        <v>1</v>
      </c>
      <c r="E185" s="59" t="s">
        <v>12</v>
      </c>
      <c r="F185" s="60">
        <v>1.8915254237288099</v>
      </c>
      <c r="G185" s="60">
        <v>0.35208730407757799</v>
      </c>
      <c r="H185" s="61">
        <v>1.7811999999999899</v>
      </c>
      <c r="I185" s="62">
        <v>3.62</v>
      </c>
      <c r="J185" s="37">
        <v>1.8388000000000102</v>
      </c>
      <c r="K185" s="37">
        <v>103.23377498315858</v>
      </c>
      <c r="L185" s="1" t="s">
        <v>68</v>
      </c>
      <c r="M185" s="1">
        <v>2</v>
      </c>
    </row>
    <row r="186" spans="1:13" x14ac:dyDescent="0.3">
      <c r="A186">
        <v>16</v>
      </c>
      <c r="B186">
        <v>1</v>
      </c>
      <c r="C186" t="s">
        <v>79</v>
      </c>
      <c r="D186" s="1" t="s">
        <v>1</v>
      </c>
      <c r="E186" s="59" t="s">
        <v>13</v>
      </c>
      <c r="F186" s="60">
        <v>0.446949152542372</v>
      </c>
      <c r="G186" s="60">
        <v>2.7262331203909199E-2</v>
      </c>
      <c r="H186" s="61">
        <v>0.44999999999999901</v>
      </c>
      <c r="I186" s="62">
        <v>2.38</v>
      </c>
      <c r="J186" s="37">
        <v>1.9300000000000008</v>
      </c>
      <c r="K186" s="37">
        <v>428.88888888889005</v>
      </c>
      <c r="L186" s="1" t="s">
        <v>68</v>
      </c>
      <c r="M186" s="1">
        <v>2</v>
      </c>
    </row>
    <row r="187" spans="1:13" x14ac:dyDescent="0.3">
      <c r="A187">
        <v>16</v>
      </c>
      <c r="B187">
        <v>1</v>
      </c>
      <c r="C187" t="s">
        <v>79</v>
      </c>
      <c r="D187" s="1" t="s">
        <v>1</v>
      </c>
      <c r="E187" s="59" t="s">
        <v>14</v>
      </c>
      <c r="F187" s="60">
        <v>0.27355932203389799</v>
      </c>
      <c r="G187" s="60">
        <v>0.20051427703396901</v>
      </c>
      <c r="H187" s="61">
        <v>0.163333333333333</v>
      </c>
      <c r="I187" s="62">
        <v>3.96</v>
      </c>
      <c r="J187" s="37">
        <v>3.7966666666666669</v>
      </c>
      <c r="K187" s="37">
        <v>2324.4897959183722</v>
      </c>
      <c r="L187" s="1" t="s">
        <v>68</v>
      </c>
      <c r="M187" s="1">
        <v>2</v>
      </c>
    </row>
    <row r="188" spans="1:13" x14ac:dyDescent="0.3">
      <c r="A188">
        <v>16</v>
      </c>
      <c r="B188">
        <v>1</v>
      </c>
      <c r="C188" t="s">
        <v>79</v>
      </c>
      <c r="D188" s="1" t="s">
        <v>1</v>
      </c>
      <c r="E188" s="59" t="s">
        <v>15</v>
      </c>
      <c r="F188" s="60">
        <v>3.4031034482758602</v>
      </c>
      <c r="G188" s="60">
        <v>0.687590011403025</v>
      </c>
      <c r="H188" s="61">
        <v>3.3113043478260802</v>
      </c>
      <c r="I188" s="62">
        <v>3.68</v>
      </c>
      <c r="J188" s="37">
        <v>0.36869565217391997</v>
      </c>
      <c r="K188" s="37">
        <v>11.134453781512837</v>
      </c>
      <c r="L188" s="1" t="s">
        <v>68</v>
      </c>
      <c r="M188" s="1">
        <v>2</v>
      </c>
    </row>
    <row r="189" spans="1:13" x14ac:dyDescent="0.3">
      <c r="A189">
        <v>16</v>
      </c>
      <c r="B189">
        <v>1</v>
      </c>
      <c r="C189" t="s">
        <v>79</v>
      </c>
      <c r="D189" s="1" t="s">
        <v>1</v>
      </c>
      <c r="E189" s="59" t="s">
        <v>16</v>
      </c>
      <c r="F189" s="60">
        <v>7.9140677966101602</v>
      </c>
      <c r="G189" s="60">
        <v>0.740874697528211</v>
      </c>
      <c r="H189" s="61">
        <v>7.8799999999999901</v>
      </c>
      <c r="I189" s="62">
        <v>2.14</v>
      </c>
      <c r="J189" s="37">
        <v>-5.7399999999999896</v>
      </c>
      <c r="K189" s="37">
        <v>-72.842639593908586</v>
      </c>
      <c r="L189" s="1" t="s">
        <v>68</v>
      </c>
      <c r="M189" s="1">
        <v>2</v>
      </c>
    </row>
    <row r="190" spans="1:13" x14ac:dyDescent="0.3">
      <c r="A190">
        <v>16</v>
      </c>
      <c r="B190">
        <v>1</v>
      </c>
      <c r="C190" t="s">
        <v>79</v>
      </c>
      <c r="D190" s="1" t="s">
        <v>1</v>
      </c>
      <c r="E190" s="59" t="s">
        <v>17</v>
      </c>
      <c r="F190" s="60">
        <v>3.2255932203389799</v>
      </c>
      <c r="G190" s="60">
        <v>0.77450973270561996</v>
      </c>
      <c r="H190" s="61">
        <v>3.40738095238095</v>
      </c>
      <c r="I190" s="62">
        <v>4.1100000000000003</v>
      </c>
      <c r="J190" s="37">
        <v>0.70261904761905036</v>
      </c>
      <c r="K190" s="37">
        <v>20.620501711969908</v>
      </c>
      <c r="L190" s="1" t="s">
        <v>68</v>
      </c>
      <c r="M190" s="1">
        <v>2</v>
      </c>
    </row>
    <row r="191" spans="1:13" x14ac:dyDescent="0.3">
      <c r="A191">
        <v>16</v>
      </c>
      <c r="B191">
        <v>1</v>
      </c>
      <c r="C191" t="s">
        <v>79</v>
      </c>
      <c r="D191" s="1" t="s">
        <v>1</v>
      </c>
      <c r="E191" s="59" t="s">
        <v>18</v>
      </c>
      <c r="F191" s="60">
        <v>0.69508474576271195</v>
      </c>
      <c r="G191" s="60">
        <v>0.247114691558914</v>
      </c>
      <c r="H191" s="61">
        <v>0.84441860465116303</v>
      </c>
      <c r="I191" s="62">
        <v>1.1399999999999999</v>
      </c>
      <c r="J191" s="37">
        <v>0.29558139534883687</v>
      </c>
      <c r="K191" s="37">
        <v>35.004131093362659</v>
      </c>
      <c r="L191" s="1" t="s">
        <v>68</v>
      </c>
      <c r="M191" s="1">
        <v>2</v>
      </c>
    </row>
    <row r="192" spans="1:13" x14ac:dyDescent="0.3">
      <c r="A192">
        <v>16</v>
      </c>
      <c r="B192">
        <v>1</v>
      </c>
      <c r="C192" t="s">
        <v>79</v>
      </c>
      <c r="D192" s="1" t="s">
        <v>1</v>
      </c>
      <c r="E192" s="59" t="s">
        <v>19</v>
      </c>
      <c r="F192" s="60">
        <v>2.9559999999999902</v>
      </c>
      <c r="G192" s="60">
        <v>1.7337681505899201</v>
      </c>
      <c r="H192" s="61">
        <v>3.4224999999999999</v>
      </c>
      <c r="I192" s="62">
        <v>1.5</v>
      </c>
      <c r="J192" s="37">
        <v>-1.9224999999999999</v>
      </c>
      <c r="K192" s="37">
        <v>-56.17238860482103</v>
      </c>
      <c r="L192" s="1" t="s">
        <v>68</v>
      </c>
      <c r="M192" s="1">
        <v>2</v>
      </c>
    </row>
    <row r="193" spans="1:13" x14ac:dyDescent="0.3">
      <c r="A193">
        <v>16</v>
      </c>
      <c r="B193">
        <v>1</v>
      </c>
      <c r="C193" t="s">
        <v>79</v>
      </c>
      <c r="D193" s="1" t="s">
        <v>1</v>
      </c>
      <c r="E193" s="59" t="s">
        <v>12</v>
      </c>
      <c r="F193" s="60">
        <v>1.8915254237288099</v>
      </c>
      <c r="G193" s="60">
        <v>0.35208730407757799</v>
      </c>
      <c r="H193" s="61">
        <v>1.7811999999999899</v>
      </c>
      <c r="I193" s="62">
        <v>3.55</v>
      </c>
      <c r="J193" s="37">
        <v>1.7688000000000099</v>
      </c>
      <c r="K193" s="37">
        <v>99.303840107793619</v>
      </c>
      <c r="L193" s="1" t="s">
        <v>69</v>
      </c>
      <c r="M193" s="1">
        <v>2</v>
      </c>
    </row>
    <row r="194" spans="1:13" x14ac:dyDescent="0.3">
      <c r="A194">
        <v>16</v>
      </c>
      <c r="B194">
        <v>1</v>
      </c>
      <c r="C194" t="s">
        <v>79</v>
      </c>
      <c r="D194" s="1" t="s">
        <v>1</v>
      </c>
      <c r="E194" s="59" t="s">
        <v>13</v>
      </c>
      <c r="F194" s="60">
        <v>0.446949152542372</v>
      </c>
      <c r="G194" s="60">
        <v>2.7262331203909199E-2</v>
      </c>
      <c r="H194" s="61">
        <v>0.44999999999999901</v>
      </c>
      <c r="I194" s="62">
        <v>2.44</v>
      </c>
      <c r="J194" s="37">
        <v>1.9900000000000009</v>
      </c>
      <c r="K194" s="37">
        <v>442.22222222222342</v>
      </c>
      <c r="L194" s="1" t="s">
        <v>69</v>
      </c>
      <c r="M194" s="1">
        <v>2</v>
      </c>
    </row>
    <row r="195" spans="1:13" x14ac:dyDescent="0.3">
      <c r="A195">
        <v>16</v>
      </c>
      <c r="B195">
        <v>1</v>
      </c>
      <c r="C195" t="s">
        <v>79</v>
      </c>
      <c r="D195" s="1" t="s">
        <v>1</v>
      </c>
      <c r="E195" s="59" t="s">
        <v>14</v>
      </c>
      <c r="F195" s="60">
        <v>0.27355932203389799</v>
      </c>
      <c r="G195" s="60">
        <v>0.20051427703396901</v>
      </c>
      <c r="H195" s="61">
        <v>0.163333333333333</v>
      </c>
      <c r="I195" s="62">
        <v>3.99</v>
      </c>
      <c r="J195" s="37">
        <v>3.8266666666666671</v>
      </c>
      <c r="K195" s="37">
        <v>2342.8571428571481</v>
      </c>
      <c r="L195" s="1" t="s">
        <v>69</v>
      </c>
      <c r="M195" s="1">
        <v>2</v>
      </c>
    </row>
    <row r="196" spans="1:13" x14ac:dyDescent="0.3">
      <c r="A196">
        <v>16</v>
      </c>
      <c r="B196">
        <v>1</v>
      </c>
      <c r="C196" t="s">
        <v>79</v>
      </c>
      <c r="D196" s="1" t="s">
        <v>1</v>
      </c>
      <c r="E196" s="59" t="s">
        <v>15</v>
      </c>
      <c r="F196" s="60">
        <v>3.4031034482758602</v>
      </c>
      <c r="G196" s="60">
        <v>0.687590011403025</v>
      </c>
      <c r="H196" s="61">
        <v>3.3113043478260802</v>
      </c>
      <c r="I196" s="62">
        <v>3.75</v>
      </c>
      <c r="J196" s="37">
        <v>0.43869565217391981</v>
      </c>
      <c r="K196" s="37">
        <v>13.248424369748129</v>
      </c>
      <c r="L196" s="1" t="s">
        <v>69</v>
      </c>
      <c r="M196" s="1">
        <v>2</v>
      </c>
    </row>
    <row r="197" spans="1:13" x14ac:dyDescent="0.3">
      <c r="A197">
        <v>16</v>
      </c>
      <c r="B197">
        <v>1</v>
      </c>
      <c r="C197" t="s">
        <v>79</v>
      </c>
      <c r="D197" s="1" t="s">
        <v>1</v>
      </c>
      <c r="E197" s="59" t="s">
        <v>16</v>
      </c>
      <c r="F197" s="60">
        <v>7.9140677966101602</v>
      </c>
      <c r="G197" s="60">
        <v>0.740874697528211</v>
      </c>
      <c r="H197" s="61">
        <v>7.8799999999999901</v>
      </c>
      <c r="I197" s="62">
        <v>2.2000000000000002</v>
      </c>
      <c r="J197" s="37">
        <v>-5.6799999999999899</v>
      </c>
      <c r="K197" s="37">
        <v>-72.081218274111635</v>
      </c>
      <c r="L197" s="1" t="s">
        <v>69</v>
      </c>
      <c r="M197" s="1">
        <v>2</v>
      </c>
    </row>
    <row r="198" spans="1:13" x14ac:dyDescent="0.3">
      <c r="A198">
        <v>16</v>
      </c>
      <c r="B198">
        <v>1</v>
      </c>
      <c r="C198" t="s">
        <v>79</v>
      </c>
      <c r="D198" s="1" t="s">
        <v>1</v>
      </c>
      <c r="E198" s="59" t="s">
        <v>17</v>
      </c>
      <c r="F198" s="60">
        <v>3.2255932203389799</v>
      </c>
      <c r="G198" s="60">
        <v>0.77450973270561996</v>
      </c>
      <c r="H198" s="61">
        <v>3.40738095238095</v>
      </c>
      <c r="I198" s="62">
        <v>4.25</v>
      </c>
      <c r="J198" s="37">
        <v>0.84261904761905004</v>
      </c>
      <c r="K198" s="37">
        <v>24.729229264202452</v>
      </c>
      <c r="L198" s="1" t="s">
        <v>69</v>
      </c>
      <c r="M198" s="1">
        <v>2</v>
      </c>
    </row>
    <row r="199" spans="1:13" x14ac:dyDescent="0.3">
      <c r="A199">
        <v>16</v>
      </c>
      <c r="B199">
        <v>1</v>
      </c>
      <c r="C199" t="s">
        <v>79</v>
      </c>
      <c r="D199" s="1" t="s">
        <v>1</v>
      </c>
      <c r="E199" s="59" t="s">
        <v>18</v>
      </c>
      <c r="F199" s="60">
        <v>0.69508474576271195</v>
      </c>
      <c r="G199" s="60">
        <v>0.247114691558914</v>
      </c>
      <c r="H199" s="61">
        <v>0.84441860465116303</v>
      </c>
      <c r="I199" s="62">
        <v>1.1599999999999999</v>
      </c>
      <c r="J199" s="37">
        <v>0.31558139534883689</v>
      </c>
      <c r="K199" s="37">
        <v>37.37262462131639</v>
      </c>
      <c r="L199" s="1" t="s">
        <v>69</v>
      </c>
      <c r="M199" s="1">
        <v>2</v>
      </c>
    </row>
    <row r="200" spans="1:13" x14ac:dyDescent="0.3">
      <c r="A200">
        <v>16</v>
      </c>
      <c r="B200">
        <v>1</v>
      </c>
      <c r="C200" t="s">
        <v>79</v>
      </c>
      <c r="D200" s="1" t="s">
        <v>1</v>
      </c>
      <c r="E200" s="59" t="s">
        <v>19</v>
      </c>
      <c r="F200" s="60">
        <v>2.9559999999999902</v>
      </c>
      <c r="G200" s="60">
        <v>1.7337681505899201</v>
      </c>
      <c r="H200" s="61">
        <v>3.4224999999999999</v>
      </c>
      <c r="I200" s="62">
        <v>1.51</v>
      </c>
      <c r="J200" s="37">
        <v>-1.9124999999999999</v>
      </c>
      <c r="K200" s="37">
        <v>-55.88020452885317</v>
      </c>
      <c r="L200" s="1" t="s">
        <v>69</v>
      </c>
      <c r="M200" s="1">
        <v>2</v>
      </c>
    </row>
    <row r="201" spans="1:13" x14ac:dyDescent="0.3">
      <c r="D201" s="1"/>
      <c r="E201" s="59"/>
      <c r="F201" s="60"/>
      <c r="G201" s="60"/>
      <c r="H201" s="61"/>
      <c r="I201" s="62"/>
      <c r="J201" s="37"/>
      <c r="K201" s="37"/>
      <c r="L201" s="1"/>
      <c r="M201" s="1"/>
    </row>
    <row r="202" spans="1:13" x14ac:dyDescent="0.3">
      <c r="A202">
        <v>16</v>
      </c>
      <c r="B202">
        <v>1</v>
      </c>
      <c r="C202" t="s">
        <v>79</v>
      </c>
      <c r="D202" s="1" t="s">
        <v>1</v>
      </c>
      <c r="E202" s="59" t="s">
        <v>12</v>
      </c>
      <c r="F202" s="60">
        <v>1.91508474576271</v>
      </c>
      <c r="G202" s="60">
        <v>0.30043117535176</v>
      </c>
      <c r="H202" s="61">
        <v>1.96314285714285</v>
      </c>
      <c r="I202" s="63">
        <v>3.8</v>
      </c>
      <c r="J202" s="58">
        <v>1.8368571428571498</v>
      </c>
      <c r="K202" s="58">
        <v>93.567166351332389</v>
      </c>
      <c r="L202" s="1" t="s">
        <v>23</v>
      </c>
      <c r="M202" s="1">
        <v>3</v>
      </c>
    </row>
    <row r="203" spans="1:13" x14ac:dyDescent="0.3">
      <c r="A203">
        <v>16</v>
      </c>
      <c r="B203">
        <v>1</v>
      </c>
      <c r="C203" t="s">
        <v>79</v>
      </c>
      <c r="D203" s="1" t="s">
        <v>1</v>
      </c>
      <c r="E203" s="59" t="s">
        <v>13</v>
      </c>
      <c r="F203" s="60">
        <v>0.45084745762711798</v>
      </c>
      <c r="G203" s="60">
        <v>3.4360409598455398E-2</v>
      </c>
      <c r="H203" s="61">
        <v>0.44999999999999901</v>
      </c>
      <c r="I203" s="63">
        <v>2.5</v>
      </c>
      <c r="J203" s="58">
        <v>2.0500000000000012</v>
      </c>
      <c r="K203" s="58">
        <v>455.55555555555679</v>
      </c>
      <c r="L203" s="1" t="s">
        <v>23</v>
      </c>
      <c r="M203" s="1">
        <v>3</v>
      </c>
    </row>
    <row r="204" spans="1:13" x14ac:dyDescent="0.3">
      <c r="A204">
        <v>16</v>
      </c>
      <c r="B204">
        <v>1</v>
      </c>
      <c r="C204" t="s">
        <v>79</v>
      </c>
      <c r="D204" s="1" t="s">
        <v>1</v>
      </c>
      <c r="E204" s="59" t="s">
        <v>14</v>
      </c>
      <c r="F204" s="60">
        <v>0.27813559322033898</v>
      </c>
      <c r="G204" s="60">
        <v>0.21371987508022899</v>
      </c>
      <c r="H204" s="61">
        <v>0.154090909090909</v>
      </c>
      <c r="I204" s="63">
        <v>4.05</v>
      </c>
      <c r="J204" s="58">
        <v>3.895909090909091</v>
      </c>
      <c r="K204" s="58">
        <v>2528.3185840707979</v>
      </c>
      <c r="L204" s="1" t="s">
        <v>23</v>
      </c>
      <c r="M204" s="1">
        <v>3</v>
      </c>
    </row>
    <row r="205" spans="1:13" x14ac:dyDescent="0.3">
      <c r="A205">
        <v>16</v>
      </c>
      <c r="B205">
        <v>1</v>
      </c>
      <c r="C205" t="s">
        <v>79</v>
      </c>
      <c r="D205" s="1" t="s">
        <v>1</v>
      </c>
      <c r="E205" s="59" t="s">
        <v>15</v>
      </c>
      <c r="F205" s="60">
        <v>3.4129310344827601</v>
      </c>
      <c r="G205" s="60">
        <v>0.76204807663678598</v>
      </c>
      <c r="H205" s="61">
        <v>3.3247619047619001</v>
      </c>
      <c r="I205" s="63">
        <v>3.84</v>
      </c>
      <c r="J205" s="58">
        <v>0.51523809523809971</v>
      </c>
      <c r="K205" s="58">
        <v>15.496992265826567</v>
      </c>
      <c r="L205" s="1" t="s">
        <v>23</v>
      </c>
      <c r="M205" s="1">
        <v>3</v>
      </c>
    </row>
    <row r="206" spans="1:13" x14ac:dyDescent="0.3">
      <c r="A206">
        <v>16</v>
      </c>
      <c r="B206">
        <v>1</v>
      </c>
      <c r="C206" t="s">
        <v>79</v>
      </c>
      <c r="D206" s="1" t="s">
        <v>1</v>
      </c>
      <c r="E206" s="59" t="s">
        <v>16</v>
      </c>
      <c r="F206" s="60">
        <v>8.02881355932203</v>
      </c>
      <c r="G206" s="60">
        <v>0.80870912988867405</v>
      </c>
      <c r="H206" s="61">
        <v>7.8799999999999901</v>
      </c>
      <c r="I206" s="63">
        <v>2.25</v>
      </c>
      <c r="J206" s="58">
        <v>-5.6299999999999901</v>
      </c>
      <c r="K206" s="58">
        <v>-71.446700507614182</v>
      </c>
      <c r="L206" s="1" t="s">
        <v>23</v>
      </c>
      <c r="M206" s="1">
        <v>3</v>
      </c>
    </row>
    <row r="207" spans="1:13" x14ac:dyDescent="0.3">
      <c r="A207">
        <v>16</v>
      </c>
      <c r="B207">
        <v>1</v>
      </c>
      <c r="C207" t="s">
        <v>79</v>
      </c>
      <c r="D207" s="1" t="s">
        <v>1</v>
      </c>
      <c r="E207" s="59" t="s">
        <v>17</v>
      </c>
      <c r="F207" s="60">
        <v>3.2879661016949102</v>
      </c>
      <c r="G207" s="60">
        <v>0.68995892695493299</v>
      </c>
      <c r="H207" s="61">
        <v>3.5311111111111102</v>
      </c>
      <c r="I207" s="63">
        <v>4.26</v>
      </c>
      <c r="J207" s="58">
        <v>0.72888888888888959</v>
      </c>
      <c r="K207" s="58">
        <v>20.641913152926396</v>
      </c>
      <c r="L207" s="1" t="s">
        <v>23</v>
      </c>
      <c r="M207" s="1">
        <v>3</v>
      </c>
    </row>
    <row r="208" spans="1:13" x14ac:dyDescent="0.3">
      <c r="A208">
        <v>16</v>
      </c>
      <c r="B208">
        <v>1</v>
      </c>
      <c r="C208" t="s">
        <v>79</v>
      </c>
      <c r="D208" s="1" t="s">
        <v>1</v>
      </c>
      <c r="E208" s="59" t="s">
        <v>18</v>
      </c>
      <c r="F208" s="60">
        <v>0.70898305084745805</v>
      </c>
      <c r="G208" s="60">
        <v>0.228797111775463</v>
      </c>
      <c r="H208" s="61">
        <v>0.83399999999999996</v>
      </c>
      <c r="I208" s="63">
        <v>1.27</v>
      </c>
      <c r="J208" s="58">
        <v>0.43600000000000005</v>
      </c>
      <c r="K208" s="58">
        <v>52.278177458033582</v>
      </c>
      <c r="L208" s="1" t="s">
        <v>23</v>
      </c>
      <c r="M208" s="1">
        <v>3</v>
      </c>
    </row>
    <row r="209" spans="1:13" x14ac:dyDescent="0.3">
      <c r="A209">
        <v>16</v>
      </c>
      <c r="B209">
        <v>1</v>
      </c>
      <c r="C209" t="s">
        <v>79</v>
      </c>
      <c r="D209" s="1" t="s">
        <v>1</v>
      </c>
      <c r="E209" s="59" t="s">
        <v>19</v>
      </c>
      <c r="F209" s="60">
        <v>3.4447826086956499</v>
      </c>
      <c r="G209" s="60">
        <v>1.4866649854045699</v>
      </c>
      <c r="H209" s="61">
        <v>4.0541176470588196</v>
      </c>
      <c r="I209" s="63">
        <v>1.64</v>
      </c>
      <c r="J209" s="58">
        <v>-2.4141176470588199</v>
      </c>
      <c r="K209" s="58">
        <v>-59.547301218804385</v>
      </c>
      <c r="L209" s="1" t="s">
        <v>23</v>
      </c>
      <c r="M209" s="1">
        <v>3</v>
      </c>
    </row>
    <row r="210" spans="1:13" x14ac:dyDescent="0.3">
      <c r="A210">
        <v>16</v>
      </c>
      <c r="B210">
        <v>1</v>
      </c>
      <c r="C210" t="s">
        <v>79</v>
      </c>
      <c r="D210" s="1" t="s">
        <v>1</v>
      </c>
      <c r="E210" s="59" t="s">
        <v>12</v>
      </c>
      <c r="F210" s="60">
        <v>1.91508474576271</v>
      </c>
      <c r="G210" s="60">
        <v>0.30043117535176</v>
      </c>
      <c r="H210" s="61">
        <v>1.96314285714285</v>
      </c>
      <c r="I210" s="63">
        <v>3.62</v>
      </c>
      <c r="J210" s="58">
        <v>1.6568571428571501</v>
      </c>
      <c r="K210" s="58">
        <v>84.3981953136377</v>
      </c>
      <c r="L210" s="1" t="s">
        <v>68</v>
      </c>
      <c r="M210" s="1">
        <v>3</v>
      </c>
    </row>
    <row r="211" spans="1:13" x14ac:dyDescent="0.3">
      <c r="A211">
        <v>16</v>
      </c>
      <c r="B211">
        <v>1</v>
      </c>
      <c r="C211" t="s">
        <v>79</v>
      </c>
      <c r="D211" s="1" t="s">
        <v>1</v>
      </c>
      <c r="E211" s="59" t="s">
        <v>13</v>
      </c>
      <c r="F211" s="60">
        <v>0.45084745762711798</v>
      </c>
      <c r="G211" s="60">
        <v>3.4360409598455398E-2</v>
      </c>
      <c r="H211" s="61">
        <v>0.44999999999999901</v>
      </c>
      <c r="I211" s="63">
        <v>2.38</v>
      </c>
      <c r="J211" s="58">
        <v>1.9300000000000008</v>
      </c>
      <c r="K211" s="58">
        <v>428.88888888889005</v>
      </c>
      <c r="L211" s="1" t="s">
        <v>68</v>
      </c>
      <c r="M211" s="1">
        <v>3</v>
      </c>
    </row>
    <row r="212" spans="1:13" x14ac:dyDescent="0.3">
      <c r="A212">
        <v>16</v>
      </c>
      <c r="B212">
        <v>1</v>
      </c>
      <c r="C212" t="s">
        <v>79</v>
      </c>
      <c r="D212" s="1" t="s">
        <v>1</v>
      </c>
      <c r="E212" s="59" t="s">
        <v>14</v>
      </c>
      <c r="F212" s="60">
        <v>0.27813559322033898</v>
      </c>
      <c r="G212" s="60">
        <v>0.21371987508022899</v>
      </c>
      <c r="H212" s="61">
        <v>0.154090909090909</v>
      </c>
      <c r="I212" s="63">
        <v>3.96</v>
      </c>
      <c r="J212" s="58">
        <v>3.8059090909090911</v>
      </c>
      <c r="K212" s="58">
        <v>2469.9115044247806</v>
      </c>
      <c r="L212" s="1" t="s">
        <v>68</v>
      </c>
      <c r="M212" s="1">
        <v>3</v>
      </c>
    </row>
    <row r="213" spans="1:13" x14ac:dyDescent="0.3">
      <c r="A213">
        <v>16</v>
      </c>
      <c r="B213">
        <v>1</v>
      </c>
      <c r="C213" t="s">
        <v>79</v>
      </c>
      <c r="D213" s="1" t="s">
        <v>1</v>
      </c>
      <c r="E213" s="59" t="s">
        <v>15</v>
      </c>
      <c r="F213" s="60">
        <v>3.4129310344827601</v>
      </c>
      <c r="G213" s="60">
        <v>0.76204807663678598</v>
      </c>
      <c r="H213" s="61">
        <v>3.3247619047619001</v>
      </c>
      <c r="I213" s="63">
        <v>3.68</v>
      </c>
      <c r="J213" s="58">
        <v>0.35523809523810002</v>
      </c>
      <c r="K213" s="58">
        <v>10.684617588083801</v>
      </c>
      <c r="L213" s="1" t="s">
        <v>68</v>
      </c>
      <c r="M213" s="1">
        <v>3</v>
      </c>
    </row>
    <row r="214" spans="1:13" x14ac:dyDescent="0.3">
      <c r="A214">
        <v>16</v>
      </c>
      <c r="B214">
        <v>1</v>
      </c>
      <c r="C214" t="s">
        <v>79</v>
      </c>
      <c r="D214" s="1" t="s">
        <v>1</v>
      </c>
      <c r="E214" s="59" t="s">
        <v>16</v>
      </c>
      <c r="F214" s="60">
        <v>8.02881355932203</v>
      </c>
      <c r="G214" s="60">
        <v>0.80870912988867405</v>
      </c>
      <c r="H214" s="61">
        <v>7.8799999999999901</v>
      </c>
      <c r="I214" s="63">
        <v>2.14</v>
      </c>
      <c r="J214" s="58">
        <v>-5.7399999999999896</v>
      </c>
      <c r="K214" s="58">
        <v>-72.842639593908586</v>
      </c>
      <c r="L214" s="1" t="s">
        <v>68</v>
      </c>
      <c r="M214" s="1">
        <v>3</v>
      </c>
    </row>
    <row r="215" spans="1:13" x14ac:dyDescent="0.3">
      <c r="A215">
        <v>16</v>
      </c>
      <c r="B215">
        <v>1</v>
      </c>
      <c r="C215" t="s">
        <v>79</v>
      </c>
      <c r="D215" s="1" t="s">
        <v>1</v>
      </c>
      <c r="E215" s="59" t="s">
        <v>17</v>
      </c>
      <c r="F215" s="60">
        <v>3.2879661016949102</v>
      </c>
      <c r="G215" s="60">
        <v>0.68995892695493299</v>
      </c>
      <c r="H215" s="61">
        <v>3.5311111111111102</v>
      </c>
      <c r="I215" s="63">
        <v>4.1100000000000003</v>
      </c>
      <c r="J215" s="58">
        <v>0.57888888888889012</v>
      </c>
      <c r="K215" s="58">
        <v>16.393958464443084</v>
      </c>
      <c r="L215" s="1" t="s">
        <v>68</v>
      </c>
      <c r="M215" s="1">
        <v>3</v>
      </c>
    </row>
    <row r="216" spans="1:13" x14ac:dyDescent="0.3">
      <c r="A216">
        <v>16</v>
      </c>
      <c r="B216">
        <v>1</v>
      </c>
      <c r="C216" t="s">
        <v>79</v>
      </c>
      <c r="D216" s="1" t="s">
        <v>1</v>
      </c>
      <c r="E216" s="59" t="s">
        <v>18</v>
      </c>
      <c r="F216" s="60">
        <v>0.70898305084745805</v>
      </c>
      <c r="G216" s="60">
        <v>0.228797111775463</v>
      </c>
      <c r="H216" s="61">
        <v>0.83399999999999996</v>
      </c>
      <c r="I216" s="63">
        <v>1.1399999999999999</v>
      </c>
      <c r="J216" s="58">
        <v>0.30599999999999994</v>
      </c>
      <c r="K216" s="58">
        <v>36.690647482014384</v>
      </c>
      <c r="L216" s="1" t="s">
        <v>68</v>
      </c>
      <c r="M216" s="1">
        <v>3</v>
      </c>
    </row>
    <row r="217" spans="1:13" x14ac:dyDescent="0.3">
      <c r="A217">
        <v>16</v>
      </c>
      <c r="B217">
        <v>1</v>
      </c>
      <c r="C217" t="s">
        <v>79</v>
      </c>
      <c r="D217" s="1" t="s">
        <v>1</v>
      </c>
      <c r="E217" s="59" t="s">
        <v>19</v>
      </c>
      <c r="F217" s="60">
        <v>3.4447826086956499</v>
      </c>
      <c r="G217" s="60">
        <v>1.4866649854045699</v>
      </c>
      <c r="H217" s="61">
        <v>4.0541176470588196</v>
      </c>
      <c r="I217" s="63">
        <v>1.5</v>
      </c>
      <c r="J217" s="58">
        <v>-2.5541176470588196</v>
      </c>
      <c r="K217" s="58">
        <v>-63.000580383052785</v>
      </c>
      <c r="L217" s="1" t="s">
        <v>68</v>
      </c>
      <c r="M217" s="1">
        <v>3</v>
      </c>
    </row>
    <row r="218" spans="1:13" x14ac:dyDescent="0.3">
      <c r="A218">
        <v>16</v>
      </c>
      <c r="B218">
        <v>1</v>
      </c>
      <c r="C218" t="s">
        <v>79</v>
      </c>
      <c r="D218" s="1" t="s">
        <v>1</v>
      </c>
      <c r="E218" s="59" t="s">
        <v>12</v>
      </c>
      <c r="F218" s="60">
        <v>1.91508474576271</v>
      </c>
      <c r="G218" s="60">
        <v>0.30043117535176</v>
      </c>
      <c r="H218" s="61">
        <v>1.96314285714285</v>
      </c>
      <c r="I218" s="63">
        <v>3.55</v>
      </c>
      <c r="J218" s="58">
        <v>1.5868571428571498</v>
      </c>
      <c r="K218" s="58">
        <v>80.832484354534202</v>
      </c>
      <c r="L218" s="1" t="s">
        <v>69</v>
      </c>
      <c r="M218" s="1">
        <v>3</v>
      </c>
    </row>
    <row r="219" spans="1:13" x14ac:dyDescent="0.3">
      <c r="A219">
        <v>16</v>
      </c>
      <c r="B219">
        <v>1</v>
      </c>
      <c r="C219" t="s">
        <v>79</v>
      </c>
      <c r="D219" s="1" t="s">
        <v>1</v>
      </c>
      <c r="E219" s="59" t="s">
        <v>13</v>
      </c>
      <c r="F219" s="60">
        <v>0.45084745762711798</v>
      </c>
      <c r="G219" s="60">
        <v>3.4360409598455398E-2</v>
      </c>
      <c r="H219" s="61">
        <v>0.44999999999999901</v>
      </c>
      <c r="I219" s="63">
        <v>2.44</v>
      </c>
      <c r="J219" s="58">
        <v>1.9900000000000009</v>
      </c>
      <c r="K219" s="58">
        <v>442.22222222222342</v>
      </c>
      <c r="L219" s="1" t="s">
        <v>69</v>
      </c>
      <c r="M219" s="1">
        <v>3</v>
      </c>
    </row>
    <row r="220" spans="1:13" x14ac:dyDescent="0.3">
      <c r="A220">
        <v>16</v>
      </c>
      <c r="B220">
        <v>1</v>
      </c>
      <c r="C220" t="s">
        <v>79</v>
      </c>
      <c r="D220" s="1" t="s">
        <v>1</v>
      </c>
      <c r="E220" s="59" t="s">
        <v>14</v>
      </c>
      <c r="F220" s="60">
        <v>0.27813559322033898</v>
      </c>
      <c r="G220" s="60">
        <v>0.21371987508022899</v>
      </c>
      <c r="H220" s="61">
        <v>0.154090909090909</v>
      </c>
      <c r="I220" s="63">
        <v>3.99</v>
      </c>
      <c r="J220" s="58">
        <v>3.8359090909090914</v>
      </c>
      <c r="K220" s="58">
        <v>2489.380530973453</v>
      </c>
      <c r="L220" s="1" t="s">
        <v>69</v>
      </c>
      <c r="M220" s="1">
        <v>3</v>
      </c>
    </row>
    <row r="221" spans="1:13" x14ac:dyDescent="0.3">
      <c r="A221">
        <v>16</v>
      </c>
      <c r="B221">
        <v>1</v>
      </c>
      <c r="C221" t="s">
        <v>79</v>
      </c>
      <c r="D221" s="1" t="s">
        <v>1</v>
      </c>
      <c r="E221" s="59" t="s">
        <v>15</v>
      </c>
      <c r="F221" s="60">
        <v>3.4129310344827601</v>
      </c>
      <c r="G221" s="60">
        <v>0.76204807663678598</v>
      </c>
      <c r="H221" s="61">
        <v>3.3247619047619001</v>
      </c>
      <c r="I221" s="63">
        <v>3.75</v>
      </c>
      <c r="J221" s="58">
        <v>0.42523809523809986</v>
      </c>
      <c r="K221" s="58">
        <v>12.790031509596261</v>
      </c>
      <c r="L221" s="1" t="s">
        <v>69</v>
      </c>
      <c r="M221" s="1">
        <v>3</v>
      </c>
    </row>
    <row r="222" spans="1:13" x14ac:dyDescent="0.3">
      <c r="A222">
        <v>16</v>
      </c>
      <c r="B222">
        <v>1</v>
      </c>
      <c r="C222" t="s">
        <v>79</v>
      </c>
      <c r="D222" s="1" t="s">
        <v>1</v>
      </c>
      <c r="E222" s="59" t="s">
        <v>16</v>
      </c>
      <c r="F222" s="60">
        <v>8.02881355932203</v>
      </c>
      <c r="G222" s="60">
        <v>0.80870912988867405</v>
      </c>
      <c r="H222" s="61">
        <v>7.8799999999999901</v>
      </c>
      <c r="I222" s="63">
        <v>2.2000000000000002</v>
      </c>
      <c r="J222" s="58">
        <v>-5.6799999999999899</v>
      </c>
      <c r="K222" s="58">
        <v>-72.081218274111635</v>
      </c>
      <c r="L222" s="1" t="s">
        <v>69</v>
      </c>
      <c r="M222" s="1">
        <v>3</v>
      </c>
    </row>
    <row r="223" spans="1:13" x14ac:dyDescent="0.3">
      <c r="A223">
        <v>16</v>
      </c>
      <c r="B223">
        <v>1</v>
      </c>
      <c r="C223" t="s">
        <v>79</v>
      </c>
      <c r="D223" s="1" t="s">
        <v>1</v>
      </c>
      <c r="E223" s="59" t="s">
        <v>17</v>
      </c>
      <c r="F223" s="60">
        <v>3.2879661016949102</v>
      </c>
      <c r="G223" s="60">
        <v>0.68995892695493299</v>
      </c>
      <c r="H223" s="61">
        <v>3.5311111111111102</v>
      </c>
      <c r="I223" s="63">
        <v>4.25</v>
      </c>
      <c r="J223" s="58">
        <v>0.7188888888888898</v>
      </c>
      <c r="K223" s="58">
        <v>20.358716173694177</v>
      </c>
      <c r="L223" s="1" t="s">
        <v>69</v>
      </c>
      <c r="M223" s="1">
        <v>3</v>
      </c>
    </row>
    <row r="224" spans="1:13" x14ac:dyDescent="0.3">
      <c r="A224">
        <v>16</v>
      </c>
      <c r="B224">
        <v>1</v>
      </c>
      <c r="C224" t="s">
        <v>79</v>
      </c>
      <c r="D224" s="1" t="s">
        <v>1</v>
      </c>
      <c r="E224" s="59" t="s">
        <v>18</v>
      </c>
      <c r="F224" s="60">
        <v>0.70898305084745805</v>
      </c>
      <c r="G224" s="60">
        <v>0.228797111775463</v>
      </c>
      <c r="H224" s="61">
        <v>0.83399999999999996</v>
      </c>
      <c r="I224" s="63">
        <v>1.1599999999999999</v>
      </c>
      <c r="J224" s="58">
        <v>0.32599999999999996</v>
      </c>
      <c r="K224" s="58">
        <v>39.088729016786566</v>
      </c>
      <c r="L224" s="1" t="s">
        <v>69</v>
      </c>
      <c r="M224" s="1">
        <v>3</v>
      </c>
    </row>
    <row r="225" spans="1:13" x14ac:dyDescent="0.3">
      <c r="A225">
        <v>16</v>
      </c>
      <c r="B225">
        <v>1</v>
      </c>
      <c r="C225" t="s">
        <v>79</v>
      </c>
      <c r="D225" s="1" t="s">
        <v>1</v>
      </c>
      <c r="E225" s="59" t="s">
        <v>19</v>
      </c>
      <c r="F225" s="60">
        <v>3.4447826086956499</v>
      </c>
      <c r="G225" s="60">
        <v>1.4866649854045699</v>
      </c>
      <c r="H225" s="61">
        <v>4.0541176470588196</v>
      </c>
      <c r="I225" s="63">
        <v>1.51</v>
      </c>
      <c r="J225" s="58">
        <v>-2.5441176470588198</v>
      </c>
      <c r="K225" s="58">
        <v>-62.753917585606466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F36E-C6C5-4779-BFCF-1D1724E946F4}">
  <dimension ref="A1:M450"/>
  <sheetViews>
    <sheetView workbookViewId="0">
      <selection activeCell="N33" sqref="N33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79</v>
      </c>
      <c r="D2" s="1" t="s">
        <v>2</v>
      </c>
      <c r="E2" s="59"/>
      <c r="F2" s="60"/>
      <c r="G2" s="60"/>
      <c r="H2" s="61"/>
      <c r="I2" s="62"/>
      <c r="J2" s="37"/>
      <c r="K2" s="37"/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79</v>
      </c>
      <c r="D3" s="1" t="s">
        <v>2</v>
      </c>
      <c r="E3" s="59"/>
      <c r="F3" s="60"/>
      <c r="G3" s="60"/>
      <c r="H3" s="61"/>
      <c r="I3" s="62"/>
      <c r="J3" s="37"/>
      <c r="K3" s="37"/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79</v>
      </c>
      <c r="D4" s="1" t="s">
        <v>2</v>
      </c>
      <c r="E4" s="59"/>
      <c r="F4" s="60"/>
      <c r="G4" s="60"/>
      <c r="H4" s="61"/>
      <c r="I4" s="62"/>
      <c r="J4" s="37"/>
      <c r="K4" s="37"/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79</v>
      </c>
      <c r="D5" s="1" t="s">
        <v>2</v>
      </c>
      <c r="E5" s="59"/>
      <c r="F5" s="60"/>
      <c r="G5" s="60"/>
      <c r="H5" s="61"/>
      <c r="I5" s="62"/>
      <c r="J5" s="37"/>
      <c r="K5" s="37"/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79</v>
      </c>
      <c r="D6" s="1" t="s">
        <v>2</v>
      </c>
      <c r="E6" s="59"/>
      <c r="F6" s="60"/>
      <c r="G6" s="60"/>
      <c r="H6" s="61"/>
      <c r="I6" s="62"/>
      <c r="J6" s="37"/>
      <c r="K6" s="37"/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79</v>
      </c>
      <c r="D7" s="1" t="s">
        <v>2</v>
      </c>
      <c r="E7" s="59"/>
      <c r="F7" s="60"/>
      <c r="G7" s="60"/>
      <c r="H7" s="61"/>
      <c r="I7" s="62"/>
      <c r="J7" s="37"/>
      <c r="K7" s="37"/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79</v>
      </c>
      <c r="D8" s="1" t="s">
        <v>2</v>
      </c>
      <c r="E8" s="59"/>
      <c r="F8" s="60"/>
      <c r="G8" s="60"/>
      <c r="H8" s="61"/>
      <c r="I8" s="62"/>
      <c r="J8" s="37"/>
      <c r="K8" s="37"/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79</v>
      </c>
      <c r="D9" s="1" t="s">
        <v>2</v>
      </c>
      <c r="E9" s="59"/>
      <c r="F9" s="60"/>
      <c r="G9" s="60"/>
      <c r="H9" s="61"/>
      <c r="I9" s="62"/>
      <c r="J9" s="37"/>
      <c r="K9" s="37"/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79</v>
      </c>
      <c r="D10" s="1" t="s">
        <v>2</v>
      </c>
      <c r="E10" s="59"/>
      <c r="F10" s="60"/>
      <c r="G10" s="60"/>
      <c r="H10" s="61"/>
      <c r="I10" s="62"/>
      <c r="J10" s="37"/>
      <c r="K10" s="37"/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79</v>
      </c>
      <c r="D11" s="1" t="s">
        <v>2</v>
      </c>
      <c r="E11" s="59"/>
      <c r="F11" s="60"/>
      <c r="G11" s="60"/>
      <c r="H11" s="61"/>
      <c r="I11" s="62"/>
      <c r="J11" s="37"/>
      <c r="K11" s="37"/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79</v>
      </c>
      <c r="D12" s="1" t="s">
        <v>2</v>
      </c>
      <c r="E12" s="59"/>
      <c r="F12" s="60"/>
      <c r="G12" s="60"/>
      <c r="H12" s="61"/>
      <c r="I12" s="62"/>
      <c r="J12" s="37"/>
      <c r="K12" s="37"/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79</v>
      </c>
      <c r="D13" s="1" t="s">
        <v>2</v>
      </c>
      <c r="E13" s="59"/>
      <c r="F13" s="60"/>
      <c r="G13" s="60"/>
      <c r="H13" s="61"/>
      <c r="I13" s="62"/>
      <c r="J13" s="37"/>
      <c r="K13" s="37"/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79</v>
      </c>
      <c r="D14" s="1" t="s">
        <v>2</v>
      </c>
      <c r="E14" s="59"/>
      <c r="F14" s="60"/>
      <c r="G14" s="60"/>
      <c r="H14" s="61"/>
      <c r="I14" s="62"/>
      <c r="J14" s="37"/>
      <c r="K14" s="37"/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79</v>
      </c>
      <c r="D15" s="1" t="s">
        <v>2</v>
      </c>
      <c r="E15" s="59"/>
      <c r="F15" s="60"/>
      <c r="G15" s="60"/>
      <c r="H15" s="61"/>
      <c r="I15" s="62"/>
      <c r="J15" s="37"/>
      <c r="K15" s="37"/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79</v>
      </c>
      <c r="D16" s="1" t="s">
        <v>2</v>
      </c>
      <c r="E16" s="59"/>
      <c r="F16" s="60"/>
      <c r="G16" s="60"/>
      <c r="H16" s="61"/>
      <c r="I16" s="62"/>
      <c r="J16" s="37"/>
      <c r="K16" s="37"/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79</v>
      </c>
      <c r="D17" s="1" t="s">
        <v>2</v>
      </c>
      <c r="E17" s="59"/>
      <c r="F17" s="60"/>
      <c r="G17" s="60"/>
      <c r="H17" s="61"/>
      <c r="I17" s="62"/>
      <c r="J17" s="37"/>
      <c r="K17" s="37"/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79</v>
      </c>
      <c r="D18" s="1" t="s">
        <v>2</v>
      </c>
      <c r="E18" s="59"/>
      <c r="F18" s="60"/>
      <c r="G18" s="60"/>
      <c r="H18" s="61"/>
      <c r="I18" s="62"/>
      <c r="J18" s="37"/>
      <c r="K18" s="37"/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79</v>
      </c>
      <c r="D19" s="1" t="s">
        <v>2</v>
      </c>
      <c r="E19" s="59"/>
      <c r="F19" s="60"/>
      <c r="G19" s="60"/>
      <c r="H19" s="61"/>
      <c r="I19" s="62"/>
      <c r="J19" s="37"/>
      <c r="K19" s="37"/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79</v>
      </c>
      <c r="D20" s="1" t="s">
        <v>2</v>
      </c>
      <c r="E20" s="59"/>
      <c r="F20" s="60"/>
      <c r="G20" s="60"/>
      <c r="H20" s="61"/>
      <c r="I20" s="62"/>
      <c r="J20" s="37"/>
      <c r="K20" s="37"/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79</v>
      </c>
      <c r="D21" s="1" t="s">
        <v>2</v>
      </c>
      <c r="E21" s="59"/>
      <c r="F21" s="60"/>
      <c r="G21" s="60"/>
      <c r="H21" s="61"/>
      <c r="I21" s="62"/>
      <c r="J21" s="37"/>
      <c r="K21" s="37"/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79</v>
      </c>
      <c r="D22" s="1" t="s">
        <v>2</v>
      </c>
      <c r="E22" s="59"/>
      <c r="F22" s="60"/>
      <c r="G22" s="60"/>
      <c r="H22" s="61"/>
      <c r="I22" s="62"/>
      <c r="J22" s="37"/>
      <c r="K22" s="37"/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79</v>
      </c>
      <c r="D23" s="1" t="s">
        <v>2</v>
      </c>
      <c r="E23" s="59"/>
      <c r="F23" s="60"/>
      <c r="G23" s="60"/>
      <c r="H23" s="61"/>
      <c r="I23" s="62"/>
      <c r="J23" s="37"/>
      <c r="K23" s="37"/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79</v>
      </c>
      <c r="D24" s="1" t="s">
        <v>2</v>
      </c>
      <c r="E24" s="59"/>
      <c r="F24" s="60"/>
      <c r="G24" s="60"/>
      <c r="H24" s="61"/>
      <c r="I24" s="62"/>
      <c r="J24" s="37"/>
      <c r="K24" s="37"/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79</v>
      </c>
      <c r="D25" s="1" t="s">
        <v>2</v>
      </c>
      <c r="E25" s="59"/>
      <c r="F25" s="60"/>
      <c r="G25" s="60"/>
      <c r="H25" s="61"/>
      <c r="I25" s="62"/>
      <c r="J25" s="37"/>
      <c r="K25" s="37"/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79</v>
      </c>
      <c r="D27" s="1" t="s">
        <v>2</v>
      </c>
      <c r="E27" s="59" t="s">
        <v>12</v>
      </c>
      <c r="F27" s="60">
        <v>3.26018518518518</v>
      </c>
      <c r="G27" s="60">
        <v>3.7826467760515401</v>
      </c>
      <c r="H27" s="61">
        <v>2.3592156862745099</v>
      </c>
      <c r="I27" s="62">
        <v>3.04</v>
      </c>
      <c r="J27" s="37">
        <v>0.68078431372549009</v>
      </c>
      <c r="K27" s="37">
        <v>28.856382978723399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79</v>
      </c>
      <c r="D28" s="1" t="s">
        <v>2</v>
      </c>
      <c r="E28" s="59" t="s">
        <v>13</v>
      </c>
      <c r="F28" s="60">
        <v>1.21078947368421</v>
      </c>
      <c r="G28" s="60">
        <v>0.30504858611243602</v>
      </c>
      <c r="H28" s="61">
        <v>1.17</v>
      </c>
      <c r="I28" s="62">
        <v>4.01</v>
      </c>
      <c r="J28" s="37">
        <v>2.84</v>
      </c>
      <c r="K28" s="37">
        <v>242.73504273504273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79</v>
      </c>
      <c r="D29" s="1" t="s">
        <v>2</v>
      </c>
      <c r="E29" s="59" t="s">
        <v>14</v>
      </c>
      <c r="F29" s="60">
        <v>3.0053846153846102</v>
      </c>
      <c r="G29" s="60">
        <v>1.83214088887464</v>
      </c>
      <c r="H29" s="61">
        <v>2.5569565217391301</v>
      </c>
      <c r="I29" s="62">
        <v>5.24</v>
      </c>
      <c r="J29" s="37">
        <v>2.6830434782608701</v>
      </c>
      <c r="K29" s="37">
        <v>104.93113416085703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79</v>
      </c>
      <c r="D30" s="1" t="s">
        <v>2</v>
      </c>
      <c r="E30" s="59" t="s">
        <v>15</v>
      </c>
      <c r="F30" s="60">
        <v>3.9521666666666602</v>
      </c>
      <c r="G30" s="60">
        <v>2.7362158124355198</v>
      </c>
      <c r="H30" s="61">
        <v>3.3326315789473702</v>
      </c>
      <c r="I30" s="62">
        <v>5.77</v>
      </c>
      <c r="J30" s="37">
        <v>2.4373684210526294</v>
      </c>
      <c r="K30" s="37">
        <v>73.136449778900712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79</v>
      </c>
      <c r="D31" s="1" t="s">
        <v>2</v>
      </c>
      <c r="E31" s="59" t="s">
        <v>16</v>
      </c>
      <c r="F31" s="60">
        <v>1.59</v>
      </c>
      <c r="G31" s="60">
        <v>0.967265935423401</v>
      </c>
      <c r="H31" s="61">
        <v>1.41</v>
      </c>
      <c r="I31" s="62">
        <v>4.1900000000000004</v>
      </c>
      <c r="J31" s="37">
        <v>2.7800000000000002</v>
      </c>
      <c r="K31" s="37">
        <v>197.1631205673759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79</v>
      </c>
      <c r="D32" s="1" t="s">
        <v>2</v>
      </c>
      <c r="E32" s="59" t="s">
        <v>17</v>
      </c>
      <c r="F32" s="60">
        <v>7.12843137254902</v>
      </c>
      <c r="G32" s="60">
        <v>19.7181781734668</v>
      </c>
      <c r="H32" s="61">
        <v>1.4619148936170201</v>
      </c>
      <c r="I32" s="62">
        <v>4.38</v>
      </c>
      <c r="J32" s="37">
        <v>2.9180851063829798</v>
      </c>
      <c r="K32" s="37">
        <v>199.60704409838473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79</v>
      </c>
      <c r="D33" s="1" t="s">
        <v>2</v>
      </c>
      <c r="E33" s="59" t="s">
        <v>18</v>
      </c>
      <c r="F33" s="60">
        <v>1.07</v>
      </c>
      <c r="G33" s="60">
        <v>0.355833165091887</v>
      </c>
      <c r="H33" s="61">
        <v>1.2178260869565201</v>
      </c>
      <c r="I33" s="62">
        <v>1.55</v>
      </c>
      <c r="J33" s="37">
        <v>0.33217391304347998</v>
      </c>
      <c r="K33" s="37">
        <v>27.275972866833452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79</v>
      </c>
      <c r="D34" s="1" t="s">
        <v>2</v>
      </c>
      <c r="E34" s="59" t="s">
        <v>19</v>
      </c>
      <c r="F34" s="60">
        <v>3.5249999999999999</v>
      </c>
      <c r="G34" s="60">
        <v>1.69616184369298</v>
      </c>
      <c r="H34" s="61">
        <v>2.94857142857142</v>
      </c>
      <c r="I34" s="62">
        <v>2.41</v>
      </c>
      <c r="J34" s="37">
        <v>-0.53857142857141982</v>
      </c>
      <c r="K34" s="37">
        <v>-18.265503875968751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79</v>
      </c>
      <c r="D35" s="1" t="s">
        <v>2</v>
      </c>
      <c r="E35" s="59" t="s">
        <v>12</v>
      </c>
      <c r="F35" s="60">
        <v>3.26018518518518</v>
      </c>
      <c r="G35" s="60">
        <v>3.7826467760515401</v>
      </c>
      <c r="H35" s="61">
        <v>2.3592156862745099</v>
      </c>
      <c r="I35" s="62">
        <v>2.99</v>
      </c>
      <c r="J35" s="37">
        <v>0.63078431372549026</v>
      </c>
      <c r="K35" s="37">
        <v>26.737034574468087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79</v>
      </c>
      <c r="D36" s="1" t="s">
        <v>2</v>
      </c>
      <c r="E36" s="59" t="s">
        <v>13</v>
      </c>
      <c r="F36" s="60">
        <v>1.21078947368421</v>
      </c>
      <c r="G36" s="60">
        <v>0.30504858611243602</v>
      </c>
      <c r="H36" s="61">
        <v>1.17</v>
      </c>
      <c r="I36" s="62">
        <v>4.18</v>
      </c>
      <c r="J36" s="37">
        <v>3.01</v>
      </c>
      <c r="K36" s="37">
        <v>257.26495726495727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79</v>
      </c>
      <c r="D37" s="1" t="s">
        <v>2</v>
      </c>
      <c r="E37" s="59" t="s">
        <v>14</v>
      </c>
      <c r="F37" s="60">
        <v>3.0053846153846102</v>
      </c>
      <c r="G37" s="60">
        <v>1.83214088887464</v>
      </c>
      <c r="H37" s="61">
        <v>2.5569565217391301</v>
      </c>
      <c r="I37" s="62">
        <v>5.28</v>
      </c>
      <c r="J37" s="37">
        <v>2.7230434782608701</v>
      </c>
      <c r="K37" s="37">
        <v>106.49549396361166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79</v>
      </c>
      <c r="D38" s="1" t="s">
        <v>2</v>
      </c>
      <c r="E38" s="59" t="s">
        <v>15</v>
      </c>
      <c r="F38" s="60">
        <v>3.9521666666666602</v>
      </c>
      <c r="G38" s="60">
        <v>2.7362158124355198</v>
      </c>
      <c r="H38" s="61">
        <v>3.3326315789473702</v>
      </c>
      <c r="I38" s="62">
        <v>5.69</v>
      </c>
      <c r="J38" s="37">
        <v>2.3573684210526302</v>
      </c>
      <c r="K38" s="37">
        <v>70.735944409349258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79</v>
      </c>
      <c r="D39" s="1" t="s">
        <v>2</v>
      </c>
      <c r="E39" s="59" t="s">
        <v>16</v>
      </c>
      <c r="F39" s="60">
        <v>1.59</v>
      </c>
      <c r="G39" s="60">
        <v>0.967265935423401</v>
      </c>
      <c r="H39" s="61">
        <v>1.41</v>
      </c>
      <c r="I39" s="62">
        <v>4.22</v>
      </c>
      <c r="J39" s="37">
        <v>2.8099999999999996</v>
      </c>
      <c r="K39" s="37">
        <v>199.29078014184395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79</v>
      </c>
      <c r="D40" s="1" t="s">
        <v>2</v>
      </c>
      <c r="E40" s="59" t="s">
        <v>17</v>
      </c>
      <c r="F40" s="60">
        <v>7.12843137254902</v>
      </c>
      <c r="G40" s="60">
        <v>19.7181781734668</v>
      </c>
      <c r="H40" s="61">
        <v>1.4619148936170201</v>
      </c>
      <c r="I40" s="62">
        <v>4.3899999999999997</v>
      </c>
      <c r="J40" s="37">
        <v>2.9280851063829796</v>
      </c>
      <c r="K40" s="37">
        <v>200.29107844564132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79</v>
      </c>
      <c r="D41" s="1" t="s">
        <v>2</v>
      </c>
      <c r="E41" s="59" t="s">
        <v>18</v>
      </c>
      <c r="F41" s="60">
        <v>1.07</v>
      </c>
      <c r="G41" s="60">
        <v>0.355833165091887</v>
      </c>
      <c r="H41" s="61">
        <v>1.2178260869565201</v>
      </c>
      <c r="I41" s="62">
        <v>1.62</v>
      </c>
      <c r="J41" s="37">
        <v>0.40217391304348005</v>
      </c>
      <c r="K41" s="37">
        <v>33.02392002856142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79</v>
      </c>
      <c r="D42" s="1" t="s">
        <v>2</v>
      </c>
      <c r="E42" s="59" t="s">
        <v>19</v>
      </c>
      <c r="F42" s="60">
        <v>3.5249999999999999</v>
      </c>
      <c r="G42" s="60">
        <v>1.69616184369298</v>
      </c>
      <c r="H42" s="61">
        <v>2.94857142857142</v>
      </c>
      <c r="I42" s="62">
        <v>2.44</v>
      </c>
      <c r="J42" s="37">
        <v>-0.50857142857142001</v>
      </c>
      <c r="K42" s="37">
        <v>-17.248062015503638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79</v>
      </c>
      <c r="D43" s="1" t="s">
        <v>2</v>
      </c>
      <c r="E43" s="59" t="s">
        <v>12</v>
      </c>
      <c r="F43" s="60">
        <v>3.26018518518518</v>
      </c>
      <c r="G43" s="60">
        <v>3.7826467760515401</v>
      </c>
      <c r="H43" s="61">
        <v>2.3592156862745099</v>
      </c>
      <c r="I43" s="62">
        <v>2.99</v>
      </c>
      <c r="J43" s="37">
        <v>0.63078431372549026</v>
      </c>
      <c r="K43" s="37">
        <v>26.737034574468087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79</v>
      </c>
      <c r="D44" s="1" t="s">
        <v>2</v>
      </c>
      <c r="E44" s="59" t="s">
        <v>13</v>
      </c>
      <c r="F44" s="60">
        <v>1.21078947368421</v>
      </c>
      <c r="G44" s="60">
        <v>0.30504858611243602</v>
      </c>
      <c r="H44" s="61">
        <v>1.17</v>
      </c>
      <c r="I44" s="62">
        <v>4.1900000000000004</v>
      </c>
      <c r="J44" s="37">
        <v>3.0200000000000005</v>
      </c>
      <c r="K44" s="37">
        <v>258.1196581196582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79</v>
      </c>
      <c r="D45" s="1" t="s">
        <v>2</v>
      </c>
      <c r="E45" s="59" t="s">
        <v>14</v>
      </c>
      <c r="F45" s="60">
        <v>3.0053846153846102</v>
      </c>
      <c r="G45" s="60">
        <v>1.83214088887464</v>
      </c>
      <c r="H45" s="61">
        <v>2.5569565217391301</v>
      </c>
      <c r="I45" s="62">
        <v>5.3</v>
      </c>
      <c r="J45" s="37">
        <v>2.7430434782608697</v>
      </c>
      <c r="K45" s="37">
        <v>107.27767386498897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79</v>
      </c>
      <c r="D46" s="1" t="s">
        <v>2</v>
      </c>
      <c r="E46" s="59" t="s">
        <v>15</v>
      </c>
      <c r="F46" s="60">
        <v>3.9521666666666602</v>
      </c>
      <c r="G46" s="60">
        <v>2.7362158124355198</v>
      </c>
      <c r="H46" s="61">
        <v>3.3326315789473702</v>
      </c>
      <c r="I46" s="62">
        <v>5.73</v>
      </c>
      <c r="J46" s="37">
        <v>2.3973684210526303</v>
      </c>
      <c r="K46" s="37">
        <v>71.936197094124992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79</v>
      </c>
      <c r="D47" s="1" t="s">
        <v>2</v>
      </c>
      <c r="E47" s="59" t="s">
        <v>16</v>
      </c>
      <c r="F47" s="60">
        <v>1.59</v>
      </c>
      <c r="G47" s="60">
        <v>0.967265935423401</v>
      </c>
      <c r="H47" s="61">
        <v>1.41</v>
      </c>
      <c r="I47" s="62">
        <v>4.24</v>
      </c>
      <c r="J47" s="37">
        <v>2.83</v>
      </c>
      <c r="K47" s="37">
        <v>200.70921985815608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79</v>
      </c>
      <c r="D48" s="1" t="s">
        <v>2</v>
      </c>
      <c r="E48" s="59" t="s">
        <v>17</v>
      </c>
      <c r="F48" s="60">
        <v>7.12843137254902</v>
      </c>
      <c r="G48" s="60">
        <v>19.7181781734668</v>
      </c>
      <c r="H48" s="61">
        <v>1.4619148936170201</v>
      </c>
      <c r="I48" s="62">
        <v>4.45</v>
      </c>
      <c r="J48" s="37">
        <v>2.9880851063829801</v>
      </c>
      <c r="K48" s="37">
        <v>204.39528452918086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79</v>
      </c>
      <c r="D49" s="1" t="s">
        <v>2</v>
      </c>
      <c r="E49" s="59" t="s">
        <v>18</v>
      </c>
      <c r="F49" s="60">
        <v>1.07</v>
      </c>
      <c r="G49" s="60">
        <v>0.355833165091887</v>
      </c>
      <c r="H49" s="61">
        <v>1.2178260869565201</v>
      </c>
      <c r="I49" s="62">
        <v>1.61</v>
      </c>
      <c r="J49" s="37">
        <v>0.39217391304348004</v>
      </c>
      <c r="K49" s="37">
        <v>32.202784719743136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79</v>
      </c>
      <c r="D50" s="1" t="s">
        <v>2</v>
      </c>
      <c r="E50" s="59" t="s">
        <v>19</v>
      </c>
      <c r="F50" s="60">
        <v>3.5249999999999999</v>
      </c>
      <c r="G50" s="60">
        <v>1.69616184369298</v>
      </c>
      <c r="H50" s="61">
        <v>2.94857142857142</v>
      </c>
      <c r="I50" s="62">
        <v>2.42</v>
      </c>
      <c r="J50" s="37">
        <v>-0.52857142857142003</v>
      </c>
      <c r="K50" s="37">
        <v>-17.926356589147048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79</v>
      </c>
      <c r="D52" s="1" t="s">
        <v>2</v>
      </c>
      <c r="E52" s="59" t="s">
        <v>12</v>
      </c>
      <c r="F52" s="60">
        <v>2.5569387755102002</v>
      </c>
      <c r="G52" s="60">
        <v>2.1941129062177098</v>
      </c>
      <c r="H52" s="61">
        <v>2.2470833333333302</v>
      </c>
      <c r="I52" s="63">
        <v>3.04</v>
      </c>
      <c r="J52" s="58">
        <v>0.79291666666666982</v>
      </c>
      <c r="K52" s="58">
        <v>35.28648247728556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79</v>
      </c>
      <c r="D53" s="1" t="s">
        <v>2</v>
      </c>
      <c r="E53" s="59" t="s">
        <v>13</v>
      </c>
      <c r="F53" s="60">
        <v>1.32325</v>
      </c>
      <c r="G53" s="60">
        <v>0.54236697677863799</v>
      </c>
      <c r="H53" s="61">
        <v>1.17</v>
      </c>
      <c r="I53" s="63">
        <v>4.01</v>
      </c>
      <c r="J53" s="58">
        <v>2.84</v>
      </c>
      <c r="K53" s="58">
        <v>242.73504273504273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79</v>
      </c>
      <c r="D54" s="1" t="s">
        <v>2</v>
      </c>
      <c r="E54" s="59" t="s">
        <v>14</v>
      </c>
      <c r="F54" s="60">
        <v>3.1364705882352899</v>
      </c>
      <c r="G54" s="60">
        <v>1.8493049288106</v>
      </c>
      <c r="H54" s="61">
        <v>2.5321739130434699</v>
      </c>
      <c r="I54" s="63">
        <v>5.24</v>
      </c>
      <c r="J54" s="58">
        <v>2.7078260869565303</v>
      </c>
      <c r="K54" s="58">
        <v>106.93681318681388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79</v>
      </c>
      <c r="D55" s="1" t="s">
        <v>2</v>
      </c>
      <c r="E55" s="59" t="s">
        <v>15</v>
      </c>
      <c r="F55" s="60">
        <v>4.7919999999999998</v>
      </c>
      <c r="G55" s="60">
        <v>4.0992104117744397</v>
      </c>
      <c r="H55" s="61">
        <v>3.3160377358490498</v>
      </c>
      <c r="I55" s="63">
        <v>5.77</v>
      </c>
      <c r="J55" s="58">
        <v>2.4539622641509498</v>
      </c>
      <c r="K55" s="58">
        <v>74.002844950213714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79</v>
      </c>
      <c r="D56" s="1" t="s">
        <v>2</v>
      </c>
      <c r="E56" s="59" t="s">
        <v>16</v>
      </c>
      <c r="F56" s="60">
        <v>1.48983333333333</v>
      </c>
      <c r="G56" s="60">
        <v>0.689861076997068</v>
      </c>
      <c r="H56" s="61">
        <v>1.4011864406779599</v>
      </c>
      <c r="I56" s="63">
        <v>4.1900000000000004</v>
      </c>
      <c r="J56" s="58">
        <v>2.7888135593220404</v>
      </c>
      <c r="K56" s="58">
        <v>199.03229708479631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79</v>
      </c>
      <c r="D57" s="1" t="s">
        <v>2</v>
      </c>
      <c r="E57" s="59" t="s">
        <v>17</v>
      </c>
      <c r="F57" s="60">
        <v>9.5643137254901998</v>
      </c>
      <c r="G57" s="60">
        <v>24.2269648228792</v>
      </c>
      <c r="H57" s="61">
        <v>1.60239130434782</v>
      </c>
      <c r="I57" s="63">
        <v>4.38</v>
      </c>
      <c r="J57" s="58">
        <v>2.7776086956521802</v>
      </c>
      <c r="K57" s="58">
        <v>173.3414733414744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79</v>
      </c>
      <c r="D58" s="1" t="s">
        <v>2</v>
      </c>
      <c r="E58" s="59" t="s">
        <v>18</v>
      </c>
      <c r="F58" s="60">
        <v>1.0623728813559301</v>
      </c>
      <c r="G58" s="60">
        <v>0.38930332813691298</v>
      </c>
      <c r="H58" s="61">
        <v>1.25444444444444</v>
      </c>
      <c r="I58" s="63">
        <v>1.55</v>
      </c>
      <c r="J58" s="58">
        <v>0.29555555555556001</v>
      </c>
      <c r="K58" s="58">
        <v>23.560673162090783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79</v>
      </c>
      <c r="D59" s="1" t="s">
        <v>2</v>
      </c>
      <c r="E59" s="59" t="s">
        <v>19</v>
      </c>
      <c r="F59" s="60">
        <v>3.1775000000000002</v>
      </c>
      <c r="G59" s="60">
        <v>2.18874136206176</v>
      </c>
      <c r="H59" s="61">
        <v>2.2833333333333301</v>
      </c>
      <c r="I59" s="63">
        <v>2.41</v>
      </c>
      <c r="J59" s="58">
        <v>0.12666666666667004</v>
      </c>
      <c r="K59" s="58">
        <v>5.5474452554746083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79</v>
      </c>
      <c r="D60" s="1" t="s">
        <v>2</v>
      </c>
      <c r="E60" s="59" t="s">
        <v>12</v>
      </c>
      <c r="F60" s="60">
        <v>2.5569387755102002</v>
      </c>
      <c r="G60" s="60">
        <v>2.1941129062177098</v>
      </c>
      <c r="H60" s="61">
        <v>2.2470833333333302</v>
      </c>
      <c r="I60" s="63">
        <v>2.99</v>
      </c>
      <c r="J60" s="58">
        <v>0.74291666666667</v>
      </c>
      <c r="K60" s="58">
        <v>33.061375857593376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79</v>
      </c>
      <c r="D61" s="1" t="s">
        <v>2</v>
      </c>
      <c r="E61" s="59" t="s">
        <v>13</v>
      </c>
      <c r="F61" s="60">
        <v>1.32325</v>
      </c>
      <c r="G61" s="60">
        <v>0.54236697677863799</v>
      </c>
      <c r="H61" s="61">
        <v>1.17</v>
      </c>
      <c r="I61" s="63">
        <v>4.18</v>
      </c>
      <c r="J61" s="58">
        <v>3.01</v>
      </c>
      <c r="K61" s="58">
        <v>257.26495726495727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79</v>
      </c>
      <c r="D62" s="1" t="s">
        <v>2</v>
      </c>
      <c r="E62" s="59" t="s">
        <v>14</v>
      </c>
      <c r="F62" s="60">
        <v>3.1364705882352899</v>
      </c>
      <c r="G62" s="60">
        <v>1.8493049288106</v>
      </c>
      <c r="H62" s="61">
        <v>2.5321739130434699</v>
      </c>
      <c r="I62" s="63">
        <v>5.28</v>
      </c>
      <c r="J62" s="58">
        <v>2.7478260869565303</v>
      </c>
      <c r="K62" s="58">
        <v>108.51648351648421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79</v>
      </c>
      <c r="D63" s="1" t="s">
        <v>2</v>
      </c>
      <c r="E63" s="59" t="s">
        <v>15</v>
      </c>
      <c r="F63" s="60">
        <v>4.7919999999999998</v>
      </c>
      <c r="G63" s="60">
        <v>4.0992104117744397</v>
      </c>
      <c r="H63" s="61">
        <v>3.3160377358490498</v>
      </c>
      <c r="I63" s="63">
        <v>5.69</v>
      </c>
      <c r="J63" s="58">
        <v>2.3739622641509506</v>
      </c>
      <c r="K63" s="58">
        <v>71.5903271692749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79</v>
      </c>
      <c r="D64" s="1" t="s">
        <v>2</v>
      </c>
      <c r="E64" s="59" t="s">
        <v>16</v>
      </c>
      <c r="F64" s="60">
        <v>1.48983333333333</v>
      </c>
      <c r="G64" s="60">
        <v>0.689861076997068</v>
      </c>
      <c r="H64" s="61">
        <v>1.4011864406779599</v>
      </c>
      <c r="I64" s="63">
        <v>4.22</v>
      </c>
      <c r="J64" s="58">
        <v>2.8188135593220398</v>
      </c>
      <c r="K64" s="58">
        <v>201.17333978468741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79</v>
      </c>
      <c r="D65" s="1" t="s">
        <v>2</v>
      </c>
      <c r="E65" s="59" t="s">
        <v>17</v>
      </c>
      <c r="F65" s="60">
        <v>9.5643137254901998</v>
      </c>
      <c r="G65" s="60">
        <v>24.2269648228792</v>
      </c>
      <c r="H65" s="61">
        <v>1.60239130434782</v>
      </c>
      <c r="I65" s="63">
        <v>4.3899999999999997</v>
      </c>
      <c r="J65" s="58">
        <v>2.7876086956521799</v>
      </c>
      <c r="K65" s="58">
        <v>173.96554063220836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79</v>
      </c>
      <c r="D66" s="1" t="s">
        <v>2</v>
      </c>
      <c r="E66" s="59" t="s">
        <v>18</v>
      </c>
      <c r="F66" s="60">
        <v>1.0623728813559301</v>
      </c>
      <c r="G66" s="60">
        <v>0.38930332813691298</v>
      </c>
      <c r="H66" s="61">
        <v>1.25444444444444</v>
      </c>
      <c r="I66" s="63">
        <v>1.62</v>
      </c>
      <c r="J66" s="58">
        <v>0.36555555555556007</v>
      </c>
      <c r="K66" s="58">
        <v>29.140832595217468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79</v>
      </c>
      <c r="D67" s="1" t="s">
        <v>2</v>
      </c>
      <c r="E67" s="59" t="s">
        <v>19</v>
      </c>
      <c r="F67" s="60">
        <v>3.1775000000000002</v>
      </c>
      <c r="G67" s="60">
        <v>2.18874136206176</v>
      </c>
      <c r="H67" s="61">
        <v>2.2833333333333301</v>
      </c>
      <c r="I67" s="63">
        <v>2.44</v>
      </c>
      <c r="J67" s="58">
        <v>0.15666666666666984</v>
      </c>
      <c r="K67" s="58">
        <v>6.861313868613288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79</v>
      </c>
      <c r="D68" s="1" t="s">
        <v>2</v>
      </c>
      <c r="E68" s="59" t="s">
        <v>12</v>
      </c>
      <c r="F68" s="60">
        <v>2.5569387755102002</v>
      </c>
      <c r="G68" s="60">
        <v>2.1941129062177098</v>
      </c>
      <c r="H68" s="61">
        <v>2.2470833333333302</v>
      </c>
      <c r="I68" s="63">
        <v>2.99</v>
      </c>
      <c r="J68" s="58">
        <v>0.74291666666667</v>
      </c>
      <c r="K68" s="58">
        <v>33.061375857593376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79</v>
      </c>
      <c r="D69" s="1" t="s">
        <v>2</v>
      </c>
      <c r="E69" s="59" t="s">
        <v>13</v>
      </c>
      <c r="F69" s="60">
        <v>1.32325</v>
      </c>
      <c r="G69" s="60">
        <v>0.54236697677863799</v>
      </c>
      <c r="H69" s="61">
        <v>1.17</v>
      </c>
      <c r="I69" s="63">
        <v>4.1900000000000004</v>
      </c>
      <c r="J69" s="58">
        <v>3.0200000000000005</v>
      </c>
      <c r="K69" s="58">
        <v>258.1196581196582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79</v>
      </c>
      <c r="D70" s="1" t="s">
        <v>2</v>
      </c>
      <c r="E70" s="59" t="s">
        <v>14</v>
      </c>
      <c r="F70" s="60">
        <v>3.1364705882352899</v>
      </c>
      <c r="G70" s="60">
        <v>1.8493049288106</v>
      </c>
      <c r="H70" s="61">
        <v>2.5321739130434699</v>
      </c>
      <c r="I70" s="63">
        <v>5.3</v>
      </c>
      <c r="J70" s="58">
        <v>2.7678260869565299</v>
      </c>
      <c r="K70" s="58">
        <v>109.30631868131937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79</v>
      </c>
      <c r="D71" s="1" t="s">
        <v>2</v>
      </c>
      <c r="E71" s="59" t="s">
        <v>15</v>
      </c>
      <c r="F71" s="60">
        <v>4.7919999999999998</v>
      </c>
      <c r="G71" s="60">
        <v>4.0992104117744397</v>
      </c>
      <c r="H71" s="61">
        <v>3.3160377358490498</v>
      </c>
      <c r="I71" s="63">
        <v>5.73</v>
      </c>
      <c r="J71" s="58">
        <v>2.4139622641509506</v>
      </c>
      <c r="K71" s="58">
        <v>72.796586059744314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79</v>
      </c>
      <c r="D72" s="1" t="s">
        <v>2</v>
      </c>
      <c r="E72" s="59" t="s">
        <v>16</v>
      </c>
      <c r="F72" s="60">
        <v>1.48983333333333</v>
      </c>
      <c r="G72" s="60">
        <v>0.689861076997068</v>
      </c>
      <c r="H72" s="61">
        <v>1.4011864406779599</v>
      </c>
      <c r="I72" s="63">
        <v>4.24</v>
      </c>
      <c r="J72" s="58">
        <v>2.8388135593220403</v>
      </c>
      <c r="K72" s="58">
        <v>202.60070158461488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79</v>
      </c>
      <c r="D73" s="1" t="s">
        <v>2</v>
      </c>
      <c r="E73" s="59" t="s">
        <v>17</v>
      </c>
      <c r="F73" s="60">
        <v>9.5643137254901998</v>
      </c>
      <c r="G73" s="60">
        <v>24.2269648228792</v>
      </c>
      <c r="H73" s="61">
        <v>1.60239130434782</v>
      </c>
      <c r="I73" s="63">
        <v>4.45</v>
      </c>
      <c r="J73" s="58">
        <v>2.8476086956521804</v>
      </c>
      <c r="K73" s="58">
        <v>177.70994437661213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79</v>
      </c>
      <c r="D74" s="1" t="s">
        <v>2</v>
      </c>
      <c r="E74" s="59" t="s">
        <v>18</v>
      </c>
      <c r="F74" s="60">
        <v>1.0623728813559301</v>
      </c>
      <c r="G74" s="60">
        <v>0.38930332813691298</v>
      </c>
      <c r="H74" s="61">
        <v>1.25444444444444</v>
      </c>
      <c r="I74" s="63">
        <v>1.61</v>
      </c>
      <c r="J74" s="58">
        <v>0.35555555555556007</v>
      </c>
      <c r="K74" s="58">
        <v>28.343666961913655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79</v>
      </c>
      <c r="D75" s="1" t="s">
        <v>2</v>
      </c>
      <c r="E75" s="59" t="s">
        <v>19</v>
      </c>
      <c r="F75" s="60">
        <v>3.1775000000000002</v>
      </c>
      <c r="G75" s="60">
        <v>2.18874136206176</v>
      </c>
      <c r="H75" s="61">
        <v>2.2833333333333301</v>
      </c>
      <c r="I75" s="63">
        <v>2.42</v>
      </c>
      <c r="J75" s="58">
        <v>0.13666666666666982</v>
      </c>
      <c r="K75" s="58">
        <v>5.9854014598541614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79</v>
      </c>
      <c r="D77" s="1" t="s">
        <v>2</v>
      </c>
      <c r="E77" s="59" t="s">
        <v>12</v>
      </c>
      <c r="F77" s="60">
        <v>5.1406666666666601</v>
      </c>
      <c r="G77" s="60">
        <v>0.86623681647816198</v>
      </c>
      <c r="H77" s="61">
        <v>5.5274999999999999</v>
      </c>
      <c r="I77" s="62">
        <v>5.47</v>
      </c>
      <c r="J77" s="37">
        <v>-5.7500000000000107E-2</v>
      </c>
      <c r="K77" s="37">
        <v>-1.0402532790592511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79</v>
      </c>
      <c r="D78" s="1" t="s">
        <v>2</v>
      </c>
      <c r="E78" s="59" t="s">
        <v>13</v>
      </c>
      <c r="F78" s="60">
        <v>1.0653333333333299</v>
      </c>
      <c r="G78" s="60">
        <v>0.55318311213878801</v>
      </c>
      <c r="H78" s="61">
        <v>0.92428571428571404</v>
      </c>
      <c r="I78" s="62">
        <v>5.98</v>
      </c>
      <c r="J78" s="37">
        <v>5.055714285714286</v>
      </c>
      <c r="K78" s="37">
        <v>546.9860896445133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79</v>
      </c>
      <c r="D79" s="1" t="s">
        <v>2</v>
      </c>
      <c r="E79" s="59" t="s">
        <v>14</v>
      </c>
      <c r="F79" s="60">
        <v>1.21733333333333</v>
      </c>
      <c r="G79" s="60">
        <v>0.40537170870970002</v>
      </c>
      <c r="H79" s="61">
        <v>1.37307692307692</v>
      </c>
      <c r="I79" s="62">
        <v>2.41</v>
      </c>
      <c r="J79" s="37">
        <v>1.0369230769230802</v>
      </c>
      <c r="K79" s="37">
        <v>75.518207282913579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79</v>
      </c>
      <c r="D80" s="1" t="s">
        <v>2</v>
      </c>
      <c r="E80" s="59" t="s">
        <v>15</v>
      </c>
      <c r="F80" s="60">
        <v>7.0293333333333301</v>
      </c>
      <c r="G80" s="60">
        <v>0.51297130090830101</v>
      </c>
      <c r="H80" s="61">
        <v>6.72</v>
      </c>
      <c r="I80" s="62">
        <v>3.91</v>
      </c>
      <c r="J80" s="37">
        <v>-2.8099999999999996</v>
      </c>
      <c r="K80" s="37">
        <v>-41.81547619047619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79</v>
      </c>
      <c r="D81" s="1" t="s">
        <v>2</v>
      </c>
      <c r="E81" s="59" t="s">
        <v>16</v>
      </c>
      <c r="F81" s="60">
        <v>0.69599999999999995</v>
      </c>
      <c r="G81" s="60">
        <v>7.0597450378891105E-2</v>
      </c>
      <c r="H81" s="61">
        <v>0.73</v>
      </c>
      <c r="I81" s="62">
        <v>4.76</v>
      </c>
      <c r="J81" s="37">
        <v>4.0299999999999994</v>
      </c>
      <c r="K81" s="37">
        <v>552.05479452054783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79</v>
      </c>
      <c r="D82" s="1" t="s">
        <v>2</v>
      </c>
      <c r="E82" s="59" t="s">
        <v>17</v>
      </c>
      <c r="F82" s="60">
        <v>0.139333333333333</v>
      </c>
      <c r="G82" s="60">
        <v>1.7688665548562101E-2</v>
      </c>
      <c r="H82" s="61">
        <v>0.14454545454545401</v>
      </c>
      <c r="I82" s="62">
        <v>1.37</v>
      </c>
      <c r="J82" s="37">
        <v>1.225454545454546</v>
      </c>
      <c r="K82" s="37">
        <v>847.79874213836843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79</v>
      </c>
      <c r="D83" s="1" t="s">
        <v>2</v>
      </c>
      <c r="E83" s="59" t="s">
        <v>18</v>
      </c>
      <c r="F83" s="60">
        <v>3.6585714285714199</v>
      </c>
      <c r="G83" s="60">
        <v>1.59436891743973</v>
      </c>
      <c r="H83" s="61">
        <v>4.4245454545454503</v>
      </c>
      <c r="I83" s="62">
        <v>3.98</v>
      </c>
      <c r="J83" s="37">
        <v>-0.44454545454545036</v>
      </c>
      <c r="K83" s="37">
        <v>-10.047257037189148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79</v>
      </c>
      <c r="D84" s="1" t="s">
        <v>2</v>
      </c>
      <c r="E84" s="59" t="s">
        <v>19</v>
      </c>
      <c r="F84" s="60">
        <v>1.2893333333333299</v>
      </c>
      <c r="G84" s="60">
        <v>1.2838352265337201</v>
      </c>
      <c r="H84" s="61">
        <v>0.78999999999999904</v>
      </c>
      <c r="I84" s="62">
        <v>2.46</v>
      </c>
      <c r="J84" s="37">
        <v>1.6700000000000008</v>
      </c>
      <c r="K84" s="37">
        <v>211.39240506329151</v>
      </c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79</v>
      </c>
      <c r="D85" s="1" t="s">
        <v>2</v>
      </c>
      <c r="E85" s="59" t="s">
        <v>12</v>
      </c>
      <c r="F85" s="60">
        <v>5.1406666666666601</v>
      </c>
      <c r="G85" s="60">
        <v>0.86623681647816198</v>
      </c>
      <c r="H85" s="61">
        <v>5.5274999999999999</v>
      </c>
      <c r="I85" s="62">
        <v>5.41</v>
      </c>
      <c r="J85" s="37">
        <v>-0.11749999999999972</v>
      </c>
      <c r="K85" s="37">
        <v>-2.1257349615558518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79</v>
      </c>
      <c r="D86" s="1" t="s">
        <v>2</v>
      </c>
      <c r="E86" s="59" t="s">
        <v>13</v>
      </c>
      <c r="F86" s="60">
        <v>1.0653333333333299</v>
      </c>
      <c r="G86" s="60">
        <v>0.55318311213878801</v>
      </c>
      <c r="H86" s="61">
        <v>0.92428571428571404</v>
      </c>
      <c r="I86" s="62">
        <v>5.96</v>
      </c>
      <c r="J86" s="37">
        <v>5.0357142857142856</v>
      </c>
      <c r="K86" s="37">
        <v>544.82225656877915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79</v>
      </c>
      <c r="D87" s="1" t="s">
        <v>2</v>
      </c>
      <c r="E87" s="59" t="s">
        <v>14</v>
      </c>
      <c r="F87" s="60">
        <v>1.21733333333333</v>
      </c>
      <c r="G87" s="60">
        <v>0.40537170870970002</v>
      </c>
      <c r="H87" s="61">
        <v>1.37307692307692</v>
      </c>
      <c r="I87" s="62">
        <v>2.4300000000000002</v>
      </c>
      <c r="J87" s="37">
        <v>1.0569230769230802</v>
      </c>
      <c r="K87" s="37">
        <v>76.974789915966795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79</v>
      </c>
      <c r="D88" s="1" t="s">
        <v>2</v>
      </c>
      <c r="E88" s="59" t="s">
        <v>15</v>
      </c>
      <c r="F88" s="60">
        <v>7.0293333333333301</v>
      </c>
      <c r="G88" s="60">
        <v>0.51297130090830101</v>
      </c>
      <c r="H88" s="61">
        <v>6.72</v>
      </c>
      <c r="I88" s="62">
        <v>3.89</v>
      </c>
      <c r="J88" s="37">
        <v>-2.8299999999999996</v>
      </c>
      <c r="K88" s="37">
        <v>-42.113095238095234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79</v>
      </c>
      <c r="D89" s="1" t="s">
        <v>2</v>
      </c>
      <c r="E89" s="59" t="s">
        <v>16</v>
      </c>
      <c r="F89" s="60">
        <v>0.69599999999999995</v>
      </c>
      <c r="G89" s="60">
        <v>7.0597450378891105E-2</v>
      </c>
      <c r="H89" s="61">
        <v>0.73</v>
      </c>
      <c r="I89" s="62">
        <v>4.78</v>
      </c>
      <c r="J89" s="37">
        <v>4.0500000000000007</v>
      </c>
      <c r="K89" s="37">
        <v>554.79452054794535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79</v>
      </c>
      <c r="D90" s="1" t="s">
        <v>2</v>
      </c>
      <c r="E90" s="59" t="s">
        <v>17</v>
      </c>
      <c r="F90" s="60">
        <v>0.139333333333333</v>
      </c>
      <c r="G90" s="60">
        <v>1.7688665548562101E-2</v>
      </c>
      <c r="H90" s="61">
        <v>0.14454545454545401</v>
      </c>
      <c r="I90" s="62">
        <v>1.38</v>
      </c>
      <c r="J90" s="37">
        <v>1.2354545454545458</v>
      </c>
      <c r="K90" s="37">
        <v>854.7169811320789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79</v>
      </c>
      <c r="D91" s="1" t="s">
        <v>2</v>
      </c>
      <c r="E91" s="59" t="s">
        <v>18</v>
      </c>
      <c r="F91" s="60">
        <v>3.6585714285714199</v>
      </c>
      <c r="G91" s="60">
        <v>1.59436891743973</v>
      </c>
      <c r="H91" s="61">
        <v>4.4245454545454503</v>
      </c>
      <c r="I91" s="62">
        <v>4.01</v>
      </c>
      <c r="J91" s="37">
        <v>-0.41454545454545055</v>
      </c>
      <c r="K91" s="37">
        <v>-9.3692212862131914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79</v>
      </c>
      <c r="D92" s="1" t="s">
        <v>2</v>
      </c>
      <c r="E92" s="59" t="s">
        <v>19</v>
      </c>
      <c r="F92" s="60">
        <v>1.2893333333333299</v>
      </c>
      <c r="G92" s="60">
        <v>1.2838352265337201</v>
      </c>
      <c r="H92" s="61">
        <v>0.78999999999999904</v>
      </c>
      <c r="I92" s="62">
        <v>2.48</v>
      </c>
      <c r="J92" s="37">
        <v>1.6900000000000008</v>
      </c>
      <c r="K92" s="37">
        <v>213.92405063291179</v>
      </c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79</v>
      </c>
      <c r="D93" s="1" t="s">
        <v>2</v>
      </c>
      <c r="E93" s="59" t="s">
        <v>12</v>
      </c>
      <c r="F93" s="60">
        <v>5.1406666666666601</v>
      </c>
      <c r="G93" s="60">
        <v>0.86623681647816198</v>
      </c>
      <c r="H93" s="61">
        <v>5.5274999999999999</v>
      </c>
      <c r="I93" s="62">
        <v>5.45</v>
      </c>
      <c r="J93" s="37">
        <v>-7.749999999999968E-2</v>
      </c>
      <c r="K93" s="37">
        <v>-1.4020805065581128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79</v>
      </c>
      <c r="D94" s="1" t="s">
        <v>2</v>
      </c>
      <c r="E94" s="59" t="s">
        <v>13</v>
      </c>
      <c r="F94" s="60">
        <v>1.0653333333333299</v>
      </c>
      <c r="G94" s="60">
        <v>0.55318311213878801</v>
      </c>
      <c r="H94" s="61">
        <v>0.92428571428571404</v>
      </c>
      <c r="I94" s="62">
        <v>6.03</v>
      </c>
      <c r="J94" s="37">
        <v>5.1057142857142859</v>
      </c>
      <c r="K94" s="37">
        <v>552.39567233384867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79</v>
      </c>
      <c r="D95" s="1" t="s">
        <v>2</v>
      </c>
      <c r="E95" s="59" t="s">
        <v>14</v>
      </c>
      <c r="F95" s="60">
        <v>1.21733333333333</v>
      </c>
      <c r="G95" s="60">
        <v>0.40537170870970002</v>
      </c>
      <c r="H95" s="61">
        <v>1.37307692307692</v>
      </c>
      <c r="I95" s="62">
        <v>2.4500000000000002</v>
      </c>
      <c r="J95" s="37">
        <v>1.0769230769230802</v>
      </c>
      <c r="K95" s="37">
        <v>78.431372549020026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79</v>
      </c>
      <c r="D96" s="1" t="s">
        <v>2</v>
      </c>
      <c r="E96" s="59" t="s">
        <v>15</v>
      </c>
      <c r="F96" s="60">
        <v>7.0293333333333301</v>
      </c>
      <c r="G96" s="60">
        <v>0.51297130090830101</v>
      </c>
      <c r="H96" s="61">
        <v>6.72</v>
      </c>
      <c r="I96" s="62">
        <v>3.92</v>
      </c>
      <c r="J96" s="37">
        <v>-2.8</v>
      </c>
      <c r="K96" s="37">
        <v>-41.666666666666664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79</v>
      </c>
      <c r="D97" s="1" t="s">
        <v>2</v>
      </c>
      <c r="E97" s="59" t="s">
        <v>16</v>
      </c>
      <c r="F97" s="60">
        <v>0.69599999999999995</v>
      </c>
      <c r="G97" s="60">
        <v>7.0597450378891105E-2</v>
      </c>
      <c r="H97" s="61">
        <v>0.73</v>
      </c>
      <c r="I97" s="62">
        <v>4.83</v>
      </c>
      <c r="J97" s="37">
        <v>4.0999999999999996</v>
      </c>
      <c r="K97" s="37">
        <v>561.64383561643831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79</v>
      </c>
      <c r="D98" s="1" t="s">
        <v>2</v>
      </c>
      <c r="E98" s="59" t="s">
        <v>17</v>
      </c>
      <c r="F98" s="60">
        <v>0.139333333333333</v>
      </c>
      <c r="G98" s="60">
        <v>1.7688665548562101E-2</v>
      </c>
      <c r="H98" s="61">
        <v>0.14454545454545401</v>
      </c>
      <c r="I98" s="62">
        <v>1.4</v>
      </c>
      <c r="J98" s="37">
        <v>1.2554545454545458</v>
      </c>
      <c r="K98" s="37">
        <v>868.5534591195003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79</v>
      </c>
      <c r="D99" s="1" t="s">
        <v>2</v>
      </c>
      <c r="E99" s="59" t="s">
        <v>18</v>
      </c>
      <c r="F99" s="60">
        <v>3.6585714285714199</v>
      </c>
      <c r="G99" s="60">
        <v>1.59436891743973</v>
      </c>
      <c r="H99" s="61">
        <v>4.4245454545454503</v>
      </c>
      <c r="I99" s="62">
        <v>3.97</v>
      </c>
      <c r="J99" s="37">
        <v>-0.45454545454545014</v>
      </c>
      <c r="K99" s="37">
        <v>-10.27326895418113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79</v>
      </c>
      <c r="D100" s="1" t="s">
        <v>2</v>
      </c>
      <c r="E100" s="59" t="s">
        <v>19</v>
      </c>
      <c r="F100" s="60">
        <v>1.2893333333333299</v>
      </c>
      <c r="G100" s="60">
        <v>1.2838352265337201</v>
      </c>
      <c r="H100" s="61">
        <v>0.78999999999999904</v>
      </c>
      <c r="I100" s="62">
        <v>2.4900000000000002</v>
      </c>
      <c r="J100" s="37">
        <v>1.7000000000000011</v>
      </c>
      <c r="K100" s="37">
        <v>215.18987341772191</v>
      </c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79</v>
      </c>
      <c r="D102" s="1" t="s">
        <v>2</v>
      </c>
      <c r="E102" s="59" t="s">
        <v>12</v>
      </c>
      <c r="F102" s="60">
        <v>5.35666666666667</v>
      </c>
      <c r="G102" s="60">
        <v>1.07220437521128</v>
      </c>
      <c r="H102" s="61">
        <v>5.7215217391304298</v>
      </c>
      <c r="I102" s="62">
        <v>5.47</v>
      </c>
      <c r="J102" s="37">
        <v>-0.25152173913043008</v>
      </c>
      <c r="K102" s="37">
        <v>-4.3960636802309336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79</v>
      </c>
      <c r="D103" s="1" t="s">
        <v>2</v>
      </c>
      <c r="E103" s="59" t="s">
        <v>13</v>
      </c>
      <c r="F103" s="60">
        <v>1.03949152542372</v>
      </c>
      <c r="G103" s="60">
        <v>0.50614000785879398</v>
      </c>
      <c r="H103" s="61">
        <v>0.91036363636363604</v>
      </c>
      <c r="I103" s="62">
        <v>5.98</v>
      </c>
      <c r="J103" s="37">
        <v>5.0696363636363646</v>
      </c>
      <c r="K103" s="37">
        <v>556.88036748552054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79</v>
      </c>
      <c r="D104" s="1" t="s">
        <v>2</v>
      </c>
      <c r="E104" s="59" t="s">
        <v>14</v>
      </c>
      <c r="F104" s="60">
        <v>1.1277966101694901</v>
      </c>
      <c r="G104" s="60">
        <v>0.48004614113189897</v>
      </c>
      <c r="H104" s="61">
        <v>1.35048780487804</v>
      </c>
      <c r="I104" s="62">
        <v>2.41</v>
      </c>
      <c r="J104" s="37">
        <v>1.0595121951219602</v>
      </c>
      <c r="K104" s="37">
        <v>78.454036481850551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79</v>
      </c>
      <c r="D105" s="1" t="s">
        <v>2</v>
      </c>
      <c r="E105" s="59" t="s">
        <v>15</v>
      </c>
      <c r="F105" s="60">
        <v>6.45583333333333</v>
      </c>
      <c r="G105" s="60">
        <v>1.88352532207265</v>
      </c>
      <c r="H105" s="61">
        <v>7.1139622641509401</v>
      </c>
      <c r="I105" s="62">
        <v>3.91</v>
      </c>
      <c r="J105" s="37">
        <v>-3.20396226415094</v>
      </c>
      <c r="K105" s="37">
        <v>-45.037661786547815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79</v>
      </c>
      <c r="D106" s="1" t="s">
        <v>2</v>
      </c>
      <c r="E106" s="59" t="s">
        <v>16</v>
      </c>
      <c r="F106" s="60">
        <v>0.67683333333333295</v>
      </c>
      <c r="G106" s="60">
        <v>0.12876971262252901</v>
      </c>
      <c r="H106" s="61">
        <v>0.71658536585365895</v>
      </c>
      <c r="I106" s="62">
        <v>4.76</v>
      </c>
      <c r="J106" s="37">
        <v>4.0434146341463411</v>
      </c>
      <c r="K106" s="37">
        <v>564.26140231449926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79</v>
      </c>
      <c r="D107" s="1" t="s">
        <v>2</v>
      </c>
      <c r="E107" s="59" t="s">
        <v>17</v>
      </c>
      <c r="F107" s="60">
        <v>0.14533333333333301</v>
      </c>
      <c r="G107" s="60">
        <v>1.67796172648709E-2</v>
      </c>
      <c r="H107" s="61">
        <v>0.14686274509803901</v>
      </c>
      <c r="I107" s="62">
        <v>1.37</v>
      </c>
      <c r="J107" s="37">
        <v>1.223137254901961</v>
      </c>
      <c r="K107" s="37">
        <v>832.84379172229774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79</v>
      </c>
      <c r="D108" s="1" t="s">
        <v>2</v>
      </c>
      <c r="E108" s="59" t="s">
        <v>18</v>
      </c>
      <c r="F108" s="60">
        <v>4.1369811320754604</v>
      </c>
      <c r="G108" s="60">
        <v>1.46055247353386</v>
      </c>
      <c r="H108" s="61">
        <v>4.7213333333333196</v>
      </c>
      <c r="I108" s="62">
        <v>3.98</v>
      </c>
      <c r="J108" s="37">
        <v>-0.74133333333331963</v>
      </c>
      <c r="K108" s="37">
        <v>-15.701779158429577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79</v>
      </c>
      <c r="D109" s="1" t="s">
        <v>2</v>
      </c>
      <c r="E109" s="59" t="s">
        <v>19</v>
      </c>
      <c r="F109" s="60">
        <v>0.88220338983050794</v>
      </c>
      <c r="G109" s="60">
        <v>0.62979972010642804</v>
      </c>
      <c r="H109" s="61">
        <v>0.766491228070175</v>
      </c>
      <c r="I109" s="62">
        <v>2.46</v>
      </c>
      <c r="J109" s="37">
        <v>1.693508771929825</v>
      </c>
      <c r="K109" s="37">
        <v>220.94300755321603</v>
      </c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79</v>
      </c>
      <c r="D110" s="1" t="s">
        <v>2</v>
      </c>
      <c r="E110" s="59" t="s">
        <v>12</v>
      </c>
      <c r="F110" s="60">
        <v>5.35666666666667</v>
      </c>
      <c r="G110" s="60">
        <v>1.07220437521128</v>
      </c>
      <c r="H110" s="61">
        <v>5.7215217391304298</v>
      </c>
      <c r="I110" s="62">
        <v>5.41</v>
      </c>
      <c r="J110" s="37">
        <v>-0.31152173913042969</v>
      </c>
      <c r="K110" s="37">
        <v>-5.4447357422393621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79</v>
      </c>
      <c r="D111" s="1" t="s">
        <v>2</v>
      </c>
      <c r="E111" s="59" t="s">
        <v>13</v>
      </c>
      <c r="F111" s="60">
        <v>1.03949152542372</v>
      </c>
      <c r="G111" s="60">
        <v>0.50614000785879398</v>
      </c>
      <c r="H111" s="61">
        <v>0.91036363636363604</v>
      </c>
      <c r="I111" s="62">
        <v>5.96</v>
      </c>
      <c r="J111" s="37">
        <v>5.0496363636363641</v>
      </c>
      <c r="K111" s="37">
        <v>554.68344317954893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79</v>
      </c>
      <c r="D112" s="1" t="s">
        <v>2</v>
      </c>
      <c r="E112" s="59" t="s">
        <v>14</v>
      </c>
      <c r="F112" s="60">
        <v>1.1277966101694901</v>
      </c>
      <c r="G112" s="60">
        <v>0.48004614113189897</v>
      </c>
      <c r="H112" s="61">
        <v>1.35048780487804</v>
      </c>
      <c r="I112" s="62">
        <v>2.4300000000000002</v>
      </c>
      <c r="J112" s="37">
        <v>1.0795121951219602</v>
      </c>
      <c r="K112" s="37">
        <v>79.934982842695774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79</v>
      </c>
      <c r="D113" s="1" t="s">
        <v>2</v>
      </c>
      <c r="E113" s="59" t="s">
        <v>15</v>
      </c>
      <c r="F113" s="60">
        <v>6.45583333333333</v>
      </c>
      <c r="G113" s="60">
        <v>1.88352532207265</v>
      </c>
      <c r="H113" s="61">
        <v>7.1139622641509401</v>
      </c>
      <c r="I113" s="62">
        <v>3.89</v>
      </c>
      <c r="J113" s="37">
        <v>-3.22396226415094</v>
      </c>
      <c r="K113" s="37">
        <v>-45.318799066412026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79</v>
      </c>
      <c r="D114" s="1" t="s">
        <v>2</v>
      </c>
      <c r="E114" s="59" t="s">
        <v>16</v>
      </c>
      <c r="F114" s="60">
        <v>0.67683333333333295</v>
      </c>
      <c r="G114" s="60">
        <v>0.12876971262252901</v>
      </c>
      <c r="H114" s="61">
        <v>0.71658536585365895</v>
      </c>
      <c r="I114" s="62">
        <v>4.78</v>
      </c>
      <c r="J114" s="37">
        <v>4.0634146341463415</v>
      </c>
      <c r="K114" s="37">
        <v>567.0524166099384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79</v>
      </c>
      <c r="D115" s="1" t="s">
        <v>2</v>
      </c>
      <c r="E115" s="59" t="s">
        <v>17</v>
      </c>
      <c r="F115" s="60">
        <v>0.14533333333333301</v>
      </c>
      <c r="G115" s="60">
        <v>1.67796172648709E-2</v>
      </c>
      <c r="H115" s="61">
        <v>0.14686274509803901</v>
      </c>
      <c r="I115" s="62">
        <v>1.38</v>
      </c>
      <c r="J115" s="37">
        <v>1.2331372549019608</v>
      </c>
      <c r="K115" s="37">
        <v>839.65287049399319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79</v>
      </c>
      <c r="D116" s="1" t="s">
        <v>2</v>
      </c>
      <c r="E116" s="59" t="s">
        <v>18</v>
      </c>
      <c r="F116" s="60">
        <v>4.1369811320754604</v>
      </c>
      <c r="G116" s="60">
        <v>1.46055247353386</v>
      </c>
      <c r="H116" s="61">
        <v>4.7213333333333196</v>
      </c>
      <c r="I116" s="62">
        <v>4.01</v>
      </c>
      <c r="J116" s="37">
        <v>-0.71133333333331983</v>
      </c>
      <c r="K116" s="37">
        <v>-15.06636543349312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79</v>
      </c>
      <c r="D117" s="1" t="s">
        <v>2</v>
      </c>
      <c r="E117" s="59" t="s">
        <v>19</v>
      </c>
      <c r="F117" s="60">
        <v>0.88220338983050794</v>
      </c>
      <c r="G117" s="60">
        <v>0.62979972010642804</v>
      </c>
      <c r="H117" s="61">
        <v>0.766491228070175</v>
      </c>
      <c r="I117" s="62">
        <v>2.48</v>
      </c>
      <c r="J117" s="37">
        <v>1.713508771929825</v>
      </c>
      <c r="K117" s="37">
        <v>223.55230029755111</v>
      </c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79</v>
      </c>
      <c r="D118" s="1" t="s">
        <v>2</v>
      </c>
      <c r="E118" s="59" t="s">
        <v>12</v>
      </c>
      <c r="F118" s="60">
        <v>5.35666666666667</v>
      </c>
      <c r="G118" s="60">
        <v>1.07220437521128</v>
      </c>
      <c r="H118" s="61">
        <v>5.7215217391304298</v>
      </c>
      <c r="I118" s="62">
        <v>5.45</v>
      </c>
      <c r="J118" s="37">
        <v>-0.27152173913042965</v>
      </c>
      <c r="K118" s="37">
        <v>-4.7456210342337375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79</v>
      </c>
      <c r="D119" s="1" t="s">
        <v>2</v>
      </c>
      <c r="E119" s="59" t="s">
        <v>13</v>
      </c>
      <c r="F119" s="60">
        <v>1.03949152542372</v>
      </c>
      <c r="G119" s="60">
        <v>0.50614000785879398</v>
      </c>
      <c r="H119" s="61">
        <v>0.91036363636363604</v>
      </c>
      <c r="I119" s="62">
        <v>6.03</v>
      </c>
      <c r="J119" s="37">
        <v>5.1196363636363644</v>
      </c>
      <c r="K119" s="37">
        <v>562.37267825044967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79</v>
      </c>
      <c r="D120" s="1" t="s">
        <v>2</v>
      </c>
      <c r="E120" s="59" t="s">
        <v>14</v>
      </c>
      <c r="F120" s="60">
        <v>1.1277966101694901</v>
      </c>
      <c r="G120" s="60">
        <v>0.48004614113189897</v>
      </c>
      <c r="H120" s="61">
        <v>1.35048780487804</v>
      </c>
      <c r="I120" s="62">
        <v>2.4500000000000002</v>
      </c>
      <c r="J120" s="37">
        <v>1.0995121951219602</v>
      </c>
      <c r="K120" s="37">
        <v>81.415929203541012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79</v>
      </c>
      <c r="D121" s="1" t="s">
        <v>2</v>
      </c>
      <c r="E121" s="59" t="s">
        <v>15</v>
      </c>
      <c r="F121" s="60">
        <v>6.45583333333333</v>
      </c>
      <c r="G121" s="60">
        <v>1.88352532207265</v>
      </c>
      <c r="H121" s="61">
        <v>7.1139622641509401</v>
      </c>
      <c r="I121" s="62">
        <v>3.92</v>
      </c>
      <c r="J121" s="37">
        <v>-3.1939622641509402</v>
      </c>
      <c r="K121" s="37">
        <v>-44.897093146615717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79</v>
      </c>
      <c r="D122" s="1" t="s">
        <v>2</v>
      </c>
      <c r="E122" s="59" t="s">
        <v>16</v>
      </c>
      <c r="F122" s="60">
        <v>0.67683333333333295</v>
      </c>
      <c r="G122" s="60">
        <v>0.12876971262252901</v>
      </c>
      <c r="H122" s="61">
        <v>0.71658536585365895</v>
      </c>
      <c r="I122" s="62">
        <v>4.83</v>
      </c>
      <c r="J122" s="37">
        <v>4.1134146341463413</v>
      </c>
      <c r="K122" s="37">
        <v>574.02995234853609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79</v>
      </c>
      <c r="D123" s="1" t="s">
        <v>2</v>
      </c>
      <c r="E123" s="59" t="s">
        <v>17</v>
      </c>
      <c r="F123" s="60">
        <v>0.14533333333333301</v>
      </c>
      <c r="G123" s="60">
        <v>1.67796172648709E-2</v>
      </c>
      <c r="H123" s="61">
        <v>0.14686274509803901</v>
      </c>
      <c r="I123" s="62">
        <v>1.4</v>
      </c>
      <c r="J123" s="37">
        <v>1.2531372549019608</v>
      </c>
      <c r="K123" s="37">
        <v>853.27102803738433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79</v>
      </c>
      <c r="D124" s="1" t="s">
        <v>2</v>
      </c>
      <c r="E124" s="59" t="s">
        <v>18</v>
      </c>
      <c r="F124" s="60">
        <v>4.1369811320754604</v>
      </c>
      <c r="G124" s="60">
        <v>1.46055247353386</v>
      </c>
      <c r="H124" s="61">
        <v>4.7213333333333196</v>
      </c>
      <c r="I124" s="62">
        <v>3.97</v>
      </c>
      <c r="J124" s="37">
        <v>-0.75133333333331942</v>
      </c>
      <c r="K124" s="37">
        <v>-15.913583733408393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79</v>
      </c>
      <c r="D125" s="1" t="s">
        <v>2</v>
      </c>
      <c r="E125" s="59" t="s">
        <v>19</v>
      </c>
      <c r="F125" s="60">
        <v>0.88220338983050794</v>
      </c>
      <c r="G125" s="60">
        <v>0.62979972010642804</v>
      </c>
      <c r="H125" s="61">
        <v>0.766491228070175</v>
      </c>
      <c r="I125" s="62">
        <v>2.4900000000000002</v>
      </c>
      <c r="J125" s="37">
        <v>1.7235087719298252</v>
      </c>
      <c r="K125" s="37">
        <v>224.8569466697187</v>
      </c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79</v>
      </c>
      <c r="D127" s="1" t="s">
        <v>2</v>
      </c>
      <c r="E127" s="59" t="s">
        <v>12</v>
      </c>
      <c r="F127" s="60">
        <v>4.9161666666666601</v>
      </c>
      <c r="G127" s="60">
        <v>1.1376834528500801</v>
      </c>
      <c r="H127" s="61">
        <v>5.3576744186046499</v>
      </c>
      <c r="I127" s="63">
        <v>5.47</v>
      </c>
      <c r="J127" s="58">
        <v>0.11232558139534987</v>
      </c>
      <c r="K127" s="58">
        <v>2.096536157652594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79</v>
      </c>
      <c r="D128" s="1" t="s">
        <v>2</v>
      </c>
      <c r="E128" s="59" t="s">
        <v>13</v>
      </c>
      <c r="F128" s="60">
        <v>1.1101694915254201</v>
      </c>
      <c r="G128" s="60">
        <v>0.623207916241316</v>
      </c>
      <c r="H128" s="61">
        <v>0.93148148148148102</v>
      </c>
      <c r="I128" s="63">
        <v>5.98</v>
      </c>
      <c r="J128" s="58">
        <v>5.0485185185185193</v>
      </c>
      <c r="K128" s="58">
        <v>541.98807157057695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79</v>
      </c>
      <c r="D129" s="1" t="s">
        <v>2</v>
      </c>
      <c r="E129" s="59" t="s">
        <v>14</v>
      </c>
      <c r="F129" s="60">
        <v>1.11883333333333</v>
      </c>
      <c r="G129" s="60">
        <v>0.51472352341383698</v>
      </c>
      <c r="H129" s="61">
        <v>1.4099999999999899</v>
      </c>
      <c r="I129" s="63">
        <v>2.41</v>
      </c>
      <c r="J129" s="58">
        <v>1.0000000000000102</v>
      </c>
      <c r="K129" s="58">
        <v>70.921985815604074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79</v>
      </c>
      <c r="D130" s="1" t="s">
        <v>2</v>
      </c>
      <c r="E130" s="59" t="s">
        <v>15</v>
      </c>
      <c r="F130" s="60">
        <v>6.7576666666666698</v>
      </c>
      <c r="G130" s="60">
        <v>1.53178584955237</v>
      </c>
      <c r="H130" s="61">
        <v>7.1375000000000002</v>
      </c>
      <c r="I130" s="63">
        <v>3.91</v>
      </c>
      <c r="J130" s="58">
        <v>-3.2275</v>
      </c>
      <c r="K130" s="58">
        <v>-45.218914185639228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79</v>
      </c>
      <c r="D131" s="1" t="s">
        <v>2</v>
      </c>
      <c r="E131" s="59" t="s">
        <v>16</v>
      </c>
      <c r="F131" s="60">
        <v>0.69483333333333297</v>
      </c>
      <c r="G131" s="60">
        <v>7.9067306068240903E-2</v>
      </c>
      <c r="H131" s="61">
        <v>0.71877551020408104</v>
      </c>
      <c r="I131" s="63">
        <v>4.76</v>
      </c>
      <c r="J131" s="58">
        <v>4.0412244897959191</v>
      </c>
      <c r="K131" s="58">
        <v>562.2373651334475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79</v>
      </c>
      <c r="D132" s="1" t="s">
        <v>2</v>
      </c>
      <c r="E132" s="59" t="s">
        <v>17</v>
      </c>
      <c r="F132" s="60">
        <v>0.14383333333333301</v>
      </c>
      <c r="G132" s="60">
        <v>1.45019155822793E-2</v>
      </c>
      <c r="H132" s="61">
        <v>0.14481481481481401</v>
      </c>
      <c r="I132" s="63">
        <v>1.37</v>
      </c>
      <c r="J132" s="58">
        <v>1.225185185185186</v>
      </c>
      <c r="K132" s="58">
        <v>846.03580562660386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79</v>
      </c>
      <c r="D133" s="1" t="s">
        <v>2</v>
      </c>
      <c r="E133" s="59" t="s">
        <v>18</v>
      </c>
      <c r="F133" s="60">
        <v>4.0671929824561301</v>
      </c>
      <c r="G133" s="60">
        <v>1.53511843578291</v>
      </c>
      <c r="H133" s="61">
        <v>4.7302173913043397</v>
      </c>
      <c r="I133" s="63">
        <v>3.98</v>
      </c>
      <c r="J133" s="58">
        <v>-0.75021739130433973</v>
      </c>
      <c r="K133" s="58">
        <v>-15.860103865067185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79</v>
      </c>
      <c r="D134" s="1" t="s">
        <v>2</v>
      </c>
      <c r="E134" s="59" t="s">
        <v>19</v>
      </c>
      <c r="F134" s="60">
        <v>1.0701694915254201</v>
      </c>
      <c r="G134" s="60">
        <v>0.95140127078550896</v>
      </c>
      <c r="H134" s="61">
        <v>0.78222222222222204</v>
      </c>
      <c r="I134" s="63">
        <v>2.46</v>
      </c>
      <c r="J134" s="58">
        <v>1.677777777777778</v>
      </c>
      <c r="K134" s="58">
        <v>214.48863636363646</v>
      </c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79</v>
      </c>
      <c r="D135" s="1" t="s">
        <v>2</v>
      </c>
      <c r="E135" s="59" t="s">
        <v>12</v>
      </c>
      <c r="F135" s="60">
        <v>4.9161666666666601</v>
      </c>
      <c r="G135" s="60">
        <v>1.1376834528500801</v>
      </c>
      <c r="H135" s="61">
        <v>5.3576744186046499</v>
      </c>
      <c r="I135" s="63">
        <v>5.41</v>
      </c>
      <c r="J135" s="58">
        <v>5.2325581395350262E-2</v>
      </c>
      <c r="K135" s="58">
        <v>0.97664727840961096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79</v>
      </c>
      <c r="D136" s="1" t="s">
        <v>2</v>
      </c>
      <c r="E136" s="59" t="s">
        <v>13</v>
      </c>
      <c r="F136" s="60">
        <v>1.1101694915254201</v>
      </c>
      <c r="G136" s="60">
        <v>0.623207916241316</v>
      </c>
      <c r="H136" s="61">
        <v>0.93148148148148102</v>
      </c>
      <c r="I136" s="63">
        <v>5.96</v>
      </c>
      <c r="J136" s="58">
        <v>5.0285185185185188</v>
      </c>
      <c r="K136" s="58">
        <v>539.8409542743542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79</v>
      </c>
      <c r="D137" s="1" t="s">
        <v>2</v>
      </c>
      <c r="E137" s="59" t="s">
        <v>14</v>
      </c>
      <c r="F137" s="60">
        <v>1.11883333333333</v>
      </c>
      <c r="G137" s="60">
        <v>0.51472352341383698</v>
      </c>
      <c r="H137" s="61">
        <v>1.4099999999999899</v>
      </c>
      <c r="I137" s="63">
        <v>2.4300000000000002</v>
      </c>
      <c r="J137" s="58">
        <v>1.0200000000000102</v>
      </c>
      <c r="K137" s="58">
        <v>72.340425531916139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79</v>
      </c>
      <c r="D138" s="1" t="s">
        <v>2</v>
      </c>
      <c r="E138" s="59" t="s">
        <v>15</v>
      </c>
      <c r="F138" s="60">
        <v>6.7576666666666698</v>
      </c>
      <c r="G138" s="60">
        <v>1.53178584955237</v>
      </c>
      <c r="H138" s="61">
        <v>7.1375000000000002</v>
      </c>
      <c r="I138" s="63">
        <v>3.89</v>
      </c>
      <c r="J138" s="58">
        <v>-3.2475000000000001</v>
      </c>
      <c r="K138" s="58">
        <v>-45.499124343257442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79</v>
      </c>
      <c r="D139" s="1" t="s">
        <v>2</v>
      </c>
      <c r="E139" s="59" t="s">
        <v>16</v>
      </c>
      <c r="F139" s="60">
        <v>0.69483333333333297</v>
      </c>
      <c r="G139" s="60">
        <v>7.9067306068240903E-2</v>
      </c>
      <c r="H139" s="61">
        <v>0.71877551020408104</v>
      </c>
      <c r="I139" s="63">
        <v>4.78</v>
      </c>
      <c r="J139" s="58">
        <v>4.0612244897959195</v>
      </c>
      <c r="K139" s="58">
        <v>565.01987507098295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79</v>
      </c>
      <c r="D140" s="1" t="s">
        <v>2</v>
      </c>
      <c r="E140" s="59" t="s">
        <v>17</v>
      </c>
      <c r="F140" s="60">
        <v>0.14383333333333301</v>
      </c>
      <c r="G140" s="60">
        <v>1.45019155822793E-2</v>
      </c>
      <c r="H140" s="61">
        <v>0.14481481481481401</v>
      </c>
      <c r="I140" s="63">
        <v>1.38</v>
      </c>
      <c r="J140" s="58">
        <v>1.2351851851851858</v>
      </c>
      <c r="K140" s="58">
        <v>852.9411764705934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79</v>
      </c>
      <c r="D141" s="1" t="s">
        <v>2</v>
      </c>
      <c r="E141" s="59" t="s">
        <v>18</v>
      </c>
      <c r="F141" s="60">
        <v>4.0671929824561301</v>
      </c>
      <c r="G141" s="60">
        <v>1.53511843578291</v>
      </c>
      <c r="H141" s="61">
        <v>4.7302173913043397</v>
      </c>
      <c r="I141" s="63">
        <v>4.01</v>
      </c>
      <c r="J141" s="58">
        <v>-0.72021739130433993</v>
      </c>
      <c r="K141" s="58">
        <v>-15.225883542442068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79</v>
      </c>
      <c r="D142" s="1" t="s">
        <v>2</v>
      </c>
      <c r="E142" s="59" t="s">
        <v>19</v>
      </c>
      <c r="F142" s="60">
        <v>1.0701694915254201</v>
      </c>
      <c r="G142" s="60">
        <v>0.95140127078550896</v>
      </c>
      <c r="H142" s="61">
        <v>0.78222222222222204</v>
      </c>
      <c r="I142" s="63">
        <v>2.48</v>
      </c>
      <c r="J142" s="58">
        <v>1.6977777777777781</v>
      </c>
      <c r="K142" s="58">
        <v>217.04545454545462</v>
      </c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79</v>
      </c>
      <c r="D143" s="1" t="s">
        <v>2</v>
      </c>
      <c r="E143" s="59" t="s">
        <v>12</v>
      </c>
      <c r="F143" s="60">
        <v>4.9161666666666601</v>
      </c>
      <c r="G143" s="60">
        <v>1.1376834528500801</v>
      </c>
      <c r="H143" s="61">
        <v>5.3576744186046499</v>
      </c>
      <c r="I143" s="63">
        <v>5.45</v>
      </c>
      <c r="J143" s="58">
        <v>9.2325581395350298E-2</v>
      </c>
      <c r="K143" s="58">
        <v>1.7232398645716049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79</v>
      </c>
      <c r="D144" s="1" t="s">
        <v>2</v>
      </c>
      <c r="E144" s="59" t="s">
        <v>13</v>
      </c>
      <c r="F144" s="60">
        <v>1.1101694915254201</v>
      </c>
      <c r="G144" s="60">
        <v>0.623207916241316</v>
      </c>
      <c r="H144" s="61">
        <v>0.93148148148148102</v>
      </c>
      <c r="I144" s="63">
        <v>6.03</v>
      </c>
      <c r="J144" s="58">
        <v>5.0985185185185191</v>
      </c>
      <c r="K144" s="58">
        <v>547.35586481113353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79</v>
      </c>
      <c r="D145" s="1" t="s">
        <v>2</v>
      </c>
      <c r="E145" s="59" t="s">
        <v>14</v>
      </c>
      <c r="F145" s="60">
        <v>1.11883333333333</v>
      </c>
      <c r="G145" s="60">
        <v>0.51472352341383698</v>
      </c>
      <c r="H145" s="61">
        <v>1.4099999999999899</v>
      </c>
      <c r="I145" s="63">
        <v>2.4500000000000002</v>
      </c>
      <c r="J145" s="58">
        <v>1.0400000000000102</v>
      </c>
      <c r="K145" s="58">
        <v>73.758865248228204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79</v>
      </c>
      <c r="D146" s="1" t="s">
        <v>2</v>
      </c>
      <c r="E146" s="59" t="s">
        <v>15</v>
      </c>
      <c r="F146" s="60">
        <v>6.7576666666666698</v>
      </c>
      <c r="G146" s="60">
        <v>1.53178584955237</v>
      </c>
      <c r="H146" s="61">
        <v>7.1375000000000002</v>
      </c>
      <c r="I146" s="63">
        <v>3.92</v>
      </c>
      <c r="J146" s="58">
        <v>-3.2175000000000002</v>
      </c>
      <c r="K146" s="58">
        <v>-45.078809106830128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79</v>
      </c>
      <c r="D147" s="1" t="s">
        <v>2</v>
      </c>
      <c r="E147" s="59" t="s">
        <v>16</v>
      </c>
      <c r="F147" s="60">
        <v>0.69483333333333297</v>
      </c>
      <c r="G147" s="60">
        <v>7.9067306068240903E-2</v>
      </c>
      <c r="H147" s="61">
        <v>0.71877551020408104</v>
      </c>
      <c r="I147" s="63">
        <v>4.83</v>
      </c>
      <c r="J147" s="58">
        <v>4.1112244897959194</v>
      </c>
      <c r="K147" s="58">
        <v>571.97614991482169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79</v>
      </c>
      <c r="D148" s="1" t="s">
        <v>2</v>
      </c>
      <c r="E148" s="59" t="s">
        <v>17</v>
      </c>
      <c r="F148" s="60">
        <v>0.14383333333333301</v>
      </c>
      <c r="G148" s="60">
        <v>1.45019155822793E-2</v>
      </c>
      <c r="H148" s="61">
        <v>0.14481481481481401</v>
      </c>
      <c r="I148" s="63">
        <v>1.4</v>
      </c>
      <c r="J148" s="58">
        <v>1.2551851851851858</v>
      </c>
      <c r="K148" s="58">
        <v>866.75191815857295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79</v>
      </c>
      <c r="D149" s="1" t="s">
        <v>2</v>
      </c>
      <c r="E149" s="59" t="s">
        <v>18</v>
      </c>
      <c r="F149" s="60">
        <v>4.0671929824561301</v>
      </c>
      <c r="G149" s="60">
        <v>1.53511843578291</v>
      </c>
      <c r="H149" s="61">
        <v>4.7302173913043397</v>
      </c>
      <c r="I149" s="63">
        <v>3.97</v>
      </c>
      <c r="J149" s="58">
        <v>-0.76021739130433952</v>
      </c>
      <c r="K149" s="58">
        <v>-16.071510639275555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79</v>
      </c>
      <c r="D150" s="1" t="s">
        <v>2</v>
      </c>
      <c r="E150" s="59" t="s">
        <v>19</v>
      </c>
      <c r="F150" s="60">
        <v>1.0701694915254201</v>
      </c>
      <c r="G150" s="60">
        <v>0.95140127078550896</v>
      </c>
      <c r="H150" s="61">
        <v>0.78222222222222204</v>
      </c>
      <c r="I150" s="63">
        <v>2.4900000000000002</v>
      </c>
      <c r="J150" s="58">
        <v>1.7077777777777783</v>
      </c>
      <c r="K150" s="58">
        <v>218.32386363636377</v>
      </c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79</v>
      </c>
      <c r="D152" s="1" t="s">
        <v>2</v>
      </c>
      <c r="E152" s="59" t="s">
        <v>12</v>
      </c>
      <c r="F152" s="60">
        <v>3.3066</v>
      </c>
      <c r="G152" s="60">
        <v>1.0826312576311401</v>
      </c>
      <c r="H152" s="61">
        <v>3.8620512820512798</v>
      </c>
      <c r="I152" s="62">
        <v>5.36</v>
      </c>
      <c r="J152" s="37">
        <v>1.4979487179487205</v>
      </c>
      <c r="K152" s="37">
        <v>38.786349754348784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79</v>
      </c>
      <c r="D153" s="1" t="s">
        <v>2</v>
      </c>
      <c r="E153" s="59" t="s">
        <v>13</v>
      </c>
      <c r="F153" s="60">
        <v>3.62299999999999</v>
      </c>
      <c r="G153" s="60">
        <v>4.31495782134657</v>
      </c>
      <c r="H153" s="61">
        <v>2.2026666666666599</v>
      </c>
      <c r="I153" s="62">
        <v>2.94</v>
      </c>
      <c r="J153" s="37">
        <v>0.73733333333334006</v>
      </c>
      <c r="K153" s="37">
        <v>33.474576271186848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79</v>
      </c>
      <c r="D154" s="1" t="s">
        <v>2</v>
      </c>
      <c r="E154" s="59" t="s">
        <v>14</v>
      </c>
      <c r="F154" s="60">
        <v>1.5453999999999899</v>
      </c>
      <c r="G154" s="60">
        <v>0.45663644182215601</v>
      </c>
      <c r="H154" s="61">
        <v>1.7366666666666599</v>
      </c>
      <c r="I154" s="62">
        <v>4.8</v>
      </c>
      <c r="J154" s="37">
        <v>3.0633333333333397</v>
      </c>
      <c r="K154" s="37">
        <v>176.39155470249625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79</v>
      </c>
      <c r="D155" s="1" t="s">
        <v>2</v>
      </c>
      <c r="E155" s="59" t="s">
        <v>15</v>
      </c>
      <c r="F155" s="60">
        <v>0.88919999999999999</v>
      </c>
      <c r="G155" s="60">
        <v>0.163656225057282</v>
      </c>
      <c r="H155" s="61">
        <v>0.81780487804877999</v>
      </c>
      <c r="I155" s="62">
        <v>3.73</v>
      </c>
      <c r="J155" s="37">
        <v>2.9121951219512199</v>
      </c>
      <c r="K155" s="37">
        <v>356.09901580674045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79</v>
      </c>
      <c r="D156" s="1" t="s">
        <v>2</v>
      </c>
      <c r="E156" s="59" t="s">
        <v>16</v>
      </c>
      <c r="F156" s="60">
        <v>12.274800000000001</v>
      </c>
      <c r="G156" s="60">
        <v>3.9396955415361701</v>
      </c>
      <c r="H156" s="61">
        <v>13.8734285714285</v>
      </c>
      <c r="I156" s="62">
        <v>1.71</v>
      </c>
      <c r="J156" s="37">
        <v>-12.163428571428501</v>
      </c>
      <c r="K156" s="37">
        <v>-87.674279712502781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79</v>
      </c>
      <c r="D157" s="1" t="s">
        <v>2</v>
      </c>
      <c r="E157" s="59" t="s">
        <v>17</v>
      </c>
      <c r="F157" s="60">
        <v>3.5686</v>
      </c>
      <c r="G157" s="60">
        <v>2.4408252784662801</v>
      </c>
      <c r="H157" s="61">
        <v>3.2244897959183598</v>
      </c>
      <c r="I157" s="62">
        <v>5.0599999999999996</v>
      </c>
      <c r="J157" s="37">
        <v>1.8355102040816398</v>
      </c>
      <c r="K157" s="37">
        <v>56.924050632911751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79</v>
      </c>
      <c r="D158" s="1" t="s">
        <v>2</v>
      </c>
      <c r="E158" s="59" t="s">
        <v>18</v>
      </c>
      <c r="F158" s="60">
        <v>1.2295833333333299</v>
      </c>
      <c r="G158" s="60">
        <v>0.28051261360033097</v>
      </c>
      <c r="H158" s="61">
        <v>1.17</v>
      </c>
      <c r="I158" s="62">
        <v>1.69</v>
      </c>
      <c r="J158" s="37">
        <v>0.52</v>
      </c>
      <c r="K158" s="37">
        <v>44.44444444444445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79</v>
      </c>
      <c r="D159" s="1" t="s">
        <v>2</v>
      </c>
      <c r="E159" s="59" t="s">
        <v>19</v>
      </c>
      <c r="F159" s="60">
        <v>1.3957999999999999</v>
      </c>
      <c r="G159" s="60">
        <v>0.86851157735519002</v>
      </c>
      <c r="H159" s="61">
        <v>1.18787234042553</v>
      </c>
      <c r="I159" s="62">
        <v>1.68</v>
      </c>
      <c r="J159" s="37">
        <v>0.49212765957446991</v>
      </c>
      <c r="K159" s="37">
        <v>41.429339065019029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79</v>
      </c>
      <c r="D160" s="1" t="s">
        <v>2</v>
      </c>
      <c r="E160" s="59" t="s">
        <v>12</v>
      </c>
      <c r="F160" s="60">
        <v>3.3066</v>
      </c>
      <c r="G160" s="60">
        <v>1.0826312576311401</v>
      </c>
      <c r="H160" s="61">
        <v>3.8620512820512798</v>
      </c>
      <c r="I160" s="62">
        <v>5.32</v>
      </c>
      <c r="J160" s="37">
        <v>1.4579487179487205</v>
      </c>
      <c r="K160" s="37">
        <v>37.750630726331252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79</v>
      </c>
      <c r="D161" s="1" t="s">
        <v>2</v>
      </c>
      <c r="E161" s="59" t="s">
        <v>13</v>
      </c>
      <c r="F161" s="60">
        <v>3.62299999999999</v>
      </c>
      <c r="G161" s="60">
        <v>4.31495782134657</v>
      </c>
      <c r="H161" s="61">
        <v>2.2026666666666599</v>
      </c>
      <c r="I161" s="62">
        <v>2.95</v>
      </c>
      <c r="J161" s="37">
        <v>0.74733333333334029</v>
      </c>
      <c r="K161" s="37">
        <v>33.92857142857185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79</v>
      </c>
      <c r="D162" s="1" t="s">
        <v>2</v>
      </c>
      <c r="E162" s="59" t="s">
        <v>14</v>
      </c>
      <c r="F162" s="60">
        <v>1.5453999999999899</v>
      </c>
      <c r="G162" s="60">
        <v>0.45663644182215601</v>
      </c>
      <c r="H162" s="61">
        <v>1.7366666666666599</v>
      </c>
      <c r="I162" s="62">
        <v>4.8099999999999996</v>
      </c>
      <c r="J162" s="37">
        <v>3.0733333333333395</v>
      </c>
      <c r="K162" s="37">
        <v>176.96737044145979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79</v>
      </c>
      <c r="D163" s="1" t="s">
        <v>2</v>
      </c>
      <c r="E163" s="59" t="s">
        <v>15</v>
      </c>
      <c r="F163" s="60">
        <v>0.88919999999999999</v>
      </c>
      <c r="G163" s="60">
        <v>0.163656225057282</v>
      </c>
      <c r="H163" s="61">
        <v>0.81780487804877999</v>
      </c>
      <c r="I163" s="62">
        <v>3.68</v>
      </c>
      <c r="J163" s="37">
        <v>2.8621951219512201</v>
      </c>
      <c r="K163" s="37">
        <v>349.98508798091291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79</v>
      </c>
      <c r="D164" s="1" t="s">
        <v>2</v>
      </c>
      <c r="E164" s="59" t="s">
        <v>16</v>
      </c>
      <c r="F164" s="60">
        <v>12.274800000000001</v>
      </c>
      <c r="G164" s="60">
        <v>3.9396955415361701</v>
      </c>
      <c r="H164" s="61">
        <v>13.8734285714285</v>
      </c>
      <c r="I164" s="62">
        <v>1.73</v>
      </c>
      <c r="J164" s="37">
        <v>-12.143428571428499</v>
      </c>
      <c r="K164" s="37">
        <v>-87.530119241303979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79</v>
      </c>
      <c r="D165" s="1" t="s">
        <v>2</v>
      </c>
      <c r="E165" s="59" t="s">
        <v>17</v>
      </c>
      <c r="F165" s="60">
        <v>3.5686</v>
      </c>
      <c r="G165" s="60">
        <v>2.4408252784662801</v>
      </c>
      <c r="H165" s="61">
        <v>3.2244897959183598</v>
      </c>
      <c r="I165" s="62">
        <v>5.0599999999999996</v>
      </c>
      <c r="J165" s="37">
        <v>1.8355102040816398</v>
      </c>
      <c r="K165" s="37">
        <v>56.924050632911751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79</v>
      </c>
      <c r="D166" s="1" t="s">
        <v>2</v>
      </c>
      <c r="E166" s="59" t="s">
        <v>18</v>
      </c>
      <c r="F166" s="60">
        <v>1.2295833333333299</v>
      </c>
      <c r="G166" s="60">
        <v>0.28051261360033097</v>
      </c>
      <c r="H166" s="61">
        <v>1.17</v>
      </c>
      <c r="I166" s="62">
        <v>1.74</v>
      </c>
      <c r="J166" s="37">
        <v>0.57000000000000006</v>
      </c>
      <c r="K166" s="37">
        <v>48.71794871794873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79</v>
      </c>
      <c r="D167" s="1" t="s">
        <v>2</v>
      </c>
      <c r="E167" s="59" t="s">
        <v>19</v>
      </c>
      <c r="F167" s="60">
        <v>1.3957999999999999</v>
      </c>
      <c r="G167" s="60">
        <v>0.86851157735519002</v>
      </c>
      <c r="H167" s="61">
        <v>1.18787234042553</v>
      </c>
      <c r="I167" s="62">
        <v>1.74</v>
      </c>
      <c r="J167" s="37">
        <v>0.55212765957446996</v>
      </c>
      <c r="K167" s="37">
        <v>46.480386888769708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79</v>
      </c>
      <c r="D168" s="1" t="s">
        <v>2</v>
      </c>
      <c r="E168" s="59" t="s">
        <v>12</v>
      </c>
      <c r="F168" s="60">
        <v>3.3066</v>
      </c>
      <c r="G168" s="60">
        <v>1.0826312576311401</v>
      </c>
      <c r="H168" s="61">
        <v>3.8620512820512798</v>
      </c>
      <c r="I168" s="62">
        <v>5.28</v>
      </c>
      <c r="J168" s="37">
        <v>1.4179487179487205</v>
      </c>
      <c r="K168" s="37">
        <v>36.71491169831372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79</v>
      </c>
      <c r="D169" s="1" t="s">
        <v>2</v>
      </c>
      <c r="E169" s="59" t="s">
        <v>13</v>
      </c>
      <c r="F169" s="60">
        <v>3.62299999999999</v>
      </c>
      <c r="G169" s="60">
        <v>4.31495782134657</v>
      </c>
      <c r="H169" s="61">
        <v>2.2026666666666599</v>
      </c>
      <c r="I169" s="62">
        <v>2.98</v>
      </c>
      <c r="J169" s="37">
        <v>0.77733333333334009</v>
      </c>
      <c r="K169" s="37">
        <v>35.290556900726806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79</v>
      </c>
      <c r="D170" s="1" t="s">
        <v>2</v>
      </c>
      <c r="E170" s="59" t="s">
        <v>14</v>
      </c>
      <c r="F170" s="60">
        <v>1.5453999999999899</v>
      </c>
      <c r="G170" s="60">
        <v>0.45663644182215601</v>
      </c>
      <c r="H170" s="61">
        <v>1.7366666666666599</v>
      </c>
      <c r="I170" s="62">
        <v>4.83</v>
      </c>
      <c r="J170" s="37">
        <v>3.0933333333333399</v>
      </c>
      <c r="K170" s="37">
        <v>178.11900191938687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79</v>
      </c>
      <c r="D171" s="1" t="s">
        <v>2</v>
      </c>
      <c r="E171" s="59" t="s">
        <v>15</v>
      </c>
      <c r="F171" s="60">
        <v>0.88919999999999999</v>
      </c>
      <c r="G171" s="60">
        <v>0.163656225057282</v>
      </c>
      <c r="H171" s="61">
        <v>0.81780487804877999</v>
      </c>
      <c r="I171" s="62">
        <v>3.71</v>
      </c>
      <c r="J171" s="37">
        <v>2.8921951219512199</v>
      </c>
      <c r="K171" s="37">
        <v>353.65344467640944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79</v>
      </c>
      <c r="D172" s="1" t="s">
        <v>2</v>
      </c>
      <c r="E172" s="59" t="s">
        <v>16</v>
      </c>
      <c r="F172" s="60">
        <v>12.274800000000001</v>
      </c>
      <c r="G172" s="60">
        <v>3.9396955415361701</v>
      </c>
      <c r="H172" s="61">
        <v>13.8734285714285</v>
      </c>
      <c r="I172" s="62">
        <v>1.74</v>
      </c>
      <c r="J172" s="37">
        <v>-12.1334285714285</v>
      </c>
      <c r="K172" s="37">
        <v>-87.458039005704563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79</v>
      </c>
      <c r="D173" s="1" t="s">
        <v>2</v>
      </c>
      <c r="E173" s="59" t="s">
        <v>17</v>
      </c>
      <c r="F173" s="60">
        <v>3.5686</v>
      </c>
      <c r="G173" s="60">
        <v>2.4408252784662801</v>
      </c>
      <c r="H173" s="61">
        <v>3.2244897959183598</v>
      </c>
      <c r="I173" s="62">
        <v>5.14</v>
      </c>
      <c r="J173" s="37">
        <v>1.9155102040816399</v>
      </c>
      <c r="K173" s="37">
        <v>59.405063291139605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79</v>
      </c>
      <c r="D174" s="1" t="s">
        <v>2</v>
      </c>
      <c r="E174" s="59" t="s">
        <v>18</v>
      </c>
      <c r="F174" s="60">
        <v>1.2295833333333299</v>
      </c>
      <c r="G174" s="60">
        <v>0.28051261360033097</v>
      </c>
      <c r="H174" s="61">
        <v>1.17</v>
      </c>
      <c r="I174" s="62">
        <v>1.7</v>
      </c>
      <c r="J174" s="37">
        <v>0.53</v>
      </c>
      <c r="K174" s="37">
        <v>45.299145299145302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79</v>
      </c>
      <c r="D175" s="1" t="s">
        <v>2</v>
      </c>
      <c r="E175" s="59" t="s">
        <v>19</v>
      </c>
      <c r="F175" s="60">
        <v>1.3957999999999999</v>
      </c>
      <c r="G175" s="60">
        <v>0.86851157735519002</v>
      </c>
      <c r="H175" s="61">
        <v>1.18787234042553</v>
      </c>
      <c r="I175" s="62">
        <v>1.73</v>
      </c>
      <c r="J175" s="37">
        <v>0.54212765957446996</v>
      </c>
      <c r="K175" s="37">
        <v>45.638545584811261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79</v>
      </c>
      <c r="D177" s="1" t="s">
        <v>2</v>
      </c>
      <c r="E177" s="59" t="s">
        <v>12</v>
      </c>
      <c r="F177" s="60">
        <v>3.2848333333333302</v>
      </c>
      <c r="G177" s="60">
        <v>0.94343431438312397</v>
      </c>
      <c r="H177" s="61">
        <v>3.7138775510204098</v>
      </c>
      <c r="I177" s="62">
        <v>5.36</v>
      </c>
      <c r="J177" s="37">
        <v>1.6461224489795905</v>
      </c>
      <c r="K177" s="37">
        <v>44.323552038685513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79</v>
      </c>
      <c r="D178" s="1" t="s">
        <v>2</v>
      </c>
      <c r="E178" s="59" t="s">
        <v>13</v>
      </c>
      <c r="F178" s="60">
        <v>3.74399999999999</v>
      </c>
      <c r="G178" s="60">
        <v>4.2249545165204596</v>
      </c>
      <c r="H178" s="61">
        <v>2.2262264150943398</v>
      </c>
      <c r="I178" s="62">
        <v>2.94</v>
      </c>
      <c r="J178" s="37">
        <v>0.71377358490566012</v>
      </c>
      <c r="K178" s="37">
        <v>32.062039155860653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79</v>
      </c>
      <c r="D179" s="1" t="s">
        <v>2</v>
      </c>
      <c r="E179" s="59" t="s">
        <v>14</v>
      </c>
      <c r="F179" s="60">
        <v>1.5753333333333299</v>
      </c>
      <c r="G179" s="60">
        <v>0.551009578460806</v>
      </c>
      <c r="H179" s="61">
        <v>1.87782608695652</v>
      </c>
      <c r="I179" s="62">
        <v>4.8</v>
      </c>
      <c r="J179" s="37">
        <v>2.9221739130434798</v>
      </c>
      <c r="K179" s="37">
        <v>155.61472563093332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79</v>
      </c>
      <c r="D180" s="1" t="s">
        <v>2</v>
      </c>
      <c r="E180" s="59" t="s">
        <v>15</v>
      </c>
      <c r="F180" s="60">
        <v>0.94199999999999995</v>
      </c>
      <c r="G180" s="60">
        <v>0.20890827333226</v>
      </c>
      <c r="H180" s="61">
        <v>0.85</v>
      </c>
      <c r="I180" s="62">
        <v>3.73</v>
      </c>
      <c r="J180" s="37">
        <v>2.88</v>
      </c>
      <c r="K180" s="37">
        <v>338.8235294117647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79</v>
      </c>
      <c r="D181" s="1" t="s">
        <v>2</v>
      </c>
      <c r="E181" s="59" t="s">
        <v>16</v>
      </c>
      <c r="F181" s="60">
        <v>12.720833333333299</v>
      </c>
      <c r="G181" s="60">
        <v>4.2859784148105797</v>
      </c>
      <c r="H181" s="61">
        <v>14.693243243243201</v>
      </c>
      <c r="I181" s="62">
        <v>1.71</v>
      </c>
      <c r="J181" s="37">
        <v>-12.983243243243201</v>
      </c>
      <c r="K181" s="37">
        <v>-88.361997608755601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79</v>
      </c>
      <c r="D182" s="1" t="s">
        <v>2</v>
      </c>
      <c r="E182" s="59" t="s">
        <v>17</v>
      </c>
      <c r="F182" s="60">
        <v>3.6419999999999999</v>
      </c>
      <c r="G182" s="60">
        <v>3.4860908383651301</v>
      </c>
      <c r="H182" s="61">
        <v>3.0024137931034498</v>
      </c>
      <c r="I182" s="62">
        <v>5.0599999999999996</v>
      </c>
      <c r="J182" s="37">
        <v>2.0575862068965498</v>
      </c>
      <c r="K182" s="37">
        <v>68.531066957620197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79</v>
      </c>
      <c r="D183" s="1" t="s">
        <v>2</v>
      </c>
      <c r="E183" s="59" t="s">
        <v>18</v>
      </c>
      <c r="F183" s="60">
        <v>1.23566666666666</v>
      </c>
      <c r="G183" s="60">
        <v>0.20710196093282701</v>
      </c>
      <c r="H183" s="61">
        <v>1.1863265306122399</v>
      </c>
      <c r="I183" s="62">
        <v>1.69</v>
      </c>
      <c r="J183" s="37">
        <v>0.50367346938776003</v>
      </c>
      <c r="K183" s="37">
        <v>42.456562876312312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79</v>
      </c>
      <c r="D184" s="1" t="s">
        <v>2</v>
      </c>
      <c r="E184" s="59" t="s">
        <v>19</v>
      </c>
      <c r="F184" s="60">
        <v>1.4844999999999999</v>
      </c>
      <c r="G184" s="60">
        <v>0.80080880989159897</v>
      </c>
      <c r="H184" s="61">
        <v>1.2792857142857099</v>
      </c>
      <c r="I184" s="62">
        <v>1.68</v>
      </c>
      <c r="J184" s="37">
        <v>0.40071428571429002</v>
      </c>
      <c r="K184" s="37">
        <v>31.323283082077495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79</v>
      </c>
      <c r="D185" s="1" t="s">
        <v>2</v>
      </c>
      <c r="E185" s="59" t="s">
        <v>12</v>
      </c>
      <c r="F185" s="60">
        <v>3.2848333333333302</v>
      </c>
      <c r="G185" s="60">
        <v>0.94343431438312397</v>
      </c>
      <c r="H185" s="61">
        <v>3.7138775510204098</v>
      </c>
      <c r="I185" s="62">
        <v>5.32</v>
      </c>
      <c r="J185" s="37">
        <v>1.6061224489795904</v>
      </c>
      <c r="K185" s="37">
        <v>43.246510605560992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79</v>
      </c>
      <c r="D186" s="1" t="s">
        <v>2</v>
      </c>
      <c r="E186" s="59" t="s">
        <v>13</v>
      </c>
      <c r="F186" s="60">
        <v>3.74399999999999</v>
      </c>
      <c r="G186" s="60">
        <v>4.2249545165204596</v>
      </c>
      <c r="H186" s="61">
        <v>2.2262264150943398</v>
      </c>
      <c r="I186" s="62">
        <v>2.95</v>
      </c>
      <c r="J186" s="37">
        <v>0.72377358490566035</v>
      </c>
      <c r="K186" s="37">
        <v>32.51122976523434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79</v>
      </c>
      <c r="D187" s="1" t="s">
        <v>2</v>
      </c>
      <c r="E187" s="59" t="s">
        <v>14</v>
      </c>
      <c r="F187" s="60">
        <v>1.5753333333333299</v>
      </c>
      <c r="G187" s="60">
        <v>0.551009578460806</v>
      </c>
      <c r="H187" s="61">
        <v>1.87782608695652</v>
      </c>
      <c r="I187" s="62">
        <v>4.8099999999999996</v>
      </c>
      <c r="J187" s="37">
        <v>2.9321739130434796</v>
      </c>
      <c r="K187" s="37">
        <v>156.14725630933108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79</v>
      </c>
      <c r="D188" s="1" t="s">
        <v>2</v>
      </c>
      <c r="E188" s="59" t="s">
        <v>15</v>
      </c>
      <c r="F188" s="60">
        <v>0.94199999999999995</v>
      </c>
      <c r="G188" s="60">
        <v>0.20890827333226</v>
      </c>
      <c r="H188" s="61">
        <v>0.85</v>
      </c>
      <c r="I188" s="62">
        <v>3.68</v>
      </c>
      <c r="J188" s="37">
        <v>2.83</v>
      </c>
      <c r="K188" s="37">
        <v>332.94117647058823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79</v>
      </c>
      <c r="D189" s="1" t="s">
        <v>2</v>
      </c>
      <c r="E189" s="59" t="s">
        <v>16</v>
      </c>
      <c r="F189" s="60">
        <v>12.720833333333299</v>
      </c>
      <c r="G189" s="60">
        <v>4.2859784148105797</v>
      </c>
      <c r="H189" s="61">
        <v>14.693243243243201</v>
      </c>
      <c r="I189" s="62">
        <v>1.73</v>
      </c>
      <c r="J189" s="37">
        <v>-12.9632432432432</v>
      </c>
      <c r="K189" s="37">
        <v>-88.225880621723491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79</v>
      </c>
      <c r="D190" s="1" t="s">
        <v>2</v>
      </c>
      <c r="E190" s="59" t="s">
        <v>17</v>
      </c>
      <c r="F190" s="60">
        <v>3.6419999999999999</v>
      </c>
      <c r="G190" s="60">
        <v>3.4860908383651301</v>
      </c>
      <c r="H190" s="61">
        <v>3.0024137931034498</v>
      </c>
      <c r="I190" s="62">
        <v>5.0599999999999996</v>
      </c>
      <c r="J190" s="37">
        <v>2.0575862068965498</v>
      </c>
      <c r="K190" s="37">
        <v>68.531066957620197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79</v>
      </c>
      <c r="D191" s="1" t="s">
        <v>2</v>
      </c>
      <c r="E191" s="59" t="s">
        <v>18</v>
      </c>
      <c r="F191" s="60">
        <v>1.23566666666666</v>
      </c>
      <c r="G191" s="60">
        <v>0.20710196093282701</v>
      </c>
      <c r="H191" s="61">
        <v>1.1863265306122399</v>
      </c>
      <c r="I191" s="62">
        <v>1.74</v>
      </c>
      <c r="J191" s="37">
        <v>0.55367346938776008</v>
      </c>
      <c r="K191" s="37">
        <v>46.671254085670668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79</v>
      </c>
      <c r="D192" s="1" t="s">
        <v>2</v>
      </c>
      <c r="E192" s="59" t="s">
        <v>19</v>
      </c>
      <c r="F192" s="60">
        <v>1.4844999999999999</v>
      </c>
      <c r="G192" s="60">
        <v>0.80080880989159897</v>
      </c>
      <c r="H192" s="61">
        <v>1.2792857142857099</v>
      </c>
      <c r="I192" s="62">
        <v>1.74</v>
      </c>
      <c r="J192" s="37">
        <v>0.46071428571429007</v>
      </c>
      <c r="K192" s="37">
        <v>36.013400335008839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79</v>
      </c>
      <c r="D193" s="1" t="s">
        <v>2</v>
      </c>
      <c r="E193" s="59" t="s">
        <v>12</v>
      </c>
      <c r="F193" s="60">
        <v>3.2848333333333302</v>
      </c>
      <c r="G193" s="60">
        <v>0.94343431438312397</v>
      </c>
      <c r="H193" s="61">
        <v>3.7138775510204098</v>
      </c>
      <c r="I193" s="62">
        <v>5.28</v>
      </c>
      <c r="J193" s="37">
        <v>1.5661224489795904</v>
      </c>
      <c r="K193" s="37">
        <v>42.169469172436472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79</v>
      </c>
      <c r="D194" s="1" t="s">
        <v>2</v>
      </c>
      <c r="E194" s="59" t="s">
        <v>13</v>
      </c>
      <c r="F194" s="60">
        <v>3.74399999999999</v>
      </c>
      <c r="G194" s="60">
        <v>4.2249545165204596</v>
      </c>
      <c r="H194" s="61">
        <v>2.2262264150943398</v>
      </c>
      <c r="I194" s="62">
        <v>2.98</v>
      </c>
      <c r="J194" s="37">
        <v>0.75377358490566015</v>
      </c>
      <c r="K194" s="37">
        <v>33.858801593355352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79</v>
      </c>
      <c r="D195" s="1" t="s">
        <v>2</v>
      </c>
      <c r="E195" s="59" t="s">
        <v>14</v>
      </c>
      <c r="F195" s="60">
        <v>1.5753333333333299</v>
      </c>
      <c r="G195" s="60">
        <v>0.551009578460806</v>
      </c>
      <c r="H195" s="61">
        <v>1.87782608695652</v>
      </c>
      <c r="I195" s="62">
        <v>4.83</v>
      </c>
      <c r="J195" s="37">
        <v>2.9521739130434801</v>
      </c>
      <c r="K195" s="37">
        <v>157.21231766612667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79</v>
      </c>
      <c r="D196" s="1" t="s">
        <v>2</v>
      </c>
      <c r="E196" s="59" t="s">
        <v>15</v>
      </c>
      <c r="F196" s="60">
        <v>0.94199999999999995</v>
      </c>
      <c r="G196" s="60">
        <v>0.20890827333226</v>
      </c>
      <c r="H196" s="61">
        <v>0.85</v>
      </c>
      <c r="I196" s="62">
        <v>3.71</v>
      </c>
      <c r="J196" s="37">
        <v>2.86</v>
      </c>
      <c r="K196" s="37">
        <v>336.47058823529414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79</v>
      </c>
      <c r="D197" s="1" t="s">
        <v>2</v>
      </c>
      <c r="E197" s="59" t="s">
        <v>16</v>
      </c>
      <c r="F197" s="60">
        <v>12.720833333333299</v>
      </c>
      <c r="G197" s="60">
        <v>4.2859784148105797</v>
      </c>
      <c r="H197" s="61">
        <v>14.693243243243201</v>
      </c>
      <c r="I197" s="62">
        <v>1.74</v>
      </c>
      <c r="J197" s="37">
        <v>-12.9532432432432</v>
      </c>
      <c r="K197" s="37">
        <v>-88.157822128207457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79</v>
      </c>
      <c r="D198" s="1" t="s">
        <v>2</v>
      </c>
      <c r="E198" s="59" t="s">
        <v>17</v>
      </c>
      <c r="F198" s="60">
        <v>3.6419999999999999</v>
      </c>
      <c r="G198" s="60">
        <v>3.4860908383651301</v>
      </c>
      <c r="H198" s="61">
        <v>3.0024137931034498</v>
      </c>
      <c r="I198" s="62">
        <v>5.14</v>
      </c>
      <c r="J198" s="37">
        <v>2.1375862068965499</v>
      </c>
      <c r="K198" s="37">
        <v>71.195589755369156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79</v>
      </c>
      <c r="D199" s="1" t="s">
        <v>2</v>
      </c>
      <c r="E199" s="59" t="s">
        <v>18</v>
      </c>
      <c r="F199" s="60">
        <v>1.23566666666666</v>
      </c>
      <c r="G199" s="60">
        <v>0.20710196093282701</v>
      </c>
      <c r="H199" s="61">
        <v>1.1863265306122399</v>
      </c>
      <c r="I199" s="62">
        <v>1.7</v>
      </c>
      <c r="J199" s="37">
        <v>0.51367346938776004</v>
      </c>
      <c r="K199" s="37">
        <v>43.299501118183983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79</v>
      </c>
      <c r="D200" s="1" t="s">
        <v>2</v>
      </c>
      <c r="E200" s="59" t="s">
        <v>19</v>
      </c>
      <c r="F200" s="60">
        <v>1.4844999999999999</v>
      </c>
      <c r="G200" s="60">
        <v>0.80080880989159897</v>
      </c>
      <c r="H200" s="61">
        <v>1.2792857142857099</v>
      </c>
      <c r="I200" s="62">
        <v>1.73</v>
      </c>
      <c r="J200" s="37">
        <v>0.45071428571429006</v>
      </c>
      <c r="K200" s="37">
        <v>35.231714126186944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79</v>
      </c>
      <c r="D202" s="1" t="s">
        <v>2</v>
      </c>
      <c r="E202" s="59" t="s">
        <v>12</v>
      </c>
      <c r="F202" s="60">
        <v>3.1589999999999998</v>
      </c>
      <c r="G202" s="60">
        <v>0.92962304188310596</v>
      </c>
      <c r="H202" s="61">
        <v>3.54790697674418</v>
      </c>
      <c r="I202" s="63">
        <v>5.36</v>
      </c>
      <c r="J202" s="58">
        <v>1.8120930232558203</v>
      </c>
      <c r="K202" s="58">
        <v>51.074986890404041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79</v>
      </c>
      <c r="D203" s="1" t="s">
        <v>2</v>
      </c>
      <c r="E203" s="59" t="s">
        <v>13</v>
      </c>
      <c r="F203" s="60">
        <v>3.1758333333333302</v>
      </c>
      <c r="G203" s="60">
        <v>3.4446471960935998</v>
      </c>
      <c r="H203" s="61">
        <v>2.15236363636363</v>
      </c>
      <c r="I203" s="63">
        <v>2.94</v>
      </c>
      <c r="J203" s="58">
        <v>0.78763636363636991</v>
      </c>
      <c r="K203" s="58">
        <v>36.594019260010533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79</v>
      </c>
      <c r="D204" s="1" t="s">
        <v>2</v>
      </c>
      <c r="E204" s="59" t="s">
        <v>14</v>
      </c>
      <c r="F204" s="60">
        <v>1.5215000000000001</v>
      </c>
      <c r="G204" s="60">
        <v>0.55032967392282195</v>
      </c>
      <c r="H204" s="61">
        <v>1.8340000000000001</v>
      </c>
      <c r="I204" s="63">
        <v>4.8</v>
      </c>
      <c r="J204" s="58">
        <v>2.9659999999999997</v>
      </c>
      <c r="K204" s="58">
        <v>161.72300981461285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79</v>
      </c>
      <c r="D205" s="1" t="s">
        <v>2</v>
      </c>
      <c r="E205" s="59" t="s">
        <v>15</v>
      </c>
      <c r="F205" s="60">
        <v>0.92</v>
      </c>
      <c r="G205" s="60">
        <v>0.191363528395564</v>
      </c>
      <c r="H205" s="61">
        <v>0.828666666666667</v>
      </c>
      <c r="I205" s="63">
        <v>3.73</v>
      </c>
      <c r="J205" s="58">
        <v>2.9013333333333331</v>
      </c>
      <c r="K205" s="58">
        <v>350.12067578439246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79</v>
      </c>
      <c r="D206" s="1" t="s">
        <v>2</v>
      </c>
      <c r="E206" s="59" t="s">
        <v>16</v>
      </c>
      <c r="F206" s="60">
        <v>14.8938333333333</v>
      </c>
      <c r="G206" s="60">
        <v>4.7556738364703799</v>
      </c>
      <c r="H206" s="61">
        <v>17.202444444444399</v>
      </c>
      <c r="I206" s="63">
        <v>1.71</v>
      </c>
      <c r="J206" s="58">
        <v>-15.492444444444398</v>
      </c>
      <c r="K206" s="58">
        <v>-90.059552260014698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79</v>
      </c>
      <c r="D207" s="1" t="s">
        <v>2</v>
      </c>
      <c r="E207" s="59" t="s">
        <v>17</v>
      </c>
      <c r="F207" s="60">
        <v>3.3620000000000001</v>
      </c>
      <c r="G207" s="60">
        <v>2.7076661537198299</v>
      </c>
      <c r="H207" s="61">
        <v>3.0130508474576199</v>
      </c>
      <c r="I207" s="63">
        <v>5.0599999999999996</v>
      </c>
      <c r="J207" s="58">
        <v>2.0469491525423797</v>
      </c>
      <c r="K207" s="58">
        <v>67.936097204253073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79</v>
      </c>
      <c r="D208" s="1" t="s">
        <v>2</v>
      </c>
      <c r="E208" s="59" t="s">
        <v>18</v>
      </c>
      <c r="F208" s="60">
        <v>1.2549999999999999</v>
      </c>
      <c r="G208" s="60">
        <v>0.26544205160188999</v>
      </c>
      <c r="H208" s="61">
        <v>1.2075</v>
      </c>
      <c r="I208" s="63">
        <v>1.69</v>
      </c>
      <c r="J208" s="58">
        <v>0.48249999999999993</v>
      </c>
      <c r="K208" s="58">
        <v>39.958592132505174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79</v>
      </c>
      <c r="D209" s="1" t="s">
        <v>2</v>
      </c>
      <c r="E209" s="59" t="s">
        <v>19</v>
      </c>
      <c r="F209" s="60">
        <v>1.3221666666666601</v>
      </c>
      <c r="G209" s="60">
        <v>0.64929215731868695</v>
      </c>
      <c r="H209" s="61">
        <v>1.21137931034482</v>
      </c>
      <c r="I209" s="63">
        <v>1.68</v>
      </c>
      <c r="J209" s="58">
        <v>0.46862068965517989</v>
      </c>
      <c r="K209" s="58">
        <v>38.684884713920589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79</v>
      </c>
      <c r="D210" s="1" t="s">
        <v>2</v>
      </c>
      <c r="E210" s="59" t="s">
        <v>12</v>
      </c>
      <c r="F210" s="60">
        <v>3.1589999999999998</v>
      </c>
      <c r="G210" s="60">
        <v>0.92962304188310596</v>
      </c>
      <c r="H210" s="61">
        <v>3.54790697674418</v>
      </c>
      <c r="I210" s="63">
        <v>5.32</v>
      </c>
      <c r="J210" s="58">
        <v>1.7720930232558203</v>
      </c>
      <c r="K210" s="58">
        <v>49.947561615102522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79</v>
      </c>
      <c r="D211" s="1" t="s">
        <v>2</v>
      </c>
      <c r="E211" s="59" t="s">
        <v>13</v>
      </c>
      <c r="F211" s="60">
        <v>3.1758333333333302</v>
      </c>
      <c r="G211" s="60">
        <v>3.4446471960935998</v>
      </c>
      <c r="H211" s="61">
        <v>2.15236363636363</v>
      </c>
      <c r="I211" s="63">
        <v>2.95</v>
      </c>
      <c r="J211" s="58">
        <v>0.79763636363637014</v>
      </c>
      <c r="K211" s="58">
        <v>37.058624767697658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79</v>
      </c>
      <c r="D212" s="1" t="s">
        <v>2</v>
      </c>
      <c r="E212" s="59" t="s">
        <v>14</v>
      </c>
      <c r="F212" s="60">
        <v>1.5215000000000001</v>
      </c>
      <c r="G212" s="60">
        <v>0.55032967392282195</v>
      </c>
      <c r="H212" s="61">
        <v>1.8340000000000001</v>
      </c>
      <c r="I212" s="63">
        <v>4.8099999999999996</v>
      </c>
      <c r="J212" s="58">
        <v>2.9759999999999995</v>
      </c>
      <c r="K212" s="58">
        <v>162.26826608505996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79</v>
      </c>
      <c r="D213" s="1" t="s">
        <v>2</v>
      </c>
      <c r="E213" s="59" t="s">
        <v>15</v>
      </c>
      <c r="F213" s="60">
        <v>0.92</v>
      </c>
      <c r="G213" s="60">
        <v>0.191363528395564</v>
      </c>
      <c r="H213" s="61">
        <v>0.828666666666667</v>
      </c>
      <c r="I213" s="63">
        <v>3.68</v>
      </c>
      <c r="J213" s="58">
        <v>2.8513333333333333</v>
      </c>
      <c r="K213" s="58">
        <v>344.08688656476249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79</v>
      </c>
      <c r="D214" s="1" t="s">
        <v>2</v>
      </c>
      <c r="E214" s="59" t="s">
        <v>16</v>
      </c>
      <c r="F214" s="60">
        <v>14.8938333333333</v>
      </c>
      <c r="G214" s="60">
        <v>4.7556738364703799</v>
      </c>
      <c r="H214" s="61">
        <v>17.202444444444399</v>
      </c>
      <c r="I214" s="63">
        <v>1.73</v>
      </c>
      <c r="J214" s="58">
        <v>-15.472444444444399</v>
      </c>
      <c r="K214" s="58">
        <v>-89.943289713348207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79</v>
      </c>
      <c r="D215" s="1" t="s">
        <v>2</v>
      </c>
      <c r="E215" s="59" t="s">
        <v>17</v>
      </c>
      <c r="F215" s="60">
        <v>3.3620000000000001</v>
      </c>
      <c r="G215" s="60">
        <v>2.7076661537198299</v>
      </c>
      <c r="H215" s="61">
        <v>3.0130508474576199</v>
      </c>
      <c r="I215" s="63">
        <v>5.0599999999999996</v>
      </c>
      <c r="J215" s="58">
        <v>2.0469491525423797</v>
      </c>
      <c r="K215" s="58">
        <v>67.936097204253073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79</v>
      </c>
      <c r="D216" s="1" t="s">
        <v>2</v>
      </c>
      <c r="E216" s="59" t="s">
        <v>18</v>
      </c>
      <c r="F216" s="60">
        <v>1.2549999999999999</v>
      </c>
      <c r="G216" s="60">
        <v>0.26544205160188999</v>
      </c>
      <c r="H216" s="61">
        <v>1.2075</v>
      </c>
      <c r="I216" s="63">
        <v>1.74</v>
      </c>
      <c r="J216" s="58">
        <v>0.53249999999999997</v>
      </c>
      <c r="K216" s="58">
        <v>44.099378881987569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79</v>
      </c>
      <c r="D217" s="1" t="s">
        <v>2</v>
      </c>
      <c r="E217" s="59" t="s">
        <v>19</v>
      </c>
      <c r="F217" s="60">
        <v>1.3221666666666601</v>
      </c>
      <c r="G217" s="60">
        <v>0.64929215731868695</v>
      </c>
      <c r="H217" s="61">
        <v>1.21137931034482</v>
      </c>
      <c r="I217" s="63">
        <v>1.74</v>
      </c>
      <c r="J217" s="58">
        <v>0.52862068965517994</v>
      </c>
      <c r="K217" s="58">
        <v>43.637916310846322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79</v>
      </c>
      <c r="D218" s="1" t="s">
        <v>2</v>
      </c>
      <c r="E218" s="59" t="s">
        <v>12</v>
      </c>
      <c r="F218" s="60">
        <v>3.1589999999999998</v>
      </c>
      <c r="G218" s="60">
        <v>0.92962304188310596</v>
      </c>
      <c r="H218" s="61">
        <v>3.54790697674418</v>
      </c>
      <c r="I218" s="63">
        <v>5.28</v>
      </c>
      <c r="J218" s="58">
        <v>1.7320930232558203</v>
      </c>
      <c r="K218" s="58">
        <v>48.820136339800996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79</v>
      </c>
      <c r="D219" s="1" t="s">
        <v>2</v>
      </c>
      <c r="E219" s="59" t="s">
        <v>13</v>
      </c>
      <c r="F219" s="60">
        <v>3.1758333333333302</v>
      </c>
      <c r="G219" s="60">
        <v>3.4446471960935998</v>
      </c>
      <c r="H219" s="61">
        <v>2.15236363636363</v>
      </c>
      <c r="I219" s="63">
        <v>2.98</v>
      </c>
      <c r="J219" s="58">
        <v>0.82763636363636994</v>
      </c>
      <c r="K219" s="58">
        <v>38.452441290758983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79</v>
      </c>
      <c r="D220" s="1" t="s">
        <v>2</v>
      </c>
      <c r="E220" s="59" t="s">
        <v>14</v>
      </c>
      <c r="F220" s="60">
        <v>1.5215000000000001</v>
      </c>
      <c r="G220" s="60">
        <v>0.55032967392282195</v>
      </c>
      <c r="H220" s="61">
        <v>1.8340000000000001</v>
      </c>
      <c r="I220" s="63">
        <v>4.83</v>
      </c>
      <c r="J220" s="58">
        <v>2.996</v>
      </c>
      <c r="K220" s="58">
        <v>163.35877862595419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79</v>
      </c>
      <c r="D221" s="1" t="s">
        <v>2</v>
      </c>
      <c r="E221" s="59" t="s">
        <v>15</v>
      </c>
      <c r="F221" s="60">
        <v>0.92</v>
      </c>
      <c r="G221" s="60">
        <v>0.191363528395564</v>
      </c>
      <c r="H221" s="61">
        <v>0.828666666666667</v>
      </c>
      <c r="I221" s="63">
        <v>3.71</v>
      </c>
      <c r="J221" s="58">
        <v>2.8813333333333331</v>
      </c>
      <c r="K221" s="58">
        <v>347.70716009654046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79</v>
      </c>
      <c r="D222" s="1" t="s">
        <v>2</v>
      </c>
      <c r="E222" s="59" t="s">
        <v>16</v>
      </c>
      <c r="F222" s="60">
        <v>14.8938333333333</v>
      </c>
      <c r="G222" s="60">
        <v>4.7556738364703799</v>
      </c>
      <c r="H222" s="61">
        <v>17.202444444444399</v>
      </c>
      <c r="I222" s="63">
        <v>1.74</v>
      </c>
      <c r="J222" s="58">
        <v>-15.462444444444399</v>
      </c>
      <c r="K222" s="58">
        <v>-89.885158440014962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79</v>
      </c>
      <c r="D223" s="1" t="s">
        <v>2</v>
      </c>
      <c r="E223" s="59" t="s">
        <v>17</v>
      </c>
      <c r="F223" s="60">
        <v>3.3620000000000001</v>
      </c>
      <c r="G223" s="60">
        <v>2.7076661537198299</v>
      </c>
      <c r="H223" s="61">
        <v>3.0130508474576199</v>
      </c>
      <c r="I223" s="63">
        <v>5.14</v>
      </c>
      <c r="J223" s="58">
        <v>2.1269491525423798</v>
      </c>
      <c r="K223" s="58">
        <v>70.591213365585148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79</v>
      </c>
      <c r="D224" s="1" t="s">
        <v>2</v>
      </c>
      <c r="E224" s="59" t="s">
        <v>18</v>
      </c>
      <c r="F224" s="60">
        <v>1.2549999999999999</v>
      </c>
      <c r="G224" s="60">
        <v>0.26544205160188999</v>
      </c>
      <c r="H224" s="61">
        <v>1.2075</v>
      </c>
      <c r="I224" s="63">
        <v>1.7</v>
      </c>
      <c r="J224" s="58">
        <v>0.49249999999999994</v>
      </c>
      <c r="K224" s="58">
        <v>40.786749482401653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79</v>
      </c>
      <c r="D225" s="1" t="s">
        <v>2</v>
      </c>
      <c r="E225" s="59" t="s">
        <v>19</v>
      </c>
      <c r="F225" s="60">
        <v>1.3221666666666601</v>
      </c>
      <c r="G225" s="60">
        <v>0.64929215731868695</v>
      </c>
      <c r="H225" s="61">
        <v>1.21137931034482</v>
      </c>
      <c r="I225" s="63">
        <v>1.73</v>
      </c>
      <c r="J225" s="58">
        <v>0.51862068965517993</v>
      </c>
      <c r="K225" s="58">
        <v>42.812411044692034</v>
      </c>
      <c r="L225" s="1" t="s">
        <v>69</v>
      </c>
      <c r="M225" s="1">
        <v>3</v>
      </c>
    </row>
    <row r="227" spans="1:13" x14ac:dyDescent="0.3">
      <c r="A227">
        <v>12</v>
      </c>
      <c r="B227">
        <v>1</v>
      </c>
      <c r="C227" t="s">
        <v>79</v>
      </c>
      <c r="D227" s="1" t="s">
        <v>2</v>
      </c>
      <c r="E227" s="59" t="s">
        <v>12</v>
      </c>
      <c r="F227" s="60">
        <v>1.9759259259259201</v>
      </c>
      <c r="G227" s="60">
        <v>0.43899936099893799</v>
      </c>
      <c r="H227" s="61">
        <v>2.0986956521739102</v>
      </c>
      <c r="I227" s="62">
        <v>1.95</v>
      </c>
      <c r="J227" s="37">
        <v>-0.14869565217391023</v>
      </c>
      <c r="K227" s="37">
        <v>-7.0851460534492237</v>
      </c>
      <c r="L227" s="1" t="s">
        <v>23</v>
      </c>
      <c r="M227" s="1">
        <v>1</v>
      </c>
    </row>
    <row r="228" spans="1:13" x14ac:dyDescent="0.3">
      <c r="A228">
        <v>12</v>
      </c>
      <c r="B228">
        <v>1</v>
      </c>
      <c r="C228" t="s">
        <v>79</v>
      </c>
      <c r="D228" s="1" t="s">
        <v>2</v>
      </c>
      <c r="E228" s="59" t="s">
        <v>13</v>
      </c>
      <c r="F228" s="60">
        <v>0.46172413793103401</v>
      </c>
      <c r="G228" s="60">
        <v>6.2260241673337199E-2</v>
      </c>
      <c r="H228" s="61">
        <v>0.44999999999999901</v>
      </c>
      <c r="I228" s="62">
        <v>3.4</v>
      </c>
      <c r="J228" s="37">
        <v>2.9500000000000011</v>
      </c>
      <c r="K228" s="37">
        <v>655.55555555555725</v>
      </c>
      <c r="L228" s="1" t="s">
        <v>23</v>
      </c>
      <c r="M228" s="1">
        <v>1</v>
      </c>
    </row>
    <row r="229" spans="1:13" x14ac:dyDescent="0.3">
      <c r="A229">
        <v>12</v>
      </c>
      <c r="B229">
        <v>1</v>
      </c>
      <c r="C229" t="s">
        <v>79</v>
      </c>
      <c r="D229" s="1" t="s">
        <v>2</v>
      </c>
      <c r="E229" s="59" t="s">
        <v>14</v>
      </c>
      <c r="F229" s="60">
        <v>0.233833333333333</v>
      </c>
      <c r="G229" s="60">
        <v>0.115066526651131</v>
      </c>
      <c r="H229" s="61">
        <v>0.222407407407407</v>
      </c>
      <c r="I229" s="62">
        <v>4.83</v>
      </c>
      <c r="J229" s="37">
        <v>4.6075925925925931</v>
      </c>
      <c r="K229" s="37">
        <v>2071.6902581182389</v>
      </c>
      <c r="L229" s="1" t="s">
        <v>23</v>
      </c>
      <c r="M229" s="1">
        <v>1</v>
      </c>
    </row>
    <row r="230" spans="1:13" x14ac:dyDescent="0.3">
      <c r="A230">
        <v>12</v>
      </c>
      <c r="B230">
        <v>1</v>
      </c>
      <c r="C230" t="s">
        <v>79</v>
      </c>
      <c r="D230" s="1" t="s">
        <v>2</v>
      </c>
      <c r="E230" s="59" t="s">
        <v>15</v>
      </c>
      <c r="F230" s="60">
        <v>1.0721666666666601</v>
      </c>
      <c r="G230" s="60">
        <v>1.30814001756522</v>
      </c>
      <c r="H230" s="61">
        <v>0.70963636363636295</v>
      </c>
      <c r="I230" s="62">
        <v>5.42</v>
      </c>
      <c r="J230" s="37">
        <v>4.7103636363636365</v>
      </c>
      <c r="K230" s="37">
        <v>663.7714578529343</v>
      </c>
      <c r="L230" s="1" t="s">
        <v>23</v>
      </c>
      <c r="M230" s="1">
        <v>1</v>
      </c>
    </row>
    <row r="231" spans="1:13" x14ac:dyDescent="0.3">
      <c r="A231">
        <v>12</v>
      </c>
      <c r="B231">
        <v>1</v>
      </c>
      <c r="C231" t="s">
        <v>79</v>
      </c>
      <c r="D231" s="1" t="s">
        <v>2</v>
      </c>
      <c r="E231" s="59" t="s">
        <v>16</v>
      </c>
      <c r="F231" s="60">
        <v>2.25</v>
      </c>
      <c r="G231" s="60">
        <v>0.536768106355062</v>
      </c>
      <c r="H231" s="61">
        <v>2.4655102040816299</v>
      </c>
      <c r="I231" s="62">
        <v>3.92</v>
      </c>
      <c r="J231" s="37">
        <v>1.45448979591837</v>
      </c>
      <c r="K231" s="37">
        <v>58.993460806224832</v>
      </c>
      <c r="L231" s="1" t="s">
        <v>23</v>
      </c>
      <c r="M231" s="1">
        <v>1</v>
      </c>
    </row>
    <row r="232" spans="1:13" x14ac:dyDescent="0.3">
      <c r="A232">
        <v>12</v>
      </c>
      <c r="B232">
        <v>1</v>
      </c>
      <c r="C232" t="s">
        <v>79</v>
      </c>
      <c r="D232" s="1" t="s">
        <v>2</v>
      </c>
      <c r="E232" s="59" t="s">
        <v>17</v>
      </c>
      <c r="F232" s="60">
        <v>1.12866666666666</v>
      </c>
      <c r="G232" s="60">
        <v>1.0281203993480299</v>
      </c>
      <c r="H232" s="61">
        <v>0.825454545454544</v>
      </c>
      <c r="I232" s="62">
        <v>4.3499999999999996</v>
      </c>
      <c r="J232" s="37">
        <v>3.5245454545454558</v>
      </c>
      <c r="K232" s="37">
        <v>426.98237885462646</v>
      </c>
      <c r="L232" s="1" t="s">
        <v>23</v>
      </c>
      <c r="M232" s="1">
        <v>1</v>
      </c>
    </row>
    <row r="233" spans="1:13" x14ac:dyDescent="0.3">
      <c r="A233">
        <v>12</v>
      </c>
      <c r="B233">
        <v>1</v>
      </c>
      <c r="C233" t="s">
        <v>79</v>
      </c>
      <c r="D233" s="1" t="s">
        <v>2</v>
      </c>
      <c r="E233" s="59" t="s">
        <v>18</v>
      </c>
      <c r="F233" s="60">
        <v>2.5513333333333299</v>
      </c>
      <c r="G233" s="60">
        <v>7.8547337036691101</v>
      </c>
      <c r="H233" s="61">
        <v>0.75508771929824603</v>
      </c>
      <c r="I233" s="62">
        <v>1.86</v>
      </c>
      <c r="J233" s="37">
        <v>1.104912280701754</v>
      </c>
      <c r="K233" s="37">
        <v>146.32899628252773</v>
      </c>
      <c r="L233" s="1" t="s">
        <v>23</v>
      </c>
      <c r="M233" s="1">
        <v>1</v>
      </c>
    </row>
    <row r="234" spans="1:13" x14ac:dyDescent="0.3">
      <c r="A234">
        <v>12</v>
      </c>
      <c r="B234">
        <v>1</v>
      </c>
      <c r="C234" t="s">
        <v>79</v>
      </c>
      <c r="D234" s="1" t="s">
        <v>2</v>
      </c>
      <c r="E234" s="59" t="s">
        <v>19</v>
      </c>
      <c r="F234" s="60">
        <v>0.65149999999999997</v>
      </c>
      <c r="G234" s="60">
        <v>0.106424073091257</v>
      </c>
      <c r="H234" s="61">
        <v>0.71690476190476204</v>
      </c>
      <c r="I234" s="62">
        <v>2.73</v>
      </c>
      <c r="J234" s="37">
        <v>2.013095238095238</v>
      </c>
      <c r="K234" s="37">
        <v>280.8037196944536</v>
      </c>
      <c r="L234" s="1" t="s">
        <v>23</v>
      </c>
      <c r="M234" s="1">
        <v>1</v>
      </c>
    </row>
    <row r="235" spans="1:13" x14ac:dyDescent="0.3">
      <c r="A235">
        <v>12</v>
      </c>
      <c r="B235">
        <v>1</v>
      </c>
      <c r="C235" t="s">
        <v>79</v>
      </c>
      <c r="D235" s="1" t="s">
        <v>2</v>
      </c>
      <c r="E235" s="59" t="s">
        <v>12</v>
      </c>
      <c r="F235" s="60">
        <v>1.9759259259259201</v>
      </c>
      <c r="G235" s="60">
        <v>0.43899936099893799</v>
      </c>
      <c r="H235" s="61">
        <v>2.0986956521739102</v>
      </c>
      <c r="I235" s="62">
        <v>1.94</v>
      </c>
      <c r="J235" s="37">
        <v>-0.15869565217391024</v>
      </c>
      <c r="K235" s="37">
        <v>-7.5616324839443552</v>
      </c>
      <c r="L235" s="1" t="s">
        <v>68</v>
      </c>
      <c r="M235" s="1">
        <v>1</v>
      </c>
    </row>
    <row r="236" spans="1:13" x14ac:dyDescent="0.3">
      <c r="A236">
        <v>12</v>
      </c>
      <c r="B236">
        <v>1</v>
      </c>
      <c r="C236" t="s">
        <v>79</v>
      </c>
      <c r="D236" s="1" t="s">
        <v>2</v>
      </c>
      <c r="E236" s="59" t="s">
        <v>13</v>
      </c>
      <c r="F236" s="60">
        <v>0.46172413793103401</v>
      </c>
      <c r="G236" s="60">
        <v>6.2260241673337199E-2</v>
      </c>
      <c r="H236" s="61">
        <v>0.44999999999999901</v>
      </c>
      <c r="I236" s="62">
        <v>3.45</v>
      </c>
      <c r="J236" s="37">
        <v>3.0000000000000013</v>
      </c>
      <c r="K236" s="37">
        <v>666.66666666666833</v>
      </c>
      <c r="L236" s="1" t="s">
        <v>68</v>
      </c>
      <c r="M236" s="1">
        <v>1</v>
      </c>
    </row>
    <row r="237" spans="1:13" x14ac:dyDescent="0.3">
      <c r="A237">
        <v>12</v>
      </c>
      <c r="B237">
        <v>1</v>
      </c>
      <c r="C237" t="s">
        <v>79</v>
      </c>
      <c r="D237" s="1" t="s">
        <v>2</v>
      </c>
      <c r="E237" s="59" t="s">
        <v>14</v>
      </c>
      <c r="F237" s="60">
        <v>0.233833333333333</v>
      </c>
      <c r="G237" s="60">
        <v>0.115066526651131</v>
      </c>
      <c r="H237" s="61">
        <v>0.222407407407407</v>
      </c>
      <c r="I237" s="62">
        <v>4.8499999999999996</v>
      </c>
      <c r="J237" s="37">
        <v>4.6275925925925927</v>
      </c>
      <c r="K237" s="37">
        <v>2080.6827643630345</v>
      </c>
      <c r="L237" s="1" t="s">
        <v>68</v>
      </c>
      <c r="M237" s="1">
        <v>1</v>
      </c>
    </row>
    <row r="238" spans="1:13" x14ac:dyDescent="0.3">
      <c r="A238">
        <v>12</v>
      </c>
      <c r="B238">
        <v>1</v>
      </c>
      <c r="C238" t="s">
        <v>79</v>
      </c>
      <c r="D238" s="1" t="s">
        <v>2</v>
      </c>
      <c r="E238" s="59" t="s">
        <v>15</v>
      </c>
      <c r="F238" s="60">
        <v>1.0721666666666601</v>
      </c>
      <c r="G238" s="60">
        <v>1.30814001756522</v>
      </c>
      <c r="H238" s="61">
        <v>0.70963636363636295</v>
      </c>
      <c r="I238" s="62">
        <v>5.37</v>
      </c>
      <c r="J238" s="37">
        <v>4.6603636363636376</v>
      </c>
      <c r="K238" s="37">
        <v>656.72559569561952</v>
      </c>
      <c r="L238" s="1" t="s">
        <v>68</v>
      </c>
      <c r="M238" s="1">
        <v>1</v>
      </c>
    </row>
    <row r="239" spans="1:13" x14ac:dyDescent="0.3">
      <c r="A239">
        <v>12</v>
      </c>
      <c r="B239">
        <v>1</v>
      </c>
      <c r="C239" t="s">
        <v>79</v>
      </c>
      <c r="D239" s="1" t="s">
        <v>2</v>
      </c>
      <c r="E239" s="59" t="s">
        <v>16</v>
      </c>
      <c r="F239" s="60">
        <v>2.25</v>
      </c>
      <c r="G239" s="60">
        <v>0.536768106355062</v>
      </c>
      <c r="H239" s="61">
        <v>2.4655102040816299</v>
      </c>
      <c r="I239" s="62">
        <v>3.93</v>
      </c>
      <c r="J239" s="37">
        <v>1.4644897959183703</v>
      </c>
      <c r="K239" s="37">
        <v>59.39905636950602</v>
      </c>
      <c r="L239" s="1" t="s">
        <v>68</v>
      </c>
      <c r="M239" s="1">
        <v>1</v>
      </c>
    </row>
    <row r="240" spans="1:13" x14ac:dyDescent="0.3">
      <c r="A240">
        <v>12</v>
      </c>
      <c r="B240">
        <v>1</v>
      </c>
      <c r="C240" t="s">
        <v>79</v>
      </c>
      <c r="D240" s="1" t="s">
        <v>2</v>
      </c>
      <c r="E240" s="59" t="s">
        <v>17</v>
      </c>
      <c r="F240" s="60">
        <v>1.12866666666666</v>
      </c>
      <c r="G240" s="60">
        <v>1.0281203993480299</v>
      </c>
      <c r="H240" s="61">
        <v>0.825454545454544</v>
      </c>
      <c r="I240" s="62">
        <v>4.3499999999999996</v>
      </c>
      <c r="J240" s="37">
        <v>3.5245454545454558</v>
      </c>
      <c r="K240" s="37">
        <v>426.98237885462646</v>
      </c>
      <c r="L240" s="1" t="s">
        <v>68</v>
      </c>
      <c r="M240" s="1">
        <v>1</v>
      </c>
    </row>
    <row r="241" spans="1:13" x14ac:dyDescent="0.3">
      <c r="A241">
        <v>12</v>
      </c>
      <c r="B241">
        <v>1</v>
      </c>
      <c r="C241" t="s">
        <v>79</v>
      </c>
      <c r="D241" s="1" t="s">
        <v>2</v>
      </c>
      <c r="E241" s="59" t="s">
        <v>18</v>
      </c>
      <c r="F241" s="60">
        <v>2.5513333333333299</v>
      </c>
      <c r="G241" s="60">
        <v>7.8547337036691101</v>
      </c>
      <c r="H241" s="61">
        <v>0.75508771929824603</v>
      </c>
      <c r="I241" s="62">
        <v>1.76</v>
      </c>
      <c r="J241" s="37">
        <v>1.0049122807017539</v>
      </c>
      <c r="K241" s="37">
        <v>133.08550185873591</v>
      </c>
      <c r="L241" s="1" t="s">
        <v>68</v>
      </c>
      <c r="M241" s="1">
        <v>1</v>
      </c>
    </row>
    <row r="242" spans="1:13" x14ac:dyDescent="0.3">
      <c r="A242">
        <v>12</v>
      </c>
      <c r="B242">
        <v>1</v>
      </c>
      <c r="C242" t="s">
        <v>79</v>
      </c>
      <c r="D242" s="1" t="s">
        <v>2</v>
      </c>
      <c r="E242" s="59" t="s">
        <v>19</v>
      </c>
      <c r="F242" s="60">
        <v>0.65149999999999997</v>
      </c>
      <c r="G242" s="60">
        <v>0.106424073091257</v>
      </c>
      <c r="H242" s="61">
        <v>0.71690476190476204</v>
      </c>
      <c r="I242" s="62">
        <v>2.64</v>
      </c>
      <c r="J242" s="37">
        <v>1.9230952380952382</v>
      </c>
      <c r="K242" s="37">
        <v>268.24975091331783</v>
      </c>
      <c r="L242" s="1" t="s">
        <v>68</v>
      </c>
      <c r="M242" s="1">
        <v>1</v>
      </c>
    </row>
    <row r="243" spans="1:13" x14ac:dyDescent="0.3">
      <c r="A243">
        <v>12</v>
      </c>
      <c r="B243">
        <v>1</v>
      </c>
      <c r="C243" t="s">
        <v>79</v>
      </c>
      <c r="D243" s="1" t="s">
        <v>2</v>
      </c>
      <c r="E243" s="59" t="s">
        <v>12</v>
      </c>
      <c r="F243" s="60">
        <v>1.9759259259259201</v>
      </c>
      <c r="G243" s="60">
        <v>0.43899936099893799</v>
      </c>
      <c r="H243" s="61">
        <v>2.0986956521739102</v>
      </c>
      <c r="I243" s="62">
        <v>1.87</v>
      </c>
      <c r="J243" s="37">
        <v>-0.22869565217391008</v>
      </c>
      <c r="K243" s="37">
        <v>-10.897037497410274</v>
      </c>
      <c r="L243" s="1" t="s">
        <v>69</v>
      </c>
      <c r="M243" s="1">
        <v>1</v>
      </c>
    </row>
    <row r="244" spans="1:13" x14ac:dyDescent="0.3">
      <c r="A244">
        <v>12</v>
      </c>
      <c r="B244">
        <v>1</v>
      </c>
      <c r="C244" t="s">
        <v>79</v>
      </c>
      <c r="D244" s="1" t="s">
        <v>2</v>
      </c>
      <c r="E244" s="59" t="s">
        <v>13</v>
      </c>
      <c r="F244" s="60">
        <v>0.46172413793103401</v>
      </c>
      <c r="G244" s="60">
        <v>6.2260241673337199E-2</v>
      </c>
      <c r="H244" s="61">
        <v>0.44999999999999901</v>
      </c>
      <c r="I244" s="62">
        <v>3.49</v>
      </c>
      <c r="J244" s="37">
        <v>3.0400000000000014</v>
      </c>
      <c r="K244" s="37">
        <v>675.55555555555736</v>
      </c>
      <c r="L244" s="1" t="s">
        <v>69</v>
      </c>
      <c r="M244" s="1">
        <v>1</v>
      </c>
    </row>
    <row r="245" spans="1:13" x14ac:dyDescent="0.3">
      <c r="A245">
        <v>12</v>
      </c>
      <c r="B245">
        <v>1</v>
      </c>
      <c r="C245" t="s">
        <v>79</v>
      </c>
      <c r="D245" s="1" t="s">
        <v>2</v>
      </c>
      <c r="E245" s="59" t="s">
        <v>14</v>
      </c>
      <c r="F245" s="60">
        <v>0.233833333333333</v>
      </c>
      <c r="G245" s="60">
        <v>0.115066526651131</v>
      </c>
      <c r="H245" s="61">
        <v>0.222407407407407</v>
      </c>
      <c r="I245" s="62">
        <v>4.88</v>
      </c>
      <c r="J245" s="37">
        <v>4.657592592592593</v>
      </c>
      <c r="K245" s="37">
        <v>2094.1715237302287</v>
      </c>
      <c r="L245" s="1" t="s">
        <v>69</v>
      </c>
      <c r="M245" s="1">
        <v>1</v>
      </c>
    </row>
    <row r="246" spans="1:13" x14ac:dyDescent="0.3">
      <c r="A246">
        <v>12</v>
      </c>
      <c r="B246">
        <v>1</v>
      </c>
      <c r="C246" t="s">
        <v>79</v>
      </c>
      <c r="D246" s="1" t="s">
        <v>2</v>
      </c>
      <c r="E246" s="59" t="s">
        <v>15</v>
      </c>
      <c r="F246" s="60">
        <v>1.0721666666666601</v>
      </c>
      <c r="G246" s="60">
        <v>1.30814001756522</v>
      </c>
      <c r="H246" s="61">
        <v>0.70963636363636295</v>
      </c>
      <c r="I246" s="62">
        <v>5.41</v>
      </c>
      <c r="J246" s="37">
        <v>4.7003636363636367</v>
      </c>
      <c r="K246" s="37">
        <v>662.36228542147137</v>
      </c>
      <c r="L246" s="1" t="s">
        <v>69</v>
      </c>
      <c r="M246" s="1">
        <v>1</v>
      </c>
    </row>
    <row r="247" spans="1:13" x14ac:dyDescent="0.3">
      <c r="A247">
        <v>12</v>
      </c>
      <c r="B247">
        <v>1</v>
      </c>
      <c r="C247" t="s">
        <v>79</v>
      </c>
      <c r="D247" s="1" t="s">
        <v>2</v>
      </c>
      <c r="E247" s="59" t="s">
        <v>16</v>
      </c>
      <c r="F247" s="60">
        <v>2.25</v>
      </c>
      <c r="G247" s="60">
        <v>0.536768106355062</v>
      </c>
      <c r="H247" s="61">
        <v>2.4655102040816299</v>
      </c>
      <c r="I247" s="62">
        <v>3.97</v>
      </c>
      <c r="J247" s="37">
        <v>1.5044897959183703</v>
      </c>
      <c r="K247" s="37">
        <v>61.021438622630761</v>
      </c>
      <c r="L247" s="1" t="s">
        <v>69</v>
      </c>
      <c r="M247" s="1">
        <v>1</v>
      </c>
    </row>
    <row r="248" spans="1:13" x14ac:dyDescent="0.3">
      <c r="A248">
        <v>12</v>
      </c>
      <c r="B248">
        <v>1</v>
      </c>
      <c r="C248" t="s">
        <v>79</v>
      </c>
      <c r="D248" s="1" t="s">
        <v>2</v>
      </c>
      <c r="E248" s="59" t="s">
        <v>17</v>
      </c>
      <c r="F248" s="60">
        <v>1.12866666666666</v>
      </c>
      <c r="G248" s="60">
        <v>1.0281203993480299</v>
      </c>
      <c r="H248" s="61">
        <v>0.825454545454544</v>
      </c>
      <c r="I248" s="62">
        <v>4.4000000000000004</v>
      </c>
      <c r="J248" s="37">
        <v>3.5745454545454565</v>
      </c>
      <c r="K248" s="37">
        <v>433.03964757709349</v>
      </c>
      <c r="L248" s="1" t="s">
        <v>69</v>
      </c>
      <c r="M248" s="1">
        <v>1</v>
      </c>
    </row>
    <row r="249" spans="1:13" x14ac:dyDescent="0.3">
      <c r="A249">
        <v>12</v>
      </c>
      <c r="B249">
        <v>1</v>
      </c>
      <c r="C249" t="s">
        <v>79</v>
      </c>
      <c r="D249" s="1" t="s">
        <v>2</v>
      </c>
      <c r="E249" s="59" t="s">
        <v>18</v>
      </c>
      <c r="F249" s="60">
        <v>2.5513333333333299</v>
      </c>
      <c r="G249" s="60">
        <v>7.8547337036691101</v>
      </c>
      <c r="H249" s="61">
        <v>0.75508771929824603</v>
      </c>
      <c r="I249" s="62">
        <v>1.76</v>
      </c>
      <c r="J249" s="37">
        <v>1.0049122807017539</v>
      </c>
      <c r="K249" s="37">
        <v>133.08550185873591</v>
      </c>
      <c r="L249" s="1" t="s">
        <v>69</v>
      </c>
      <c r="M249" s="1">
        <v>1</v>
      </c>
    </row>
    <row r="250" spans="1:13" x14ac:dyDescent="0.3">
      <c r="A250">
        <v>12</v>
      </c>
      <c r="B250">
        <v>1</v>
      </c>
      <c r="C250" t="s">
        <v>79</v>
      </c>
      <c r="D250" s="1" t="s">
        <v>2</v>
      </c>
      <c r="E250" s="59" t="s">
        <v>19</v>
      </c>
      <c r="F250" s="60">
        <v>0.65149999999999997</v>
      </c>
      <c r="G250" s="60">
        <v>0.106424073091257</v>
      </c>
      <c r="H250" s="61">
        <v>0.71690476190476204</v>
      </c>
      <c r="I250" s="62">
        <v>2.66</v>
      </c>
      <c r="J250" s="37">
        <v>1.9430952380952382</v>
      </c>
      <c r="K250" s="37">
        <v>271.03952175357023</v>
      </c>
      <c r="L250" s="1" t="s">
        <v>69</v>
      </c>
      <c r="M250" s="1">
        <v>1</v>
      </c>
    </row>
    <row r="252" spans="1:13" x14ac:dyDescent="0.3">
      <c r="A252">
        <v>12</v>
      </c>
      <c r="B252">
        <v>1</v>
      </c>
      <c r="C252" t="s">
        <v>79</v>
      </c>
      <c r="D252" s="1" t="s">
        <v>2</v>
      </c>
      <c r="E252" s="59" t="s">
        <v>12</v>
      </c>
      <c r="F252" s="60">
        <v>1.94333333333333</v>
      </c>
      <c r="G252" s="60">
        <v>0.47693465660053103</v>
      </c>
      <c r="H252" s="61">
        <v>2.1274193548387101</v>
      </c>
      <c r="I252" s="62">
        <v>1.95</v>
      </c>
      <c r="J252" s="37">
        <v>-0.17741935483871019</v>
      </c>
      <c r="K252" s="37">
        <v>-8.3396512509477088</v>
      </c>
      <c r="L252" s="1" t="s">
        <v>23</v>
      </c>
      <c r="M252" s="1">
        <v>2</v>
      </c>
    </row>
    <row r="253" spans="1:13" x14ac:dyDescent="0.3">
      <c r="A253">
        <v>12</v>
      </c>
      <c r="B253">
        <v>1</v>
      </c>
      <c r="C253" t="s">
        <v>79</v>
      </c>
      <c r="D253" s="1" t="s">
        <v>2</v>
      </c>
      <c r="E253" s="59" t="s">
        <v>13</v>
      </c>
      <c r="F253" s="60">
        <v>0.45564102564102499</v>
      </c>
      <c r="G253" s="60">
        <v>3.2643754795568303E-2</v>
      </c>
      <c r="H253" s="61">
        <v>0.44999999999999901</v>
      </c>
      <c r="I253" s="62">
        <v>3.4</v>
      </c>
      <c r="J253" s="37">
        <v>2.9500000000000011</v>
      </c>
      <c r="K253" s="37">
        <v>655.55555555555725</v>
      </c>
      <c r="L253" s="1" t="s">
        <v>23</v>
      </c>
      <c r="M253" s="1">
        <v>2</v>
      </c>
    </row>
    <row r="254" spans="1:13" x14ac:dyDescent="0.3">
      <c r="A254">
        <v>12</v>
      </c>
      <c r="B254">
        <v>1</v>
      </c>
      <c r="C254" t="s">
        <v>79</v>
      </c>
      <c r="D254" s="1" t="s">
        <v>2</v>
      </c>
      <c r="E254" s="59" t="s">
        <v>14</v>
      </c>
      <c r="F254" s="60">
        <v>0.23824999999999999</v>
      </c>
      <c r="G254" s="60">
        <v>0.10917617643057401</v>
      </c>
      <c r="H254" s="61">
        <v>0.222564102564102</v>
      </c>
      <c r="I254" s="62">
        <v>4.83</v>
      </c>
      <c r="J254" s="37">
        <v>4.6074358974358978</v>
      </c>
      <c r="K254" s="37">
        <v>2070.161290322586</v>
      </c>
      <c r="L254" s="1" t="s">
        <v>23</v>
      </c>
      <c r="M254" s="1">
        <v>2</v>
      </c>
    </row>
    <row r="255" spans="1:13" x14ac:dyDescent="0.3">
      <c r="A255">
        <v>12</v>
      </c>
      <c r="B255">
        <v>1</v>
      </c>
      <c r="C255" t="s">
        <v>79</v>
      </c>
      <c r="D255" s="1" t="s">
        <v>2</v>
      </c>
      <c r="E255" s="59" t="s">
        <v>15</v>
      </c>
      <c r="F255" s="60">
        <v>0.84899999999999998</v>
      </c>
      <c r="G255" s="60">
        <v>0.836300783211399</v>
      </c>
      <c r="H255" s="61">
        <v>0.494999999999999</v>
      </c>
      <c r="I255" s="62">
        <v>5.42</v>
      </c>
      <c r="J255" s="37">
        <v>4.9250000000000007</v>
      </c>
      <c r="K255" s="37">
        <v>994.94949494949708</v>
      </c>
      <c r="L255" s="1" t="s">
        <v>23</v>
      </c>
      <c r="M255" s="1">
        <v>2</v>
      </c>
    </row>
    <row r="256" spans="1:13" x14ac:dyDescent="0.3">
      <c r="A256">
        <v>12</v>
      </c>
      <c r="B256">
        <v>1</v>
      </c>
      <c r="C256" t="s">
        <v>79</v>
      </c>
      <c r="D256" s="1" t="s">
        <v>2</v>
      </c>
      <c r="E256" s="59" t="s">
        <v>16</v>
      </c>
      <c r="F256" s="60">
        <v>2.2044999999999999</v>
      </c>
      <c r="G256" s="60">
        <v>0.39150957842688799</v>
      </c>
      <c r="H256" s="61">
        <v>2.3094117647058798</v>
      </c>
      <c r="I256" s="62">
        <v>3.92</v>
      </c>
      <c r="J256" s="37">
        <v>1.6105882352941201</v>
      </c>
      <c r="K256" s="37">
        <v>69.740193581253365</v>
      </c>
      <c r="L256" s="1" t="s">
        <v>23</v>
      </c>
      <c r="M256" s="1">
        <v>2</v>
      </c>
    </row>
    <row r="257" spans="1:13" x14ac:dyDescent="0.3">
      <c r="A257">
        <v>12</v>
      </c>
      <c r="B257">
        <v>1</v>
      </c>
      <c r="C257" t="s">
        <v>79</v>
      </c>
      <c r="D257" s="1" t="s">
        <v>2</v>
      </c>
      <c r="E257" s="59" t="s">
        <v>17</v>
      </c>
      <c r="F257" s="60">
        <v>0.85846153846153805</v>
      </c>
      <c r="G257" s="60">
        <v>0.227478243102088</v>
      </c>
      <c r="H257" s="61">
        <v>0.74241379310344802</v>
      </c>
      <c r="I257" s="62">
        <v>4.3499999999999996</v>
      </c>
      <c r="J257" s="37">
        <v>3.6075862068965519</v>
      </c>
      <c r="K257" s="37">
        <v>485.92661402693932</v>
      </c>
      <c r="L257" s="1" t="s">
        <v>23</v>
      </c>
      <c r="M257" s="1">
        <v>2</v>
      </c>
    </row>
    <row r="258" spans="1:13" x14ac:dyDescent="0.3">
      <c r="A258">
        <v>12</v>
      </c>
      <c r="B258">
        <v>1</v>
      </c>
      <c r="C258" t="s">
        <v>79</v>
      </c>
      <c r="D258" s="1" t="s">
        <v>2</v>
      </c>
      <c r="E258" s="59" t="s">
        <v>18</v>
      </c>
      <c r="F258" s="60">
        <v>2.8182499999999902</v>
      </c>
      <c r="G258" s="60">
        <v>8.99494215865227</v>
      </c>
      <c r="H258" s="61">
        <v>0.76210526315789495</v>
      </c>
      <c r="I258" s="62">
        <v>1.86</v>
      </c>
      <c r="J258" s="37">
        <v>1.0978947368421053</v>
      </c>
      <c r="K258" s="37">
        <v>144.06077348066296</v>
      </c>
      <c r="L258" s="1" t="s">
        <v>23</v>
      </c>
      <c r="M258" s="1">
        <v>2</v>
      </c>
    </row>
    <row r="259" spans="1:13" x14ac:dyDescent="0.3">
      <c r="A259">
        <v>12</v>
      </c>
      <c r="B259">
        <v>1</v>
      </c>
      <c r="C259" t="s">
        <v>79</v>
      </c>
      <c r="D259" s="1" t="s">
        <v>2</v>
      </c>
      <c r="E259" s="59" t="s">
        <v>19</v>
      </c>
      <c r="F259" s="60">
        <v>0.67525000000000002</v>
      </c>
      <c r="G259" s="60">
        <v>0.107074448399232</v>
      </c>
      <c r="H259" s="61">
        <v>0.72633333333333305</v>
      </c>
      <c r="I259" s="62">
        <v>2.73</v>
      </c>
      <c r="J259" s="37">
        <v>2.0036666666666667</v>
      </c>
      <c r="K259" s="37">
        <v>275.86048646167978</v>
      </c>
      <c r="L259" s="1" t="s">
        <v>23</v>
      </c>
      <c r="M259" s="1">
        <v>2</v>
      </c>
    </row>
    <row r="260" spans="1:13" x14ac:dyDescent="0.3">
      <c r="A260">
        <v>12</v>
      </c>
      <c r="B260">
        <v>1</v>
      </c>
      <c r="C260" t="s">
        <v>79</v>
      </c>
      <c r="D260" s="1" t="s">
        <v>2</v>
      </c>
      <c r="E260" s="59" t="s">
        <v>12</v>
      </c>
      <c r="F260" s="60">
        <v>1.94333333333333</v>
      </c>
      <c r="G260" s="60">
        <v>0.47693465660053103</v>
      </c>
      <c r="H260" s="61">
        <v>2.1274193548387101</v>
      </c>
      <c r="I260" s="62">
        <v>1.94</v>
      </c>
      <c r="J260" s="37">
        <v>-0.18741935483871019</v>
      </c>
      <c r="K260" s="37">
        <v>-8.809704321455671</v>
      </c>
      <c r="L260" s="1" t="s">
        <v>68</v>
      </c>
      <c r="M260" s="1">
        <v>2</v>
      </c>
    </row>
    <row r="261" spans="1:13" x14ac:dyDescent="0.3">
      <c r="A261">
        <v>12</v>
      </c>
      <c r="B261">
        <v>1</v>
      </c>
      <c r="C261" t="s">
        <v>79</v>
      </c>
      <c r="D261" s="1" t="s">
        <v>2</v>
      </c>
      <c r="E261" s="59" t="s">
        <v>13</v>
      </c>
      <c r="F261" s="60">
        <v>0.45564102564102499</v>
      </c>
      <c r="G261" s="60">
        <v>3.2643754795568303E-2</v>
      </c>
      <c r="H261" s="61">
        <v>0.44999999999999901</v>
      </c>
      <c r="I261" s="62">
        <v>3.45</v>
      </c>
      <c r="J261" s="37">
        <v>3.0000000000000013</v>
      </c>
      <c r="K261" s="37">
        <v>666.66666666666833</v>
      </c>
      <c r="L261" s="1" t="s">
        <v>68</v>
      </c>
      <c r="M261" s="1">
        <v>2</v>
      </c>
    </row>
    <row r="262" spans="1:13" x14ac:dyDescent="0.3">
      <c r="A262">
        <v>12</v>
      </c>
      <c r="B262">
        <v>1</v>
      </c>
      <c r="C262" t="s">
        <v>79</v>
      </c>
      <c r="D262" s="1" t="s">
        <v>2</v>
      </c>
      <c r="E262" s="59" t="s">
        <v>14</v>
      </c>
      <c r="F262" s="60">
        <v>0.23824999999999999</v>
      </c>
      <c r="G262" s="60">
        <v>0.10917617643057401</v>
      </c>
      <c r="H262" s="61">
        <v>0.222564102564102</v>
      </c>
      <c r="I262" s="62">
        <v>4.8499999999999996</v>
      </c>
      <c r="J262" s="37">
        <v>4.6274358974358973</v>
      </c>
      <c r="K262" s="37">
        <v>2079.147465437793</v>
      </c>
      <c r="L262" s="1" t="s">
        <v>68</v>
      </c>
      <c r="M262" s="1">
        <v>2</v>
      </c>
    </row>
    <row r="263" spans="1:13" x14ac:dyDescent="0.3">
      <c r="A263">
        <v>12</v>
      </c>
      <c r="B263">
        <v>1</v>
      </c>
      <c r="C263" t="s">
        <v>79</v>
      </c>
      <c r="D263" s="1" t="s">
        <v>2</v>
      </c>
      <c r="E263" s="59" t="s">
        <v>15</v>
      </c>
      <c r="F263" s="60">
        <v>0.84899999999999998</v>
      </c>
      <c r="G263" s="60">
        <v>0.836300783211399</v>
      </c>
      <c r="H263" s="61">
        <v>0.494999999999999</v>
      </c>
      <c r="I263" s="62">
        <v>5.37</v>
      </c>
      <c r="J263" s="37">
        <v>4.8750000000000009</v>
      </c>
      <c r="K263" s="37">
        <v>984.84848484848703</v>
      </c>
      <c r="L263" s="1" t="s">
        <v>68</v>
      </c>
      <c r="M263" s="1">
        <v>2</v>
      </c>
    </row>
    <row r="264" spans="1:13" x14ac:dyDescent="0.3">
      <c r="A264">
        <v>12</v>
      </c>
      <c r="B264">
        <v>1</v>
      </c>
      <c r="C264" t="s">
        <v>79</v>
      </c>
      <c r="D264" s="1" t="s">
        <v>2</v>
      </c>
      <c r="E264" s="59" t="s">
        <v>16</v>
      </c>
      <c r="F264" s="60">
        <v>2.2044999999999999</v>
      </c>
      <c r="G264" s="60">
        <v>0.39150957842688799</v>
      </c>
      <c r="H264" s="61">
        <v>2.3094117647058798</v>
      </c>
      <c r="I264" s="62">
        <v>3.93</v>
      </c>
      <c r="J264" s="37">
        <v>1.6205882352941203</v>
      </c>
      <c r="K264" s="37">
        <v>70.173204279164736</v>
      </c>
      <c r="L264" s="1" t="s">
        <v>68</v>
      </c>
      <c r="M264" s="1">
        <v>2</v>
      </c>
    </row>
    <row r="265" spans="1:13" x14ac:dyDescent="0.3">
      <c r="A265">
        <v>12</v>
      </c>
      <c r="B265">
        <v>1</v>
      </c>
      <c r="C265" t="s">
        <v>79</v>
      </c>
      <c r="D265" s="1" t="s">
        <v>2</v>
      </c>
      <c r="E265" s="59" t="s">
        <v>17</v>
      </c>
      <c r="F265" s="60">
        <v>0.85846153846153805</v>
      </c>
      <c r="G265" s="60">
        <v>0.227478243102088</v>
      </c>
      <c r="H265" s="61">
        <v>0.74241379310344802</v>
      </c>
      <c r="I265" s="62">
        <v>4.3499999999999996</v>
      </c>
      <c r="J265" s="37">
        <v>3.6075862068965519</v>
      </c>
      <c r="K265" s="37">
        <v>485.92661402693932</v>
      </c>
      <c r="L265" s="1" t="s">
        <v>68</v>
      </c>
      <c r="M265" s="1">
        <v>2</v>
      </c>
    </row>
    <row r="266" spans="1:13" x14ac:dyDescent="0.3">
      <c r="A266">
        <v>12</v>
      </c>
      <c r="B266">
        <v>1</v>
      </c>
      <c r="C266" t="s">
        <v>79</v>
      </c>
      <c r="D266" s="1" t="s">
        <v>2</v>
      </c>
      <c r="E266" s="59" t="s">
        <v>18</v>
      </c>
      <c r="F266" s="60">
        <v>2.8182499999999902</v>
      </c>
      <c r="G266" s="60">
        <v>8.99494215865227</v>
      </c>
      <c r="H266" s="61">
        <v>0.76210526315789495</v>
      </c>
      <c r="I266" s="62">
        <v>1.76</v>
      </c>
      <c r="J266" s="37">
        <v>0.99789473684210506</v>
      </c>
      <c r="K266" s="37">
        <v>130.93922651933696</v>
      </c>
      <c r="L266" s="1" t="s">
        <v>68</v>
      </c>
      <c r="M266" s="1">
        <v>2</v>
      </c>
    </row>
    <row r="267" spans="1:13" x14ac:dyDescent="0.3">
      <c r="A267">
        <v>12</v>
      </c>
      <c r="B267">
        <v>1</v>
      </c>
      <c r="C267" t="s">
        <v>79</v>
      </c>
      <c r="D267" s="1" t="s">
        <v>2</v>
      </c>
      <c r="E267" s="59" t="s">
        <v>19</v>
      </c>
      <c r="F267" s="60">
        <v>0.67525000000000002</v>
      </c>
      <c r="G267" s="60">
        <v>0.107074448399232</v>
      </c>
      <c r="H267" s="61">
        <v>0.72633333333333305</v>
      </c>
      <c r="I267" s="62">
        <v>2.64</v>
      </c>
      <c r="J267" s="37">
        <v>1.9136666666666671</v>
      </c>
      <c r="K267" s="37">
        <v>263.46948141349259</v>
      </c>
      <c r="L267" s="1" t="s">
        <v>68</v>
      </c>
      <c r="M267" s="1">
        <v>2</v>
      </c>
    </row>
    <row r="268" spans="1:13" x14ac:dyDescent="0.3">
      <c r="A268">
        <v>12</v>
      </c>
      <c r="B268">
        <v>1</v>
      </c>
      <c r="C268" t="s">
        <v>79</v>
      </c>
      <c r="D268" s="1" t="s">
        <v>2</v>
      </c>
      <c r="E268" s="59" t="s">
        <v>12</v>
      </c>
      <c r="F268" s="60">
        <v>1.94333333333333</v>
      </c>
      <c r="G268" s="60">
        <v>0.47693465660053103</v>
      </c>
      <c r="H268" s="61">
        <v>2.1274193548387101</v>
      </c>
      <c r="I268" s="62">
        <v>1.87</v>
      </c>
      <c r="J268" s="37">
        <v>-0.25741935483871003</v>
      </c>
      <c r="K268" s="37">
        <v>-12.100075815011387</v>
      </c>
      <c r="L268" s="1" t="s">
        <v>69</v>
      </c>
      <c r="M268" s="1">
        <v>2</v>
      </c>
    </row>
    <row r="269" spans="1:13" x14ac:dyDescent="0.3">
      <c r="A269">
        <v>12</v>
      </c>
      <c r="B269">
        <v>1</v>
      </c>
      <c r="C269" t="s">
        <v>79</v>
      </c>
      <c r="D269" s="1" t="s">
        <v>2</v>
      </c>
      <c r="E269" s="59" t="s">
        <v>13</v>
      </c>
      <c r="F269" s="60">
        <v>0.45564102564102499</v>
      </c>
      <c r="G269" s="60">
        <v>3.2643754795568303E-2</v>
      </c>
      <c r="H269" s="61">
        <v>0.44999999999999901</v>
      </c>
      <c r="I269" s="62">
        <v>3.49</v>
      </c>
      <c r="J269" s="37">
        <v>3.0400000000000014</v>
      </c>
      <c r="K269" s="37">
        <v>675.55555555555736</v>
      </c>
      <c r="L269" s="1" t="s">
        <v>69</v>
      </c>
      <c r="M269" s="1">
        <v>2</v>
      </c>
    </row>
    <row r="270" spans="1:13" x14ac:dyDescent="0.3">
      <c r="A270">
        <v>12</v>
      </c>
      <c r="B270">
        <v>1</v>
      </c>
      <c r="C270" t="s">
        <v>79</v>
      </c>
      <c r="D270" s="1" t="s">
        <v>2</v>
      </c>
      <c r="E270" s="59" t="s">
        <v>14</v>
      </c>
      <c r="F270" s="60">
        <v>0.23824999999999999</v>
      </c>
      <c r="G270" s="60">
        <v>0.10917617643057401</v>
      </c>
      <c r="H270" s="61">
        <v>0.222564102564102</v>
      </c>
      <c r="I270" s="62">
        <v>4.88</v>
      </c>
      <c r="J270" s="37">
        <v>4.6574358974358976</v>
      </c>
      <c r="K270" s="37">
        <v>2092.6267281106047</v>
      </c>
      <c r="L270" s="1" t="s">
        <v>69</v>
      </c>
      <c r="M270" s="1">
        <v>2</v>
      </c>
    </row>
    <row r="271" spans="1:13" x14ac:dyDescent="0.3">
      <c r="A271">
        <v>12</v>
      </c>
      <c r="B271">
        <v>1</v>
      </c>
      <c r="C271" t="s">
        <v>79</v>
      </c>
      <c r="D271" s="1" t="s">
        <v>2</v>
      </c>
      <c r="E271" s="59" t="s">
        <v>15</v>
      </c>
      <c r="F271" s="60">
        <v>0.84899999999999998</v>
      </c>
      <c r="G271" s="60">
        <v>0.836300783211399</v>
      </c>
      <c r="H271" s="61">
        <v>0.494999999999999</v>
      </c>
      <c r="I271" s="62">
        <v>5.41</v>
      </c>
      <c r="J271" s="37">
        <v>4.9150000000000009</v>
      </c>
      <c r="K271" s="37">
        <v>992.92929292929523</v>
      </c>
      <c r="L271" s="1" t="s">
        <v>69</v>
      </c>
      <c r="M271" s="1">
        <v>2</v>
      </c>
    </row>
    <row r="272" spans="1:13" x14ac:dyDescent="0.3">
      <c r="A272">
        <v>12</v>
      </c>
      <c r="B272">
        <v>1</v>
      </c>
      <c r="C272" t="s">
        <v>79</v>
      </c>
      <c r="D272" s="1" t="s">
        <v>2</v>
      </c>
      <c r="E272" s="59" t="s">
        <v>16</v>
      </c>
      <c r="F272" s="60">
        <v>2.2044999999999999</v>
      </c>
      <c r="G272" s="60">
        <v>0.39150957842688799</v>
      </c>
      <c r="H272" s="61">
        <v>2.3094117647058798</v>
      </c>
      <c r="I272" s="62">
        <v>3.97</v>
      </c>
      <c r="J272" s="37">
        <v>1.6605882352941204</v>
      </c>
      <c r="K272" s="37">
        <v>71.905247070810191</v>
      </c>
      <c r="L272" s="1" t="s">
        <v>69</v>
      </c>
      <c r="M272" s="1">
        <v>2</v>
      </c>
    </row>
    <row r="273" spans="1:13" x14ac:dyDescent="0.3">
      <c r="A273">
        <v>12</v>
      </c>
      <c r="B273">
        <v>1</v>
      </c>
      <c r="C273" t="s">
        <v>79</v>
      </c>
      <c r="D273" s="1" t="s">
        <v>2</v>
      </c>
      <c r="E273" s="59" t="s">
        <v>17</v>
      </c>
      <c r="F273" s="60">
        <v>0.85846153846153805</v>
      </c>
      <c r="G273" s="60">
        <v>0.227478243102088</v>
      </c>
      <c r="H273" s="61">
        <v>0.74241379310344802</v>
      </c>
      <c r="I273" s="62">
        <v>4.4000000000000004</v>
      </c>
      <c r="J273" s="37">
        <v>3.6575862068965526</v>
      </c>
      <c r="K273" s="37">
        <v>492.66140269391576</v>
      </c>
      <c r="L273" s="1" t="s">
        <v>69</v>
      </c>
      <c r="M273" s="1">
        <v>2</v>
      </c>
    </row>
    <row r="274" spans="1:13" x14ac:dyDescent="0.3">
      <c r="A274">
        <v>12</v>
      </c>
      <c r="B274">
        <v>1</v>
      </c>
      <c r="C274" t="s">
        <v>79</v>
      </c>
      <c r="D274" s="1" t="s">
        <v>2</v>
      </c>
      <c r="E274" s="59" t="s">
        <v>18</v>
      </c>
      <c r="F274" s="60">
        <v>2.8182499999999902</v>
      </c>
      <c r="G274" s="60">
        <v>8.99494215865227</v>
      </c>
      <c r="H274" s="61">
        <v>0.76210526315789495</v>
      </c>
      <c r="I274" s="62">
        <v>1.76</v>
      </c>
      <c r="J274" s="37">
        <v>0.99789473684210506</v>
      </c>
      <c r="K274" s="37">
        <v>130.93922651933696</v>
      </c>
      <c r="L274" s="1" t="s">
        <v>69</v>
      </c>
      <c r="M274" s="1">
        <v>2</v>
      </c>
    </row>
    <row r="275" spans="1:13" x14ac:dyDescent="0.3">
      <c r="A275">
        <v>12</v>
      </c>
      <c r="B275">
        <v>1</v>
      </c>
      <c r="C275" t="s">
        <v>79</v>
      </c>
      <c r="D275" s="1" t="s">
        <v>2</v>
      </c>
      <c r="E275" s="59" t="s">
        <v>19</v>
      </c>
      <c r="F275" s="60">
        <v>0.67525000000000002</v>
      </c>
      <c r="G275" s="60">
        <v>0.107074448399232</v>
      </c>
      <c r="H275" s="61">
        <v>0.72633333333333305</v>
      </c>
      <c r="I275" s="62">
        <v>2.66</v>
      </c>
      <c r="J275" s="37">
        <v>1.9336666666666671</v>
      </c>
      <c r="K275" s="37">
        <v>266.22303809086753</v>
      </c>
      <c r="L275" s="1" t="s">
        <v>69</v>
      </c>
      <c r="M275" s="1">
        <v>2</v>
      </c>
    </row>
    <row r="277" spans="1:13" x14ac:dyDescent="0.3">
      <c r="A277">
        <v>12</v>
      </c>
      <c r="B277">
        <v>1</v>
      </c>
      <c r="C277" t="s">
        <v>79</v>
      </c>
      <c r="D277" s="1" t="s">
        <v>2</v>
      </c>
      <c r="E277" s="59" t="s">
        <v>12</v>
      </c>
      <c r="F277" s="60">
        <v>1.9503508771929801</v>
      </c>
      <c r="G277" s="60">
        <v>0.50362184683003297</v>
      </c>
      <c r="H277" s="61">
        <v>2.1404347826086898</v>
      </c>
      <c r="I277" s="63">
        <v>1.95</v>
      </c>
      <c r="J277" s="58">
        <v>-0.19043478260868985</v>
      </c>
      <c r="K277" s="58">
        <v>-8.8970140158437498</v>
      </c>
      <c r="L277" s="1" t="s">
        <v>23</v>
      </c>
      <c r="M277" s="1">
        <v>3</v>
      </c>
    </row>
    <row r="278" spans="1:13" x14ac:dyDescent="0.3">
      <c r="A278">
        <v>12</v>
      </c>
      <c r="B278">
        <v>1</v>
      </c>
      <c r="C278" t="s">
        <v>79</v>
      </c>
      <c r="D278" s="1" t="s">
        <v>2</v>
      </c>
      <c r="E278" s="59" t="s">
        <v>13</v>
      </c>
      <c r="F278" s="60">
        <v>0.45724137931034398</v>
      </c>
      <c r="G278" s="60">
        <v>3.5369629649542197E-2</v>
      </c>
      <c r="H278" s="61">
        <v>0.44999999999999901</v>
      </c>
      <c r="I278" s="63">
        <v>3.4</v>
      </c>
      <c r="J278" s="58">
        <v>2.9500000000000011</v>
      </c>
      <c r="K278" s="58">
        <v>655.55555555555725</v>
      </c>
      <c r="L278" s="1" t="s">
        <v>23</v>
      </c>
      <c r="M278" s="1">
        <v>3</v>
      </c>
    </row>
    <row r="279" spans="1:13" x14ac:dyDescent="0.3">
      <c r="A279">
        <v>12</v>
      </c>
      <c r="B279">
        <v>1</v>
      </c>
      <c r="C279" t="s">
        <v>79</v>
      </c>
      <c r="D279" s="1" t="s">
        <v>2</v>
      </c>
      <c r="E279" s="59" t="s">
        <v>14</v>
      </c>
      <c r="F279" s="60">
        <v>0.23250000000000001</v>
      </c>
      <c r="G279" s="60">
        <v>9.3979164357496398E-2</v>
      </c>
      <c r="H279" s="61">
        <v>0.24595744680851001</v>
      </c>
      <c r="I279" s="63">
        <v>4.83</v>
      </c>
      <c r="J279" s="58">
        <v>4.5840425531914901</v>
      </c>
      <c r="K279" s="58">
        <v>1863.7543252595208</v>
      </c>
      <c r="L279" s="1" t="s">
        <v>23</v>
      </c>
      <c r="M279" s="1">
        <v>3</v>
      </c>
    </row>
    <row r="280" spans="1:13" x14ac:dyDescent="0.3">
      <c r="A280">
        <v>12</v>
      </c>
      <c r="B280">
        <v>1</v>
      </c>
      <c r="C280" t="s">
        <v>79</v>
      </c>
      <c r="D280" s="1" t="s">
        <v>2</v>
      </c>
      <c r="E280" s="59" t="s">
        <v>15</v>
      </c>
      <c r="F280" s="60">
        <v>1.0740000000000001</v>
      </c>
      <c r="G280" s="60">
        <v>1.1627140663120901</v>
      </c>
      <c r="H280" s="61">
        <v>0.80142857142857105</v>
      </c>
      <c r="I280" s="63">
        <v>5.42</v>
      </c>
      <c r="J280" s="58">
        <v>4.6185714285714292</v>
      </c>
      <c r="K280" s="58">
        <v>576.29233511586483</v>
      </c>
      <c r="L280" s="1" t="s">
        <v>23</v>
      </c>
      <c r="M280" s="1">
        <v>3</v>
      </c>
    </row>
    <row r="281" spans="1:13" x14ac:dyDescent="0.3">
      <c r="A281">
        <v>12</v>
      </c>
      <c r="B281">
        <v>1</v>
      </c>
      <c r="C281" t="s">
        <v>79</v>
      </c>
      <c r="D281" s="1" t="s">
        <v>2</v>
      </c>
      <c r="E281" s="59" t="s">
        <v>16</v>
      </c>
      <c r="F281" s="60">
        <v>2.3133333333333299</v>
      </c>
      <c r="G281" s="60">
        <v>0.47200517887930898</v>
      </c>
      <c r="H281" s="61">
        <v>2.43814814814814</v>
      </c>
      <c r="I281" s="63">
        <v>3.92</v>
      </c>
      <c r="J281" s="58">
        <v>1.48185185185186</v>
      </c>
      <c r="K281" s="58">
        <v>60.777760899286584</v>
      </c>
      <c r="L281" s="1" t="s">
        <v>23</v>
      </c>
      <c r="M281" s="1">
        <v>3</v>
      </c>
    </row>
    <row r="282" spans="1:13" x14ac:dyDescent="0.3">
      <c r="A282">
        <v>12</v>
      </c>
      <c r="B282">
        <v>1</v>
      </c>
      <c r="C282" t="s">
        <v>79</v>
      </c>
      <c r="D282" s="1" t="s">
        <v>2</v>
      </c>
      <c r="E282" s="59" t="s">
        <v>17</v>
      </c>
      <c r="F282" s="60">
        <v>0.97982758620689503</v>
      </c>
      <c r="G282" s="60">
        <v>0.77135011814107002</v>
      </c>
      <c r="H282" s="61">
        <v>0.840178571428571</v>
      </c>
      <c r="I282" s="63">
        <v>4.3499999999999996</v>
      </c>
      <c r="J282" s="58">
        <v>3.5098214285714286</v>
      </c>
      <c r="K282" s="58">
        <v>417.7470775770459</v>
      </c>
      <c r="L282" s="1" t="s">
        <v>23</v>
      </c>
      <c r="M282" s="1">
        <v>3</v>
      </c>
    </row>
    <row r="283" spans="1:13" x14ac:dyDescent="0.3">
      <c r="A283">
        <v>12</v>
      </c>
      <c r="B283">
        <v>1</v>
      </c>
      <c r="C283" t="s">
        <v>79</v>
      </c>
      <c r="D283" s="1" t="s">
        <v>2</v>
      </c>
      <c r="E283" s="59" t="s">
        <v>18</v>
      </c>
      <c r="F283" s="60">
        <v>2.11406779661016</v>
      </c>
      <c r="G283" s="60">
        <v>7.4778819893236497</v>
      </c>
      <c r="H283" s="61">
        <v>0.71859649122807001</v>
      </c>
      <c r="I283" s="63">
        <v>1.86</v>
      </c>
      <c r="J283" s="58">
        <v>1.1414035087719301</v>
      </c>
      <c r="K283" s="58">
        <v>158.83789062500006</v>
      </c>
      <c r="L283" s="1" t="s">
        <v>23</v>
      </c>
      <c r="M283" s="1">
        <v>3</v>
      </c>
    </row>
    <row r="284" spans="1:13" x14ac:dyDescent="0.3">
      <c r="A284">
        <v>12</v>
      </c>
      <c r="B284">
        <v>1</v>
      </c>
      <c r="C284" t="s">
        <v>79</v>
      </c>
      <c r="D284" s="1" t="s">
        <v>2</v>
      </c>
      <c r="E284" s="59" t="s">
        <v>19</v>
      </c>
      <c r="F284" s="60">
        <v>0.64033333333333298</v>
      </c>
      <c r="G284" s="60">
        <v>0.12102295466379701</v>
      </c>
      <c r="H284" s="61">
        <v>0.66872340425531895</v>
      </c>
      <c r="I284" s="63">
        <v>2.73</v>
      </c>
      <c r="J284" s="58">
        <v>2.061276595744681</v>
      </c>
      <c r="K284" s="58">
        <v>308.24053452115822</v>
      </c>
      <c r="L284" s="1" t="s">
        <v>23</v>
      </c>
      <c r="M284" s="1">
        <v>3</v>
      </c>
    </row>
    <row r="285" spans="1:13" x14ac:dyDescent="0.3">
      <c r="A285">
        <v>12</v>
      </c>
      <c r="B285">
        <v>1</v>
      </c>
      <c r="C285" t="s">
        <v>79</v>
      </c>
      <c r="D285" s="1" t="s">
        <v>2</v>
      </c>
      <c r="E285" s="59" t="s">
        <v>12</v>
      </c>
      <c r="F285" s="60">
        <v>1.9503508771929801</v>
      </c>
      <c r="G285" s="60">
        <v>0.50362184683003297</v>
      </c>
      <c r="H285" s="61">
        <v>2.1404347826086898</v>
      </c>
      <c r="I285" s="63">
        <v>1.94</v>
      </c>
      <c r="J285" s="58">
        <v>-0.20043478260868985</v>
      </c>
      <c r="K285" s="58">
        <v>-9.3642088157625007</v>
      </c>
      <c r="L285" s="1" t="s">
        <v>68</v>
      </c>
      <c r="M285" s="1">
        <v>3</v>
      </c>
    </row>
    <row r="286" spans="1:13" x14ac:dyDescent="0.3">
      <c r="A286">
        <v>12</v>
      </c>
      <c r="B286">
        <v>1</v>
      </c>
      <c r="C286" t="s">
        <v>79</v>
      </c>
      <c r="D286" s="1" t="s">
        <v>2</v>
      </c>
      <c r="E286" s="59" t="s">
        <v>13</v>
      </c>
      <c r="F286" s="60">
        <v>0.45724137931034398</v>
      </c>
      <c r="G286" s="60">
        <v>3.5369629649542197E-2</v>
      </c>
      <c r="H286" s="61">
        <v>0.44999999999999901</v>
      </c>
      <c r="I286" s="63">
        <v>3.45</v>
      </c>
      <c r="J286" s="58">
        <v>3.0000000000000013</v>
      </c>
      <c r="K286" s="58">
        <v>666.66666666666833</v>
      </c>
      <c r="L286" s="1" t="s">
        <v>68</v>
      </c>
      <c r="M286" s="1">
        <v>3</v>
      </c>
    </row>
    <row r="287" spans="1:13" x14ac:dyDescent="0.3">
      <c r="A287">
        <v>12</v>
      </c>
      <c r="B287">
        <v>1</v>
      </c>
      <c r="C287" t="s">
        <v>79</v>
      </c>
      <c r="D287" s="1" t="s">
        <v>2</v>
      </c>
      <c r="E287" s="59" t="s">
        <v>14</v>
      </c>
      <c r="F287" s="60">
        <v>0.23250000000000001</v>
      </c>
      <c r="G287" s="60">
        <v>9.3979164357496398E-2</v>
      </c>
      <c r="H287" s="61">
        <v>0.24595744680851001</v>
      </c>
      <c r="I287" s="63">
        <v>4.8499999999999996</v>
      </c>
      <c r="J287" s="58">
        <v>4.6040425531914897</v>
      </c>
      <c r="K287" s="58">
        <v>1871.8858131487939</v>
      </c>
      <c r="L287" s="1" t="s">
        <v>68</v>
      </c>
      <c r="M287" s="1">
        <v>3</v>
      </c>
    </row>
    <row r="288" spans="1:13" x14ac:dyDescent="0.3">
      <c r="A288">
        <v>12</v>
      </c>
      <c r="B288">
        <v>1</v>
      </c>
      <c r="C288" t="s">
        <v>79</v>
      </c>
      <c r="D288" s="1" t="s">
        <v>2</v>
      </c>
      <c r="E288" s="59" t="s">
        <v>15</v>
      </c>
      <c r="F288" s="60">
        <v>1.0740000000000001</v>
      </c>
      <c r="G288" s="60">
        <v>1.1627140663120901</v>
      </c>
      <c r="H288" s="61">
        <v>0.80142857142857105</v>
      </c>
      <c r="I288" s="63">
        <v>5.37</v>
      </c>
      <c r="J288" s="58">
        <v>4.5685714285714294</v>
      </c>
      <c r="K288" s="58">
        <v>570.05347593582928</v>
      </c>
      <c r="L288" s="1" t="s">
        <v>68</v>
      </c>
      <c r="M288" s="1">
        <v>3</v>
      </c>
    </row>
    <row r="289" spans="1:13" x14ac:dyDescent="0.3">
      <c r="A289">
        <v>12</v>
      </c>
      <c r="B289">
        <v>1</v>
      </c>
      <c r="C289" t="s">
        <v>79</v>
      </c>
      <c r="D289" s="1" t="s">
        <v>2</v>
      </c>
      <c r="E289" s="59" t="s">
        <v>16</v>
      </c>
      <c r="F289" s="60">
        <v>2.3133333333333299</v>
      </c>
      <c r="G289" s="60">
        <v>0.47200517887930898</v>
      </c>
      <c r="H289" s="61">
        <v>2.43814814814814</v>
      </c>
      <c r="I289" s="63">
        <v>3.93</v>
      </c>
      <c r="J289" s="58">
        <v>1.4918518518518602</v>
      </c>
      <c r="K289" s="58">
        <v>61.187908248519463</v>
      </c>
      <c r="L289" s="1" t="s">
        <v>68</v>
      </c>
      <c r="M289" s="1">
        <v>3</v>
      </c>
    </row>
    <row r="290" spans="1:13" x14ac:dyDescent="0.3">
      <c r="A290">
        <v>12</v>
      </c>
      <c r="B290">
        <v>1</v>
      </c>
      <c r="C290" t="s">
        <v>79</v>
      </c>
      <c r="D290" s="1" t="s">
        <v>2</v>
      </c>
      <c r="E290" s="59" t="s">
        <v>17</v>
      </c>
      <c r="F290" s="60">
        <v>0.97982758620689503</v>
      </c>
      <c r="G290" s="60">
        <v>0.77135011814107002</v>
      </c>
      <c r="H290" s="61">
        <v>0.840178571428571</v>
      </c>
      <c r="I290" s="63">
        <v>4.3499999999999996</v>
      </c>
      <c r="J290" s="58">
        <v>3.5098214285714286</v>
      </c>
      <c r="K290" s="58">
        <v>417.7470775770459</v>
      </c>
      <c r="L290" s="1" t="s">
        <v>68</v>
      </c>
      <c r="M290" s="1">
        <v>3</v>
      </c>
    </row>
    <row r="291" spans="1:13" x14ac:dyDescent="0.3">
      <c r="A291">
        <v>12</v>
      </c>
      <c r="B291">
        <v>1</v>
      </c>
      <c r="C291" t="s">
        <v>79</v>
      </c>
      <c r="D291" s="1" t="s">
        <v>2</v>
      </c>
      <c r="E291" s="59" t="s">
        <v>18</v>
      </c>
      <c r="F291" s="60">
        <v>2.11406779661016</v>
      </c>
      <c r="G291" s="60">
        <v>7.4778819893236497</v>
      </c>
      <c r="H291" s="61">
        <v>0.71859649122807001</v>
      </c>
      <c r="I291" s="63">
        <v>1.76</v>
      </c>
      <c r="J291" s="58">
        <v>1.04140350877193</v>
      </c>
      <c r="K291" s="58">
        <v>144.92187500000006</v>
      </c>
      <c r="L291" s="1" t="s">
        <v>68</v>
      </c>
      <c r="M291" s="1">
        <v>3</v>
      </c>
    </row>
    <row r="292" spans="1:13" x14ac:dyDescent="0.3">
      <c r="A292">
        <v>12</v>
      </c>
      <c r="B292">
        <v>1</v>
      </c>
      <c r="C292" t="s">
        <v>79</v>
      </c>
      <c r="D292" s="1" t="s">
        <v>2</v>
      </c>
      <c r="E292" s="59" t="s">
        <v>19</v>
      </c>
      <c r="F292" s="60">
        <v>0.64033333333333298</v>
      </c>
      <c r="G292" s="60">
        <v>0.12102295466379701</v>
      </c>
      <c r="H292" s="61">
        <v>0.66872340425531895</v>
      </c>
      <c r="I292" s="63">
        <v>2.64</v>
      </c>
      <c r="J292" s="58">
        <v>1.9712765957446812</v>
      </c>
      <c r="K292" s="58">
        <v>294.78205536112011</v>
      </c>
      <c r="L292" s="1" t="s">
        <v>68</v>
      </c>
      <c r="M292" s="1">
        <v>3</v>
      </c>
    </row>
    <row r="293" spans="1:13" x14ac:dyDescent="0.3">
      <c r="A293">
        <v>12</v>
      </c>
      <c r="B293">
        <v>1</v>
      </c>
      <c r="C293" t="s">
        <v>79</v>
      </c>
      <c r="D293" s="1" t="s">
        <v>2</v>
      </c>
      <c r="E293" s="59" t="s">
        <v>12</v>
      </c>
      <c r="F293" s="60">
        <v>1.9503508771929801</v>
      </c>
      <c r="G293" s="60">
        <v>0.50362184683003297</v>
      </c>
      <c r="H293" s="61">
        <v>2.1404347826086898</v>
      </c>
      <c r="I293" s="63">
        <v>1.87</v>
      </c>
      <c r="J293" s="58">
        <v>-0.27043478260868969</v>
      </c>
      <c r="K293" s="58">
        <v>-12.634572415193743</v>
      </c>
      <c r="L293" s="1" t="s">
        <v>69</v>
      </c>
      <c r="M293" s="1">
        <v>3</v>
      </c>
    </row>
    <row r="294" spans="1:13" x14ac:dyDescent="0.3">
      <c r="A294">
        <v>12</v>
      </c>
      <c r="B294">
        <v>1</v>
      </c>
      <c r="C294" t="s">
        <v>79</v>
      </c>
      <c r="D294" s="1" t="s">
        <v>2</v>
      </c>
      <c r="E294" s="59" t="s">
        <v>13</v>
      </c>
      <c r="F294" s="60">
        <v>0.45724137931034398</v>
      </c>
      <c r="G294" s="60">
        <v>3.5369629649542197E-2</v>
      </c>
      <c r="H294" s="61">
        <v>0.44999999999999901</v>
      </c>
      <c r="I294" s="63">
        <v>3.49</v>
      </c>
      <c r="J294" s="58">
        <v>3.0400000000000014</v>
      </c>
      <c r="K294" s="58">
        <v>675.55555555555736</v>
      </c>
      <c r="L294" s="1" t="s">
        <v>69</v>
      </c>
      <c r="M294" s="1">
        <v>3</v>
      </c>
    </row>
    <row r="295" spans="1:13" x14ac:dyDescent="0.3">
      <c r="A295">
        <v>12</v>
      </c>
      <c r="B295">
        <v>1</v>
      </c>
      <c r="C295" t="s">
        <v>79</v>
      </c>
      <c r="D295" s="1" t="s">
        <v>2</v>
      </c>
      <c r="E295" s="59" t="s">
        <v>14</v>
      </c>
      <c r="F295" s="60">
        <v>0.23250000000000001</v>
      </c>
      <c r="G295" s="60">
        <v>9.3979164357496398E-2</v>
      </c>
      <c r="H295" s="61">
        <v>0.24595744680851001</v>
      </c>
      <c r="I295" s="63">
        <v>4.88</v>
      </c>
      <c r="J295" s="58">
        <v>4.6340425531914899</v>
      </c>
      <c r="K295" s="58">
        <v>1884.0830449827042</v>
      </c>
      <c r="L295" s="1" t="s">
        <v>69</v>
      </c>
      <c r="M295" s="1">
        <v>3</v>
      </c>
    </row>
    <row r="296" spans="1:13" x14ac:dyDescent="0.3">
      <c r="A296">
        <v>12</v>
      </c>
      <c r="B296">
        <v>1</v>
      </c>
      <c r="C296" t="s">
        <v>79</v>
      </c>
      <c r="D296" s="1" t="s">
        <v>2</v>
      </c>
      <c r="E296" s="59" t="s">
        <v>15</v>
      </c>
      <c r="F296" s="60">
        <v>1.0740000000000001</v>
      </c>
      <c r="G296" s="60">
        <v>1.1627140663120901</v>
      </c>
      <c r="H296" s="61">
        <v>0.80142857142857105</v>
      </c>
      <c r="I296" s="63">
        <v>5.41</v>
      </c>
      <c r="J296" s="58">
        <v>4.6085714285714294</v>
      </c>
      <c r="K296" s="58">
        <v>575.04456327985781</v>
      </c>
      <c r="L296" s="1" t="s">
        <v>69</v>
      </c>
      <c r="M296" s="1">
        <v>3</v>
      </c>
    </row>
    <row r="297" spans="1:13" x14ac:dyDescent="0.3">
      <c r="A297">
        <v>12</v>
      </c>
      <c r="B297">
        <v>1</v>
      </c>
      <c r="C297" t="s">
        <v>79</v>
      </c>
      <c r="D297" s="1" t="s">
        <v>2</v>
      </c>
      <c r="E297" s="59" t="s">
        <v>16</v>
      </c>
      <c r="F297" s="60">
        <v>2.3133333333333299</v>
      </c>
      <c r="G297" s="60">
        <v>0.47200517887930898</v>
      </c>
      <c r="H297" s="61">
        <v>2.43814814814814</v>
      </c>
      <c r="I297" s="63">
        <v>3.97</v>
      </c>
      <c r="J297" s="58">
        <v>1.5318518518518602</v>
      </c>
      <c r="K297" s="58">
        <v>62.828497645450952</v>
      </c>
      <c r="L297" s="1" t="s">
        <v>69</v>
      </c>
      <c r="M297" s="1">
        <v>3</v>
      </c>
    </row>
    <row r="298" spans="1:13" x14ac:dyDescent="0.3">
      <c r="A298">
        <v>12</v>
      </c>
      <c r="B298">
        <v>1</v>
      </c>
      <c r="C298" t="s">
        <v>79</v>
      </c>
      <c r="D298" s="1" t="s">
        <v>2</v>
      </c>
      <c r="E298" s="59" t="s">
        <v>17</v>
      </c>
      <c r="F298" s="60">
        <v>0.97982758620689503</v>
      </c>
      <c r="G298" s="60">
        <v>0.77135011814107002</v>
      </c>
      <c r="H298" s="61">
        <v>0.840178571428571</v>
      </c>
      <c r="I298" s="63">
        <v>4.4000000000000004</v>
      </c>
      <c r="J298" s="58">
        <v>3.5598214285714294</v>
      </c>
      <c r="K298" s="58">
        <v>423.69819341126498</v>
      </c>
      <c r="L298" s="1" t="s">
        <v>69</v>
      </c>
      <c r="M298" s="1">
        <v>3</v>
      </c>
    </row>
    <row r="299" spans="1:13" x14ac:dyDescent="0.3">
      <c r="A299">
        <v>12</v>
      </c>
      <c r="B299">
        <v>1</v>
      </c>
      <c r="C299" t="s">
        <v>79</v>
      </c>
      <c r="D299" s="1" t="s">
        <v>2</v>
      </c>
      <c r="E299" s="59" t="s">
        <v>18</v>
      </c>
      <c r="F299" s="60">
        <v>2.11406779661016</v>
      </c>
      <c r="G299" s="60">
        <v>7.4778819893236497</v>
      </c>
      <c r="H299" s="61">
        <v>0.71859649122807001</v>
      </c>
      <c r="I299" s="63">
        <v>1.76</v>
      </c>
      <c r="J299" s="58">
        <v>1.04140350877193</v>
      </c>
      <c r="K299" s="58">
        <v>144.92187500000006</v>
      </c>
      <c r="L299" s="1" t="s">
        <v>69</v>
      </c>
      <c r="M299" s="1">
        <v>3</v>
      </c>
    </row>
    <row r="300" spans="1:13" x14ac:dyDescent="0.3">
      <c r="A300">
        <v>12</v>
      </c>
      <c r="B300">
        <v>1</v>
      </c>
      <c r="C300" t="s">
        <v>79</v>
      </c>
      <c r="D300" s="1" t="s">
        <v>2</v>
      </c>
      <c r="E300" s="59" t="s">
        <v>19</v>
      </c>
      <c r="F300" s="60">
        <v>0.64033333333333298</v>
      </c>
      <c r="G300" s="60">
        <v>0.12102295466379701</v>
      </c>
      <c r="H300" s="61">
        <v>0.66872340425531895</v>
      </c>
      <c r="I300" s="63">
        <v>2.66</v>
      </c>
      <c r="J300" s="58">
        <v>1.9912765957446812</v>
      </c>
      <c r="K300" s="58">
        <v>297.77282850779523</v>
      </c>
      <c r="L300" s="1" t="s">
        <v>69</v>
      </c>
      <c r="M300" s="1">
        <v>3</v>
      </c>
    </row>
    <row r="302" spans="1:13" x14ac:dyDescent="0.3">
      <c r="A302">
        <v>14</v>
      </c>
      <c r="B302">
        <v>1</v>
      </c>
      <c r="C302" t="s">
        <v>79</v>
      </c>
      <c r="D302" s="1" t="s">
        <v>2</v>
      </c>
      <c r="E302" s="59" t="s">
        <v>12</v>
      </c>
      <c r="F302" s="60">
        <v>0.480833333333333</v>
      </c>
      <c r="G302" s="60">
        <v>0.18218389671489099</v>
      </c>
      <c r="H302" s="61">
        <v>0.47791666666666599</v>
      </c>
      <c r="I302" s="62">
        <v>5.07</v>
      </c>
      <c r="J302" s="37">
        <v>4.592083333333334</v>
      </c>
      <c r="K302" s="37">
        <v>960.85440278988813</v>
      </c>
      <c r="L302" s="1" t="s">
        <v>23</v>
      </c>
      <c r="M302" s="1">
        <v>1</v>
      </c>
    </row>
    <row r="303" spans="1:13" x14ac:dyDescent="0.3">
      <c r="A303">
        <v>14</v>
      </c>
      <c r="B303">
        <v>1</v>
      </c>
      <c r="C303" t="s">
        <v>79</v>
      </c>
      <c r="D303" s="1" t="s">
        <v>2</v>
      </c>
      <c r="E303" s="59" t="s">
        <v>13</v>
      </c>
      <c r="F303" s="60">
        <v>0.97586206896551697</v>
      </c>
      <c r="G303" s="60">
        <v>1.2508494141330899</v>
      </c>
      <c r="H303" s="61">
        <v>0.40958333333333302</v>
      </c>
      <c r="I303" s="62">
        <v>5.65</v>
      </c>
      <c r="J303" s="37">
        <v>5.2404166666666674</v>
      </c>
      <c r="K303" s="37">
        <v>1279.4506612410999</v>
      </c>
      <c r="L303" s="1" t="s">
        <v>23</v>
      </c>
      <c r="M303" s="1">
        <v>1</v>
      </c>
    </row>
    <row r="304" spans="1:13" x14ac:dyDescent="0.3">
      <c r="A304">
        <v>14</v>
      </c>
      <c r="B304">
        <v>1</v>
      </c>
      <c r="C304" t="s">
        <v>79</v>
      </c>
      <c r="D304" s="1" t="s">
        <v>2</v>
      </c>
      <c r="E304" s="59" t="s">
        <v>14</v>
      </c>
      <c r="F304" s="60">
        <v>0.41349999999999898</v>
      </c>
      <c r="G304" s="60">
        <v>0.106220289963829</v>
      </c>
      <c r="H304" s="61">
        <v>0.437058823529411</v>
      </c>
      <c r="I304" s="62">
        <v>1.37</v>
      </c>
      <c r="J304" s="37">
        <v>0.93294117647058905</v>
      </c>
      <c r="K304" s="37">
        <v>213.45895020188485</v>
      </c>
      <c r="L304" s="1" t="s">
        <v>23</v>
      </c>
      <c r="M304" s="1">
        <v>1</v>
      </c>
    </row>
    <row r="305" spans="1:13" x14ac:dyDescent="0.3">
      <c r="A305">
        <v>14</v>
      </c>
      <c r="B305">
        <v>1</v>
      </c>
      <c r="C305" t="s">
        <v>79</v>
      </c>
      <c r="D305" s="1" t="s">
        <v>2</v>
      </c>
      <c r="E305" s="59" t="s">
        <v>15</v>
      </c>
      <c r="F305" s="60">
        <v>2.0759999999999899</v>
      </c>
      <c r="G305" s="60">
        <v>1.6093302954956099</v>
      </c>
      <c r="H305" s="61">
        <v>1.6614285714285699</v>
      </c>
      <c r="I305" s="62">
        <v>3.57</v>
      </c>
      <c r="J305" s="37">
        <v>1.9085714285714299</v>
      </c>
      <c r="K305" s="37">
        <v>114.87532244196063</v>
      </c>
      <c r="L305" s="1" t="s">
        <v>23</v>
      </c>
      <c r="M305" s="1">
        <v>1</v>
      </c>
    </row>
    <row r="306" spans="1:13" x14ac:dyDescent="0.3">
      <c r="A306">
        <v>14</v>
      </c>
      <c r="B306">
        <v>1</v>
      </c>
      <c r="C306" t="s">
        <v>79</v>
      </c>
      <c r="D306" s="1" t="s">
        <v>2</v>
      </c>
      <c r="E306" s="59" t="s">
        <v>16</v>
      </c>
      <c r="F306" s="60">
        <v>3.5724999999999998</v>
      </c>
      <c r="G306" s="60">
        <v>2.4900747144078501</v>
      </c>
      <c r="H306" s="61">
        <v>2.4112244897959099</v>
      </c>
      <c r="I306" s="62">
        <v>4.6500000000000004</v>
      </c>
      <c r="J306" s="37">
        <v>2.2387755102040905</v>
      </c>
      <c r="K306" s="37">
        <v>92.848074481591894</v>
      </c>
      <c r="L306" s="1" t="s">
        <v>23</v>
      </c>
      <c r="M306" s="1">
        <v>1</v>
      </c>
    </row>
    <row r="307" spans="1:13" x14ac:dyDescent="0.3">
      <c r="A307">
        <v>14</v>
      </c>
      <c r="B307">
        <v>1</v>
      </c>
      <c r="C307" t="s">
        <v>79</v>
      </c>
      <c r="D307" s="1" t="s">
        <v>2</v>
      </c>
      <c r="E307" s="59" t="s">
        <v>17</v>
      </c>
      <c r="F307" s="60">
        <v>0.199333333333333</v>
      </c>
      <c r="G307" s="60">
        <v>0.132172446279682</v>
      </c>
      <c r="H307" s="61">
        <v>0.15528301886792401</v>
      </c>
      <c r="I307" s="62">
        <v>1.3</v>
      </c>
      <c r="J307" s="37">
        <v>1.1447169811320761</v>
      </c>
      <c r="K307" s="37">
        <v>737.18104495747548</v>
      </c>
      <c r="L307" s="1" t="s">
        <v>23</v>
      </c>
      <c r="M307" s="1">
        <v>1</v>
      </c>
    </row>
    <row r="308" spans="1:13" x14ac:dyDescent="0.3">
      <c r="A308">
        <v>14</v>
      </c>
      <c r="B308">
        <v>1</v>
      </c>
      <c r="C308" t="s">
        <v>79</v>
      </c>
      <c r="D308" s="1" t="s">
        <v>2</v>
      </c>
      <c r="E308" s="59" t="s">
        <v>18</v>
      </c>
      <c r="F308" s="60">
        <v>0.51166666666666705</v>
      </c>
      <c r="G308" s="60">
        <v>0.10035215770254</v>
      </c>
      <c r="H308" s="61">
        <v>0.52039999999999997</v>
      </c>
      <c r="I308" s="62">
        <v>4.17</v>
      </c>
      <c r="J308" s="37">
        <v>3.6496</v>
      </c>
      <c r="K308" s="37">
        <v>701.30668716372031</v>
      </c>
      <c r="L308" s="1" t="s">
        <v>23</v>
      </c>
      <c r="M308" s="1">
        <v>1</v>
      </c>
    </row>
    <row r="309" spans="1:13" x14ac:dyDescent="0.3">
      <c r="A309">
        <v>14</v>
      </c>
      <c r="B309">
        <v>1</v>
      </c>
      <c r="C309" t="s">
        <v>79</v>
      </c>
      <c r="D309" s="1" t="s">
        <v>2</v>
      </c>
      <c r="E309" s="59" t="s">
        <v>19</v>
      </c>
      <c r="F309" s="60">
        <v>0.185999999999999</v>
      </c>
      <c r="G309" s="60">
        <v>0.32675781041417601</v>
      </c>
      <c r="H309" s="61">
        <v>0.111052631578947</v>
      </c>
      <c r="I309" s="62">
        <v>2.82</v>
      </c>
      <c r="J309" s="37">
        <v>2.708947368421053</v>
      </c>
      <c r="K309" s="37">
        <v>2439.3364928910037</v>
      </c>
      <c r="L309" s="1" t="s">
        <v>23</v>
      </c>
      <c r="M309" s="1">
        <v>1</v>
      </c>
    </row>
    <row r="310" spans="1:13" x14ac:dyDescent="0.3">
      <c r="A310">
        <v>14</v>
      </c>
      <c r="B310">
        <v>1</v>
      </c>
      <c r="C310" t="s">
        <v>79</v>
      </c>
      <c r="D310" s="1" t="s">
        <v>2</v>
      </c>
      <c r="E310" s="59" t="s">
        <v>12</v>
      </c>
      <c r="F310" s="60">
        <v>0.480833333333333</v>
      </c>
      <c r="G310" s="60">
        <v>0.18218389671489099</v>
      </c>
      <c r="H310" s="61">
        <v>0.47791666666666599</v>
      </c>
      <c r="I310" s="62">
        <v>4.95</v>
      </c>
      <c r="J310" s="37">
        <v>4.4720833333333339</v>
      </c>
      <c r="K310" s="37">
        <v>935.74542284219842</v>
      </c>
      <c r="L310" s="1" t="s">
        <v>68</v>
      </c>
      <c r="M310" s="1">
        <v>1</v>
      </c>
    </row>
    <row r="311" spans="1:13" x14ac:dyDescent="0.3">
      <c r="A311">
        <v>14</v>
      </c>
      <c r="B311">
        <v>1</v>
      </c>
      <c r="C311" t="s">
        <v>79</v>
      </c>
      <c r="D311" s="1" t="s">
        <v>2</v>
      </c>
      <c r="E311" s="59" t="s">
        <v>13</v>
      </c>
      <c r="F311" s="60">
        <v>0.97586206896551697</v>
      </c>
      <c r="G311" s="60">
        <v>1.2508494141330899</v>
      </c>
      <c r="H311" s="61">
        <v>0.40958333333333302</v>
      </c>
      <c r="I311" s="62">
        <v>5.51</v>
      </c>
      <c r="J311" s="37">
        <v>5.1004166666666668</v>
      </c>
      <c r="K311" s="37">
        <v>1245.2695829094619</v>
      </c>
      <c r="L311" s="1" t="s">
        <v>68</v>
      </c>
      <c r="M311" s="1">
        <v>1</v>
      </c>
    </row>
    <row r="312" spans="1:13" x14ac:dyDescent="0.3">
      <c r="A312">
        <v>14</v>
      </c>
      <c r="B312">
        <v>1</v>
      </c>
      <c r="C312" t="s">
        <v>79</v>
      </c>
      <c r="D312" s="1" t="s">
        <v>2</v>
      </c>
      <c r="E312" s="59" t="s">
        <v>14</v>
      </c>
      <c r="F312" s="60">
        <v>0.41349999999999898</v>
      </c>
      <c r="G312" s="60">
        <v>0.106220289963829</v>
      </c>
      <c r="H312" s="61">
        <v>0.437058823529411</v>
      </c>
      <c r="I312" s="62">
        <v>1.27</v>
      </c>
      <c r="J312" s="37">
        <v>0.83294117647058896</v>
      </c>
      <c r="K312" s="37">
        <v>190.57873485868154</v>
      </c>
      <c r="L312" s="1" t="s">
        <v>68</v>
      </c>
      <c r="M312" s="1">
        <v>1</v>
      </c>
    </row>
    <row r="313" spans="1:13" x14ac:dyDescent="0.3">
      <c r="A313">
        <v>14</v>
      </c>
      <c r="B313">
        <v>1</v>
      </c>
      <c r="C313" t="s">
        <v>79</v>
      </c>
      <c r="D313" s="1" t="s">
        <v>2</v>
      </c>
      <c r="E313" s="59" t="s">
        <v>15</v>
      </c>
      <c r="F313" s="60">
        <v>2.0759999999999899</v>
      </c>
      <c r="G313" s="60">
        <v>1.6093302954956099</v>
      </c>
      <c r="H313" s="61">
        <v>1.6614285714285699</v>
      </c>
      <c r="I313" s="62">
        <v>3.39</v>
      </c>
      <c r="J313" s="37">
        <v>1.7285714285714302</v>
      </c>
      <c r="K313" s="37">
        <v>104.04127257093742</v>
      </c>
      <c r="L313" s="1" t="s">
        <v>68</v>
      </c>
      <c r="M313" s="1">
        <v>1</v>
      </c>
    </row>
    <row r="314" spans="1:13" x14ac:dyDescent="0.3">
      <c r="A314">
        <v>14</v>
      </c>
      <c r="B314">
        <v>1</v>
      </c>
      <c r="C314" t="s">
        <v>79</v>
      </c>
      <c r="D314" s="1" t="s">
        <v>2</v>
      </c>
      <c r="E314" s="59" t="s">
        <v>16</v>
      </c>
      <c r="F314" s="60">
        <v>3.5724999999999998</v>
      </c>
      <c r="G314" s="60">
        <v>2.4900747144078501</v>
      </c>
      <c r="H314" s="61">
        <v>2.4112244897959099</v>
      </c>
      <c r="I314" s="62">
        <v>4.53</v>
      </c>
      <c r="J314" s="37">
        <v>2.1187755102040904</v>
      </c>
      <c r="K314" s="37">
        <v>87.871349978841124</v>
      </c>
      <c r="L314" s="1" t="s">
        <v>68</v>
      </c>
      <c r="M314" s="1">
        <v>1</v>
      </c>
    </row>
    <row r="315" spans="1:13" x14ac:dyDescent="0.3">
      <c r="A315">
        <v>14</v>
      </c>
      <c r="B315">
        <v>1</v>
      </c>
      <c r="C315" t="s">
        <v>79</v>
      </c>
      <c r="D315" s="1" t="s">
        <v>2</v>
      </c>
      <c r="E315" s="59" t="s">
        <v>17</v>
      </c>
      <c r="F315" s="60">
        <v>0.199333333333333</v>
      </c>
      <c r="G315" s="60">
        <v>0.132172446279682</v>
      </c>
      <c r="H315" s="61">
        <v>0.15528301886792401</v>
      </c>
      <c r="I315" s="62">
        <v>1.21</v>
      </c>
      <c r="J315" s="37">
        <v>1.054716981132076</v>
      </c>
      <c r="K315" s="37">
        <v>679.22235722965024</v>
      </c>
      <c r="L315" s="1" t="s">
        <v>68</v>
      </c>
      <c r="M315" s="1">
        <v>1</v>
      </c>
    </row>
    <row r="316" spans="1:13" x14ac:dyDescent="0.3">
      <c r="A316">
        <v>14</v>
      </c>
      <c r="B316">
        <v>1</v>
      </c>
      <c r="C316" t="s">
        <v>79</v>
      </c>
      <c r="D316" s="1" t="s">
        <v>2</v>
      </c>
      <c r="E316" s="59" t="s">
        <v>18</v>
      </c>
      <c r="F316" s="60">
        <v>0.51166666666666705</v>
      </c>
      <c r="G316" s="60">
        <v>0.10035215770254</v>
      </c>
      <c r="H316" s="61">
        <v>0.52039999999999997</v>
      </c>
      <c r="I316" s="62">
        <v>4.07</v>
      </c>
      <c r="J316" s="37">
        <v>3.5496000000000003</v>
      </c>
      <c r="K316" s="37">
        <v>682.09069946195245</v>
      </c>
      <c r="L316" s="1" t="s">
        <v>68</v>
      </c>
      <c r="M316" s="1">
        <v>1</v>
      </c>
    </row>
    <row r="317" spans="1:13" x14ac:dyDescent="0.3">
      <c r="A317">
        <v>14</v>
      </c>
      <c r="B317">
        <v>1</v>
      </c>
      <c r="C317" t="s">
        <v>79</v>
      </c>
      <c r="D317" s="1" t="s">
        <v>2</v>
      </c>
      <c r="E317" s="59" t="s">
        <v>19</v>
      </c>
      <c r="F317" s="60">
        <v>0.185999999999999</v>
      </c>
      <c r="G317" s="60">
        <v>0.32675781041417601</v>
      </c>
      <c r="H317" s="61">
        <v>0.111052631578947</v>
      </c>
      <c r="I317" s="62">
        <v>2.74</v>
      </c>
      <c r="J317" s="37">
        <v>2.6289473684210534</v>
      </c>
      <c r="K317" s="37">
        <v>2367.298578199061</v>
      </c>
      <c r="L317" s="1" t="s">
        <v>68</v>
      </c>
      <c r="M317" s="1">
        <v>1</v>
      </c>
    </row>
    <row r="318" spans="1:13" x14ac:dyDescent="0.3">
      <c r="A318">
        <v>14</v>
      </c>
      <c r="B318">
        <v>1</v>
      </c>
      <c r="C318" t="s">
        <v>79</v>
      </c>
      <c r="D318" s="1" t="s">
        <v>2</v>
      </c>
      <c r="E318" s="59" t="s">
        <v>12</v>
      </c>
      <c r="F318" s="60">
        <v>0.480833333333333</v>
      </c>
      <c r="G318" s="60">
        <v>0.18218389671489099</v>
      </c>
      <c r="H318" s="61">
        <v>0.47791666666666599</v>
      </c>
      <c r="I318" s="62">
        <v>4.93</v>
      </c>
      <c r="J318" s="37">
        <v>4.4520833333333334</v>
      </c>
      <c r="K318" s="37">
        <v>931.56059285091681</v>
      </c>
      <c r="L318" s="1" t="s">
        <v>69</v>
      </c>
      <c r="M318" s="1">
        <v>1</v>
      </c>
    </row>
    <row r="319" spans="1:13" x14ac:dyDescent="0.3">
      <c r="A319">
        <v>14</v>
      </c>
      <c r="B319">
        <v>1</v>
      </c>
      <c r="C319" t="s">
        <v>79</v>
      </c>
      <c r="D319" s="1" t="s">
        <v>2</v>
      </c>
      <c r="E319" s="59" t="s">
        <v>13</v>
      </c>
      <c r="F319" s="60">
        <v>0.97586206896551697</v>
      </c>
      <c r="G319" s="60">
        <v>1.2508494141330899</v>
      </c>
      <c r="H319" s="61">
        <v>0.40958333333333302</v>
      </c>
      <c r="I319" s="62">
        <v>5.56</v>
      </c>
      <c r="J319" s="37">
        <v>5.1504166666666666</v>
      </c>
      <c r="K319" s="37">
        <v>1257.4771108850466</v>
      </c>
      <c r="L319" s="1" t="s">
        <v>69</v>
      </c>
      <c r="M319" s="1">
        <v>1</v>
      </c>
    </row>
    <row r="320" spans="1:13" x14ac:dyDescent="0.3">
      <c r="A320">
        <v>14</v>
      </c>
      <c r="B320">
        <v>1</v>
      </c>
      <c r="C320" t="s">
        <v>79</v>
      </c>
      <c r="D320" s="1" t="s">
        <v>2</v>
      </c>
      <c r="E320" s="59" t="s">
        <v>14</v>
      </c>
      <c r="F320" s="60">
        <v>0.41349999999999898</v>
      </c>
      <c r="G320" s="60">
        <v>0.106220289963829</v>
      </c>
      <c r="H320" s="61">
        <v>0.437058823529411</v>
      </c>
      <c r="I320" s="62">
        <v>1.32</v>
      </c>
      <c r="J320" s="37">
        <v>0.88294117647058901</v>
      </c>
      <c r="K320" s="37">
        <v>202.01884253028317</v>
      </c>
      <c r="L320" s="1" t="s">
        <v>69</v>
      </c>
      <c r="M320" s="1">
        <v>1</v>
      </c>
    </row>
    <row r="321" spans="1:13" x14ac:dyDescent="0.3">
      <c r="A321">
        <v>14</v>
      </c>
      <c r="B321">
        <v>1</v>
      </c>
      <c r="C321" t="s">
        <v>79</v>
      </c>
      <c r="D321" s="1" t="s">
        <v>2</v>
      </c>
      <c r="E321" s="59" t="s">
        <v>15</v>
      </c>
      <c r="F321" s="60">
        <v>2.0759999999999899</v>
      </c>
      <c r="G321" s="60">
        <v>1.6093302954956099</v>
      </c>
      <c r="H321" s="61">
        <v>1.6614285714285699</v>
      </c>
      <c r="I321" s="62">
        <v>3.44</v>
      </c>
      <c r="J321" s="37">
        <v>1.77857142857143</v>
      </c>
      <c r="K321" s="37">
        <v>107.05073086844385</v>
      </c>
      <c r="L321" s="1" t="s">
        <v>69</v>
      </c>
      <c r="M321" s="1">
        <v>1</v>
      </c>
    </row>
    <row r="322" spans="1:13" x14ac:dyDescent="0.3">
      <c r="A322">
        <v>14</v>
      </c>
      <c r="B322">
        <v>1</v>
      </c>
      <c r="C322" t="s">
        <v>79</v>
      </c>
      <c r="D322" s="1" t="s">
        <v>2</v>
      </c>
      <c r="E322" s="59" t="s">
        <v>16</v>
      </c>
      <c r="F322" s="60">
        <v>3.5724999999999998</v>
      </c>
      <c r="G322" s="60">
        <v>2.4900747144078501</v>
      </c>
      <c r="H322" s="61">
        <v>2.4112244897959099</v>
      </c>
      <c r="I322" s="62">
        <v>4.59</v>
      </c>
      <c r="J322" s="37">
        <v>2.17877551020409</v>
      </c>
      <c r="K322" s="37">
        <v>90.359712230216488</v>
      </c>
      <c r="L322" s="1" t="s">
        <v>69</v>
      </c>
      <c r="M322" s="1">
        <v>1</v>
      </c>
    </row>
    <row r="323" spans="1:13" x14ac:dyDescent="0.3">
      <c r="A323">
        <v>14</v>
      </c>
      <c r="B323">
        <v>1</v>
      </c>
      <c r="C323" t="s">
        <v>79</v>
      </c>
      <c r="D323" s="1" t="s">
        <v>2</v>
      </c>
      <c r="E323" s="59" t="s">
        <v>17</v>
      </c>
      <c r="F323" s="60">
        <v>0.199333333333333</v>
      </c>
      <c r="G323" s="60">
        <v>0.132172446279682</v>
      </c>
      <c r="H323" s="61">
        <v>0.15528301886792401</v>
      </c>
      <c r="I323" s="62">
        <v>1.25</v>
      </c>
      <c r="J323" s="37">
        <v>1.0947169811320761</v>
      </c>
      <c r="K323" s="37">
        <v>704.98177399757265</v>
      </c>
      <c r="L323" s="1" t="s">
        <v>69</v>
      </c>
      <c r="M323" s="1">
        <v>1</v>
      </c>
    </row>
    <row r="324" spans="1:13" x14ac:dyDescent="0.3">
      <c r="A324">
        <v>14</v>
      </c>
      <c r="B324">
        <v>1</v>
      </c>
      <c r="C324" t="s">
        <v>79</v>
      </c>
      <c r="D324" s="1" t="s">
        <v>2</v>
      </c>
      <c r="E324" s="59" t="s">
        <v>18</v>
      </c>
      <c r="F324" s="60">
        <v>0.51166666666666705</v>
      </c>
      <c r="G324" s="60">
        <v>0.10035215770254</v>
      </c>
      <c r="H324" s="61">
        <v>0.52039999999999997</v>
      </c>
      <c r="I324" s="62">
        <v>4.05</v>
      </c>
      <c r="J324" s="37">
        <v>3.5295999999999998</v>
      </c>
      <c r="K324" s="37">
        <v>678.24750192159877</v>
      </c>
      <c r="L324" s="1" t="s">
        <v>69</v>
      </c>
      <c r="M324" s="1">
        <v>1</v>
      </c>
    </row>
    <row r="325" spans="1:13" x14ac:dyDescent="0.3">
      <c r="A325">
        <v>14</v>
      </c>
      <c r="B325">
        <v>1</v>
      </c>
      <c r="C325" t="s">
        <v>79</v>
      </c>
      <c r="D325" s="1" t="s">
        <v>2</v>
      </c>
      <c r="E325" s="59" t="s">
        <v>19</v>
      </c>
      <c r="F325" s="60">
        <v>0.185999999999999</v>
      </c>
      <c r="G325" s="60">
        <v>0.32675781041417601</v>
      </c>
      <c r="H325" s="61">
        <v>0.111052631578947</v>
      </c>
      <c r="I325" s="62">
        <v>2.72</v>
      </c>
      <c r="J325" s="37">
        <v>2.6089473684210533</v>
      </c>
      <c r="K325" s="37">
        <v>2349.2890995260746</v>
      </c>
      <c r="L325" s="1" t="s">
        <v>69</v>
      </c>
      <c r="M325" s="1">
        <v>1</v>
      </c>
    </row>
    <row r="327" spans="1:13" x14ac:dyDescent="0.3">
      <c r="A327">
        <v>14</v>
      </c>
      <c r="B327">
        <v>1</v>
      </c>
      <c r="C327" t="s">
        <v>79</v>
      </c>
      <c r="D327" s="1" t="s">
        <v>2</v>
      </c>
      <c r="E327" s="59" t="s">
        <v>12</v>
      </c>
      <c r="F327" s="60">
        <v>0.47449999999999998</v>
      </c>
      <c r="G327" s="60">
        <v>0.182468490430539</v>
      </c>
      <c r="H327" s="61">
        <v>0.46999999999999897</v>
      </c>
      <c r="I327" s="62">
        <v>5.07</v>
      </c>
      <c r="J327" s="37">
        <v>4.6000000000000014</v>
      </c>
      <c r="K327" s="37">
        <v>978.72340425532161</v>
      </c>
      <c r="L327" s="1" t="s">
        <v>23</v>
      </c>
      <c r="M327" s="1">
        <v>2</v>
      </c>
    </row>
    <row r="328" spans="1:13" x14ac:dyDescent="0.3">
      <c r="A328">
        <v>14</v>
      </c>
      <c r="B328">
        <v>1</v>
      </c>
      <c r="C328" t="s">
        <v>79</v>
      </c>
      <c r="D328" s="1" t="s">
        <v>2</v>
      </c>
      <c r="E328" s="59" t="s">
        <v>13</v>
      </c>
      <c r="F328" s="60">
        <v>1.50293103448275</v>
      </c>
      <c r="G328" s="60">
        <v>1.5812293434613001</v>
      </c>
      <c r="H328" s="61">
        <v>0.40538461538461501</v>
      </c>
      <c r="I328" s="62">
        <v>5.65</v>
      </c>
      <c r="J328" s="37">
        <v>5.2446153846153853</v>
      </c>
      <c r="K328" s="37">
        <v>1293.7381404174587</v>
      </c>
      <c r="L328" s="1" t="s">
        <v>23</v>
      </c>
      <c r="M328" s="1">
        <v>2</v>
      </c>
    </row>
    <row r="329" spans="1:13" x14ac:dyDescent="0.3">
      <c r="A329">
        <v>14</v>
      </c>
      <c r="B329">
        <v>1</v>
      </c>
      <c r="C329" t="s">
        <v>79</v>
      </c>
      <c r="D329" s="1" t="s">
        <v>2</v>
      </c>
      <c r="E329" s="59" t="s">
        <v>14</v>
      </c>
      <c r="F329" s="60">
        <v>0.44783333333333197</v>
      </c>
      <c r="G329" s="60">
        <v>7.6856829379191902E-2</v>
      </c>
      <c r="H329" s="61">
        <v>0.447599999999999</v>
      </c>
      <c r="I329" s="62">
        <v>1.37</v>
      </c>
      <c r="J329" s="37">
        <v>0.92240000000000111</v>
      </c>
      <c r="K329" s="37">
        <v>206.07685433422768</v>
      </c>
      <c r="L329" s="1" t="s">
        <v>23</v>
      </c>
      <c r="M329" s="1">
        <v>2</v>
      </c>
    </row>
    <row r="330" spans="1:13" x14ac:dyDescent="0.3">
      <c r="A330">
        <v>14</v>
      </c>
      <c r="B330">
        <v>1</v>
      </c>
      <c r="C330" t="s">
        <v>79</v>
      </c>
      <c r="D330" s="1" t="s">
        <v>2</v>
      </c>
      <c r="E330" s="59" t="s">
        <v>15</v>
      </c>
      <c r="F330" s="60">
        <v>1.9893333333333301</v>
      </c>
      <c r="G330" s="60">
        <v>1.57333389830498</v>
      </c>
      <c r="H330" s="61">
        <v>1.58928571428571</v>
      </c>
      <c r="I330" s="62">
        <v>3.57</v>
      </c>
      <c r="J330" s="37">
        <v>1.9807142857142899</v>
      </c>
      <c r="K330" s="37">
        <v>124.62921348314666</v>
      </c>
      <c r="L330" s="1" t="s">
        <v>23</v>
      </c>
      <c r="M330" s="1">
        <v>2</v>
      </c>
    </row>
    <row r="331" spans="1:13" x14ac:dyDescent="0.3">
      <c r="A331">
        <v>14</v>
      </c>
      <c r="B331">
        <v>1</v>
      </c>
      <c r="C331" t="s">
        <v>79</v>
      </c>
      <c r="D331" s="1" t="s">
        <v>2</v>
      </c>
      <c r="E331" s="59" t="s">
        <v>16</v>
      </c>
      <c r="F331" s="60">
        <v>4.0415000000000001</v>
      </c>
      <c r="G331" s="60">
        <v>2.6799862095416298</v>
      </c>
      <c r="H331" s="61">
        <v>2.7434042553191502</v>
      </c>
      <c r="I331" s="62">
        <v>4.6500000000000004</v>
      </c>
      <c r="J331" s="37">
        <v>1.9065957446808501</v>
      </c>
      <c r="K331" s="37">
        <v>69.49744067007903</v>
      </c>
      <c r="L331" s="1" t="s">
        <v>23</v>
      </c>
      <c r="M331" s="1">
        <v>2</v>
      </c>
    </row>
    <row r="332" spans="1:13" x14ac:dyDescent="0.3">
      <c r="A332">
        <v>14</v>
      </c>
      <c r="B332">
        <v>1</v>
      </c>
      <c r="C332" t="s">
        <v>79</v>
      </c>
      <c r="D332" s="1" t="s">
        <v>2</v>
      </c>
      <c r="E332" s="59" t="s">
        <v>17</v>
      </c>
      <c r="F332" s="60">
        <v>0.197333333333333</v>
      </c>
      <c r="G332" s="60">
        <v>0.11007371267574299</v>
      </c>
      <c r="H332" s="61">
        <v>0.14959183673469401</v>
      </c>
      <c r="I332" s="62">
        <v>1.3</v>
      </c>
      <c r="J332" s="37">
        <v>1.150408163265306</v>
      </c>
      <c r="K332" s="37">
        <v>769.0313778990444</v>
      </c>
      <c r="L332" s="1" t="s">
        <v>23</v>
      </c>
      <c r="M332" s="1">
        <v>2</v>
      </c>
    </row>
    <row r="333" spans="1:13" x14ac:dyDescent="0.3">
      <c r="A333">
        <v>14</v>
      </c>
      <c r="B333">
        <v>1</v>
      </c>
      <c r="C333" t="s">
        <v>79</v>
      </c>
      <c r="D333" s="1" t="s">
        <v>2</v>
      </c>
      <c r="E333" s="59" t="s">
        <v>18</v>
      </c>
      <c r="F333" s="60">
        <v>0.50066666666666604</v>
      </c>
      <c r="G333" s="60">
        <v>5.1051172584204302E-2</v>
      </c>
      <c r="H333" s="61">
        <v>0.51769230769230701</v>
      </c>
      <c r="I333" s="62">
        <v>4.17</v>
      </c>
      <c r="J333" s="37">
        <v>3.6523076923076929</v>
      </c>
      <c r="K333" s="37">
        <v>705.49777117384951</v>
      </c>
      <c r="L333" s="1" t="s">
        <v>23</v>
      </c>
      <c r="M333" s="1">
        <v>2</v>
      </c>
    </row>
    <row r="334" spans="1:13" x14ac:dyDescent="0.3">
      <c r="A334">
        <v>14</v>
      </c>
      <c r="B334">
        <v>1</v>
      </c>
      <c r="C334" t="s">
        <v>79</v>
      </c>
      <c r="D334" s="1" t="s">
        <v>2</v>
      </c>
      <c r="E334" s="59" t="s">
        <v>19</v>
      </c>
      <c r="F334" s="60">
        <v>0.21033333333333301</v>
      </c>
      <c r="G334" s="60">
        <v>0.37413886310952599</v>
      </c>
      <c r="H334" s="61">
        <v>0.110357142857142</v>
      </c>
      <c r="I334" s="62">
        <v>2.82</v>
      </c>
      <c r="J334" s="37">
        <v>2.7096428571428577</v>
      </c>
      <c r="K334" s="37">
        <v>2455.3398058252624</v>
      </c>
      <c r="L334" s="1" t="s">
        <v>23</v>
      </c>
      <c r="M334" s="1">
        <v>2</v>
      </c>
    </row>
    <row r="335" spans="1:13" x14ac:dyDescent="0.3">
      <c r="A335">
        <v>14</v>
      </c>
      <c r="B335">
        <v>1</v>
      </c>
      <c r="C335" t="s">
        <v>79</v>
      </c>
      <c r="D335" s="1" t="s">
        <v>2</v>
      </c>
      <c r="E335" s="59" t="s">
        <v>12</v>
      </c>
      <c r="F335" s="60">
        <v>0.47449999999999998</v>
      </c>
      <c r="G335" s="60">
        <v>0.182468490430539</v>
      </c>
      <c r="H335" s="61">
        <v>0.46999999999999897</v>
      </c>
      <c r="I335" s="62">
        <v>4.95</v>
      </c>
      <c r="J335" s="37">
        <v>4.4800000000000013</v>
      </c>
      <c r="K335" s="37">
        <v>953.19148936170461</v>
      </c>
      <c r="L335" s="1" t="s">
        <v>68</v>
      </c>
      <c r="M335" s="1">
        <v>2</v>
      </c>
    </row>
    <row r="336" spans="1:13" x14ac:dyDescent="0.3">
      <c r="A336">
        <v>14</v>
      </c>
      <c r="B336">
        <v>1</v>
      </c>
      <c r="C336" t="s">
        <v>79</v>
      </c>
      <c r="D336" s="1" t="s">
        <v>2</v>
      </c>
      <c r="E336" s="59" t="s">
        <v>13</v>
      </c>
      <c r="F336" s="60">
        <v>1.50293103448275</v>
      </c>
      <c r="G336" s="60">
        <v>1.5812293434613001</v>
      </c>
      <c r="H336" s="61">
        <v>0.40538461538461501</v>
      </c>
      <c r="I336" s="62">
        <v>5.51</v>
      </c>
      <c r="J336" s="37">
        <v>5.1046153846153848</v>
      </c>
      <c r="K336" s="37">
        <v>1259.2030360531321</v>
      </c>
      <c r="L336" s="1" t="s">
        <v>68</v>
      </c>
      <c r="M336" s="1">
        <v>2</v>
      </c>
    </row>
    <row r="337" spans="1:13" x14ac:dyDescent="0.3">
      <c r="A337">
        <v>14</v>
      </c>
      <c r="B337">
        <v>1</v>
      </c>
      <c r="C337" t="s">
        <v>79</v>
      </c>
      <c r="D337" s="1" t="s">
        <v>2</v>
      </c>
      <c r="E337" s="59" t="s">
        <v>14</v>
      </c>
      <c r="F337" s="60">
        <v>0.44783333333333197</v>
      </c>
      <c r="G337" s="60">
        <v>7.6856829379191902E-2</v>
      </c>
      <c r="H337" s="61">
        <v>0.447599999999999</v>
      </c>
      <c r="I337" s="62">
        <v>1.27</v>
      </c>
      <c r="J337" s="37">
        <v>0.82240000000000102</v>
      </c>
      <c r="K337" s="37">
        <v>183.73547810545193</v>
      </c>
      <c r="L337" s="1" t="s">
        <v>68</v>
      </c>
      <c r="M337" s="1">
        <v>2</v>
      </c>
    </row>
    <row r="338" spans="1:13" x14ac:dyDescent="0.3">
      <c r="A338">
        <v>14</v>
      </c>
      <c r="B338">
        <v>1</v>
      </c>
      <c r="C338" t="s">
        <v>79</v>
      </c>
      <c r="D338" s="1" t="s">
        <v>2</v>
      </c>
      <c r="E338" s="59" t="s">
        <v>15</v>
      </c>
      <c r="F338" s="60">
        <v>1.9893333333333301</v>
      </c>
      <c r="G338" s="60">
        <v>1.57333389830498</v>
      </c>
      <c r="H338" s="61">
        <v>1.58928571428571</v>
      </c>
      <c r="I338" s="62">
        <v>3.39</v>
      </c>
      <c r="J338" s="37">
        <v>1.8007142857142902</v>
      </c>
      <c r="K338" s="37">
        <v>113.30337078651745</v>
      </c>
      <c r="L338" s="1" t="s">
        <v>68</v>
      </c>
      <c r="M338" s="1">
        <v>2</v>
      </c>
    </row>
    <row r="339" spans="1:13" x14ac:dyDescent="0.3">
      <c r="A339">
        <v>14</v>
      </c>
      <c r="B339">
        <v>1</v>
      </c>
      <c r="C339" t="s">
        <v>79</v>
      </c>
      <c r="D339" s="1" t="s">
        <v>2</v>
      </c>
      <c r="E339" s="59" t="s">
        <v>16</v>
      </c>
      <c r="F339" s="60">
        <v>4.0415000000000001</v>
      </c>
      <c r="G339" s="60">
        <v>2.6799862095416298</v>
      </c>
      <c r="H339" s="61">
        <v>2.7434042553191502</v>
      </c>
      <c r="I339" s="62">
        <v>4.53</v>
      </c>
      <c r="J339" s="37">
        <v>1.78659574468085</v>
      </c>
      <c r="K339" s="37">
        <v>65.123313168915715</v>
      </c>
      <c r="L339" s="1" t="s">
        <v>68</v>
      </c>
      <c r="M339" s="1">
        <v>2</v>
      </c>
    </row>
    <row r="340" spans="1:13" x14ac:dyDescent="0.3">
      <c r="A340">
        <v>14</v>
      </c>
      <c r="B340">
        <v>1</v>
      </c>
      <c r="C340" t="s">
        <v>79</v>
      </c>
      <c r="D340" s="1" t="s">
        <v>2</v>
      </c>
      <c r="E340" s="59" t="s">
        <v>17</v>
      </c>
      <c r="F340" s="60">
        <v>0.197333333333333</v>
      </c>
      <c r="G340" s="60">
        <v>0.11007371267574299</v>
      </c>
      <c r="H340" s="61">
        <v>0.14959183673469401</v>
      </c>
      <c r="I340" s="62">
        <v>1.21</v>
      </c>
      <c r="J340" s="37">
        <v>1.060408163265306</v>
      </c>
      <c r="K340" s="37">
        <v>708.86766712141809</v>
      </c>
      <c r="L340" s="1" t="s">
        <v>68</v>
      </c>
      <c r="M340" s="1">
        <v>2</v>
      </c>
    </row>
    <row r="341" spans="1:13" x14ac:dyDescent="0.3">
      <c r="A341">
        <v>14</v>
      </c>
      <c r="B341">
        <v>1</v>
      </c>
      <c r="C341" t="s">
        <v>79</v>
      </c>
      <c r="D341" s="1" t="s">
        <v>2</v>
      </c>
      <c r="E341" s="59" t="s">
        <v>18</v>
      </c>
      <c r="F341" s="60">
        <v>0.50066666666666604</v>
      </c>
      <c r="G341" s="60">
        <v>5.1051172584204302E-2</v>
      </c>
      <c r="H341" s="61">
        <v>0.51769230769230701</v>
      </c>
      <c r="I341" s="62">
        <v>4.07</v>
      </c>
      <c r="J341" s="37">
        <v>3.5523076923076933</v>
      </c>
      <c r="K341" s="37">
        <v>686.18127786032801</v>
      </c>
      <c r="L341" s="1" t="s">
        <v>68</v>
      </c>
      <c r="M341" s="1">
        <v>2</v>
      </c>
    </row>
    <row r="342" spans="1:13" x14ac:dyDescent="0.3">
      <c r="A342">
        <v>14</v>
      </c>
      <c r="B342">
        <v>1</v>
      </c>
      <c r="C342" t="s">
        <v>79</v>
      </c>
      <c r="D342" s="1" t="s">
        <v>2</v>
      </c>
      <c r="E342" s="59" t="s">
        <v>19</v>
      </c>
      <c r="F342" s="60">
        <v>0.21033333333333301</v>
      </c>
      <c r="G342" s="60">
        <v>0.37413886310952599</v>
      </c>
      <c r="H342" s="61">
        <v>0.110357142857142</v>
      </c>
      <c r="I342" s="62">
        <v>2.74</v>
      </c>
      <c r="J342" s="37">
        <v>2.6296428571428581</v>
      </c>
      <c r="K342" s="37">
        <v>2382.8478964401488</v>
      </c>
      <c r="L342" s="1" t="s">
        <v>68</v>
      </c>
      <c r="M342" s="1">
        <v>2</v>
      </c>
    </row>
    <row r="343" spans="1:13" x14ac:dyDescent="0.3">
      <c r="A343">
        <v>14</v>
      </c>
      <c r="B343">
        <v>1</v>
      </c>
      <c r="C343" t="s">
        <v>79</v>
      </c>
      <c r="D343" s="1" t="s">
        <v>2</v>
      </c>
      <c r="E343" s="59" t="s">
        <v>12</v>
      </c>
      <c r="F343" s="60">
        <v>0.47449999999999998</v>
      </c>
      <c r="G343" s="60">
        <v>0.182468490430539</v>
      </c>
      <c r="H343" s="61">
        <v>0.46999999999999897</v>
      </c>
      <c r="I343" s="62">
        <v>4.93</v>
      </c>
      <c r="J343" s="37">
        <v>4.4600000000000009</v>
      </c>
      <c r="K343" s="37">
        <v>948.93617021276827</v>
      </c>
      <c r="L343" s="1" t="s">
        <v>69</v>
      </c>
      <c r="M343" s="1">
        <v>2</v>
      </c>
    </row>
    <row r="344" spans="1:13" x14ac:dyDescent="0.3">
      <c r="A344">
        <v>14</v>
      </c>
      <c r="B344">
        <v>1</v>
      </c>
      <c r="C344" t="s">
        <v>79</v>
      </c>
      <c r="D344" s="1" t="s">
        <v>2</v>
      </c>
      <c r="E344" s="59" t="s">
        <v>13</v>
      </c>
      <c r="F344" s="60">
        <v>1.50293103448275</v>
      </c>
      <c r="G344" s="60">
        <v>1.5812293434613001</v>
      </c>
      <c r="H344" s="61">
        <v>0.40538461538461501</v>
      </c>
      <c r="I344" s="62">
        <v>5.56</v>
      </c>
      <c r="J344" s="37">
        <v>5.1546153846153846</v>
      </c>
      <c r="K344" s="37">
        <v>1271.5370018975343</v>
      </c>
      <c r="L344" s="1" t="s">
        <v>69</v>
      </c>
      <c r="M344" s="1">
        <v>2</v>
      </c>
    </row>
    <row r="345" spans="1:13" x14ac:dyDescent="0.3">
      <c r="A345">
        <v>14</v>
      </c>
      <c r="B345">
        <v>1</v>
      </c>
      <c r="C345" t="s">
        <v>79</v>
      </c>
      <c r="D345" s="1" t="s">
        <v>2</v>
      </c>
      <c r="E345" s="59" t="s">
        <v>14</v>
      </c>
      <c r="F345" s="60">
        <v>0.44783333333333197</v>
      </c>
      <c r="G345" s="60">
        <v>7.6856829379191902E-2</v>
      </c>
      <c r="H345" s="61">
        <v>0.447599999999999</v>
      </c>
      <c r="I345" s="62">
        <v>1.32</v>
      </c>
      <c r="J345" s="37">
        <v>0.87240000000000106</v>
      </c>
      <c r="K345" s="37">
        <v>194.9061662198398</v>
      </c>
      <c r="L345" s="1" t="s">
        <v>69</v>
      </c>
      <c r="M345" s="1">
        <v>2</v>
      </c>
    </row>
    <row r="346" spans="1:13" x14ac:dyDescent="0.3">
      <c r="A346">
        <v>14</v>
      </c>
      <c r="B346">
        <v>1</v>
      </c>
      <c r="C346" t="s">
        <v>79</v>
      </c>
      <c r="D346" s="1" t="s">
        <v>2</v>
      </c>
      <c r="E346" s="59" t="s">
        <v>15</v>
      </c>
      <c r="F346" s="60">
        <v>1.9893333333333301</v>
      </c>
      <c r="G346" s="60">
        <v>1.57333389830498</v>
      </c>
      <c r="H346" s="61">
        <v>1.58928571428571</v>
      </c>
      <c r="I346" s="62">
        <v>3.44</v>
      </c>
      <c r="J346" s="37">
        <v>1.85071428571429</v>
      </c>
      <c r="K346" s="37">
        <v>116.44943820224778</v>
      </c>
      <c r="L346" s="1" t="s">
        <v>69</v>
      </c>
      <c r="M346" s="1">
        <v>2</v>
      </c>
    </row>
    <row r="347" spans="1:13" x14ac:dyDescent="0.3">
      <c r="A347">
        <v>14</v>
      </c>
      <c r="B347">
        <v>1</v>
      </c>
      <c r="C347" t="s">
        <v>79</v>
      </c>
      <c r="D347" s="1" t="s">
        <v>2</v>
      </c>
      <c r="E347" s="59" t="s">
        <v>16</v>
      </c>
      <c r="F347" s="60">
        <v>4.0415000000000001</v>
      </c>
      <c r="G347" s="60">
        <v>2.6799862095416298</v>
      </c>
      <c r="H347" s="61">
        <v>2.7434042553191502</v>
      </c>
      <c r="I347" s="62">
        <v>4.59</v>
      </c>
      <c r="J347" s="37">
        <v>1.8465957446808496</v>
      </c>
      <c r="K347" s="37">
        <v>67.310376919497358</v>
      </c>
      <c r="L347" s="1" t="s">
        <v>69</v>
      </c>
      <c r="M347" s="1">
        <v>2</v>
      </c>
    </row>
    <row r="348" spans="1:13" x14ac:dyDescent="0.3">
      <c r="A348">
        <v>14</v>
      </c>
      <c r="B348">
        <v>1</v>
      </c>
      <c r="C348" t="s">
        <v>79</v>
      </c>
      <c r="D348" s="1" t="s">
        <v>2</v>
      </c>
      <c r="E348" s="59" t="s">
        <v>17</v>
      </c>
      <c r="F348" s="60">
        <v>0.197333333333333</v>
      </c>
      <c r="G348" s="60">
        <v>0.11007371267574299</v>
      </c>
      <c r="H348" s="61">
        <v>0.14959183673469401</v>
      </c>
      <c r="I348" s="62">
        <v>1.25</v>
      </c>
      <c r="J348" s="37">
        <v>1.100408163265306</v>
      </c>
      <c r="K348" s="37">
        <v>735.60709413369636</v>
      </c>
      <c r="L348" s="1" t="s">
        <v>69</v>
      </c>
      <c r="M348" s="1">
        <v>2</v>
      </c>
    </row>
    <row r="349" spans="1:13" x14ac:dyDescent="0.3">
      <c r="A349">
        <v>14</v>
      </c>
      <c r="B349">
        <v>1</v>
      </c>
      <c r="C349" t="s">
        <v>79</v>
      </c>
      <c r="D349" s="1" t="s">
        <v>2</v>
      </c>
      <c r="E349" s="59" t="s">
        <v>18</v>
      </c>
      <c r="F349" s="60">
        <v>0.50066666666666604</v>
      </c>
      <c r="G349" s="60">
        <v>5.1051172584204302E-2</v>
      </c>
      <c r="H349" s="61">
        <v>0.51769230769230701</v>
      </c>
      <c r="I349" s="62">
        <v>4.05</v>
      </c>
      <c r="J349" s="37">
        <v>3.5323076923076928</v>
      </c>
      <c r="K349" s="37">
        <v>682.31797919762357</v>
      </c>
      <c r="L349" s="1" t="s">
        <v>69</v>
      </c>
      <c r="M349" s="1">
        <v>2</v>
      </c>
    </row>
    <row r="350" spans="1:13" x14ac:dyDescent="0.3">
      <c r="A350">
        <v>14</v>
      </c>
      <c r="B350">
        <v>1</v>
      </c>
      <c r="C350" t="s">
        <v>79</v>
      </c>
      <c r="D350" s="1" t="s">
        <v>2</v>
      </c>
      <c r="E350" s="59" t="s">
        <v>19</v>
      </c>
      <c r="F350" s="60">
        <v>0.21033333333333301</v>
      </c>
      <c r="G350" s="60">
        <v>0.37413886310952599</v>
      </c>
      <c r="H350" s="61">
        <v>0.110357142857142</v>
      </c>
      <c r="I350" s="62">
        <v>2.72</v>
      </c>
      <c r="J350" s="37">
        <v>2.609642857142858</v>
      </c>
      <c r="K350" s="37">
        <v>2364.7249190938701</v>
      </c>
      <c r="L350" s="1" t="s">
        <v>69</v>
      </c>
      <c r="M350" s="1">
        <v>2</v>
      </c>
    </row>
    <row r="352" spans="1:13" x14ac:dyDescent="0.3">
      <c r="A352">
        <v>14</v>
      </c>
      <c r="B352">
        <v>1</v>
      </c>
      <c r="C352" t="s">
        <v>79</v>
      </c>
      <c r="D352" s="1" t="s">
        <v>2</v>
      </c>
      <c r="E352" s="59" t="s">
        <v>12</v>
      </c>
      <c r="F352" s="60">
        <v>0.45271186440677902</v>
      </c>
      <c r="G352" s="60">
        <v>0.12906220427026699</v>
      </c>
      <c r="H352" s="61">
        <v>0.46919999999999901</v>
      </c>
      <c r="I352" s="63">
        <v>5.07</v>
      </c>
      <c r="J352" s="58">
        <v>4.6008000000000013</v>
      </c>
      <c r="K352" s="58">
        <v>980.56265984654965</v>
      </c>
      <c r="L352" s="1" t="s">
        <v>23</v>
      </c>
      <c r="M352" s="1">
        <v>3</v>
      </c>
    </row>
    <row r="353" spans="1:13" x14ac:dyDescent="0.3">
      <c r="A353">
        <v>14</v>
      </c>
      <c r="B353">
        <v>1</v>
      </c>
      <c r="C353" t="s">
        <v>79</v>
      </c>
      <c r="D353" s="1" t="s">
        <v>2</v>
      </c>
      <c r="E353" s="59" t="s">
        <v>13</v>
      </c>
      <c r="F353" s="60">
        <v>1.26827586206896</v>
      </c>
      <c r="G353" s="60">
        <v>1.47483270580327</v>
      </c>
      <c r="H353" s="61">
        <v>0.40674418604651102</v>
      </c>
      <c r="I353" s="63">
        <v>5.65</v>
      </c>
      <c r="J353" s="58">
        <v>5.2432558139534891</v>
      </c>
      <c r="K353" s="58">
        <v>1289.0794739851365</v>
      </c>
      <c r="L353" s="1" t="s">
        <v>23</v>
      </c>
      <c r="M353" s="1">
        <v>3</v>
      </c>
    </row>
    <row r="354" spans="1:13" x14ac:dyDescent="0.3">
      <c r="A354">
        <v>14</v>
      </c>
      <c r="B354">
        <v>1</v>
      </c>
      <c r="C354" t="s">
        <v>79</v>
      </c>
      <c r="D354" s="1" t="s">
        <v>2</v>
      </c>
      <c r="E354" s="59" t="s">
        <v>14</v>
      </c>
      <c r="F354" s="60">
        <v>0.437999999999999</v>
      </c>
      <c r="G354" s="60">
        <v>7.5538069872085098E-2</v>
      </c>
      <c r="H354" s="61">
        <v>0.439411764705882</v>
      </c>
      <c r="I354" s="63">
        <v>1.37</v>
      </c>
      <c r="J354" s="58">
        <v>0.93058823529411816</v>
      </c>
      <c r="K354" s="58">
        <v>211.78045515394942</v>
      </c>
      <c r="L354" s="1" t="s">
        <v>23</v>
      </c>
      <c r="M354" s="1">
        <v>3</v>
      </c>
    </row>
    <row r="355" spans="1:13" x14ac:dyDescent="0.3">
      <c r="A355">
        <v>14</v>
      </c>
      <c r="B355">
        <v>1</v>
      </c>
      <c r="C355" t="s">
        <v>79</v>
      </c>
      <c r="D355" s="1" t="s">
        <v>2</v>
      </c>
      <c r="E355" s="59" t="s">
        <v>15</v>
      </c>
      <c r="F355" s="60">
        <v>1.8536666666666599</v>
      </c>
      <c r="G355" s="60">
        <v>1.1089829675077101</v>
      </c>
      <c r="H355" s="61">
        <v>1.7541509433962199</v>
      </c>
      <c r="I355" s="63">
        <v>3.57</v>
      </c>
      <c r="J355" s="58">
        <v>1.8158490566037799</v>
      </c>
      <c r="K355" s="58">
        <v>103.51726363343087</v>
      </c>
      <c r="L355" s="1" t="s">
        <v>23</v>
      </c>
      <c r="M355" s="1">
        <v>3</v>
      </c>
    </row>
    <row r="356" spans="1:13" x14ac:dyDescent="0.3">
      <c r="A356">
        <v>14</v>
      </c>
      <c r="B356">
        <v>1</v>
      </c>
      <c r="C356" t="s">
        <v>79</v>
      </c>
      <c r="D356" s="1" t="s">
        <v>2</v>
      </c>
      <c r="E356" s="59" t="s">
        <v>16</v>
      </c>
      <c r="F356" s="60">
        <v>4.1496666666666604</v>
      </c>
      <c r="G356" s="60">
        <v>2.8654272320584599</v>
      </c>
      <c r="H356" s="61">
        <v>2.5747727272727201</v>
      </c>
      <c r="I356" s="63">
        <v>4.6500000000000004</v>
      </c>
      <c r="J356" s="58">
        <v>2.0752272727272802</v>
      </c>
      <c r="K356" s="58">
        <v>80.598464118634112</v>
      </c>
      <c r="L356" s="1" t="s">
        <v>23</v>
      </c>
      <c r="M356" s="1">
        <v>3</v>
      </c>
    </row>
    <row r="357" spans="1:13" x14ac:dyDescent="0.3">
      <c r="A357">
        <v>14</v>
      </c>
      <c r="B357">
        <v>1</v>
      </c>
      <c r="C357" t="s">
        <v>79</v>
      </c>
      <c r="D357" s="1" t="s">
        <v>2</v>
      </c>
      <c r="E357" s="59" t="s">
        <v>17</v>
      </c>
      <c r="F357" s="60">
        <v>0.21133333333333301</v>
      </c>
      <c r="G357" s="60">
        <v>0.134690591934089</v>
      </c>
      <c r="H357" s="61">
        <v>0.15840000000000001</v>
      </c>
      <c r="I357" s="63">
        <v>1.3</v>
      </c>
      <c r="J357" s="58">
        <v>1.1415999999999999</v>
      </c>
      <c r="K357" s="58">
        <v>720.70707070707056</v>
      </c>
      <c r="L357" s="1" t="s">
        <v>23</v>
      </c>
      <c r="M357" s="1">
        <v>3</v>
      </c>
    </row>
    <row r="358" spans="1:13" x14ac:dyDescent="0.3">
      <c r="A358">
        <v>14</v>
      </c>
      <c r="B358">
        <v>1</v>
      </c>
      <c r="C358" t="s">
        <v>79</v>
      </c>
      <c r="D358" s="1" t="s">
        <v>2</v>
      </c>
      <c r="E358" s="59" t="s">
        <v>18</v>
      </c>
      <c r="F358" s="60">
        <v>0.51300000000000001</v>
      </c>
      <c r="G358" s="60">
        <v>0.105944954260848</v>
      </c>
      <c r="H358" s="61">
        <v>0.52319148936170201</v>
      </c>
      <c r="I358" s="63">
        <v>4.17</v>
      </c>
      <c r="J358" s="58">
        <v>3.6468085106382979</v>
      </c>
      <c r="K358" s="58">
        <v>697.03131354209052</v>
      </c>
      <c r="L358" s="1" t="s">
        <v>23</v>
      </c>
      <c r="M358" s="1">
        <v>3</v>
      </c>
    </row>
    <row r="359" spans="1:13" x14ac:dyDescent="0.3">
      <c r="A359">
        <v>14</v>
      </c>
      <c r="B359">
        <v>1</v>
      </c>
      <c r="C359" t="s">
        <v>79</v>
      </c>
      <c r="D359" s="1" t="s">
        <v>2</v>
      </c>
      <c r="E359" s="59" t="s">
        <v>19</v>
      </c>
      <c r="F359" s="60">
        <v>0.16066666666666601</v>
      </c>
      <c r="G359" s="60">
        <v>0.26923265445005401</v>
      </c>
      <c r="H359" s="61">
        <v>0.110689655172413</v>
      </c>
      <c r="I359" s="63">
        <v>2.82</v>
      </c>
      <c r="J359" s="58">
        <v>2.7093103448275868</v>
      </c>
      <c r="K359" s="58">
        <v>2447.6635514018872</v>
      </c>
      <c r="L359" s="1" t="s">
        <v>23</v>
      </c>
      <c r="M359" s="1">
        <v>3</v>
      </c>
    </row>
    <row r="360" spans="1:13" x14ac:dyDescent="0.3">
      <c r="A360">
        <v>14</v>
      </c>
      <c r="B360">
        <v>1</v>
      </c>
      <c r="C360" t="s">
        <v>79</v>
      </c>
      <c r="D360" s="1" t="s">
        <v>2</v>
      </c>
      <c r="E360" s="59" t="s">
        <v>12</v>
      </c>
      <c r="F360" s="60">
        <v>0.45271186440677902</v>
      </c>
      <c r="G360" s="60">
        <v>0.12906220427026699</v>
      </c>
      <c r="H360" s="61">
        <v>0.46919999999999901</v>
      </c>
      <c r="I360" s="63">
        <v>4.95</v>
      </c>
      <c r="J360" s="58">
        <v>4.4808000000000012</v>
      </c>
      <c r="K360" s="58">
        <v>954.98721227621706</v>
      </c>
      <c r="L360" s="1" t="s">
        <v>68</v>
      </c>
      <c r="M360" s="1">
        <v>3</v>
      </c>
    </row>
    <row r="361" spans="1:13" x14ac:dyDescent="0.3">
      <c r="A361">
        <v>14</v>
      </c>
      <c r="B361">
        <v>1</v>
      </c>
      <c r="C361" t="s">
        <v>79</v>
      </c>
      <c r="D361" s="1" t="s">
        <v>2</v>
      </c>
      <c r="E361" s="59" t="s">
        <v>13</v>
      </c>
      <c r="F361" s="60">
        <v>1.26827586206896</v>
      </c>
      <c r="G361" s="60">
        <v>1.47483270580327</v>
      </c>
      <c r="H361" s="61">
        <v>0.40674418604651102</v>
      </c>
      <c r="I361" s="63">
        <v>5.51</v>
      </c>
      <c r="J361" s="58">
        <v>5.1032558139534885</v>
      </c>
      <c r="K361" s="58">
        <v>1254.6598056032037</v>
      </c>
      <c r="L361" s="1" t="s">
        <v>68</v>
      </c>
      <c r="M361" s="1">
        <v>3</v>
      </c>
    </row>
    <row r="362" spans="1:13" x14ac:dyDescent="0.3">
      <c r="A362">
        <v>14</v>
      </c>
      <c r="B362">
        <v>1</v>
      </c>
      <c r="C362" t="s">
        <v>79</v>
      </c>
      <c r="D362" s="1" t="s">
        <v>2</v>
      </c>
      <c r="E362" s="59" t="s">
        <v>14</v>
      </c>
      <c r="F362" s="60">
        <v>0.437999999999999</v>
      </c>
      <c r="G362" s="60">
        <v>7.5538069872085098E-2</v>
      </c>
      <c r="H362" s="61">
        <v>0.439411764705882</v>
      </c>
      <c r="I362" s="63">
        <v>1.27</v>
      </c>
      <c r="J362" s="58">
        <v>0.83058823529411807</v>
      </c>
      <c r="K362" s="58">
        <v>189.02275769745674</v>
      </c>
      <c r="L362" s="1" t="s">
        <v>68</v>
      </c>
      <c r="M362" s="1">
        <v>3</v>
      </c>
    </row>
    <row r="363" spans="1:13" x14ac:dyDescent="0.3">
      <c r="A363">
        <v>14</v>
      </c>
      <c r="B363">
        <v>1</v>
      </c>
      <c r="C363" t="s">
        <v>79</v>
      </c>
      <c r="D363" s="1" t="s">
        <v>2</v>
      </c>
      <c r="E363" s="59" t="s">
        <v>15</v>
      </c>
      <c r="F363" s="60">
        <v>1.8536666666666599</v>
      </c>
      <c r="G363" s="60">
        <v>1.1089829675077101</v>
      </c>
      <c r="H363" s="61">
        <v>1.7541509433962199</v>
      </c>
      <c r="I363" s="63">
        <v>3.39</v>
      </c>
      <c r="J363" s="58">
        <v>1.6358490566037802</v>
      </c>
      <c r="K363" s="58">
        <v>93.255888996451191</v>
      </c>
      <c r="L363" s="1" t="s">
        <v>68</v>
      </c>
      <c r="M363" s="1">
        <v>3</v>
      </c>
    </row>
    <row r="364" spans="1:13" x14ac:dyDescent="0.3">
      <c r="A364">
        <v>14</v>
      </c>
      <c r="B364">
        <v>1</v>
      </c>
      <c r="C364" t="s">
        <v>79</v>
      </c>
      <c r="D364" s="1" t="s">
        <v>2</v>
      </c>
      <c r="E364" s="59" t="s">
        <v>16</v>
      </c>
      <c r="F364" s="60">
        <v>4.1496666666666604</v>
      </c>
      <c r="G364" s="60">
        <v>2.8654272320584599</v>
      </c>
      <c r="H364" s="61">
        <v>2.5747727272727201</v>
      </c>
      <c r="I364" s="63">
        <v>4.53</v>
      </c>
      <c r="J364" s="58">
        <v>1.9552272727272801</v>
      </c>
      <c r="K364" s="58">
        <v>75.93785859299193</v>
      </c>
      <c r="L364" s="1" t="s">
        <v>68</v>
      </c>
      <c r="M364" s="1">
        <v>3</v>
      </c>
    </row>
    <row r="365" spans="1:13" x14ac:dyDescent="0.3">
      <c r="A365">
        <v>14</v>
      </c>
      <c r="B365">
        <v>1</v>
      </c>
      <c r="C365" t="s">
        <v>79</v>
      </c>
      <c r="D365" s="1" t="s">
        <v>2</v>
      </c>
      <c r="E365" s="59" t="s">
        <v>17</v>
      </c>
      <c r="F365" s="60">
        <v>0.21133333333333301</v>
      </c>
      <c r="G365" s="60">
        <v>0.134690591934089</v>
      </c>
      <c r="H365" s="61">
        <v>0.15840000000000001</v>
      </c>
      <c r="I365" s="63">
        <v>1.21</v>
      </c>
      <c r="J365" s="58">
        <v>1.0515999999999999</v>
      </c>
      <c r="K365" s="58">
        <v>663.8888888888888</v>
      </c>
      <c r="L365" s="1" t="s">
        <v>68</v>
      </c>
      <c r="M365" s="1">
        <v>3</v>
      </c>
    </row>
    <row r="366" spans="1:13" x14ac:dyDescent="0.3">
      <c r="A366">
        <v>14</v>
      </c>
      <c r="B366">
        <v>1</v>
      </c>
      <c r="C366" t="s">
        <v>79</v>
      </c>
      <c r="D366" s="1" t="s">
        <v>2</v>
      </c>
      <c r="E366" s="59" t="s">
        <v>18</v>
      </c>
      <c r="F366" s="60">
        <v>0.51300000000000001</v>
      </c>
      <c r="G366" s="60">
        <v>0.105944954260848</v>
      </c>
      <c r="H366" s="61">
        <v>0.52319148936170201</v>
      </c>
      <c r="I366" s="63">
        <v>4.07</v>
      </c>
      <c r="J366" s="58">
        <v>3.5468085106382983</v>
      </c>
      <c r="K366" s="58">
        <v>677.91785278568545</v>
      </c>
      <c r="L366" s="1" t="s">
        <v>68</v>
      </c>
      <c r="M366" s="1">
        <v>3</v>
      </c>
    </row>
    <row r="367" spans="1:13" x14ac:dyDescent="0.3">
      <c r="A367">
        <v>14</v>
      </c>
      <c r="B367">
        <v>1</v>
      </c>
      <c r="C367" t="s">
        <v>79</v>
      </c>
      <c r="D367" s="1" t="s">
        <v>2</v>
      </c>
      <c r="E367" s="59" t="s">
        <v>19</v>
      </c>
      <c r="F367" s="60">
        <v>0.16066666666666601</v>
      </c>
      <c r="G367" s="60">
        <v>0.26923265445005401</v>
      </c>
      <c r="H367" s="61">
        <v>0.110689655172413</v>
      </c>
      <c r="I367" s="63">
        <v>2.74</v>
      </c>
      <c r="J367" s="58">
        <v>2.6293103448275872</v>
      </c>
      <c r="K367" s="58">
        <v>2375.3894080997065</v>
      </c>
      <c r="L367" s="1" t="s">
        <v>68</v>
      </c>
      <c r="M367" s="1">
        <v>3</v>
      </c>
    </row>
    <row r="368" spans="1:13" x14ac:dyDescent="0.3">
      <c r="A368">
        <v>14</v>
      </c>
      <c r="B368">
        <v>1</v>
      </c>
      <c r="C368" t="s">
        <v>79</v>
      </c>
      <c r="D368" s="1" t="s">
        <v>2</v>
      </c>
      <c r="E368" s="59" t="s">
        <v>12</v>
      </c>
      <c r="F368" s="60">
        <v>0.45271186440677902</v>
      </c>
      <c r="G368" s="60">
        <v>0.12906220427026699</v>
      </c>
      <c r="H368" s="61">
        <v>0.46919999999999901</v>
      </c>
      <c r="I368" s="63">
        <v>4.93</v>
      </c>
      <c r="J368" s="58">
        <v>4.4608000000000008</v>
      </c>
      <c r="K368" s="58">
        <v>950.72463768116154</v>
      </c>
      <c r="L368" s="1" t="s">
        <v>69</v>
      </c>
      <c r="M368" s="1">
        <v>3</v>
      </c>
    </row>
    <row r="369" spans="1:13" x14ac:dyDescent="0.3">
      <c r="A369">
        <v>14</v>
      </c>
      <c r="B369">
        <v>1</v>
      </c>
      <c r="C369" t="s">
        <v>79</v>
      </c>
      <c r="D369" s="1" t="s">
        <v>2</v>
      </c>
      <c r="E369" s="59" t="s">
        <v>13</v>
      </c>
      <c r="F369" s="60">
        <v>1.26827586206896</v>
      </c>
      <c r="G369" s="60">
        <v>1.47483270580327</v>
      </c>
      <c r="H369" s="61">
        <v>0.40674418604651102</v>
      </c>
      <c r="I369" s="63">
        <v>5.56</v>
      </c>
      <c r="J369" s="58">
        <v>5.1532558139534883</v>
      </c>
      <c r="K369" s="58">
        <v>1266.9525443110367</v>
      </c>
      <c r="L369" s="1" t="s">
        <v>69</v>
      </c>
      <c r="M369" s="1">
        <v>3</v>
      </c>
    </row>
    <row r="370" spans="1:13" x14ac:dyDescent="0.3">
      <c r="A370">
        <v>14</v>
      </c>
      <c r="B370">
        <v>1</v>
      </c>
      <c r="C370" t="s">
        <v>79</v>
      </c>
      <c r="D370" s="1" t="s">
        <v>2</v>
      </c>
      <c r="E370" s="59" t="s">
        <v>14</v>
      </c>
      <c r="F370" s="60">
        <v>0.437999999999999</v>
      </c>
      <c r="G370" s="60">
        <v>7.5538069872085098E-2</v>
      </c>
      <c r="H370" s="61">
        <v>0.439411764705882</v>
      </c>
      <c r="I370" s="63">
        <v>1.32</v>
      </c>
      <c r="J370" s="58">
        <v>0.88058823529411812</v>
      </c>
      <c r="K370" s="58">
        <v>200.40160642570308</v>
      </c>
      <c r="L370" s="1" t="s">
        <v>69</v>
      </c>
      <c r="M370" s="1">
        <v>3</v>
      </c>
    </row>
    <row r="371" spans="1:13" x14ac:dyDescent="0.3">
      <c r="A371">
        <v>14</v>
      </c>
      <c r="B371">
        <v>1</v>
      </c>
      <c r="C371" t="s">
        <v>79</v>
      </c>
      <c r="D371" s="1" t="s">
        <v>2</v>
      </c>
      <c r="E371" s="59" t="s">
        <v>15</v>
      </c>
      <c r="F371" s="60">
        <v>1.8536666666666599</v>
      </c>
      <c r="G371" s="60">
        <v>1.1089829675077101</v>
      </c>
      <c r="H371" s="61">
        <v>1.7541509433962199</v>
      </c>
      <c r="I371" s="63">
        <v>3.44</v>
      </c>
      <c r="J371" s="58">
        <v>1.68584905660378</v>
      </c>
      <c r="K371" s="58">
        <v>96.106270840056652</v>
      </c>
      <c r="L371" s="1" t="s">
        <v>69</v>
      </c>
      <c r="M371" s="1">
        <v>3</v>
      </c>
    </row>
    <row r="372" spans="1:13" x14ac:dyDescent="0.3">
      <c r="A372">
        <v>14</v>
      </c>
      <c r="B372">
        <v>1</v>
      </c>
      <c r="C372" t="s">
        <v>79</v>
      </c>
      <c r="D372" s="1" t="s">
        <v>2</v>
      </c>
      <c r="E372" s="59" t="s">
        <v>16</v>
      </c>
      <c r="F372" s="60">
        <v>4.1496666666666604</v>
      </c>
      <c r="G372" s="60">
        <v>2.8654272320584599</v>
      </c>
      <c r="H372" s="61">
        <v>2.5747727272727201</v>
      </c>
      <c r="I372" s="63">
        <v>4.59</v>
      </c>
      <c r="J372" s="58">
        <v>2.0152272727272798</v>
      </c>
      <c r="K372" s="58">
        <v>78.268161355813007</v>
      </c>
      <c r="L372" s="1" t="s">
        <v>69</v>
      </c>
      <c r="M372" s="1">
        <v>3</v>
      </c>
    </row>
    <row r="373" spans="1:13" x14ac:dyDescent="0.3">
      <c r="A373">
        <v>14</v>
      </c>
      <c r="B373">
        <v>1</v>
      </c>
      <c r="C373" t="s">
        <v>79</v>
      </c>
      <c r="D373" s="1" t="s">
        <v>2</v>
      </c>
      <c r="E373" s="59" t="s">
        <v>17</v>
      </c>
      <c r="F373" s="60">
        <v>0.21133333333333301</v>
      </c>
      <c r="G373" s="60">
        <v>0.134690591934089</v>
      </c>
      <c r="H373" s="61">
        <v>0.15840000000000001</v>
      </c>
      <c r="I373" s="63">
        <v>1.25</v>
      </c>
      <c r="J373" s="58">
        <v>1.0915999999999999</v>
      </c>
      <c r="K373" s="58">
        <v>689.14141414141397</v>
      </c>
      <c r="L373" s="1" t="s">
        <v>69</v>
      </c>
      <c r="M373" s="1">
        <v>3</v>
      </c>
    </row>
    <row r="374" spans="1:13" x14ac:dyDescent="0.3">
      <c r="A374">
        <v>14</v>
      </c>
      <c r="B374">
        <v>1</v>
      </c>
      <c r="C374" t="s">
        <v>79</v>
      </c>
      <c r="D374" s="1" t="s">
        <v>2</v>
      </c>
      <c r="E374" s="59" t="s">
        <v>18</v>
      </c>
      <c r="F374" s="60">
        <v>0.51300000000000001</v>
      </c>
      <c r="G374" s="60">
        <v>0.105944954260848</v>
      </c>
      <c r="H374" s="61">
        <v>0.52319148936170201</v>
      </c>
      <c r="I374" s="63">
        <v>4.05</v>
      </c>
      <c r="J374" s="58">
        <v>3.5268085106382978</v>
      </c>
      <c r="K374" s="58">
        <v>674.09516063440435</v>
      </c>
      <c r="L374" s="1" t="s">
        <v>69</v>
      </c>
      <c r="M374" s="1">
        <v>3</v>
      </c>
    </row>
    <row r="375" spans="1:13" x14ac:dyDescent="0.3">
      <c r="A375">
        <v>14</v>
      </c>
      <c r="B375">
        <v>1</v>
      </c>
      <c r="C375" t="s">
        <v>79</v>
      </c>
      <c r="D375" s="1" t="s">
        <v>2</v>
      </c>
      <c r="E375" s="59" t="s">
        <v>19</v>
      </c>
      <c r="F375" s="60">
        <v>0.16066666666666601</v>
      </c>
      <c r="G375" s="60">
        <v>0.26923265445005401</v>
      </c>
      <c r="H375" s="61">
        <v>0.110689655172413</v>
      </c>
      <c r="I375" s="63">
        <v>2.72</v>
      </c>
      <c r="J375" s="58">
        <v>2.6093103448275872</v>
      </c>
      <c r="K375" s="58">
        <v>2357.320872274161</v>
      </c>
      <c r="L375" s="1" t="s">
        <v>69</v>
      </c>
      <c r="M375" s="1">
        <v>3</v>
      </c>
    </row>
    <row r="377" spans="1:13" x14ac:dyDescent="0.3">
      <c r="A377">
        <v>16</v>
      </c>
      <c r="B377">
        <v>1</v>
      </c>
      <c r="C377" t="s">
        <v>79</v>
      </c>
      <c r="D377" s="1" t="s">
        <v>2</v>
      </c>
      <c r="E377" s="59" t="s">
        <v>12</v>
      </c>
      <c r="F377" s="60">
        <v>1.85049999999999</v>
      </c>
      <c r="G377" s="60">
        <v>0.30294347657607601</v>
      </c>
      <c r="H377" s="61">
        <v>1.71723404255319</v>
      </c>
      <c r="I377" s="62">
        <v>3.8</v>
      </c>
      <c r="J377" s="37">
        <v>2.08276595744681</v>
      </c>
      <c r="K377" s="37">
        <v>121.28608598686674</v>
      </c>
      <c r="L377" s="1" t="s">
        <v>23</v>
      </c>
      <c r="M377" s="1">
        <v>1</v>
      </c>
    </row>
    <row r="378" spans="1:13" x14ac:dyDescent="0.3">
      <c r="A378">
        <v>16</v>
      </c>
      <c r="B378">
        <v>1</v>
      </c>
      <c r="C378" t="s">
        <v>79</v>
      </c>
      <c r="D378" s="1" t="s">
        <v>2</v>
      </c>
      <c r="E378" s="59" t="s">
        <v>13</v>
      </c>
      <c r="F378" s="60">
        <v>0.44666666666666599</v>
      </c>
      <c r="G378" s="60">
        <v>2.3711225658371599E-2</v>
      </c>
      <c r="H378" s="61">
        <v>0.44999999999999901</v>
      </c>
      <c r="I378" s="62">
        <v>2.5</v>
      </c>
      <c r="J378" s="37">
        <v>2.0500000000000012</v>
      </c>
      <c r="K378" s="37">
        <v>455.55555555555679</v>
      </c>
      <c r="L378" s="1" t="s">
        <v>23</v>
      </c>
      <c r="M378" s="1">
        <v>1</v>
      </c>
    </row>
    <row r="379" spans="1:13" x14ac:dyDescent="0.3">
      <c r="A379">
        <v>16</v>
      </c>
      <c r="B379">
        <v>1</v>
      </c>
      <c r="C379" t="s">
        <v>79</v>
      </c>
      <c r="D379" s="1" t="s">
        <v>2</v>
      </c>
      <c r="E379" s="59" t="s">
        <v>14</v>
      </c>
      <c r="F379" s="60">
        <v>0.27783333333333299</v>
      </c>
      <c r="G379" s="60">
        <v>0.20711584251867801</v>
      </c>
      <c r="H379" s="61">
        <v>0.17595744680851</v>
      </c>
      <c r="I379" s="62">
        <v>4.05</v>
      </c>
      <c r="J379" s="37">
        <v>3.8740425531914897</v>
      </c>
      <c r="K379" s="37">
        <v>2201.6928657799358</v>
      </c>
      <c r="L379" s="1" t="s">
        <v>23</v>
      </c>
      <c r="M379" s="1">
        <v>1</v>
      </c>
    </row>
    <row r="380" spans="1:13" x14ac:dyDescent="0.3">
      <c r="A380">
        <v>16</v>
      </c>
      <c r="B380">
        <v>1</v>
      </c>
      <c r="C380" t="s">
        <v>79</v>
      </c>
      <c r="D380" s="1" t="s">
        <v>2</v>
      </c>
      <c r="E380" s="59" t="s">
        <v>15</v>
      </c>
      <c r="F380" s="60">
        <v>3.2679661016949102</v>
      </c>
      <c r="G380" s="60">
        <v>0.83025783142799403</v>
      </c>
      <c r="H380" s="61">
        <v>3.3354545454545401</v>
      </c>
      <c r="I380" s="62">
        <v>3.84</v>
      </c>
      <c r="J380" s="37">
        <v>0.50454545454545974</v>
      </c>
      <c r="K380" s="37">
        <v>15.126737530662485</v>
      </c>
      <c r="L380" s="1" t="s">
        <v>23</v>
      </c>
      <c r="M380" s="1">
        <v>1</v>
      </c>
    </row>
    <row r="381" spans="1:13" x14ac:dyDescent="0.3">
      <c r="A381">
        <v>16</v>
      </c>
      <c r="B381">
        <v>1</v>
      </c>
      <c r="C381" t="s">
        <v>79</v>
      </c>
      <c r="D381" s="1" t="s">
        <v>2</v>
      </c>
      <c r="E381" s="59" t="s">
        <v>16</v>
      </c>
      <c r="F381" s="60">
        <v>7.9289999999999896</v>
      </c>
      <c r="G381" s="60">
        <v>0.657778331456223</v>
      </c>
      <c r="H381" s="61">
        <v>7.8799999999999901</v>
      </c>
      <c r="I381" s="62">
        <v>2.25</v>
      </c>
      <c r="J381" s="37">
        <v>-5.6299999999999901</v>
      </c>
      <c r="K381" s="37">
        <v>-71.446700507614182</v>
      </c>
      <c r="L381" s="1" t="s">
        <v>23</v>
      </c>
      <c r="M381" s="1">
        <v>1</v>
      </c>
    </row>
    <row r="382" spans="1:13" x14ac:dyDescent="0.3">
      <c r="A382">
        <v>16</v>
      </c>
      <c r="B382">
        <v>1</v>
      </c>
      <c r="C382" t="s">
        <v>79</v>
      </c>
      <c r="D382" s="1" t="s">
        <v>2</v>
      </c>
      <c r="E382" s="59" t="s">
        <v>17</v>
      </c>
      <c r="F382" s="60">
        <v>3.2690000000000001</v>
      </c>
      <c r="G382" s="60">
        <v>0.69426867997915598</v>
      </c>
      <c r="H382" s="61">
        <v>3.4464999999999999</v>
      </c>
      <c r="I382" s="62">
        <v>4.26</v>
      </c>
      <c r="J382" s="37">
        <v>0.81349999999999989</v>
      </c>
      <c r="K382" s="37">
        <v>23.603655882779627</v>
      </c>
      <c r="L382" s="1" t="s">
        <v>23</v>
      </c>
      <c r="M382" s="1">
        <v>1</v>
      </c>
    </row>
    <row r="383" spans="1:13" x14ac:dyDescent="0.3">
      <c r="A383">
        <v>16</v>
      </c>
      <c r="B383">
        <v>1</v>
      </c>
      <c r="C383" t="s">
        <v>79</v>
      </c>
      <c r="D383" s="1" t="s">
        <v>2</v>
      </c>
      <c r="E383" s="59" t="s">
        <v>18</v>
      </c>
      <c r="F383" s="60">
        <v>0.70133333333333303</v>
      </c>
      <c r="G383" s="60">
        <v>0.24435265953580701</v>
      </c>
      <c r="H383" s="61">
        <v>0.84727272727272795</v>
      </c>
      <c r="I383" s="62">
        <v>1.27</v>
      </c>
      <c r="J383" s="37">
        <v>0.42272727272727206</v>
      </c>
      <c r="K383" s="37">
        <v>49.892703862660824</v>
      </c>
      <c r="L383" s="1" t="s">
        <v>23</v>
      </c>
      <c r="M383" s="1">
        <v>1</v>
      </c>
    </row>
    <row r="384" spans="1:13" x14ac:dyDescent="0.3">
      <c r="A384">
        <v>16</v>
      </c>
      <c r="B384">
        <v>1</v>
      </c>
      <c r="C384" t="s">
        <v>79</v>
      </c>
      <c r="D384" s="1" t="s">
        <v>2</v>
      </c>
      <c r="E384" s="59" t="s">
        <v>19</v>
      </c>
      <c r="F384" s="60">
        <v>2.88071428571428</v>
      </c>
      <c r="G384" s="60">
        <v>1.5336020357581699</v>
      </c>
      <c r="H384" s="61">
        <v>3.7844444444444401</v>
      </c>
      <c r="I384" s="62">
        <v>1.64</v>
      </c>
      <c r="J384" s="37">
        <v>-2.1444444444444404</v>
      </c>
      <c r="K384" s="37">
        <v>-56.664709336465023</v>
      </c>
      <c r="L384" s="1" t="s">
        <v>23</v>
      </c>
      <c r="M384" s="1">
        <v>1</v>
      </c>
    </row>
    <row r="385" spans="1:13" x14ac:dyDescent="0.3">
      <c r="A385">
        <v>16</v>
      </c>
      <c r="B385">
        <v>1</v>
      </c>
      <c r="C385" t="s">
        <v>79</v>
      </c>
      <c r="D385" s="1" t="s">
        <v>2</v>
      </c>
      <c r="E385" s="59" t="s">
        <v>12</v>
      </c>
      <c r="F385" s="60">
        <v>1.85049999999999</v>
      </c>
      <c r="G385" s="60">
        <v>0.30294347657607601</v>
      </c>
      <c r="H385" s="61">
        <v>1.71723404255319</v>
      </c>
      <c r="I385" s="62">
        <v>3.62</v>
      </c>
      <c r="J385" s="37">
        <v>1.9027659574468101</v>
      </c>
      <c r="K385" s="37">
        <v>110.80411349275201</v>
      </c>
      <c r="L385" s="1" t="s">
        <v>68</v>
      </c>
      <c r="M385" s="1">
        <v>1</v>
      </c>
    </row>
    <row r="386" spans="1:13" x14ac:dyDescent="0.3">
      <c r="A386">
        <v>16</v>
      </c>
      <c r="B386">
        <v>1</v>
      </c>
      <c r="C386" t="s">
        <v>79</v>
      </c>
      <c r="D386" s="1" t="s">
        <v>2</v>
      </c>
      <c r="E386" s="59" t="s">
        <v>13</v>
      </c>
      <c r="F386" s="60">
        <v>0.44666666666666599</v>
      </c>
      <c r="G386" s="60">
        <v>2.3711225658371599E-2</v>
      </c>
      <c r="H386" s="61">
        <v>0.44999999999999901</v>
      </c>
      <c r="I386" s="62">
        <v>2.38</v>
      </c>
      <c r="J386" s="37">
        <v>1.9300000000000008</v>
      </c>
      <c r="K386" s="37">
        <v>428.88888888889005</v>
      </c>
      <c r="L386" s="1" t="s">
        <v>68</v>
      </c>
      <c r="M386" s="1">
        <v>1</v>
      </c>
    </row>
    <row r="387" spans="1:13" x14ac:dyDescent="0.3">
      <c r="A387">
        <v>16</v>
      </c>
      <c r="B387">
        <v>1</v>
      </c>
      <c r="C387" t="s">
        <v>79</v>
      </c>
      <c r="D387" s="1" t="s">
        <v>2</v>
      </c>
      <c r="E387" s="59" t="s">
        <v>14</v>
      </c>
      <c r="F387" s="60">
        <v>0.27783333333333299</v>
      </c>
      <c r="G387" s="60">
        <v>0.20711584251867801</v>
      </c>
      <c r="H387" s="61">
        <v>0.17595744680851</v>
      </c>
      <c r="I387" s="62">
        <v>3.96</v>
      </c>
      <c r="J387" s="37">
        <v>3.7840425531914899</v>
      </c>
      <c r="K387" s="37">
        <v>2150.5441354292707</v>
      </c>
      <c r="L387" s="1" t="s">
        <v>68</v>
      </c>
      <c r="M387" s="1">
        <v>1</v>
      </c>
    </row>
    <row r="388" spans="1:13" x14ac:dyDescent="0.3">
      <c r="A388">
        <v>16</v>
      </c>
      <c r="B388">
        <v>1</v>
      </c>
      <c r="C388" t="s">
        <v>79</v>
      </c>
      <c r="D388" s="1" t="s">
        <v>2</v>
      </c>
      <c r="E388" s="59" t="s">
        <v>15</v>
      </c>
      <c r="F388" s="60">
        <v>3.2679661016949102</v>
      </c>
      <c r="G388" s="60">
        <v>0.83025783142799403</v>
      </c>
      <c r="H388" s="61">
        <v>3.3354545454545401</v>
      </c>
      <c r="I388" s="62">
        <v>3.68</v>
      </c>
      <c r="J388" s="37">
        <v>0.34454545454546004</v>
      </c>
      <c r="K388" s="37">
        <v>10.329790133551557</v>
      </c>
      <c r="L388" s="1" t="s">
        <v>68</v>
      </c>
      <c r="M388" s="1">
        <v>1</v>
      </c>
    </row>
    <row r="389" spans="1:13" x14ac:dyDescent="0.3">
      <c r="A389">
        <v>16</v>
      </c>
      <c r="B389">
        <v>1</v>
      </c>
      <c r="C389" t="s">
        <v>79</v>
      </c>
      <c r="D389" s="1" t="s">
        <v>2</v>
      </c>
      <c r="E389" s="59" t="s">
        <v>16</v>
      </c>
      <c r="F389" s="60">
        <v>7.9289999999999896</v>
      </c>
      <c r="G389" s="60">
        <v>0.657778331456223</v>
      </c>
      <c r="H389" s="61">
        <v>7.8799999999999901</v>
      </c>
      <c r="I389" s="62">
        <v>2.14</v>
      </c>
      <c r="J389" s="37">
        <v>-5.7399999999999896</v>
      </c>
      <c r="K389" s="37">
        <v>-72.842639593908586</v>
      </c>
      <c r="L389" s="1" t="s">
        <v>68</v>
      </c>
      <c r="M389" s="1">
        <v>1</v>
      </c>
    </row>
    <row r="390" spans="1:13" x14ac:dyDescent="0.3">
      <c r="A390">
        <v>16</v>
      </c>
      <c r="B390">
        <v>1</v>
      </c>
      <c r="C390" t="s">
        <v>79</v>
      </c>
      <c r="D390" s="1" t="s">
        <v>2</v>
      </c>
      <c r="E390" s="59" t="s">
        <v>17</v>
      </c>
      <c r="F390" s="60">
        <v>3.2690000000000001</v>
      </c>
      <c r="G390" s="60">
        <v>0.69426867997915598</v>
      </c>
      <c r="H390" s="61">
        <v>3.4464999999999999</v>
      </c>
      <c r="I390" s="62">
        <v>4.1100000000000003</v>
      </c>
      <c r="J390" s="37">
        <v>0.66350000000000042</v>
      </c>
      <c r="K390" s="37">
        <v>19.251414478456418</v>
      </c>
      <c r="L390" s="1" t="s">
        <v>68</v>
      </c>
      <c r="M390" s="1">
        <v>1</v>
      </c>
    </row>
    <row r="391" spans="1:13" x14ac:dyDescent="0.3">
      <c r="A391">
        <v>16</v>
      </c>
      <c r="B391">
        <v>1</v>
      </c>
      <c r="C391" t="s">
        <v>79</v>
      </c>
      <c r="D391" s="1" t="s">
        <v>2</v>
      </c>
      <c r="E391" s="59" t="s">
        <v>18</v>
      </c>
      <c r="F391" s="60">
        <v>0.70133333333333303</v>
      </c>
      <c r="G391" s="60">
        <v>0.24435265953580701</v>
      </c>
      <c r="H391" s="61">
        <v>0.84727272727272795</v>
      </c>
      <c r="I391" s="62">
        <v>1.1399999999999999</v>
      </c>
      <c r="J391" s="37">
        <v>0.29272727272727195</v>
      </c>
      <c r="K391" s="37">
        <v>34.549356223175849</v>
      </c>
      <c r="L391" s="1" t="s">
        <v>68</v>
      </c>
      <c r="M391" s="1">
        <v>1</v>
      </c>
    </row>
    <row r="392" spans="1:13" x14ac:dyDescent="0.3">
      <c r="A392">
        <v>16</v>
      </c>
      <c r="B392">
        <v>1</v>
      </c>
      <c r="C392" t="s">
        <v>79</v>
      </c>
      <c r="D392" s="1" t="s">
        <v>2</v>
      </c>
      <c r="E392" s="59" t="s">
        <v>19</v>
      </c>
      <c r="F392" s="60">
        <v>2.88071428571428</v>
      </c>
      <c r="G392" s="60">
        <v>1.5336020357581699</v>
      </c>
      <c r="H392" s="61">
        <v>3.7844444444444401</v>
      </c>
      <c r="I392" s="62">
        <v>1.5</v>
      </c>
      <c r="J392" s="37">
        <v>-2.2844444444444401</v>
      </c>
      <c r="K392" s="37">
        <v>-60.364063417498478</v>
      </c>
      <c r="L392" s="1" t="s">
        <v>68</v>
      </c>
      <c r="M392" s="1">
        <v>1</v>
      </c>
    </row>
    <row r="393" spans="1:13" x14ac:dyDescent="0.3">
      <c r="A393">
        <v>16</v>
      </c>
      <c r="B393">
        <v>1</v>
      </c>
      <c r="C393" t="s">
        <v>79</v>
      </c>
      <c r="D393" s="1" t="s">
        <v>2</v>
      </c>
      <c r="E393" s="59" t="s">
        <v>12</v>
      </c>
      <c r="F393" s="60">
        <v>1.85049999999999</v>
      </c>
      <c r="G393" s="60">
        <v>0.30294347657607601</v>
      </c>
      <c r="H393" s="61">
        <v>1.71723404255319</v>
      </c>
      <c r="I393" s="62">
        <v>3.55</v>
      </c>
      <c r="J393" s="37">
        <v>1.8327659574468098</v>
      </c>
      <c r="K393" s="37">
        <v>106.72779085615183</v>
      </c>
      <c r="L393" s="1" t="s">
        <v>69</v>
      </c>
      <c r="M393" s="1">
        <v>1</v>
      </c>
    </row>
    <row r="394" spans="1:13" x14ac:dyDescent="0.3">
      <c r="A394">
        <v>16</v>
      </c>
      <c r="B394">
        <v>1</v>
      </c>
      <c r="C394" t="s">
        <v>79</v>
      </c>
      <c r="D394" s="1" t="s">
        <v>2</v>
      </c>
      <c r="E394" s="59" t="s">
        <v>13</v>
      </c>
      <c r="F394" s="60">
        <v>0.44666666666666599</v>
      </c>
      <c r="G394" s="60">
        <v>2.3711225658371599E-2</v>
      </c>
      <c r="H394" s="61">
        <v>0.44999999999999901</v>
      </c>
      <c r="I394" s="62">
        <v>2.44</v>
      </c>
      <c r="J394" s="37">
        <v>1.9900000000000009</v>
      </c>
      <c r="K394" s="37">
        <v>442.22222222222342</v>
      </c>
      <c r="L394" s="1" t="s">
        <v>69</v>
      </c>
      <c r="M394" s="1">
        <v>1</v>
      </c>
    </row>
    <row r="395" spans="1:13" x14ac:dyDescent="0.3">
      <c r="A395">
        <v>16</v>
      </c>
      <c r="B395">
        <v>1</v>
      </c>
      <c r="C395" t="s">
        <v>79</v>
      </c>
      <c r="D395" s="1" t="s">
        <v>2</v>
      </c>
      <c r="E395" s="59" t="s">
        <v>14</v>
      </c>
      <c r="F395" s="60">
        <v>0.27783333333333299</v>
      </c>
      <c r="G395" s="60">
        <v>0.20711584251867801</v>
      </c>
      <c r="H395" s="61">
        <v>0.17595744680851</v>
      </c>
      <c r="I395" s="62">
        <v>3.99</v>
      </c>
      <c r="J395" s="37">
        <v>3.8140425531914901</v>
      </c>
      <c r="K395" s="37">
        <v>2167.5937122128257</v>
      </c>
      <c r="L395" s="1" t="s">
        <v>69</v>
      </c>
      <c r="M395" s="1">
        <v>1</v>
      </c>
    </row>
    <row r="396" spans="1:13" x14ac:dyDescent="0.3">
      <c r="A396">
        <v>16</v>
      </c>
      <c r="B396">
        <v>1</v>
      </c>
      <c r="C396" t="s">
        <v>79</v>
      </c>
      <c r="D396" s="1" t="s">
        <v>2</v>
      </c>
      <c r="E396" s="59" t="s">
        <v>15</v>
      </c>
      <c r="F396" s="60">
        <v>3.2679661016949102</v>
      </c>
      <c r="G396" s="60">
        <v>0.83025783142799403</v>
      </c>
      <c r="H396" s="61">
        <v>3.3354545454545401</v>
      </c>
      <c r="I396" s="62">
        <v>3.75</v>
      </c>
      <c r="J396" s="37">
        <v>0.41454545454545988</v>
      </c>
      <c r="K396" s="37">
        <v>12.428454619787587</v>
      </c>
      <c r="L396" s="1" t="s">
        <v>69</v>
      </c>
      <c r="M396" s="1">
        <v>1</v>
      </c>
    </row>
    <row r="397" spans="1:13" x14ac:dyDescent="0.3">
      <c r="A397">
        <v>16</v>
      </c>
      <c r="B397">
        <v>1</v>
      </c>
      <c r="C397" t="s">
        <v>79</v>
      </c>
      <c r="D397" s="1" t="s">
        <v>2</v>
      </c>
      <c r="E397" s="59" t="s">
        <v>16</v>
      </c>
      <c r="F397" s="60">
        <v>7.9289999999999896</v>
      </c>
      <c r="G397" s="60">
        <v>0.657778331456223</v>
      </c>
      <c r="H397" s="61">
        <v>7.8799999999999901</v>
      </c>
      <c r="I397" s="62">
        <v>2.2000000000000002</v>
      </c>
      <c r="J397" s="37">
        <v>-5.6799999999999899</v>
      </c>
      <c r="K397" s="37">
        <v>-72.081218274111635</v>
      </c>
      <c r="L397" s="1" t="s">
        <v>69</v>
      </c>
      <c r="M397" s="1">
        <v>1</v>
      </c>
    </row>
    <row r="398" spans="1:13" x14ac:dyDescent="0.3">
      <c r="A398">
        <v>16</v>
      </c>
      <c r="B398">
        <v>1</v>
      </c>
      <c r="C398" t="s">
        <v>79</v>
      </c>
      <c r="D398" s="1" t="s">
        <v>2</v>
      </c>
      <c r="E398" s="59" t="s">
        <v>17</v>
      </c>
      <c r="F398" s="60">
        <v>3.2690000000000001</v>
      </c>
      <c r="G398" s="60">
        <v>0.69426867997915598</v>
      </c>
      <c r="H398" s="61">
        <v>3.4464999999999999</v>
      </c>
      <c r="I398" s="62">
        <v>4.25</v>
      </c>
      <c r="J398" s="37">
        <v>0.8035000000000001</v>
      </c>
      <c r="K398" s="37">
        <v>23.313506455824754</v>
      </c>
      <c r="L398" s="1" t="s">
        <v>69</v>
      </c>
      <c r="M398" s="1">
        <v>1</v>
      </c>
    </row>
    <row r="399" spans="1:13" x14ac:dyDescent="0.3">
      <c r="A399">
        <v>16</v>
      </c>
      <c r="B399">
        <v>1</v>
      </c>
      <c r="C399" t="s">
        <v>79</v>
      </c>
      <c r="D399" s="1" t="s">
        <v>2</v>
      </c>
      <c r="E399" s="59" t="s">
        <v>18</v>
      </c>
      <c r="F399" s="60">
        <v>0.70133333333333303</v>
      </c>
      <c r="G399" s="60">
        <v>0.24435265953580701</v>
      </c>
      <c r="H399" s="61">
        <v>0.84727272727272795</v>
      </c>
      <c r="I399" s="62">
        <v>1.1599999999999999</v>
      </c>
      <c r="J399" s="37">
        <v>0.31272727272727197</v>
      </c>
      <c r="K399" s="37">
        <v>36.90987124463507</v>
      </c>
      <c r="L399" s="1" t="s">
        <v>69</v>
      </c>
      <c r="M399" s="1">
        <v>1</v>
      </c>
    </row>
    <row r="400" spans="1:13" x14ac:dyDescent="0.3">
      <c r="A400">
        <v>16</v>
      </c>
      <c r="B400">
        <v>1</v>
      </c>
      <c r="C400" t="s">
        <v>79</v>
      </c>
      <c r="D400" s="1" t="s">
        <v>2</v>
      </c>
      <c r="E400" s="59" t="s">
        <v>19</v>
      </c>
      <c r="F400" s="60">
        <v>2.88071428571428</v>
      </c>
      <c r="G400" s="60">
        <v>1.5336020357581699</v>
      </c>
      <c r="H400" s="61">
        <v>3.7844444444444401</v>
      </c>
      <c r="I400" s="62">
        <v>1.51</v>
      </c>
      <c r="J400" s="37">
        <v>-2.2744444444444403</v>
      </c>
      <c r="K400" s="37">
        <v>-60.099823840281822</v>
      </c>
      <c r="L400" s="1" t="s">
        <v>69</v>
      </c>
      <c r="M400" s="1">
        <v>1</v>
      </c>
    </row>
    <row r="401" spans="1:13" x14ac:dyDescent="0.3">
      <c r="D401" s="1"/>
      <c r="E401" s="59"/>
      <c r="F401" s="60"/>
      <c r="G401" s="60"/>
      <c r="H401" s="61"/>
      <c r="I401" s="62"/>
      <c r="J401" s="37"/>
      <c r="K401" s="37"/>
      <c r="L401" s="1"/>
      <c r="M401" s="1"/>
    </row>
    <row r="402" spans="1:13" x14ac:dyDescent="0.3">
      <c r="A402">
        <v>16</v>
      </c>
      <c r="B402">
        <v>1</v>
      </c>
      <c r="C402" t="s">
        <v>79</v>
      </c>
      <c r="D402" s="1" t="s">
        <v>2</v>
      </c>
      <c r="E402" s="59" t="s">
        <v>12</v>
      </c>
      <c r="F402" s="60">
        <v>1.9124999999999901</v>
      </c>
      <c r="G402" s="60">
        <v>0.35629868088445099</v>
      </c>
      <c r="H402" s="61">
        <v>1.79239999999999</v>
      </c>
      <c r="I402" s="62">
        <v>3.8</v>
      </c>
      <c r="J402" s="37">
        <v>2.0076000000000098</v>
      </c>
      <c r="K402" s="37">
        <v>112.00624860522322</v>
      </c>
      <c r="L402" s="1" t="s">
        <v>23</v>
      </c>
      <c r="M402" s="1">
        <v>2</v>
      </c>
    </row>
    <row r="403" spans="1:13" x14ac:dyDescent="0.3">
      <c r="A403">
        <v>16</v>
      </c>
      <c r="B403">
        <v>1</v>
      </c>
      <c r="C403" t="s">
        <v>79</v>
      </c>
      <c r="D403" s="1" t="s">
        <v>2</v>
      </c>
      <c r="E403" s="59" t="s">
        <v>13</v>
      </c>
      <c r="F403" s="60">
        <v>0.44599999999999901</v>
      </c>
      <c r="G403" s="60">
        <v>2.79999999999999E-2</v>
      </c>
      <c r="H403" s="61">
        <v>0.44999999999999901</v>
      </c>
      <c r="I403" s="62">
        <v>2.5</v>
      </c>
      <c r="J403" s="37">
        <v>2.0500000000000012</v>
      </c>
      <c r="K403" s="37">
        <v>455.55555555555679</v>
      </c>
      <c r="L403" s="1" t="s">
        <v>23</v>
      </c>
      <c r="M403" s="1">
        <v>2</v>
      </c>
    </row>
    <row r="404" spans="1:13" x14ac:dyDescent="0.3">
      <c r="A404">
        <v>16</v>
      </c>
      <c r="B404">
        <v>1</v>
      </c>
      <c r="C404" t="s">
        <v>79</v>
      </c>
      <c r="D404" s="1" t="s">
        <v>2</v>
      </c>
      <c r="E404" s="59" t="s">
        <v>14</v>
      </c>
      <c r="F404" s="60">
        <v>0.27933333333333299</v>
      </c>
      <c r="G404" s="60">
        <v>0.203722578250151</v>
      </c>
      <c r="H404" s="61">
        <v>0.163333333333333</v>
      </c>
      <c r="I404" s="62">
        <v>4.05</v>
      </c>
      <c r="J404" s="37">
        <v>3.8866666666666667</v>
      </c>
      <c r="K404" s="37">
        <v>2379.591836734699</v>
      </c>
      <c r="L404" s="1" t="s">
        <v>23</v>
      </c>
      <c r="M404" s="1">
        <v>2</v>
      </c>
    </row>
    <row r="405" spans="1:13" x14ac:dyDescent="0.3">
      <c r="A405">
        <v>16</v>
      </c>
      <c r="B405">
        <v>1</v>
      </c>
      <c r="C405" t="s">
        <v>79</v>
      </c>
      <c r="D405" s="1" t="s">
        <v>2</v>
      </c>
      <c r="E405" s="59" t="s">
        <v>15</v>
      </c>
      <c r="F405" s="60">
        <v>3.4459322033898299</v>
      </c>
      <c r="G405" s="60">
        <v>0.70481905033044001</v>
      </c>
      <c r="H405" s="61">
        <v>3.33391304347826</v>
      </c>
      <c r="I405" s="62">
        <v>3.84</v>
      </c>
      <c r="J405" s="37">
        <v>0.50608695652173985</v>
      </c>
      <c r="K405" s="37">
        <v>15.179968701095486</v>
      </c>
      <c r="L405" s="1" t="s">
        <v>23</v>
      </c>
      <c r="M405" s="1">
        <v>2</v>
      </c>
    </row>
    <row r="406" spans="1:13" x14ac:dyDescent="0.3">
      <c r="A406">
        <v>16</v>
      </c>
      <c r="B406">
        <v>1</v>
      </c>
      <c r="C406" t="s">
        <v>79</v>
      </c>
      <c r="D406" s="1" t="s">
        <v>2</v>
      </c>
      <c r="E406" s="59" t="s">
        <v>16</v>
      </c>
      <c r="F406" s="60">
        <v>7.9328333333333303</v>
      </c>
      <c r="G406" s="60">
        <v>0.71810187686396898</v>
      </c>
      <c r="H406" s="61">
        <v>7.8799999999999901</v>
      </c>
      <c r="I406" s="62">
        <v>2.25</v>
      </c>
      <c r="J406" s="37">
        <v>-5.6299999999999901</v>
      </c>
      <c r="K406" s="37">
        <v>-71.446700507614182</v>
      </c>
      <c r="L406" s="1" t="s">
        <v>23</v>
      </c>
      <c r="M406" s="1">
        <v>2</v>
      </c>
    </row>
    <row r="407" spans="1:13" x14ac:dyDescent="0.3">
      <c r="A407">
        <v>16</v>
      </c>
      <c r="B407">
        <v>1</v>
      </c>
      <c r="C407" t="s">
        <v>79</v>
      </c>
      <c r="D407" s="1" t="s">
        <v>2</v>
      </c>
      <c r="E407" s="59" t="s">
        <v>17</v>
      </c>
      <c r="F407" s="60">
        <v>3.2311666666666601</v>
      </c>
      <c r="G407" s="60">
        <v>0.76922058315905395</v>
      </c>
      <c r="H407" s="61">
        <v>3.4109302325581399</v>
      </c>
      <c r="I407" s="62">
        <v>4.26</v>
      </c>
      <c r="J407" s="37">
        <v>0.84906976744185991</v>
      </c>
      <c r="K407" s="37">
        <v>24.892616076907327</v>
      </c>
      <c r="L407" s="1" t="s">
        <v>23</v>
      </c>
      <c r="M407" s="1">
        <v>2</v>
      </c>
    </row>
    <row r="408" spans="1:13" x14ac:dyDescent="0.3">
      <c r="A408">
        <v>16</v>
      </c>
      <c r="B408">
        <v>1</v>
      </c>
      <c r="C408" t="s">
        <v>79</v>
      </c>
      <c r="D408" s="1" t="s">
        <v>2</v>
      </c>
      <c r="E408" s="59" t="s">
        <v>18</v>
      </c>
      <c r="F408" s="60">
        <v>0.68816666666666704</v>
      </c>
      <c r="G408" s="60">
        <v>0.25074217612696997</v>
      </c>
      <c r="H408" s="61">
        <v>0.84441860465116303</v>
      </c>
      <c r="I408" s="62">
        <v>1.27</v>
      </c>
      <c r="J408" s="37">
        <v>0.42558139534883699</v>
      </c>
      <c r="K408" s="37">
        <v>50.399339025061927</v>
      </c>
      <c r="L408" s="1" t="s">
        <v>23</v>
      </c>
      <c r="M408" s="1">
        <v>2</v>
      </c>
    </row>
    <row r="409" spans="1:13" x14ac:dyDescent="0.3">
      <c r="A409">
        <v>16</v>
      </c>
      <c r="B409">
        <v>1</v>
      </c>
      <c r="C409" t="s">
        <v>79</v>
      </c>
      <c r="D409" s="1" t="s">
        <v>2</v>
      </c>
      <c r="E409" s="59" t="s">
        <v>19</v>
      </c>
      <c r="F409" s="60">
        <v>3.0851851851851801</v>
      </c>
      <c r="G409" s="60">
        <v>1.65993835309532</v>
      </c>
      <c r="H409" s="61">
        <v>3.42133333333333</v>
      </c>
      <c r="I409" s="62">
        <v>1.64</v>
      </c>
      <c r="J409" s="37">
        <v>-1.7813333333333301</v>
      </c>
      <c r="K409" s="37">
        <v>-52.065471551052177</v>
      </c>
      <c r="L409" s="1" t="s">
        <v>23</v>
      </c>
      <c r="M409" s="1">
        <v>2</v>
      </c>
    </row>
    <row r="410" spans="1:13" x14ac:dyDescent="0.3">
      <c r="A410">
        <v>16</v>
      </c>
      <c r="B410">
        <v>1</v>
      </c>
      <c r="C410" t="s">
        <v>79</v>
      </c>
      <c r="D410" s="1" t="s">
        <v>2</v>
      </c>
      <c r="E410" s="59" t="s">
        <v>12</v>
      </c>
      <c r="F410" s="60">
        <v>1.9124999999999901</v>
      </c>
      <c r="G410" s="60">
        <v>0.35629868088445099</v>
      </c>
      <c r="H410" s="61">
        <v>1.79239999999999</v>
      </c>
      <c r="I410" s="62">
        <v>3.62</v>
      </c>
      <c r="J410" s="37">
        <v>1.8276000000000101</v>
      </c>
      <c r="K410" s="37">
        <v>101.96384735550214</v>
      </c>
      <c r="L410" s="1" t="s">
        <v>68</v>
      </c>
      <c r="M410" s="1">
        <v>2</v>
      </c>
    </row>
    <row r="411" spans="1:13" x14ac:dyDescent="0.3">
      <c r="A411">
        <v>16</v>
      </c>
      <c r="B411">
        <v>1</v>
      </c>
      <c r="C411" t="s">
        <v>79</v>
      </c>
      <c r="D411" s="1" t="s">
        <v>2</v>
      </c>
      <c r="E411" s="59" t="s">
        <v>13</v>
      </c>
      <c r="F411" s="60">
        <v>0.44599999999999901</v>
      </c>
      <c r="G411" s="60">
        <v>2.79999999999999E-2</v>
      </c>
      <c r="H411" s="61">
        <v>0.44999999999999901</v>
      </c>
      <c r="I411" s="62">
        <v>2.38</v>
      </c>
      <c r="J411" s="37">
        <v>1.9300000000000008</v>
      </c>
      <c r="K411" s="37">
        <v>428.88888888889005</v>
      </c>
      <c r="L411" s="1" t="s">
        <v>68</v>
      </c>
      <c r="M411" s="1">
        <v>2</v>
      </c>
    </row>
    <row r="412" spans="1:13" x14ac:dyDescent="0.3">
      <c r="A412">
        <v>16</v>
      </c>
      <c r="B412">
        <v>1</v>
      </c>
      <c r="C412" t="s">
        <v>79</v>
      </c>
      <c r="D412" s="1" t="s">
        <v>2</v>
      </c>
      <c r="E412" s="59" t="s">
        <v>14</v>
      </c>
      <c r="F412" s="60">
        <v>0.27933333333333299</v>
      </c>
      <c r="G412" s="60">
        <v>0.203722578250151</v>
      </c>
      <c r="H412" s="61">
        <v>0.163333333333333</v>
      </c>
      <c r="I412" s="62">
        <v>3.96</v>
      </c>
      <c r="J412" s="37">
        <v>3.7966666666666669</v>
      </c>
      <c r="K412" s="37">
        <v>2324.4897959183722</v>
      </c>
      <c r="L412" s="1" t="s">
        <v>68</v>
      </c>
      <c r="M412" s="1">
        <v>2</v>
      </c>
    </row>
    <row r="413" spans="1:13" x14ac:dyDescent="0.3">
      <c r="A413">
        <v>16</v>
      </c>
      <c r="B413">
        <v>1</v>
      </c>
      <c r="C413" t="s">
        <v>79</v>
      </c>
      <c r="D413" s="1" t="s">
        <v>2</v>
      </c>
      <c r="E413" s="59" t="s">
        <v>15</v>
      </c>
      <c r="F413" s="60">
        <v>3.4459322033898299</v>
      </c>
      <c r="G413" s="60">
        <v>0.70481905033044001</v>
      </c>
      <c r="H413" s="61">
        <v>3.33391304347826</v>
      </c>
      <c r="I413" s="62">
        <v>3.68</v>
      </c>
      <c r="J413" s="37">
        <v>0.34608695652174015</v>
      </c>
      <c r="K413" s="37">
        <v>10.38080333854985</v>
      </c>
      <c r="L413" s="1" t="s">
        <v>68</v>
      </c>
      <c r="M413" s="1">
        <v>2</v>
      </c>
    </row>
    <row r="414" spans="1:13" x14ac:dyDescent="0.3">
      <c r="A414">
        <v>16</v>
      </c>
      <c r="B414">
        <v>1</v>
      </c>
      <c r="C414" t="s">
        <v>79</v>
      </c>
      <c r="D414" s="1" t="s">
        <v>2</v>
      </c>
      <c r="E414" s="59" t="s">
        <v>16</v>
      </c>
      <c r="F414" s="60">
        <v>7.9328333333333303</v>
      </c>
      <c r="G414" s="60">
        <v>0.71810187686396898</v>
      </c>
      <c r="H414" s="61">
        <v>7.8799999999999901</v>
      </c>
      <c r="I414" s="62">
        <v>2.14</v>
      </c>
      <c r="J414" s="37">
        <v>-5.7399999999999896</v>
      </c>
      <c r="K414" s="37">
        <v>-72.842639593908586</v>
      </c>
      <c r="L414" s="1" t="s">
        <v>68</v>
      </c>
      <c r="M414" s="1">
        <v>2</v>
      </c>
    </row>
    <row r="415" spans="1:13" x14ac:dyDescent="0.3">
      <c r="A415">
        <v>16</v>
      </c>
      <c r="B415">
        <v>1</v>
      </c>
      <c r="C415" t="s">
        <v>79</v>
      </c>
      <c r="D415" s="1" t="s">
        <v>2</v>
      </c>
      <c r="E415" s="59" t="s">
        <v>17</v>
      </c>
      <c r="F415" s="60">
        <v>3.2311666666666601</v>
      </c>
      <c r="G415" s="60">
        <v>0.76922058315905395</v>
      </c>
      <c r="H415" s="61">
        <v>3.4109302325581399</v>
      </c>
      <c r="I415" s="62">
        <v>4.1100000000000003</v>
      </c>
      <c r="J415" s="37">
        <v>0.69906976744186045</v>
      </c>
      <c r="K415" s="37">
        <v>20.494988750255676</v>
      </c>
      <c r="L415" s="1" t="s">
        <v>68</v>
      </c>
      <c r="M415" s="1">
        <v>2</v>
      </c>
    </row>
    <row r="416" spans="1:13" x14ac:dyDescent="0.3">
      <c r="A416">
        <v>16</v>
      </c>
      <c r="B416">
        <v>1</v>
      </c>
      <c r="C416" t="s">
        <v>79</v>
      </c>
      <c r="D416" s="1" t="s">
        <v>2</v>
      </c>
      <c r="E416" s="59" t="s">
        <v>18</v>
      </c>
      <c r="F416" s="60">
        <v>0.68816666666666704</v>
      </c>
      <c r="G416" s="60">
        <v>0.25074217612696997</v>
      </c>
      <c r="H416" s="61">
        <v>0.84441860465116303</v>
      </c>
      <c r="I416" s="62">
        <v>1.1399999999999999</v>
      </c>
      <c r="J416" s="37">
        <v>0.29558139534883687</v>
      </c>
      <c r="K416" s="37">
        <v>35.004131093362659</v>
      </c>
      <c r="L416" s="1" t="s">
        <v>68</v>
      </c>
      <c r="M416" s="1">
        <v>2</v>
      </c>
    </row>
    <row r="417" spans="1:13" x14ac:dyDescent="0.3">
      <c r="A417">
        <v>16</v>
      </c>
      <c r="B417">
        <v>1</v>
      </c>
      <c r="C417" t="s">
        <v>79</v>
      </c>
      <c r="D417" s="1" t="s">
        <v>2</v>
      </c>
      <c r="E417" s="59" t="s">
        <v>19</v>
      </c>
      <c r="F417" s="60">
        <v>3.0851851851851801</v>
      </c>
      <c r="G417" s="60">
        <v>1.65993835309532</v>
      </c>
      <c r="H417" s="61">
        <v>3.42133333333333</v>
      </c>
      <c r="I417" s="62">
        <v>1.5</v>
      </c>
      <c r="J417" s="37">
        <v>-1.92133333333333</v>
      </c>
      <c r="K417" s="37">
        <v>-56.157443491816018</v>
      </c>
      <c r="L417" s="1" t="s">
        <v>68</v>
      </c>
      <c r="M417" s="1">
        <v>2</v>
      </c>
    </row>
    <row r="418" spans="1:13" x14ac:dyDescent="0.3">
      <c r="A418">
        <v>16</v>
      </c>
      <c r="B418">
        <v>1</v>
      </c>
      <c r="C418" t="s">
        <v>79</v>
      </c>
      <c r="D418" s="1" t="s">
        <v>2</v>
      </c>
      <c r="E418" s="59" t="s">
        <v>12</v>
      </c>
      <c r="F418" s="60">
        <v>1.9124999999999901</v>
      </c>
      <c r="G418" s="60">
        <v>0.35629868088445099</v>
      </c>
      <c r="H418" s="61">
        <v>1.79239999999999</v>
      </c>
      <c r="I418" s="62">
        <v>3.55</v>
      </c>
      <c r="J418" s="37">
        <v>1.7576000000000098</v>
      </c>
      <c r="K418" s="37">
        <v>98.05846909172169</v>
      </c>
      <c r="L418" s="1" t="s">
        <v>69</v>
      </c>
      <c r="M418" s="1">
        <v>2</v>
      </c>
    </row>
    <row r="419" spans="1:13" x14ac:dyDescent="0.3">
      <c r="A419">
        <v>16</v>
      </c>
      <c r="B419">
        <v>1</v>
      </c>
      <c r="C419" t="s">
        <v>79</v>
      </c>
      <c r="D419" s="1" t="s">
        <v>2</v>
      </c>
      <c r="E419" s="59" t="s">
        <v>13</v>
      </c>
      <c r="F419" s="60">
        <v>0.44599999999999901</v>
      </c>
      <c r="G419" s="60">
        <v>2.79999999999999E-2</v>
      </c>
      <c r="H419" s="61">
        <v>0.44999999999999901</v>
      </c>
      <c r="I419" s="62">
        <v>2.44</v>
      </c>
      <c r="J419" s="37">
        <v>1.9900000000000009</v>
      </c>
      <c r="K419" s="37">
        <v>442.22222222222342</v>
      </c>
      <c r="L419" s="1" t="s">
        <v>69</v>
      </c>
      <c r="M419" s="1">
        <v>2</v>
      </c>
    </row>
    <row r="420" spans="1:13" x14ac:dyDescent="0.3">
      <c r="A420">
        <v>16</v>
      </c>
      <c r="B420">
        <v>1</v>
      </c>
      <c r="C420" t="s">
        <v>79</v>
      </c>
      <c r="D420" s="1" t="s">
        <v>2</v>
      </c>
      <c r="E420" s="59" t="s">
        <v>14</v>
      </c>
      <c r="F420" s="60">
        <v>0.27933333333333299</v>
      </c>
      <c r="G420" s="60">
        <v>0.203722578250151</v>
      </c>
      <c r="H420" s="61">
        <v>0.163333333333333</v>
      </c>
      <c r="I420" s="62">
        <v>3.99</v>
      </c>
      <c r="J420" s="37">
        <v>3.8266666666666671</v>
      </c>
      <c r="K420" s="37">
        <v>2342.8571428571481</v>
      </c>
      <c r="L420" s="1" t="s">
        <v>69</v>
      </c>
      <c r="M420" s="1">
        <v>2</v>
      </c>
    </row>
    <row r="421" spans="1:13" x14ac:dyDescent="0.3">
      <c r="A421">
        <v>16</v>
      </c>
      <c r="B421">
        <v>1</v>
      </c>
      <c r="C421" t="s">
        <v>79</v>
      </c>
      <c r="D421" s="1" t="s">
        <v>2</v>
      </c>
      <c r="E421" s="59" t="s">
        <v>15</v>
      </c>
      <c r="F421" s="60">
        <v>3.4459322033898299</v>
      </c>
      <c r="G421" s="60">
        <v>0.70481905033044001</v>
      </c>
      <c r="H421" s="61">
        <v>3.33391304347826</v>
      </c>
      <c r="I421" s="62">
        <v>3.75</v>
      </c>
      <c r="J421" s="37">
        <v>0.41608695652173999</v>
      </c>
      <c r="K421" s="37">
        <v>12.480438184663566</v>
      </c>
      <c r="L421" s="1" t="s">
        <v>69</v>
      </c>
      <c r="M421" s="1">
        <v>2</v>
      </c>
    </row>
    <row r="422" spans="1:13" x14ac:dyDescent="0.3">
      <c r="A422">
        <v>16</v>
      </c>
      <c r="B422">
        <v>1</v>
      </c>
      <c r="C422" t="s">
        <v>79</v>
      </c>
      <c r="D422" s="1" t="s">
        <v>2</v>
      </c>
      <c r="E422" s="59" t="s">
        <v>16</v>
      </c>
      <c r="F422" s="60">
        <v>7.9328333333333303</v>
      </c>
      <c r="G422" s="60">
        <v>0.71810187686396898</v>
      </c>
      <c r="H422" s="61">
        <v>7.8799999999999901</v>
      </c>
      <c r="I422" s="62">
        <v>2.2000000000000002</v>
      </c>
      <c r="J422" s="37">
        <v>-5.6799999999999899</v>
      </c>
      <c r="K422" s="37">
        <v>-72.081218274111635</v>
      </c>
      <c r="L422" s="1" t="s">
        <v>69</v>
      </c>
      <c r="M422" s="1">
        <v>2</v>
      </c>
    </row>
    <row r="423" spans="1:13" x14ac:dyDescent="0.3">
      <c r="A423">
        <v>16</v>
      </c>
      <c r="B423">
        <v>1</v>
      </c>
      <c r="C423" t="s">
        <v>79</v>
      </c>
      <c r="D423" s="1" t="s">
        <v>2</v>
      </c>
      <c r="E423" s="59" t="s">
        <v>17</v>
      </c>
      <c r="F423" s="60">
        <v>3.2311666666666601</v>
      </c>
      <c r="G423" s="60">
        <v>0.76922058315905395</v>
      </c>
      <c r="H423" s="61">
        <v>3.4109302325581399</v>
      </c>
      <c r="I423" s="62">
        <v>4.25</v>
      </c>
      <c r="J423" s="37">
        <v>0.83906976744186013</v>
      </c>
      <c r="K423" s="37">
        <v>24.599440921797218</v>
      </c>
      <c r="L423" s="1" t="s">
        <v>69</v>
      </c>
      <c r="M423" s="1">
        <v>2</v>
      </c>
    </row>
    <row r="424" spans="1:13" x14ac:dyDescent="0.3">
      <c r="A424">
        <v>16</v>
      </c>
      <c r="B424">
        <v>1</v>
      </c>
      <c r="C424" t="s">
        <v>79</v>
      </c>
      <c r="D424" s="1" t="s">
        <v>2</v>
      </c>
      <c r="E424" s="59" t="s">
        <v>18</v>
      </c>
      <c r="F424" s="60">
        <v>0.68816666666666704</v>
      </c>
      <c r="G424" s="60">
        <v>0.25074217612696997</v>
      </c>
      <c r="H424" s="61">
        <v>0.84441860465116303</v>
      </c>
      <c r="I424" s="62">
        <v>1.1599999999999999</v>
      </c>
      <c r="J424" s="37">
        <v>0.31558139534883689</v>
      </c>
      <c r="K424" s="37">
        <v>37.37262462131639</v>
      </c>
      <c r="L424" s="1" t="s">
        <v>69</v>
      </c>
      <c r="M424" s="1">
        <v>2</v>
      </c>
    </row>
    <row r="425" spans="1:13" x14ac:dyDescent="0.3">
      <c r="A425">
        <v>16</v>
      </c>
      <c r="B425">
        <v>1</v>
      </c>
      <c r="C425" t="s">
        <v>79</v>
      </c>
      <c r="D425" s="1" t="s">
        <v>2</v>
      </c>
      <c r="E425" s="59" t="s">
        <v>19</v>
      </c>
      <c r="F425" s="60">
        <v>3.0851851851851801</v>
      </c>
      <c r="G425" s="60">
        <v>1.65993835309532</v>
      </c>
      <c r="H425" s="61">
        <v>3.42133333333333</v>
      </c>
      <c r="I425" s="62">
        <v>1.51</v>
      </c>
      <c r="J425" s="37">
        <v>-1.91133333333333</v>
      </c>
      <c r="K425" s="37">
        <v>-55.865159781761456</v>
      </c>
      <c r="L425" s="1" t="s">
        <v>69</v>
      </c>
      <c r="M425" s="1">
        <v>2</v>
      </c>
    </row>
    <row r="426" spans="1:13" x14ac:dyDescent="0.3">
      <c r="D426" s="1"/>
      <c r="E426" s="59"/>
      <c r="F426" s="60"/>
      <c r="G426" s="60"/>
      <c r="H426" s="61"/>
      <c r="I426" s="62"/>
      <c r="J426" s="37"/>
      <c r="K426" s="37"/>
      <c r="L426" s="1"/>
      <c r="M426" s="1"/>
    </row>
    <row r="427" spans="1:13" x14ac:dyDescent="0.3">
      <c r="A427">
        <v>16</v>
      </c>
      <c r="B427">
        <v>1</v>
      </c>
      <c r="C427" t="s">
        <v>79</v>
      </c>
      <c r="D427" s="1" t="s">
        <v>2</v>
      </c>
      <c r="E427" s="59" t="s">
        <v>12</v>
      </c>
      <c r="F427" s="60">
        <v>1.90699999999999</v>
      </c>
      <c r="G427" s="60">
        <v>0.27877888490103803</v>
      </c>
      <c r="H427" s="61">
        <v>1.89</v>
      </c>
      <c r="I427" s="63">
        <v>3.8</v>
      </c>
      <c r="J427" s="58">
        <v>1.91</v>
      </c>
      <c r="K427" s="58">
        <v>101.05820105820106</v>
      </c>
      <c r="L427" s="1" t="s">
        <v>23</v>
      </c>
      <c r="M427" s="1">
        <v>3</v>
      </c>
    </row>
    <row r="428" spans="1:13" x14ac:dyDescent="0.3">
      <c r="A428">
        <v>16</v>
      </c>
      <c r="B428">
        <v>1</v>
      </c>
      <c r="C428" t="s">
        <v>79</v>
      </c>
      <c r="D428" s="1" t="s">
        <v>2</v>
      </c>
      <c r="E428" s="59" t="s">
        <v>13</v>
      </c>
      <c r="F428" s="60">
        <v>0.44749999999999901</v>
      </c>
      <c r="G428" s="60">
        <v>3.41869858279433E-2</v>
      </c>
      <c r="H428" s="61">
        <v>0.44999999999999901</v>
      </c>
      <c r="I428" s="63">
        <v>2.5</v>
      </c>
      <c r="J428" s="58">
        <v>2.0500000000000012</v>
      </c>
      <c r="K428" s="58">
        <v>455.55555555555679</v>
      </c>
      <c r="L428" s="1" t="s">
        <v>23</v>
      </c>
      <c r="M428" s="1">
        <v>3</v>
      </c>
    </row>
    <row r="429" spans="1:13" x14ac:dyDescent="0.3">
      <c r="A429">
        <v>16</v>
      </c>
      <c r="B429">
        <v>1</v>
      </c>
      <c r="C429" t="s">
        <v>79</v>
      </c>
      <c r="D429" s="1" t="s">
        <v>2</v>
      </c>
      <c r="E429" s="59" t="s">
        <v>14</v>
      </c>
      <c r="F429" s="60">
        <v>0.24533333333333299</v>
      </c>
      <c r="G429" s="60">
        <v>0.19302389028879799</v>
      </c>
      <c r="H429" s="61">
        <v>0.15448979591836701</v>
      </c>
      <c r="I429" s="63">
        <v>4.05</v>
      </c>
      <c r="J429" s="58">
        <v>3.8955102040816327</v>
      </c>
      <c r="K429" s="58">
        <v>2521.5323645970993</v>
      </c>
      <c r="L429" s="1" t="s">
        <v>23</v>
      </c>
      <c r="M429" s="1">
        <v>3</v>
      </c>
    </row>
    <row r="430" spans="1:13" x14ac:dyDescent="0.3">
      <c r="A430">
        <v>16</v>
      </c>
      <c r="B430">
        <v>1</v>
      </c>
      <c r="C430" t="s">
        <v>79</v>
      </c>
      <c r="D430" s="1" t="s">
        <v>2</v>
      </c>
      <c r="E430" s="59" t="s">
        <v>15</v>
      </c>
      <c r="F430" s="60">
        <v>3.40491525423728</v>
      </c>
      <c r="G430" s="60">
        <v>0.74938024762467503</v>
      </c>
      <c r="H430" s="61">
        <v>3.3354545454545401</v>
      </c>
      <c r="I430" s="63">
        <v>3.84</v>
      </c>
      <c r="J430" s="58">
        <v>0.50454545454545974</v>
      </c>
      <c r="K430" s="58">
        <v>15.126737530662485</v>
      </c>
      <c r="L430" s="1" t="s">
        <v>23</v>
      </c>
      <c r="M430" s="1">
        <v>3</v>
      </c>
    </row>
    <row r="431" spans="1:13" x14ac:dyDescent="0.3">
      <c r="A431">
        <v>16</v>
      </c>
      <c r="B431">
        <v>1</v>
      </c>
      <c r="C431" t="s">
        <v>79</v>
      </c>
      <c r="D431" s="1" t="s">
        <v>2</v>
      </c>
      <c r="E431" s="59" t="s">
        <v>16</v>
      </c>
      <c r="F431" s="60">
        <v>8.0166666666666604</v>
      </c>
      <c r="G431" s="60">
        <v>0.71290173859297601</v>
      </c>
      <c r="H431" s="61">
        <v>7.8799999999999901</v>
      </c>
      <c r="I431" s="63">
        <v>2.25</v>
      </c>
      <c r="J431" s="58">
        <v>-5.6299999999999901</v>
      </c>
      <c r="K431" s="58">
        <v>-71.446700507614182</v>
      </c>
      <c r="L431" s="1" t="s">
        <v>23</v>
      </c>
      <c r="M431" s="1">
        <v>3</v>
      </c>
    </row>
    <row r="432" spans="1:13" x14ac:dyDescent="0.3">
      <c r="A432">
        <v>16</v>
      </c>
      <c r="B432">
        <v>1</v>
      </c>
      <c r="C432" t="s">
        <v>79</v>
      </c>
      <c r="D432" s="1" t="s">
        <v>2</v>
      </c>
      <c r="E432" s="59" t="s">
        <v>17</v>
      </c>
      <c r="F432" s="60">
        <v>3.2978333333333301</v>
      </c>
      <c r="G432" s="60">
        <v>0.67530756367417799</v>
      </c>
      <c r="H432" s="61">
        <v>3.53189189189189</v>
      </c>
      <c r="I432" s="63">
        <v>4.26</v>
      </c>
      <c r="J432" s="58">
        <v>0.72810810810810978</v>
      </c>
      <c r="K432" s="58">
        <v>20.615243342516131</v>
      </c>
      <c r="L432" s="1" t="s">
        <v>23</v>
      </c>
      <c r="M432" s="1">
        <v>3</v>
      </c>
    </row>
    <row r="433" spans="1:13" x14ac:dyDescent="0.3">
      <c r="A433">
        <v>16</v>
      </c>
      <c r="B433">
        <v>1</v>
      </c>
      <c r="C433" t="s">
        <v>79</v>
      </c>
      <c r="D433" s="1" t="s">
        <v>2</v>
      </c>
      <c r="E433" s="59" t="s">
        <v>18</v>
      </c>
      <c r="F433" s="60">
        <v>0.73150000000000004</v>
      </c>
      <c r="G433" s="60">
        <v>0.21639335325590101</v>
      </c>
      <c r="H433" s="61">
        <v>0.83750000000000002</v>
      </c>
      <c r="I433" s="63">
        <v>1.27</v>
      </c>
      <c r="J433" s="58">
        <v>0.4325</v>
      </c>
      <c r="K433" s="58">
        <v>51.64179104477612</v>
      </c>
      <c r="L433" s="1" t="s">
        <v>23</v>
      </c>
      <c r="M433" s="1">
        <v>3</v>
      </c>
    </row>
    <row r="434" spans="1:13" x14ac:dyDescent="0.3">
      <c r="A434">
        <v>16</v>
      </c>
      <c r="B434">
        <v>1</v>
      </c>
      <c r="C434" t="s">
        <v>79</v>
      </c>
      <c r="D434" s="1" t="s">
        <v>2</v>
      </c>
      <c r="E434" s="59" t="s">
        <v>19</v>
      </c>
      <c r="F434" s="60">
        <v>3.5904761904761902</v>
      </c>
      <c r="G434" s="60">
        <v>1.3769928456793601</v>
      </c>
      <c r="H434" s="61">
        <v>4.2273333333333296</v>
      </c>
      <c r="I434" s="63">
        <v>1.64</v>
      </c>
      <c r="J434" s="58">
        <v>-2.5873333333333299</v>
      </c>
      <c r="K434" s="58">
        <v>-61.204857278031831</v>
      </c>
      <c r="L434" s="1" t="s">
        <v>23</v>
      </c>
      <c r="M434" s="1">
        <v>3</v>
      </c>
    </row>
    <row r="435" spans="1:13" x14ac:dyDescent="0.3">
      <c r="A435">
        <v>16</v>
      </c>
      <c r="B435">
        <v>1</v>
      </c>
      <c r="C435" t="s">
        <v>79</v>
      </c>
      <c r="D435" s="1" t="s">
        <v>2</v>
      </c>
      <c r="E435" s="59" t="s">
        <v>12</v>
      </c>
      <c r="F435" s="60">
        <v>1.90699999999999</v>
      </c>
      <c r="G435" s="60">
        <v>0.27877888490103803</v>
      </c>
      <c r="H435" s="61">
        <v>1.89</v>
      </c>
      <c r="I435" s="63">
        <v>3.62</v>
      </c>
      <c r="J435" s="58">
        <v>1.7300000000000002</v>
      </c>
      <c r="K435" s="58">
        <v>91.534391534391546</v>
      </c>
      <c r="L435" s="1" t="s">
        <v>68</v>
      </c>
      <c r="M435" s="1">
        <v>3</v>
      </c>
    </row>
    <row r="436" spans="1:13" x14ac:dyDescent="0.3">
      <c r="A436">
        <v>16</v>
      </c>
      <c r="B436">
        <v>1</v>
      </c>
      <c r="C436" t="s">
        <v>79</v>
      </c>
      <c r="D436" s="1" t="s">
        <v>2</v>
      </c>
      <c r="E436" s="59" t="s">
        <v>13</v>
      </c>
      <c r="F436" s="60">
        <v>0.44749999999999901</v>
      </c>
      <c r="G436" s="60">
        <v>3.41869858279433E-2</v>
      </c>
      <c r="H436" s="61">
        <v>0.44999999999999901</v>
      </c>
      <c r="I436" s="63">
        <v>2.38</v>
      </c>
      <c r="J436" s="58">
        <v>1.9300000000000008</v>
      </c>
      <c r="K436" s="58">
        <v>428.88888888889005</v>
      </c>
      <c r="L436" s="1" t="s">
        <v>68</v>
      </c>
      <c r="M436" s="1">
        <v>3</v>
      </c>
    </row>
    <row r="437" spans="1:13" x14ac:dyDescent="0.3">
      <c r="A437">
        <v>16</v>
      </c>
      <c r="B437">
        <v>1</v>
      </c>
      <c r="C437" t="s">
        <v>79</v>
      </c>
      <c r="D437" s="1" t="s">
        <v>2</v>
      </c>
      <c r="E437" s="59" t="s">
        <v>14</v>
      </c>
      <c r="F437" s="60">
        <v>0.24533333333333299</v>
      </c>
      <c r="G437" s="60">
        <v>0.19302389028879799</v>
      </c>
      <c r="H437" s="61">
        <v>0.15448979591836701</v>
      </c>
      <c r="I437" s="63">
        <v>3.96</v>
      </c>
      <c r="J437" s="58">
        <v>3.8055102040816329</v>
      </c>
      <c r="K437" s="58">
        <v>2463.276089828275</v>
      </c>
      <c r="L437" s="1" t="s">
        <v>68</v>
      </c>
      <c r="M437" s="1">
        <v>3</v>
      </c>
    </row>
    <row r="438" spans="1:13" x14ac:dyDescent="0.3">
      <c r="A438">
        <v>16</v>
      </c>
      <c r="B438">
        <v>1</v>
      </c>
      <c r="C438" t="s">
        <v>79</v>
      </c>
      <c r="D438" s="1" t="s">
        <v>2</v>
      </c>
      <c r="E438" s="59" t="s">
        <v>15</v>
      </c>
      <c r="F438" s="60">
        <v>3.40491525423728</v>
      </c>
      <c r="G438" s="60">
        <v>0.74938024762467503</v>
      </c>
      <c r="H438" s="61">
        <v>3.3354545454545401</v>
      </c>
      <c r="I438" s="63">
        <v>3.68</v>
      </c>
      <c r="J438" s="58">
        <v>0.34454545454546004</v>
      </c>
      <c r="K438" s="58">
        <v>10.329790133551557</v>
      </c>
      <c r="L438" s="1" t="s">
        <v>68</v>
      </c>
      <c r="M438" s="1">
        <v>3</v>
      </c>
    </row>
    <row r="439" spans="1:13" x14ac:dyDescent="0.3">
      <c r="A439">
        <v>16</v>
      </c>
      <c r="B439">
        <v>1</v>
      </c>
      <c r="C439" t="s">
        <v>79</v>
      </c>
      <c r="D439" s="1" t="s">
        <v>2</v>
      </c>
      <c r="E439" s="59" t="s">
        <v>16</v>
      </c>
      <c r="F439" s="60">
        <v>8.0166666666666604</v>
      </c>
      <c r="G439" s="60">
        <v>0.71290173859297601</v>
      </c>
      <c r="H439" s="61">
        <v>7.8799999999999901</v>
      </c>
      <c r="I439" s="63">
        <v>2.14</v>
      </c>
      <c r="J439" s="58">
        <v>-5.7399999999999896</v>
      </c>
      <c r="K439" s="58">
        <v>-72.842639593908586</v>
      </c>
      <c r="L439" s="1" t="s">
        <v>68</v>
      </c>
      <c r="M439" s="1">
        <v>3</v>
      </c>
    </row>
    <row r="440" spans="1:13" x14ac:dyDescent="0.3">
      <c r="A440">
        <v>16</v>
      </c>
      <c r="B440">
        <v>1</v>
      </c>
      <c r="C440" t="s">
        <v>79</v>
      </c>
      <c r="D440" s="1" t="s">
        <v>2</v>
      </c>
      <c r="E440" s="59" t="s">
        <v>17</v>
      </c>
      <c r="F440" s="60">
        <v>3.2978333333333301</v>
      </c>
      <c r="G440" s="60">
        <v>0.67530756367417799</v>
      </c>
      <c r="H440" s="61">
        <v>3.53189189189189</v>
      </c>
      <c r="I440" s="63">
        <v>4.1100000000000003</v>
      </c>
      <c r="J440" s="58">
        <v>0.57810810810811031</v>
      </c>
      <c r="K440" s="58">
        <v>16.368227731864167</v>
      </c>
      <c r="L440" s="1" t="s">
        <v>68</v>
      </c>
      <c r="M440" s="1">
        <v>3</v>
      </c>
    </row>
    <row r="441" spans="1:13" x14ac:dyDescent="0.3">
      <c r="A441">
        <v>16</v>
      </c>
      <c r="B441">
        <v>1</v>
      </c>
      <c r="C441" t="s">
        <v>79</v>
      </c>
      <c r="D441" s="1" t="s">
        <v>2</v>
      </c>
      <c r="E441" s="59" t="s">
        <v>18</v>
      </c>
      <c r="F441" s="60">
        <v>0.73150000000000004</v>
      </c>
      <c r="G441" s="60">
        <v>0.21639335325590101</v>
      </c>
      <c r="H441" s="61">
        <v>0.83750000000000002</v>
      </c>
      <c r="I441" s="63">
        <v>1.1399999999999999</v>
      </c>
      <c r="J441" s="58">
        <v>0.30249999999999988</v>
      </c>
      <c r="K441" s="58">
        <v>36.119402985074615</v>
      </c>
      <c r="L441" s="1" t="s">
        <v>68</v>
      </c>
      <c r="M441" s="1">
        <v>3</v>
      </c>
    </row>
    <row r="442" spans="1:13" x14ac:dyDescent="0.3">
      <c r="A442">
        <v>16</v>
      </c>
      <c r="B442">
        <v>1</v>
      </c>
      <c r="C442" t="s">
        <v>79</v>
      </c>
      <c r="D442" s="1" t="s">
        <v>2</v>
      </c>
      <c r="E442" s="59" t="s">
        <v>19</v>
      </c>
      <c r="F442" s="60">
        <v>3.5904761904761902</v>
      </c>
      <c r="G442" s="60">
        <v>1.3769928456793601</v>
      </c>
      <c r="H442" s="61">
        <v>4.2273333333333296</v>
      </c>
      <c r="I442" s="63">
        <v>1.5</v>
      </c>
      <c r="J442" s="58">
        <v>-2.7273333333333296</v>
      </c>
      <c r="K442" s="58">
        <v>-64.516637754297406</v>
      </c>
      <c r="L442" s="1" t="s">
        <v>68</v>
      </c>
      <c r="M442" s="1">
        <v>3</v>
      </c>
    </row>
    <row r="443" spans="1:13" x14ac:dyDescent="0.3">
      <c r="A443">
        <v>16</v>
      </c>
      <c r="B443">
        <v>1</v>
      </c>
      <c r="C443" t="s">
        <v>79</v>
      </c>
      <c r="D443" s="1" t="s">
        <v>2</v>
      </c>
      <c r="E443" s="59" t="s">
        <v>12</v>
      </c>
      <c r="F443" s="60">
        <v>1.90699999999999</v>
      </c>
      <c r="G443" s="60">
        <v>0.27877888490103803</v>
      </c>
      <c r="H443" s="61">
        <v>1.89</v>
      </c>
      <c r="I443" s="63">
        <v>3.55</v>
      </c>
      <c r="J443" s="58">
        <v>1.66</v>
      </c>
      <c r="K443" s="58">
        <v>87.830687830687822</v>
      </c>
      <c r="L443" s="1" t="s">
        <v>69</v>
      </c>
      <c r="M443" s="1">
        <v>3</v>
      </c>
    </row>
    <row r="444" spans="1:13" x14ac:dyDescent="0.3">
      <c r="A444">
        <v>16</v>
      </c>
      <c r="B444">
        <v>1</v>
      </c>
      <c r="C444" t="s">
        <v>79</v>
      </c>
      <c r="D444" s="1" t="s">
        <v>2</v>
      </c>
      <c r="E444" s="59" t="s">
        <v>13</v>
      </c>
      <c r="F444" s="60">
        <v>0.44749999999999901</v>
      </c>
      <c r="G444" s="60">
        <v>3.41869858279433E-2</v>
      </c>
      <c r="H444" s="61">
        <v>0.44999999999999901</v>
      </c>
      <c r="I444" s="63">
        <v>2.44</v>
      </c>
      <c r="J444" s="58">
        <v>1.9900000000000009</v>
      </c>
      <c r="K444" s="58">
        <v>442.22222222222342</v>
      </c>
      <c r="L444" s="1" t="s">
        <v>69</v>
      </c>
      <c r="M444" s="1">
        <v>3</v>
      </c>
    </row>
    <row r="445" spans="1:13" x14ac:dyDescent="0.3">
      <c r="A445">
        <v>16</v>
      </c>
      <c r="B445">
        <v>1</v>
      </c>
      <c r="C445" t="s">
        <v>79</v>
      </c>
      <c r="D445" s="1" t="s">
        <v>2</v>
      </c>
      <c r="E445" s="59" t="s">
        <v>14</v>
      </c>
      <c r="F445" s="60">
        <v>0.24533333333333299</v>
      </c>
      <c r="G445" s="60">
        <v>0.19302389028879799</v>
      </c>
      <c r="H445" s="61">
        <v>0.15448979591836701</v>
      </c>
      <c r="I445" s="63">
        <v>3.99</v>
      </c>
      <c r="J445" s="58">
        <v>3.8355102040816331</v>
      </c>
      <c r="K445" s="58">
        <v>2482.6948480845504</v>
      </c>
      <c r="L445" s="1" t="s">
        <v>69</v>
      </c>
      <c r="M445" s="1">
        <v>3</v>
      </c>
    </row>
    <row r="446" spans="1:13" x14ac:dyDescent="0.3">
      <c r="A446">
        <v>16</v>
      </c>
      <c r="B446">
        <v>1</v>
      </c>
      <c r="C446" t="s">
        <v>79</v>
      </c>
      <c r="D446" s="1" t="s">
        <v>2</v>
      </c>
      <c r="E446" s="59" t="s">
        <v>15</v>
      </c>
      <c r="F446" s="60">
        <v>3.40491525423728</v>
      </c>
      <c r="G446" s="60">
        <v>0.74938024762467503</v>
      </c>
      <c r="H446" s="61">
        <v>3.3354545454545401</v>
      </c>
      <c r="I446" s="63">
        <v>3.75</v>
      </c>
      <c r="J446" s="58">
        <v>0.41454545454545988</v>
      </c>
      <c r="K446" s="58">
        <v>12.428454619787587</v>
      </c>
      <c r="L446" s="1" t="s">
        <v>69</v>
      </c>
      <c r="M446" s="1">
        <v>3</v>
      </c>
    </row>
    <row r="447" spans="1:13" x14ac:dyDescent="0.3">
      <c r="A447">
        <v>16</v>
      </c>
      <c r="B447">
        <v>1</v>
      </c>
      <c r="C447" t="s">
        <v>79</v>
      </c>
      <c r="D447" s="1" t="s">
        <v>2</v>
      </c>
      <c r="E447" s="59" t="s">
        <v>16</v>
      </c>
      <c r="F447" s="60">
        <v>8.0166666666666604</v>
      </c>
      <c r="G447" s="60">
        <v>0.71290173859297601</v>
      </c>
      <c r="H447" s="61">
        <v>7.8799999999999901</v>
      </c>
      <c r="I447" s="63">
        <v>2.2000000000000002</v>
      </c>
      <c r="J447" s="58">
        <v>-5.6799999999999899</v>
      </c>
      <c r="K447" s="58">
        <v>-72.081218274111635</v>
      </c>
      <c r="L447" s="1" t="s">
        <v>69</v>
      </c>
      <c r="M447" s="1">
        <v>3</v>
      </c>
    </row>
    <row r="448" spans="1:13" x14ac:dyDescent="0.3">
      <c r="A448">
        <v>16</v>
      </c>
      <c r="B448">
        <v>1</v>
      </c>
      <c r="C448" t="s">
        <v>79</v>
      </c>
      <c r="D448" s="1" t="s">
        <v>2</v>
      </c>
      <c r="E448" s="59" t="s">
        <v>17</v>
      </c>
      <c r="F448" s="60">
        <v>3.2978333333333301</v>
      </c>
      <c r="G448" s="60">
        <v>0.67530756367417799</v>
      </c>
      <c r="H448" s="61">
        <v>3.53189189189189</v>
      </c>
      <c r="I448" s="63">
        <v>4.25</v>
      </c>
      <c r="J448" s="58">
        <v>0.71810810810810999</v>
      </c>
      <c r="K448" s="58">
        <v>20.332108968472671</v>
      </c>
      <c r="L448" s="1" t="s">
        <v>69</v>
      </c>
      <c r="M448" s="1">
        <v>3</v>
      </c>
    </row>
    <row r="449" spans="1:13" x14ac:dyDescent="0.3">
      <c r="A449">
        <v>16</v>
      </c>
      <c r="B449">
        <v>1</v>
      </c>
      <c r="C449" t="s">
        <v>79</v>
      </c>
      <c r="D449" s="1" t="s">
        <v>2</v>
      </c>
      <c r="E449" s="59" t="s">
        <v>18</v>
      </c>
      <c r="F449" s="60">
        <v>0.73150000000000004</v>
      </c>
      <c r="G449" s="60">
        <v>0.21639335325590101</v>
      </c>
      <c r="H449" s="61">
        <v>0.83750000000000002</v>
      </c>
      <c r="I449" s="63">
        <v>1.1599999999999999</v>
      </c>
      <c r="J449" s="58">
        <v>0.3224999999999999</v>
      </c>
      <c r="K449" s="58">
        <v>38.507462686567152</v>
      </c>
      <c r="L449" s="1" t="s">
        <v>69</v>
      </c>
      <c r="M449" s="1">
        <v>3</v>
      </c>
    </row>
    <row r="450" spans="1:13" x14ac:dyDescent="0.3">
      <c r="A450">
        <v>16</v>
      </c>
      <c r="B450">
        <v>1</v>
      </c>
      <c r="C450" t="s">
        <v>79</v>
      </c>
      <c r="D450" s="1" t="s">
        <v>2</v>
      </c>
      <c r="E450" s="59" t="s">
        <v>19</v>
      </c>
      <c r="F450" s="60">
        <v>3.5904761904761902</v>
      </c>
      <c r="G450" s="60">
        <v>1.3769928456793601</v>
      </c>
      <c r="H450" s="61">
        <v>4.2273333333333296</v>
      </c>
      <c r="I450" s="63">
        <v>1.51</v>
      </c>
      <c r="J450" s="58">
        <v>-2.7173333333333298</v>
      </c>
      <c r="K450" s="58">
        <v>-64.280082005992725</v>
      </c>
      <c r="L450" s="1" t="s">
        <v>69</v>
      </c>
      <c r="M450" s="1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D978-16FC-4037-9681-9F719F1E9C13}">
  <dimension ref="A1:M225"/>
  <sheetViews>
    <sheetView workbookViewId="0">
      <selection activeCell="H232" sqref="H232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</v>
      </c>
      <c r="B2">
        <v>1</v>
      </c>
      <c r="C2" t="s">
        <v>79</v>
      </c>
      <c r="D2" s="1" t="s">
        <v>2</v>
      </c>
      <c r="E2" s="59"/>
      <c r="F2" s="60"/>
      <c r="G2" s="60"/>
      <c r="H2" s="61"/>
      <c r="I2" s="62"/>
      <c r="J2" s="37"/>
      <c r="K2" s="37"/>
      <c r="L2" s="1" t="s">
        <v>23</v>
      </c>
      <c r="M2" s="1">
        <v>1</v>
      </c>
    </row>
    <row r="3" spans="1:13" x14ac:dyDescent="0.3">
      <c r="A3">
        <v>1</v>
      </c>
      <c r="B3">
        <v>1</v>
      </c>
      <c r="C3" t="s">
        <v>79</v>
      </c>
      <c r="D3" s="1" t="s">
        <v>2</v>
      </c>
      <c r="E3" s="59"/>
      <c r="F3" s="60"/>
      <c r="G3" s="60"/>
      <c r="H3" s="61"/>
      <c r="I3" s="62"/>
      <c r="J3" s="37"/>
      <c r="K3" s="37"/>
      <c r="L3" s="1" t="s">
        <v>23</v>
      </c>
      <c r="M3" s="1">
        <v>1</v>
      </c>
    </row>
    <row r="4" spans="1:13" x14ac:dyDescent="0.3">
      <c r="A4">
        <v>1</v>
      </c>
      <c r="B4">
        <v>1</v>
      </c>
      <c r="C4" t="s">
        <v>79</v>
      </c>
      <c r="D4" s="1" t="s">
        <v>2</v>
      </c>
      <c r="E4" s="59"/>
      <c r="F4" s="60"/>
      <c r="G4" s="60"/>
      <c r="H4" s="61"/>
      <c r="I4" s="62"/>
      <c r="J4" s="37"/>
      <c r="K4" s="37"/>
      <c r="L4" s="1" t="s">
        <v>23</v>
      </c>
      <c r="M4" s="1">
        <v>1</v>
      </c>
    </row>
    <row r="5" spans="1:13" x14ac:dyDescent="0.3">
      <c r="A5">
        <v>1</v>
      </c>
      <c r="B5">
        <v>1</v>
      </c>
      <c r="C5" t="s">
        <v>79</v>
      </c>
      <c r="D5" s="1" t="s">
        <v>2</v>
      </c>
      <c r="E5" s="59"/>
      <c r="F5" s="60"/>
      <c r="G5" s="60"/>
      <c r="H5" s="61"/>
      <c r="I5" s="62"/>
      <c r="J5" s="37"/>
      <c r="K5" s="37"/>
      <c r="L5" s="1" t="s">
        <v>23</v>
      </c>
      <c r="M5" s="1">
        <v>1</v>
      </c>
    </row>
    <row r="6" spans="1:13" x14ac:dyDescent="0.3">
      <c r="A6">
        <v>1</v>
      </c>
      <c r="B6">
        <v>1</v>
      </c>
      <c r="C6" t="s">
        <v>79</v>
      </c>
      <c r="D6" s="1" t="s">
        <v>2</v>
      </c>
      <c r="E6" s="59"/>
      <c r="F6" s="60"/>
      <c r="G6" s="60"/>
      <c r="H6" s="61"/>
      <c r="I6" s="62"/>
      <c r="J6" s="37"/>
      <c r="K6" s="37"/>
      <c r="L6" s="1" t="s">
        <v>23</v>
      </c>
      <c r="M6" s="1">
        <v>1</v>
      </c>
    </row>
    <row r="7" spans="1:13" x14ac:dyDescent="0.3">
      <c r="A7">
        <v>1</v>
      </c>
      <c r="B7">
        <v>1</v>
      </c>
      <c r="C7" t="s">
        <v>79</v>
      </c>
      <c r="D7" s="1" t="s">
        <v>2</v>
      </c>
      <c r="E7" s="59"/>
      <c r="F7" s="60"/>
      <c r="G7" s="60"/>
      <c r="H7" s="61"/>
      <c r="I7" s="62"/>
      <c r="J7" s="37"/>
      <c r="K7" s="37"/>
      <c r="L7" s="1" t="s">
        <v>23</v>
      </c>
      <c r="M7" s="1">
        <v>1</v>
      </c>
    </row>
    <row r="8" spans="1:13" x14ac:dyDescent="0.3">
      <c r="A8">
        <v>1</v>
      </c>
      <c r="B8">
        <v>1</v>
      </c>
      <c r="C8" t="s">
        <v>79</v>
      </c>
      <c r="D8" s="1" t="s">
        <v>2</v>
      </c>
      <c r="E8" s="59"/>
      <c r="F8" s="60"/>
      <c r="G8" s="60"/>
      <c r="H8" s="61"/>
      <c r="I8" s="62"/>
      <c r="J8" s="37"/>
      <c r="K8" s="37"/>
      <c r="L8" s="1" t="s">
        <v>23</v>
      </c>
      <c r="M8" s="1">
        <v>1</v>
      </c>
    </row>
    <row r="9" spans="1:13" x14ac:dyDescent="0.3">
      <c r="A9">
        <v>1</v>
      </c>
      <c r="B9">
        <v>1</v>
      </c>
      <c r="C9" t="s">
        <v>79</v>
      </c>
      <c r="D9" s="1" t="s">
        <v>2</v>
      </c>
      <c r="E9" s="59"/>
      <c r="F9" s="60"/>
      <c r="G9" s="60"/>
      <c r="H9" s="61"/>
      <c r="I9" s="62"/>
      <c r="J9" s="37"/>
      <c r="K9" s="37"/>
      <c r="L9" s="1" t="s">
        <v>23</v>
      </c>
      <c r="M9" s="1">
        <v>1</v>
      </c>
    </row>
    <row r="10" spans="1:13" x14ac:dyDescent="0.3">
      <c r="A10">
        <v>1</v>
      </c>
      <c r="B10">
        <v>1</v>
      </c>
      <c r="C10" t="s">
        <v>79</v>
      </c>
      <c r="D10" s="1" t="s">
        <v>2</v>
      </c>
      <c r="E10" s="59"/>
      <c r="F10" s="60"/>
      <c r="G10" s="60"/>
      <c r="H10" s="61"/>
      <c r="I10" s="62"/>
      <c r="J10" s="37"/>
      <c r="K10" s="37"/>
      <c r="L10" s="1" t="s">
        <v>68</v>
      </c>
      <c r="M10" s="1">
        <v>1</v>
      </c>
    </row>
    <row r="11" spans="1:13" x14ac:dyDescent="0.3">
      <c r="A11">
        <v>1</v>
      </c>
      <c r="B11">
        <v>1</v>
      </c>
      <c r="C11" t="s">
        <v>79</v>
      </c>
      <c r="D11" s="1" t="s">
        <v>2</v>
      </c>
      <c r="E11" s="59"/>
      <c r="F11" s="60"/>
      <c r="G11" s="60"/>
      <c r="H11" s="61"/>
      <c r="I11" s="62"/>
      <c r="J11" s="37"/>
      <c r="K11" s="37"/>
      <c r="L11" s="1" t="s">
        <v>68</v>
      </c>
      <c r="M11" s="1">
        <v>1</v>
      </c>
    </row>
    <row r="12" spans="1:13" x14ac:dyDescent="0.3">
      <c r="A12">
        <v>1</v>
      </c>
      <c r="B12">
        <v>1</v>
      </c>
      <c r="C12" t="s">
        <v>79</v>
      </c>
      <c r="D12" s="1" t="s">
        <v>2</v>
      </c>
      <c r="E12" s="59"/>
      <c r="F12" s="60"/>
      <c r="G12" s="60"/>
      <c r="H12" s="61"/>
      <c r="I12" s="62"/>
      <c r="J12" s="37"/>
      <c r="K12" s="37"/>
      <c r="L12" s="1" t="s">
        <v>68</v>
      </c>
      <c r="M12" s="1">
        <v>1</v>
      </c>
    </row>
    <row r="13" spans="1:13" x14ac:dyDescent="0.3">
      <c r="A13">
        <v>1</v>
      </c>
      <c r="B13">
        <v>1</v>
      </c>
      <c r="C13" t="s">
        <v>79</v>
      </c>
      <c r="D13" s="1" t="s">
        <v>2</v>
      </c>
      <c r="E13" s="59"/>
      <c r="F13" s="60"/>
      <c r="G13" s="60"/>
      <c r="H13" s="61"/>
      <c r="I13" s="62"/>
      <c r="J13" s="37"/>
      <c r="K13" s="37"/>
      <c r="L13" s="1" t="s">
        <v>68</v>
      </c>
      <c r="M13" s="1">
        <v>1</v>
      </c>
    </row>
    <row r="14" spans="1:13" x14ac:dyDescent="0.3">
      <c r="A14">
        <v>1</v>
      </c>
      <c r="B14">
        <v>1</v>
      </c>
      <c r="C14" t="s">
        <v>79</v>
      </c>
      <c r="D14" s="1" t="s">
        <v>2</v>
      </c>
      <c r="E14" s="59"/>
      <c r="F14" s="60"/>
      <c r="G14" s="60"/>
      <c r="H14" s="61"/>
      <c r="I14" s="62"/>
      <c r="J14" s="37"/>
      <c r="K14" s="37"/>
      <c r="L14" s="1" t="s">
        <v>68</v>
      </c>
      <c r="M14" s="1">
        <v>1</v>
      </c>
    </row>
    <row r="15" spans="1:13" x14ac:dyDescent="0.3">
      <c r="A15">
        <v>1</v>
      </c>
      <c r="B15">
        <v>1</v>
      </c>
      <c r="C15" t="s">
        <v>79</v>
      </c>
      <c r="D15" s="1" t="s">
        <v>2</v>
      </c>
      <c r="E15" s="59"/>
      <c r="F15" s="60"/>
      <c r="G15" s="60"/>
      <c r="H15" s="61"/>
      <c r="I15" s="62"/>
      <c r="J15" s="37"/>
      <c r="K15" s="37"/>
      <c r="L15" s="1" t="s">
        <v>68</v>
      </c>
      <c r="M15" s="1">
        <v>1</v>
      </c>
    </row>
    <row r="16" spans="1:13" x14ac:dyDescent="0.3">
      <c r="A16">
        <v>1</v>
      </c>
      <c r="B16">
        <v>1</v>
      </c>
      <c r="C16" t="s">
        <v>79</v>
      </c>
      <c r="D16" s="1" t="s">
        <v>2</v>
      </c>
      <c r="E16" s="59"/>
      <c r="F16" s="60"/>
      <c r="G16" s="60"/>
      <c r="H16" s="61"/>
      <c r="I16" s="62"/>
      <c r="J16" s="37"/>
      <c r="K16" s="37"/>
      <c r="L16" s="1" t="s">
        <v>68</v>
      </c>
      <c r="M16" s="1">
        <v>1</v>
      </c>
    </row>
    <row r="17" spans="1:13" x14ac:dyDescent="0.3">
      <c r="A17">
        <v>1</v>
      </c>
      <c r="B17">
        <v>1</v>
      </c>
      <c r="C17" t="s">
        <v>79</v>
      </c>
      <c r="D17" s="1" t="s">
        <v>2</v>
      </c>
      <c r="E17" s="59"/>
      <c r="F17" s="60"/>
      <c r="G17" s="60"/>
      <c r="H17" s="61"/>
      <c r="I17" s="62"/>
      <c r="J17" s="37"/>
      <c r="K17" s="37"/>
      <c r="L17" s="1" t="s">
        <v>68</v>
      </c>
      <c r="M17" s="1">
        <v>1</v>
      </c>
    </row>
    <row r="18" spans="1:13" x14ac:dyDescent="0.3">
      <c r="A18">
        <v>1</v>
      </c>
      <c r="B18">
        <v>1</v>
      </c>
      <c r="C18" t="s">
        <v>79</v>
      </c>
      <c r="D18" s="1" t="s">
        <v>2</v>
      </c>
      <c r="E18" s="59"/>
      <c r="F18" s="60"/>
      <c r="G18" s="60"/>
      <c r="H18" s="61"/>
      <c r="I18" s="62"/>
      <c r="J18" s="37"/>
      <c r="K18" s="37"/>
      <c r="L18" s="1" t="s">
        <v>69</v>
      </c>
      <c r="M18" s="1">
        <v>1</v>
      </c>
    </row>
    <row r="19" spans="1:13" x14ac:dyDescent="0.3">
      <c r="A19">
        <v>1</v>
      </c>
      <c r="B19">
        <v>1</v>
      </c>
      <c r="C19" t="s">
        <v>79</v>
      </c>
      <c r="D19" s="1" t="s">
        <v>2</v>
      </c>
      <c r="E19" s="59"/>
      <c r="F19" s="60"/>
      <c r="G19" s="60"/>
      <c r="H19" s="61"/>
      <c r="I19" s="62"/>
      <c r="J19" s="37"/>
      <c r="K19" s="37"/>
      <c r="L19" s="1" t="s">
        <v>69</v>
      </c>
      <c r="M19" s="1">
        <v>1</v>
      </c>
    </row>
    <row r="20" spans="1:13" x14ac:dyDescent="0.3">
      <c r="A20">
        <v>1</v>
      </c>
      <c r="B20">
        <v>1</v>
      </c>
      <c r="C20" t="s">
        <v>79</v>
      </c>
      <c r="D20" s="1" t="s">
        <v>2</v>
      </c>
      <c r="E20" s="59"/>
      <c r="F20" s="60"/>
      <c r="G20" s="60"/>
      <c r="H20" s="61"/>
      <c r="I20" s="62"/>
      <c r="J20" s="37"/>
      <c r="K20" s="37"/>
      <c r="L20" s="1" t="s">
        <v>69</v>
      </c>
      <c r="M20" s="1">
        <v>1</v>
      </c>
    </row>
    <row r="21" spans="1:13" x14ac:dyDescent="0.3">
      <c r="A21">
        <v>1</v>
      </c>
      <c r="B21">
        <v>1</v>
      </c>
      <c r="C21" t="s">
        <v>79</v>
      </c>
      <c r="D21" s="1" t="s">
        <v>2</v>
      </c>
      <c r="E21" s="59"/>
      <c r="F21" s="60"/>
      <c r="G21" s="60"/>
      <c r="H21" s="61"/>
      <c r="I21" s="62"/>
      <c r="J21" s="37"/>
      <c r="K21" s="37"/>
      <c r="L21" s="1" t="s">
        <v>69</v>
      </c>
      <c r="M21" s="1">
        <v>1</v>
      </c>
    </row>
    <row r="22" spans="1:13" x14ac:dyDescent="0.3">
      <c r="A22">
        <v>1</v>
      </c>
      <c r="B22">
        <v>1</v>
      </c>
      <c r="C22" t="s">
        <v>79</v>
      </c>
      <c r="D22" s="1" t="s">
        <v>2</v>
      </c>
      <c r="E22" s="59"/>
      <c r="F22" s="60"/>
      <c r="G22" s="60"/>
      <c r="H22" s="61"/>
      <c r="I22" s="62"/>
      <c r="J22" s="37"/>
      <c r="K22" s="37"/>
      <c r="L22" s="1" t="s">
        <v>69</v>
      </c>
      <c r="M22" s="1">
        <v>1</v>
      </c>
    </row>
    <row r="23" spans="1:13" x14ac:dyDescent="0.3">
      <c r="A23">
        <v>1</v>
      </c>
      <c r="B23">
        <v>1</v>
      </c>
      <c r="C23" t="s">
        <v>79</v>
      </c>
      <c r="D23" s="1" t="s">
        <v>2</v>
      </c>
      <c r="E23" s="59"/>
      <c r="F23" s="60"/>
      <c r="G23" s="60"/>
      <c r="H23" s="61"/>
      <c r="I23" s="62"/>
      <c r="J23" s="37"/>
      <c r="K23" s="37"/>
      <c r="L23" s="1" t="s">
        <v>69</v>
      </c>
      <c r="M23" s="1">
        <v>1</v>
      </c>
    </row>
    <row r="24" spans="1:13" x14ac:dyDescent="0.3">
      <c r="A24">
        <v>1</v>
      </c>
      <c r="B24">
        <v>1</v>
      </c>
      <c r="C24" t="s">
        <v>79</v>
      </c>
      <c r="D24" s="1" t="s">
        <v>2</v>
      </c>
      <c r="E24" s="59"/>
      <c r="F24" s="60"/>
      <c r="G24" s="60"/>
      <c r="H24" s="61"/>
      <c r="I24" s="62"/>
      <c r="J24" s="37"/>
      <c r="K24" s="37"/>
      <c r="L24" s="1" t="s">
        <v>69</v>
      </c>
      <c r="M24" s="1">
        <v>1</v>
      </c>
    </row>
    <row r="25" spans="1:13" x14ac:dyDescent="0.3">
      <c r="A25">
        <v>1</v>
      </c>
      <c r="B25">
        <v>1</v>
      </c>
      <c r="C25" t="s">
        <v>79</v>
      </c>
      <c r="D25" s="1" t="s">
        <v>2</v>
      </c>
      <c r="E25" s="59"/>
      <c r="F25" s="60"/>
      <c r="G25" s="60"/>
      <c r="H25" s="61"/>
      <c r="I25" s="62"/>
      <c r="J25" s="37"/>
      <c r="K25" s="37"/>
      <c r="L25" s="1" t="s">
        <v>69</v>
      </c>
      <c r="M25" s="1">
        <v>1</v>
      </c>
    </row>
    <row r="26" spans="1:13" x14ac:dyDescent="0.3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>
        <v>1</v>
      </c>
      <c r="B27">
        <v>1</v>
      </c>
      <c r="C27" t="s">
        <v>79</v>
      </c>
      <c r="D27" s="1" t="s">
        <v>2</v>
      </c>
      <c r="E27" s="59" t="s">
        <v>12</v>
      </c>
      <c r="F27" s="60">
        <v>3.26018518518518</v>
      </c>
      <c r="G27" s="60">
        <v>3.7826467760515401</v>
      </c>
      <c r="H27" s="61">
        <v>2.3592156862745099</v>
      </c>
      <c r="I27" s="62">
        <v>3.04</v>
      </c>
      <c r="J27" s="37">
        <v>0.68078431372549009</v>
      </c>
      <c r="K27" s="37">
        <v>28.856382978723399</v>
      </c>
      <c r="L27" s="1" t="s">
        <v>23</v>
      </c>
      <c r="M27" s="1">
        <v>2</v>
      </c>
    </row>
    <row r="28" spans="1:13" x14ac:dyDescent="0.3">
      <c r="A28">
        <v>1</v>
      </c>
      <c r="B28">
        <v>1</v>
      </c>
      <c r="C28" t="s">
        <v>79</v>
      </c>
      <c r="D28" s="1" t="s">
        <v>2</v>
      </c>
      <c r="E28" s="59" t="s">
        <v>13</v>
      </c>
      <c r="F28" s="60">
        <v>1.21078947368421</v>
      </c>
      <c r="G28" s="60">
        <v>0.30504858611243602</v>
      </c>
      <c r="H28" s="61">
        <v>1.17</v>
      </c>
      <c r="I28" s="62">
        <v>4.01</v>
      </c>
      <c r="J28" s="37">
        <v>2.84</v>
      </c>
      <c r="K28" s="37">
        <v>242.73504273504273</v>
      </c>
      <c r="L28" s="1" t="s">
        <v>23</v>
      </c>
      <c r="M28" s="1">
        <v>2</v>
      </c>
    </row>
    <row r="29" spans="1:13" x14ac:dyDescent="0.3">
      <c r="A29">
        <v>1</v>
      </c>
      <c r="B29">
        <v>1</v>
      </c>
      <c r="C29" t="s">
        <v>79</v>
      </c>
      <c r="D29" s="1" t="s">
        <v>2</v>
      </c>
      <c r="E29" s="59" t="s">
        <v>14</v>
      </c>
      <c r="F29" s="60">
        <v>3.0053846153846102</v>
      </c>
      <c r="G29" s="60">
        <v>1.83214088887464</v>
      </c>
      <c r="H29" s="61">
        <v>2.5569565217391301</v>
      </c>
      <c r="I29" s="62">
        <v>5.24</v>
      </c>
      <c r="J29" s="37">
        <v>2.6830434782608701</v>
      </c>
      <c r="K29" s="37">
        <v>104.93113416085703</v>
      </c>
      <c r="L29" s="1" t="s">
        <v>23</v>
      </c>
      <c r="M29" s="1">
        <v>2</v>
      </c>
    </row>
    <row r="30" spans="1:13" x14ac:dyDescent="0.3">
      <c r="A30">
        <v>1</v>
      </c>
      <c r="B30">
        <v>1</v>
      </c>
      <c r="C30" t="s">
        <v>79</v>
      </c>
      <c r="D30" s="1" t="s">
        <v>2</v>
      </c>
      <c r="E30" s="59" t="s">
        <v>15</v>
      </c>
      <c r="F30" s="60">
        <v>3.9521666666666602</v>
      </c>
      <c r="G30" s="60">
        <v>2.7362158124355198</v>
      </c>
      <c r="H30" s="61">
        <v>3.3326315789473702</v>
      </c>
      <c r="I30" s="62">
        <v>5.77</v>
      </c>
      <c r="J30" s="37">
        <v>2.4373684210526294</v>
      </c>
      <c r="K30" s="37">
        <v>73.136449778900712</v>
      </c>
      <c r="L30" s="1" t="s">
        <v>23</v>
      </c>
      <c r="M30" s="1">
        <v>2</v>
      </c>
    </row>
    <row r="31" spans="1:13" x14ac:dyDescent="0.3">
      <c r="A31">
        <v>1</v>
      </c>
      <c r="B31">
        <v>1</v>
      </c>
      <c r="C31" t="s">
        <v>79</v>
      </c>
      <c r="D31" s="1" t="s">
        <v>2</v>
      </c>
      <c r="E31" s="59" t="s">
        <v>16</v>
      </c>
      <c r="F31" s="60">
        <v>1.59</v>
      </c>
      <c r="G31" s="60">
        <v>0.967265935423401</v>
      </c>
      <c r="H31" s="61">
        <v>1.41</v>
      </c>
      <c r="I31" s="62">
        <v>4.1900000000000004</v>
      </c>
      <c r="J31" s="37">
        <v>2.7800000000000002</v>
      </c>
      <c r="K31" s="37">
        <v>197.1631205673759</v>
      </c>
      <c r="L31" s="1" t="s">
        <v>23</v>
      </c>
      <c r="M31" s="1">
        <v>2</v>
      </c>
    </row>
    <row r="32" spans="1:13" x14ac:dyDescent="0.3">
      <c r="A32">
        <v>1</v>
      </c>
      <c r="B32">
        <v>1</v>
      </c>
      <c r="C32" t="s">
        <v>79</v>
      </c>
      <c r="D32" s="1" t="s">
        <v>2</v>
      </c>
      <c r="E32" s="59" t="s">
        <v>17</v>
      </c>
      <c r="F32" s="60">
        <v>7.12843137254902</v>
      </c>
      <c r="G32" s="60">
        <v>19.7181781734668</v>
      </c>
      <c r="H32" s="61">
        <v>1.4619148936170201</v>
      </c>
      <c r="I32" s="62">
        <v>4.38</v>
      </c>
      <c r="J32" s="37">
        <v>2.9180851063829798</v>
      </c>
      <c r="K32" s="37">
        <v>199.60704409838473</v>
      </c>
      <c r="L32" s="1" t="s">
        <v>23</v>
      </c>
      <c r="M32" s="1">
        <v>2</v>
      </c>
    </row>
    <row r="33" spans="1:13" x14ac:dyDescent="0.3">
      <c r="A33">
        <v>1</v>
      </c>
      <c r="B33">
        <v>1</v>
      </c>
      <c r="C33" t="s">
        <v>79</v>
      </c>
      <c r="D33" s="1" t="s">
        <v>2</v>
      </c>
      <c r="E33" s="59" t="s">
        <v>18</v>
      </c>
      <c r="F33" s="60">
        <v>1.07</v>
      </c>
      <c r="G33" s="60">
        <v>0.355833165091887</v>
      </c>
      <c r="H33" s="61">
        <v>1.2178260869565201</v>
      </c>
      <c r="I33" s="62">
        <v>1.55</v>
      </c>
      <c r="J33" s="37">
        <v>0.33217391304347998</v>
      </c>
      <c r="K33" s="37">
        <v>27.275972866833452</v>
      </c>
      <c r="L33" s="1" t="s">
        <v>23</v>
      </c>
      <c r="M33" s="1">
        <v>2</v>
      </c>
    </row>
    <row r="34" spans="1:13" x14ac:dyDescent="0.3">
      <c r="A34">
        <v>1</v>
      </c>
      <c r="B34">
        <v>1</v>
      </c>
      <c r="C34" t="s">
        <v>79</v>
      </c>
      <c r="D34" s="1" t="s">
        <v>2</v>
      </c>
      <c r="E34" s="59" t="s">
        <v>19</v>
      </c>
      <c r="F34" s="60">
        <v>3.5249999999999999</v>
      </c>
      <c r="G34" s="60">
        <v>1.69616184369298</v>
      </c>
      <c r="H34" s="61">
        <v>2.94857142857142</v>
      </c>
      <c r="I34" s="62">
        <v>2.41</v>
      </c>
      <c r="J34" s="37">
        <v>-0.53857142857141982</v>
      </c>
      <c r="K34" s="37">
        <v>-18.265503875968751</v>
      </c>
      <c r="L34" s="1" t="s">
        <v>23</v>
      </c>
      <c r="M34" s="1">
        <v>2</v>
      </c>
    </row>
    <row r="35" spans="1:13" x14ac:dyDescent="0.3">
      <c r="A35">
        <v>1</v>
      </c>
      <c r="B35">
        <v>1</v>
      </c>
      <c r="C35" t="s">
        <v>79</v>
      </c>
      <c r="D35" s="1" t="s">
        <v>2</v>
      </c>
      <c r="E35" s="59" t="s">
        <v>12</v>
      </c>
      <c r="F35" s="60">
        <v>3.26018518518518</v>
      </c>
      <c r="G35" s="60">
        <v>3.7826467760515401</v>
      </c>
      <c r="H35" s="61">
        <v>2.3592156862745099</v>
      </c>
      <c r="I35" s="62">
        <v>2.99</v>
      </c>
      <c r="J35" s="37">
        <v>0.63078431372549026</v>
      </c>
      <c r="K35" s="37">
        <v>26.737034574468087</v>
      </c>
      <c r="L35" s="1" t="s">
        <v>68</v>
      </c>
      <c r="M35" s="1">
        <v>2</v>
      </c>
    </row>
    <row r="36" spans="1:13" x14ac:dyDescent="0.3">
      <c r="A36">
        <v>1</v>
      </c>
      <c r="B36">
        <v>1</v>
      </c>
      <c r="C36" t="s">
        <v>79</v>
      </c>
      <c r="D36" s="1" t="s">
        <v>2</v>
      </c>
      <c r="E36" s="59" t="s">
        <v>13</v>
      </c>
      <c r="F36" s="60">
        <v>1.21078947368421</v>
      </c>
      <c r="G36" s="60">
        <v>0.30504858611243602</v>
      </c>
      <c r="H36" s="61">
        <v>1.17</v>
      </c>
      <c r="I36" s="62">
        <v>4.18</v>
      </c>
      <c r="J36" s="37">
        <v>3.01</v>
      </c>
      <c r="K36" s="37">
        <v>257.26495726495727</v>
      </c>
      <c r="L36" s="1" t="s">
        <v>68</v>
      </c>
      <c r="M36" s="1">
        <v>2</v>
      </c>
    </row>
    <row r="37" spans="1:13" x14ac:dyDescent="0.3">
      <c r="A37">
        <v>1</v>
      </c>
      <c r="B37">
        <v>1</v>
      </c>
      <c r="C37" t="s">
        <v>79</v>
      </c>
      <c r="D37" s="1" t="s">
        <v>2</v>
      </c>
      <c r="E37" s="59" t="s">
        <v>14</v>
      </c>
      <c r="F37" s="60">
        <v>3.0053846153846102</v>
      </c>
      <c r="G37" s="60">
        <v>1.83214088887464</v>
      </c>
      <c r="H37" s="61">
        <v>2.5569565217391301</v>
      </c>
      <c r="I37" s="62">
        <v>5.28</v>
      </c>
      <c r="J37" s="37">
        <v>2.7230434782608701</v>
      </c>
      <c r="K37" s="37">
        <v>106.49549396361166</v>
      </c>
      <c r="L37" s="1" t="s">
        <v>68</v>
      </c>
      <c r="M37" s="1">
        <v>2</v>
      </c>
    </row>
    <row r="38" spans="1:13" x14ac:dyDescent="0.3">
      <c r="A38">
        <v>1</v>
      </c>
      <c r="B38">
        <v>1</v>
      </c>
      <c r="C38" t="s">
        <v>79</v>
      </c>
      <c r="D38" s="1" t="s">
        <v>2</v>
      </c>
      <c r="E38" s="59" t="s">
        <v>15</v>
      </c>
      <c r="F38" s="60">
        <v>3.9521666666666602</v>
      </c>
      <c r="G38" s="60">
        <v>2.7362158124355198</v>
      </c>
      <c r="H38" s="61">
        <v>3.3326315789473702</v>
      </c>
      <c r="I38" s="62">
        <v>5.69</v>
      </c>
      <c r="J38" s="37">
        <v>2.3573684210526302</v>
      </c>
      <c r="K38" s="37">
        <v>70.735944409349258</v>
      </c>
      <c r="L38" s="1" t="s">
        <v>68</v>
      </c>
      <c r="M38" s="1">
        <v>2</v>
      </c>
    </row>
    <row r="39" spans="1:13" x14ac:dyDescent="0.3">
      <c r="A39">
        <v>1</v>
      </c>
      <c r="B39">
        <v>1</v>
      </c>
      <c r="C39" t="s">
        <v>79</v>
      </c>
      <c r="D39" s="1" t="s">
        <v>2</v>
      </c>
      <c r="E39" s="59" t="s">
        <v>16</v>
      </c>
      <c r="F39" s="60">
        <v>1.59</v>
      </c>
      <c r="G39" s="60">
        <v>0.967265935423401</v>
      </c>
      <c r="H39" s="61">
        <v>1.41</v>
      </c>
      <c r="I39" s="62">
        <v>4.22</v>
      </c>
      <c r="J39" s="37">
        <v>2.8099999999999996</v>
      </c>
      <c r="K39" s="37">
        <v>199.29078014184395</v>
      </c>
      <c r="L39" s="1" t="s">
        <v>68</v>
      </c>
      <c r="M39" s="1">
        <v>2</v>
      </c>
    </row>
    <row r="40" spans="1:13" x14ac:dyDescent="0.3">
      <c r="A40">
        <v>1</v>
      </c>
      <c r="B40">
        <v>1</v>
      </c>
      <c r="C40" t="s">
        <v>79</v>
      </c>
      <c r="D40" s="1" t="s">
        <v>2</v>
      </c>
      <c r="E40" s="59" t="s">
        <v>17</v>
      </c>
      <c r="F40" s="60">
        <v>7.12843137254902</v>
      </c>
      <c r="G40" s="60">
        <v>19.7181781734668</v>
      </c>
      <c r="H40" s="61">
        <v>1.4619148936170201</v>
      </c>
      <c r="I40" s="62">
        <v>4.3899999999999997</v>
      </c>
      <c r="J40" s="37">
        <v>2.9280851063829796</v>
      </c>
      <c r="K40" s="37">
        <v>200.29107844564132</v>
      </c>
      <c r="L40" s="1" t="s">
        <v>68</v>
      </c>
      <c r="M40" s="1">
        <v>2</v>
      </c>
    </row>
    <row r="41" spans="1:13" x14ac:dyDescent="0.3">
      <c r="A41">
        <v>1</v>
      </c>
      <c r="B41">
        <v>1</v>
      </c>
      <c r="C41" t="s">
        <v>79</v>
      </c>
      <c r="D41" s="1" t="s">
        <v>2</v>
      </c>
      <c r="E41" s="59" t="s">
        <v>18</v>
      </c>
      <c r="F41" s="60">
        <v>1.07</v>
      </c>
      <c r="G41" s="60">
        <v>0.355833165091887</v>
      </c>
      <c r="H41" s="61">
        <v>1.2178260869565201</v>
      </c>
      <c r="I41" s="62">
        <v>1.62</v>
      </c>
      <c r="J41" s="37">
        <v>0.40217391304348005</v>
      </c>
      <c r="K41" s="37">
        <v>33.02392002856142</v>
      </c>
      <c r="L41" s="1" t="s">
        <v>68</v>
      </c>
      <c r="M41" s="1">
        <v>2</v>
      </c>
    </row>
    <row r="42" spans="1:13" x14ac:dyDescent="0.3">
      <c r="A42">
        <v>1</v>
      </c>
      <c r="B42">
        <v>1</v>
      </c>
      <c r="C42" t="s">
        <v>79</v>
      </c>
      <c r="D42" s="1" t="s">
        <v>2</v>
      </c>
      <c r="E42" s="59" t="s">
        <v>19</v>
      </c>
      <c r="F42" s="60">
        <v>3.5249999999999999</v>
      </c>
      <c r="G42" s="60">
        <v>1.69616184369298</v>
      </c>
      <c r="H42" s="61">
        <v>2.94857142857142</v>
      </c>
      <c r="I42" s="62">
        <v>2.44</v>
      </c>
      <c r="J42" s="37">
        <v>-0.50857142857142001</v>
      </c>
      <c r="K42" s="37">
        <v>-17.248062015503638</v>
      </c>
      <c r="L42" s="1" t="s">
        <v>68</v>
      </c>
      <c r="M42" s="1">
        <v>2</v>
      </c>
    </row>
    <row r="43" spans="1:13" x14ac:dyDescent="0.3">
      <c r="A43">
        <v>1</v>
      </c>
      <c r="B43">
        <v>1</v>
      </c>
      <c r="C43" t="s">
        <v>79</v>
      </c>
      <c r="D43" s="1" t="s">
        <v>2</v>
      </c>
      <c r="E43" s="59" t="s">
        <v>12</v>
      </c>
      <c r="F43" s="60">
        <v>3.26018518518518</v>
      </c>
      <c r="G43" s="60">
        <v>3.7826467760515401</v>
      </c>
      <c r="H43" s="61">
        <v>2.3592156862745099</v>
      </c>
      <c r="I43" s="62">
        <v>2.99</v>
      </c>
      <c r="J43" s="37">
        <v>0.63078431372549026</v>
      </c>
      <c r="K43" s="37">
        <v>26.737034574468087</v>
      </c>
      <c r="L43" s="1" t="s">
        <v>69</v>
      </c>
      <c r="M43" s="1">
        <v>2</v>
      </c>
    </row>
    <row r="44" spans="1:13" x14ac:dyDescent="0.3">
      <c r="A44">
        <v>1</v>
      </c>
      <c r="B44">
        <v>1</v>
      </c>
      <c r="C44" t="s">
        <v>79</v>
      </c>
      <c r="D44" s="1" t="s">
        <v>2</v>
      </c>
      <c r="E44" s="59" t="s">
        <v>13</v>
      </c>
      <c r="F44" s="60">
        <v>1.21078947368421</v>
      </c>
      <c r="G44" s="60">
        <v>0.30504858611243602</v>
      </c>
      <c r="H44" s="61">
        <v>1.17</v>
      </c>
      <c r="I44" s="62">
        <v>4.1900000000000004</v>
      </c>
      <c r="J44" s="37">
        <v>3.0200000000000005</v>
      </c>
      <c r="K44" s="37">
        <v>258.1196581196582</v>
      </c>
      <c r="L44" s="1" t="s">
        <v>69</v>
      </c>
      <c r="M44" s="1">
        <v>2</v>
      </c>
    </row>
    <row r="45" spans="1:13" x14ac:dyDescent="0.3">
      <c r="A45">
        <v>1</v>
      </c>
      <c r="B45">
        <v>1</v>
      </c>
      <c r="C45" t="s">
        <v>79</v>
      </c>
      <c r="D45" s="1" t="s">
        <v>2</v>
      </c>
      <c r="E45" s="59" t="s">
        <v>14</v>
      </c>
      <c r="F45" s="60">
        <v>3.0053846153846102</v>
      </c>
      <c r="G45" s="60">
        <v>1.83214088887464</v>
      </c>
      <c r="H45" s="61">
        <v>2.5569565217391301</v>
      </c>
      <c r="I45" s="62">
        <v>5.3</v>
      </c>
      <c r="J45" s="37">
        <v>2.7430434782608697</v>
      </c>
      <c r="K45" s="37">
        <v>107.27767386498897</v>
      </c>
      <c r="L45" s="1" t="s">
        <v>69</v>
      </c>
      <c r="M45" s="1">
        <v>2</v>
      </c>
    </row>
    <row r="46" spans="1:13" x14ac:dyDescent="0.3">
      <c r="A46">
        <v>1</v>
      </c>
      <c r="B46">
        <v>1</v>
      </c>
      <c r="C46" t="s">
        <v>79</v>
      </c>
      <c r="D46" s="1" t="s">
        <v>2</v>
      </c>
      <c r="E46" s="59" t="s">
        <v>15</v>
      </c>
      <c r="F46" s="60">
        <v>3.9521666666666602</v>
      </c>
      <c r="G46" s="60">
        <v>2.7362158124355198</v>
      </c>
      <c r="H46" s="61">
        <v>3.3326315789473702</v>
      </c>
      <c r="I46" s="62">
        <v>5.73</v>
      </c>
      <c r="J46" s="37">
        <v>2.3973684210526303</v>
      </c>
      <c r="K46" s="37">
        <v>71.936197094124992</v>
      </c>
      <c r="L46" s="1" t="s">
        <v>69</v>
      </c>
      <c r="M46" s="1">
        <v>2</v>
      </c>
    </row>
    <row r="47" spans="1:13" x14ac:dyDescent="0.3">
      <c r="A47">
        <v>1</v>
      </c>
      <c r="B47">
        <v>1</v>
      </c>
      <c r="C47" t="s">
        <v>79</v>
      </c>
      <c r="D47" s="1" t="s">
        <v>2</v>
      </c>
      <c r="E47" s="59" t="s">
        <v>16</v>
      </c>
      <c r="F47" s="60">
        <v>1.59</v>
      </c>
      <c r="G47" s="60">
        <v>0.967265935423401</v>
      </c>
      <c r="H47" s="61">
        <v>1.41</v>
      </c>
      <c r="I47" s="62">
        <v>4.24</v>
      </c>
      <c r="J47" s="37">
        <v>2.83</v>
      </c>
      <c r="K47" s="37">
        <v>200.70921985815608</v>
      </c>
      <c r="L47" s="1" t="s">
        <v>69</v>
      </c>
      <c r="M47" s="1">
        <v>2</v>
      </c>
    </row>
    <row r="48" spans="1:13" x14ac:dyDescent="0.3">
      <c r="A48">
        <v>1</v>
      </c>
      <c r="B48">
        <v>1</v>
      </c>
      <c r="C48" t="s">
        <v>79</v>
      </c>
      <c r="D48" s="1" t="s">
        <v>2</v>
      </c>
      <c r="E48" s="59" t="s">
        <v>17</v>
      </c>
      <c r="F48" s="60">
        <v>7.12843137254902</v>
      </c>
      <c r="G48" s="60">
        <v>19.7181781734668</v>
      </c>
      <c r="H48" s="61">
        <v>1.4619148936170201</v>
      </c>
      <c r="I48" s="62">
        <v>4.45</v>
      </c>
      <c r="J48" s="37">
        <v>2.9880851063829801</v>
      </c>
      <c r="K48" s="37">
        <v>204.39528452918086</v>
      </c>
      <c r="L48" s="1" t="s">
        <v>69</v>
      </c>
      <c r="M48" s="1">
        <v>2</v>
      </c>
    </row>
    <row r="49" spans="1:13" x14ac:dyDescent="0.3">
      <c r="A49">
        <v>1</v>
      </c>
      <c r="B49">
        <v>1</v>
      </c>
      <c r="C49" t="s">
        <v>79</v>
      </c>
      <c r="D49" s="1" t="s">
        <v>2</v>
      </c>
      <c r="E49" s="59" t="s">
        <v>18</v>
      </c>
      <c r="F49" s="60">
        <v>1.07</v>
      </c>
      <c r="G49" s="60">
        <v>0.355833165091887</v>
      </c>
      <c r="H49" s="61">
        <v>1.2178260869565201</v>
      </c>
      <c r="I49" s="62">
        <v>1.61</v>
      </c>
      <c r="J49" s="37">
        <v>0.39217391304348004</v>
      </c>
      <c r="K49" s="37">
        <v>32.202784719743136</v>
      </c>
      <c r="L49" s="1" t="s">
        <v>69</v>
      </c>
      <c r="M49" s="1">
        <v>2</v>
      </c>
    </row>
    <row r="50" spans="1:13" x14ac:dyDescent="0.3">
      <c r="A50">
        <v>1</v>
      </c>
      <c r="B50">
        <v>1</v>
      </c>
      <c r="C50" t="s">
        <v>79</v>
      </c>
      <c r="D50" s="1" t="s">
        <v>2</v>
      </c>
      <c r="E50" s="59" t="s">
        <v>19</v>
      </c>
      <c r="F50" s="60">
        <v>3.5249999999999999</v>
      </c>
      <c r="G50" s="60">
        <v>1.69616184369298</v>
      </c>
      <c r="H50" s="61">
        <v>2.94857142857142</v>
      </c>
      <c r="I50" s="62">
        <v>2.42</v>
      </c>
      <c r="J50" s="37">
        <v>-0.52857142857142003</v>
      </c>
      <c r="K50" s="37">
        <v>-17.926356589147048</v>
      </c>
      <c r="L50" s="1" t="s">
        <v>69</v>
      </c>
      <c r="M50" s="1">
        <v>2</v>
      </c>
    </row>
    <row r="51" spans="1:13" x14ac:dyDescent="0.3"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>
        <v>1</v>
      </c>
      <c r="B52">
        <v>1</v>
      </c>
      <c r="C52" t="s">
        <v>79</v>
      </c>
      <c r="D52" s="1" t="s">
        <v>2</v>
      </c>
      <c r="E52" s="59" t="s">
        <v>12</v>
      </c>
      <c r="F52" s="60">
        <v>2.5569387755102002</v>
      </c>
      <c r="G52" s="60">
        <v>2.1941129062177098</v>
      </c>
      <c r="H52" s="61">
        <v>2.2470833333333302</v>
      </c>
      <c r="I52" s="63">
        <v>3.04</v>
      </c>
      <c r="J52" s="58">
        <v>0.79291666666666982</v>
      </c>
      <c r="K52" s="58">
        <v>35.28648247728556</v>
      </c>
      <c r="L52" s="1" t="s">
        <v>23</v>
      </c>
      <c r="M52" s="1">
        <v>3</v>
      </c>
    </row>
    <row r="53" spans="1:13" x14ac:dyDescent="0.3">
      <c r="A53">
        <v>1</v>
      </c>
      <c r="B53">
        <v>1</v>
      </c>
      <c r="C53" t="s">
        <v>79</v>
      </c>
      <c r="D53" s="1" t="s">
        <v>2</v>
      </c>
      <c r="E53" s="59" t="s">
        <v>13</v>
      </c>
      <c r="F53" s="60">
        <v>1.32325</v>
      </c>
      <c r="G53" s="60">
        <v>0.54236697677863799</v>
      </c>
      <c r="H53" s="61">
        <v>1.17</v>
      </c>
      <c r="I53" s="63">
        <v>4.01</v>
      </c>
      <c r="J53" s="58">
        <v>2.84</v>
      </c>
      <c r="K53" s="58">
        <v>242.73504273504273</v>
      </c>
      <c r="L53" s="1" t="s">
        <v>23</v>
      </c>
      <c r="M53" s="1">
        <v>3</v>
      </c>
    </row>
    <row r="54" spans="1:13" x14ac:dyDescent="0.3">
      <c r="A54">
        <v>1</v>
      </c>
      <c r="B54">
        <v>1</v>
      </c>
      <c r="C54" t="s">
        <v>79</v>
      </c>
      <c r="D54" s="1" t="s">
        <v>2</v>
      </c>
      <c r="E54" s="59" t="s">
        <v>14</v>
      </c>
      <c r="F54" s="60">
        <v>3.1364705882352899</v>
      </c>
      <c r="G54" s="60">
        <v>1.8493049288106</v>
      </c>
      <c r="H54" s="61">
        <v>2.5321739130434699</v>
      </c>
      <c r="I54" s="63">
        <v>5.24</v>
      </c>
      <c r="J54" s="58">
        <v>2.7078260869565303</v>
      </c>
      <c r="K54" s="58">
        <v>106.93681318681388</v>
      </c>
      <c r="L54" s="1" t="s">
        <v>23</v>
      </c>
      <c r="M54" s="1">
        <v>3</v>
      </c>
    </row>
    <row r="55" spans="1:13" x14ac:dyDescent="0.3">
      <c r="A55">
        <v>1</v>
      </c>
      <c r="B55">
        <v>1</v>
      </c>
      <c r="C55" t="s">
        <v>79</v>
      </c>
      <c r="D55" s="1" t="s">
        <v>2</v>
      </c>
      <c r="E55" s="59" t="s">
        <v>15</v>
      </c>
      <c r="F55" s="60">
        <v>4.7919999999999998</v>
      </c>
      <c r="G55" s="60">
        <v>4.0992104117744397</v>
      </c>
      <c r="H55" s="61">
        <v>3.3160377358490498</v>
      </c>
      <c r="I55" s="63">
        <v>5.77</v>
      </c>
      <c r="J55" s="58">
        <v>2.4539622641509498</v>
      </c>
      <c r="K55" s="58">
        <v>74.002844950213714</v>
      </c>
      <c r="L55" s="1" t="s">
        <v>23</v>
      </c>
      <c r="M55" s="1">
        <v>3</v>
      </c>
    </row>
    <row r="56" spans="1:13" x14ac:dyDescent="0.3">
      <c r="A56">
        <v>1</v>
      </c>
      <c r="B56">
        <v>1</v>
      </c>
      <c r="C56" t="s">
        <v>79</v>
      </c>
      <c r="D56" s="1" t="s">
        <v>2</v>
      </c>
      <c r="E56" s="59" t="s">
        <v>16</v>
      </c>
      <c r="F56" s="60">
        <v>1.48983333333333</v>
      </c>
      <c r="G56" s="60">
        <v>0.689861076997068</v>
      </c>
      <c r="H56" s="61">
        <v>1.4011864406779599</v>
      </c>
      <c r="I56" s="63">
        <v>4.1900000000000004</v>
      </c>
      <c r="J56" s="58">
        <v>2.7888135593220404</v>
      </c>
      <c r="K56" s="58">
        <v>199.03229708479631</v>
      </c>
      <c r="L56" s="1" t="s">
        <v>23</v>
      </c>
      <c r="M56" s="1">
        <v>3</v>
      </c>
    </row>
    <row r="57" spans="1:13" x14ac:dyDescent="0.3">
      <c r="A57">
        <v>1</v>
      </c>
      <c r="B57">
        <v>1</v>
      </c>
      <c r="C57" t="s">
        <v>79</v>
      </c>
      <c r="D57" s="1" t="s">
        <v>2</v>
      </c>
      <c r="E57" s="59" t="s">
        <v>17</v>
      </c>
      <c r="F57" s="60">
        <v>9.5643137254901998</v>
      </c>
      <c r="G57" s="60">
        <v>24.2269648228792</v>
      </c>
      <c r="H57" s="61">
        <v>1.60239130434782</v>
      </c>
      <c r="I57" s="63">
        <v>4.38</v>
      </c>
      <c r="J57" s="58">
        <v>2.7776086956521802</v>
      </c>
      <c r="K57" s="58">
        <v>173.3414733414744</v>
      </c>
      <c r="L57" s="1" t="s">
        <v>23</v>
      </c>
      <c r="M57" s="1">
        <v>3</v>
      </c>
    </row>
    <row r="58" spans="1:13" x14ac:dyDescent="0.3">
      <c r="A58">
        <v>1</v>
      </c>
      <c r="B58">
        <v>1</v>
      </c>
      <c r="C58" t="s">
        <v>79</v>
      </c>
      <c r="D58" s="1" t="s">
        <v>2</v>
      </c>
      <c r="E58" s="59" t="s">
        <v>18</v>
      </c>
      <c r="F58" s="60">
        <v>1.0623728813559301</v>
      </c>
      <c r="G58" s="60">
        <v>0.38930332813691298</v>
      </c>
      <c r="H58" s="61">
        <v>1.25444444444444</v>
      </c>
      <c r="I58" s="63">
        <v>1.55</v>
      </c>
      <c r="J58" s="58">
        <v>0.29555555555556001</v>
      </c>
      <c r="K58" s="58">
        <v>23.560673162090783</v>
      </c>
      <c r="L58" s="1" t="s">
        <v>23</v>
      </c>
      <c r="M58" s="1">
        <v>3</v>
      </c>
    </row>
    <row r="59" spans="1:13" x14ac:dyDescent="0.3">
      <c r="A59">
        <v>1</v>
      </c>
      <c r="B59">
        <v>1</v>
      </c>
      <c r="C59" t="s">
        <v>79</v>
      </c>
      <c r="D59" s="1" t="s">
        <v>2</v>
      </c>
      <c r="E59" s="59" t="s">
        <v>19</v>
      </c>
      <c r="F59" s="60">
        <v>3.1775000000000002</v>
      </c>
      <c r="G59" s="60">
        <v>2.18874136206176</v>
      </c>
      <c r="H59" s="61">
        <v>2.2833333333333301</v>
      </c>
      <c r="I59" s="63">
        <v>2.41</v>
      </c>
      <c r="J59" s="58">
        <v>0.12666666666667004</v>
      </c>
      <c r="K59" s="58">
        <v>5.5474452554746083</v>
      </c>
      <c r="L59" s="1" t="s">
        <v>23</v>
      </c>
      <c r="M59" s="1">
        <v>3</v>
      </c>
    </row>
    <row r="60" spans="1:13" x14ac:dyDescent="0.3">
      <c r="A60">
        <v>1</v>
      </c>
      <c r="B60">
        <v>1</v>
      </c>
      <c r="C60" t="s">
        <v>79</v>
      </c>
      <c r="D60" s="1" t="s">
        <v>2</v>
      </c>
      <c r="E60" s="59" t="s">
        <v>12</v>
      </c>
      <c r="F60" s="60">
        <v>2.5569387755102002</v>
      </c>
      <c r="G60" s="60">
        <v>2.1941129062177098</v>
      </c>
      <c r="H60" s="61">
        <v>2.2470833333333302</v>
      </c>
      <c r="I60" s="63">
        <v>2.99</v>
      </c>
      <c r="J60" s="58">
        <v>0.74291666666667</v>
      </c>
      <c r="K60" s="58">
        <v>33.061375857593376</v>
      </c>
      <c r="L60" s="1" t="s">
        <v>68</v>
      </c>
      <c r="M60" s="1">
        <v>3</v>
      </c>
    </row>
    <row r="61" spans="1:13" x14ac:dyDescent="0.3">
      <c r="A61">
        <v>1</v>
      </c>
      <c r="B61">
        <v>1</v>
      </c>
      <c r="C61" t="s">
        <v>79</v>
      </c>
      <c r="D61" s="1" t="s">
        <v>2</v>
      </c>
      <c r="E61" s="59" t="s">
        <v>13</v>
      </c>
      <c r="F61" s="60">
        <v>1.32325</v>
      </c>
      <c r="G61" s="60">
        <v>0.54236697677863799</v>
      </c>
      <c r="H61" s="61">
        <v>1.17</v>
      </c>
      <c r="I61" s="63">
        <v>4.18</v>
      </c>
      <c r="J61" s="58">
        <v>3.01</v>
      </c>
      <c r="K61" s="58">
        <v>257.26495726495727</v>
      </c>
      <c r="L61" s="1" t="s">
        <v>68</v>
      </c>
      <c r="M61" s="1">
        <v>3</v>
      </c>
    </row>
    <row r="62" spans="1:13" x14ac:dyDescent="0.3">
      <c r="A62">
        <v>1</v>
      </c>
      <c r="B62">
        <v>1</v>
      </c>
      <c r="C62" t="s">
        <v>79</v>
      </c>
      <c r="D62" s="1" t="s">
        <v>2</v>
      </c>
      <c r="E62" s="59" t="s">
        <v>14</v>
      </c>
      <c r="F62" s="60">
        <v>3.1364705882352899</v>
      </c>
      <c r="G62" s="60">
        <v>1.8493049288106</v>
      </c>
      <c r="H62" s="61">
        <v>2.5321739130434699</v>
      </c>
      <c r="I62" s="63">
        <v>5.28</v>
      </c>
      <c r="J62" s="58">
        <v>2.7478260869565303</v>
      </c>
      <c r="K62" s="58">
        <v>108.51648351648421</v>
      </c>
      <c r="L62" s="1" t="s">
        <v>68</v>
      </c>
      <c r="M62" s="1">
        <v>3</v>
      </c>
    </row>
    <row r="63" spans="1:13" x14ac:dyDescent="0.3">
      <c r="A63">
        <v>1</v>
      </c>
      <c r="B63">
        <v>1</v>
      </c>
      <c r="C63" t="s">
        <v>79</v>
      </c>
      <c r="D63" s="1" t="s">
        <v>2</v>
      </c>
      <c r="E63" s="59" t="s">
        <v>15</v>
      </c>
      <c r="F63" s="60">
        <v>4.7919999999999998</v>
      </c>
      <c r="G63" s="60">
        <v>4.0992104117744397</v>
      </c>
      <c r="H63" s="61">
        <v>3.3160377358490498</v>
      </c>
      <c r="I63" s="63">
        <v>5.69</v>
      </c>
      <c r="J63" s="58">
        <v>2.3739622641509506</v>
      </c>
      <c r="K63" s="58">
        <v>71.5903271692749</v>
      </c>
      <c r="L63" s="1" t="s">
        <v>68</v>
      </c>
      <c r="M63" s="1">
        <v>3</v>
      </c>
    </row>
    <row r="64" spans="1:13" x14ac:dyDescent="0.3">
      <c r="A64">
        <v>1</v>
      </c>
      <c r="B64">
        <v>1</v>
      </c>
      <c r="C64" t="s">
        <v>79</v>
      </c>
      <c r="D64" s="1" t="s">
        <v>2</v>
      </c>
      <c r="E64" s="59" t="s">
        <v>16</v>
      </c>
      <c r="F64" s="60">
        <v>1.48983333333333</v>
      </c>
      <c r="G64" s="60">
        <v>0.689861076997068</v>
      </c>
      <c r="H64" s="61">
        <v>1.4011864406779599</v>
      </c>
      <c r="I64" s="63">
        <v>4.22</v>
      </c>
      <c r="J64" s="58">
        <v>2.8188135593220398</v>
      </c>
      <c r="K64" s="58">
        <v>201.17333978468741</v>
      </c>
      <c r="L64" s="1" t="s">
        <v>68</v>
      </c>
      <c r="M64" s="1">
        <v>3</v>
      </c>
    </row>
    <row r="65" spans="1:13" x14ac:dyDescent="0.3">
      <c r="A65">
        <v>1</v>
      </c>
      <c r="B65">
        <v>1</v>
      </c>
      <c r="C65" t="s">
        <v>79</v>
      </c>
      <c r="D65" s="1" t="s">
        <v>2</v>
      </c>
      <c r="E65" s="59" t="s">
        <v>17</v>
      </c>
      <c r="F65" s="60">
        <v>9.5643137254901998</v>
      </c>
      <c r="G65" s="60">
        <v>24.2269648228792</v>
      </c>
      <c r="H65" s="61">
        <v>1.60239130434782</v>
      </c>
      <c r="I65" s="63">
        <v>4.3899999999999997</v>
      </c>
      <c r="J65" s="58">
        <v>2.7876086956521799</v>
      </c>
      <c r="K65" s="58">
        <v>173.96554063220836</v>
      </c>
      <c r="L65" s="1" t="s">
        <v>68</v>
      </c>
      <c r="M65" s="1">
        <v>3</v>
      </c>
    </row>
    <row r="66" spans="1:13" x14ac:dyDescent="0.3">
      <c r="A66">
        <v>1</v>
      </c>
      <c r="B66">
        <v>1</v>
      </c>
      <c r="C66" t="s">
        <v>79</v>
      </c>
      <c r="D66" s="1" t="s">
        <v>2</v>
      </c>
      <c r="E66" s="59" t="s">
        <v>18</v>
      </c>
      <c r="F66" s="60">
        <v>1.0623728813559301</v>
      </c>
      <c r="G66" s="60">
        <v>0.38930332813691298</v>
      </c>
      <c r="H66" s="61">
        <v>1.25444444444444</v>
      </c>
      <c r="I66" s="63">
        <v>1.62</v>
      </c>
      <c r="J66" s="58">
        <v>0.36555555555556007</v>
      </c>
      <c r="K66" s="58">
        <v>29.140832595217468</v>
      </c>
      <c r="L66" s="1" t="s">
        <v>68</v>
      </c>
      <c r="M66" s="1">
        <v>3</v>
      </c>
    </row>
    <row r="67" spans="1:13" x14ac:dyDescent="0.3">
      <c r="A67">
        <v>1</v>
      </c>
      <c r="B67">
        <v>1</v>
      </c>
      <c r="C67" t="s">
        <v>79</v>
      </c>
      <c r="D67" s="1" t="s">
        <v>2</v>
      </c>
      <c r="E67" s="59" t="s">
        <v>19</v>
      </c>
      <c r="F67" s="60">
        <v>3.1775000000000002</v>
      </c>
      <c r="G67" s="60">
        <v>2.18874136206176</v>
      </c>
      <c r="H67" s="61">
        <v>2.2833333333333301</v>
      </c>
      <c r="I67" s="63">
        <v>2.44</v>
      </c>
      <c r="J67" s="58">
        <v>0.15666666666666984</v>
      </c>
      <c r="K67" s="58">
        <v>6.861313868613288</v>
      </c>
      <c r="L67" s="1" t="s">
        <v>68</v>
      </c>
      <c r="M67" s="1">
        <v>3</v>
      </c>
    </row>
    <row r="68" spans="1:13" x14ac:dyDescent="0.3">
      <c r="A68">
        <v>1</v>
      </c>
      <c r="B68">
        <v>1</v>
      </c>
      <c r="C68" t="s">
        <v>79</v>
      </c>
      <c r="D68" s="1" t="s">
        <v>2</v>
      </c>
      <c r="E68" s="59" t="s">
        <v>12</v>
      </c>
      <c r="F68" s="60">
        <v>2.5569387755102002</v>
      </c>
      <c r="G68" s="60">
        <v>2.1941129062177098</v>
      </c>
      <c r="H68" s="61">
        <v>2.2470833333333302</v>
      </c>
      <c r="I68" s="63">
        <v>2.99</v>
      </c>
      <c r="J68" s="58">
        <v>0.74291666666667</v>
      </c>
      <c r="K68" s="58">
        <v>33.061375857593376</v>
      </c>
      <c r="L68" s="1" t="s">
        <v>69</v>
      </c>
      <c r="M68" s="1">
        <v>3</v>
      </c>
    </row>
    <row r="69" spans="1:13" x14ac:dyDescent="0.3">
      <c r="A69">
        <v>1</v>
      </c>
      <c r="B69">
        <v>1</v>
      </c>
      <c r="C69" t="s">
        <v>79</v>
      </c>
      <c r="D69" s="1" t="s">
        <v>2</v>
      </c>
      <c r="E69" s="59" t="s">
        <v>13</v>
      </c>
      <c r="F69" s="60">
        <v>1.32325</v>
      </c>
      <c r="G69" s="60">
        <v>0.54236697677863799</v>
      </c>
      <c r="H69" s="61">
        <v>1.17</v>
      </c>
      <c r="I69" s="63">
        <v>4.1900000000000004</v>
      </c>
      <c r="J69" s="58">
        <v>3.0200000000000005</v>
      </c>
      <c r="K69" s="58">
        <v>258.1196581196582</v>
      </c>
      <c r="L69" s="1" t="s">
        <v>69</v>
      </c>
      <c r="M69" s="1">
        <v>3</v>
      </c>
    </row>
    <row r="70" spans="1:13" x14ac:dyDescent="0.3">
      <c r="A70">
        <v>1</v>
      </c>
      <c r="B70">
        <v>1</v>
      </c>
      <c r="C70" t="s">
        <v>79</v>
      </c>
      <c r="D70" s="1" t="s">
        <v>2</v>
      </c>
      <c r="E70" s="59" t="s">
        <v>14</v>
      </c>
      <c r="F70" s="60">
        <v>3.1364705882352899</v>
      </c>
      <c r="G70" s="60">
        <v>1.8493049288106</v>
      </c>
      <c r="H70" s="61">
        <v>2.5321739130434699</v>
      </c>
      <c r="I70" s="63">
        <v>5.3</v>
      </c>
      <c r="J70" s="58">
        <v>2.7678260869565299</v>
      </c>
      <c r="K70" s="58">
        <v>109.30631868131937</v>
      </c>
      <c r="L70" s="1" t="s">
        <v>69</v>
      </c>
      <c r="M70" s="1">
        <v>3</v>
      </c>
    </row>
    <row r="71" spans="1:13" x14ac:dyDescent="0.3">
      <c r="A71">
        <v>1</v>
      </c>
      <c r="B71">
        <v>1</v>
      </c>
      <c r="C71" t="s">
        <v>79</v>
      </c>
      <c r="D71" s="1" t="s">
        <v>2</v>
      </c>
      <c r="E71" s="59" t="s">
        <v>15</v>
      </c>
      <c r="F71" s="60">
        <v>4.7919999999999998</v>
      </c>
      <c r="G71" s="60">
        <v>4.0992104117744397</v>
      </c>
      <c r="H71" s="61">
        <v>3.3160377358490498</v>
      </c>
      <c r="I71" s="63">
        <v>5.73</v>
      </c>
      <c r="J71" s="58">
        <v>2.4139622641509506</v>
      </c>
      <c r="K71" s="58">
        <v>72.796586059744314</v>
      </c>
      <c r="L71" s="1" t="s">
        <v>69</v>
      </c>
      <c r="M71" s="1">
        <v>3</v>
      </c>
    </row>
    <row r="72" spans="1:13" x14ac:dyDescent="0.3">
      <c r="A72">
        <v>1</v>
      </c>
      <c r="B72">
        <v>1</v>
      </c>
      <c r="C72" t="s">
        <v>79</v>
      </c>
      <c r="D72" s="1" t="s">
        <v>2</v>
      </c>
      <c r="E72" s="59" t="s">
        <v>16</v>
      </c>
      <c r="F72" s="60">
        <v>1.48983333333333</v>
      </c>
      <c r="G72" s="60">
        <v>0.689861076997068</v>
      </c>
      <c r="H72" s="61">
        <v>1.4011864406779599</v>
      </c>
      <c r="I72" s="63">
        <v>4.24</v>
      </c>
      <c r="J72" s="58">
        <v>2.8388135593220403</v>
      </c>
      <c r="K72" s="58">
        <v>202.60070158461488</v>
      </c>
      <c r="L72" s="1" t="s">
        <v>69</v>
      </c>
      <c r="M72" s="1">
        <v>3</v>
      </c>
    </row>
    <row r="73" spans="1:13" x14ac:dyDescent="0.3">
      <c r="A73">
        <v>1</v>
      </c>
      <c r="B73">
        <v>1</v>
      </c>
      <c r="C73" t="s">
        <v>79</v>
      </c>
      <c r="D73" s="1" t="s">
        <v>2</v>
      </c>
      <c r="E73" s="59" t="s">
        <v>17</v>
      </c>
      <c r="F73" s="60">
        <v>9.5643137254901998</v>
      </c>
      <c r="G73" s="60">
        <v>24.2269648228792</v>
      </c>
      <c r="H73" s="61">
        <v>1.60239130434782</v>
      </c>
      <c r="I73" s="63">
        <v>4.45</v>
      </c>
      <c r="J73" s="58">
        <v>2.8476086956521804</v>
      </c>
      <c r="K73" s="58">
        <v>177.70994437661213</v>
      </c>
      <c r="L73" s="1" t="s">
        <v>69</v>
      </c>
      <c r="M73" s="1">
        <v>3</v>
      </c>
    </row>
    <row r="74" spans="1:13" x14ac:dyDescent="0.3">
      <c r="A74">
        <v>1</v>
      </c>
      <c r="B74">
        <v>1</v>
      </c>
      <c r="C74" t="s">
        <v>79</v>
      </c>
      <c r="D74" s="1" t="s">
        <v>2</v>
      </c>
      <c r="E74" s="59" t="s">
        <v>18</v>
      </c>
      <c r="F74" s="60">
        <v>1.0623728813559301</v>
      </c>
      <c r="G74" s="60">
        <v>0.38930332813691298</v>
      </c>
      <c r="H74" s="61">
        <v>1.25444444444444</v>
      </c>
      <c r="I74" s="63">
        <v>1.61</v>
      </c>
      <c r="J74" s="58">
        <v>0.35555555555556007</v>
      </c>
      <c r="K74" s="58">
        <v>28.343666961913655</v>
      </c>
      <c r="L74" s="1" t="s">
        <v>69</v>
      </c>
      <c r="M74" s="1">
        <v>3</v>
      </c>
    </row>
    <row r="75" spans="1:13" x14ac:dyDescent="0.3">
      <c r="A75">
        <v>1</v>
      </c>
      <c r="B75">
        <v>1</v>
      </c>
      <c r="C75" t="s">
        <v>79</v>
      </c>
      <c r="D75" s="1" t="s">
        <v>2</v>
      </c>
      <c r="E75" s="59" t="s">
        <v>19</v>
      </c>
      <c r="F75" s="60">
        <v>3.1775000000000002</v>
      </c>
      <c r="G75" s="60">
        <v>2.18874136206176</v>
      </c>
      <c r="H75" s="61">
        <v>2.2833333333333301</v>
      </c>
      <c r="I75" s="63">
        <v>2.42</v>
      </c>
      <c r="J75" s="58">
        <v>0.13666666666666982</v>
      </c>
      <c r="K75" s="58">
        <v>5.9854014598541614</v>
      </c>
      <c r="L75" s="1" t="s">
        <v>69</v>
      </c>
      <c r="M75" s="1">
        <v>3</v>
      </c>
    </row>
    <row r="76" spans="1:13" x14ac:dyDescent="0.3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>
        <v>2</v>
      </c>
      <c r="B77">
        <v>1</v>
      </c>
      <c r="C77" t="s">
        <v>79</v>
      </c>
      <c r="D77" s="1" t="s">
        <v>2</v>
      </c>
      <c r="E77" s="59" t="s">
        <v>12</v>
      </c>
      <c r="F77" s="60">
        <v>5.1406666666666601</v>
      </c>
      <c r="G77" s="60">
        <v>0.86623681647816198</v>
      </c>
      <c r="H77" s="61">
        <v>5.5274999999999999</v>
      </c>
      <c r="I77" s="62">
        <v>5.47</v>
      </c>
      <c r="J77" s="37">
        <v>-5.7500000000000107E-2</v>
      </c>
      <c r="K77" s="37">
        <v>-1.0402532790592511</v>
      </c>
      <c r="L77" s="1" t="s">
        <v>23</v>
      </c>
      <c r="M77" s="1">
        <v>1</v>
      </c>
    </row>
    <row r="78" spans="1:13" x14ac:dyDescent="0.3">
      <c r="A78">
        <v>2</v>
      </c>
      <c r="B78">
        <v>1</v>
      </c>
      <c r="C78" t="s">
        <v>79</v>
      </c>
      <c r="D78" s="1" t="s">
        <v>2</v>
      </c>
      <c r="E78" s="59" t="s">
        <v>13</v>
      </c>
      <c r="F78" s="60">
        <v>1.0653333333333299</v>
      </c>
      <c r="G78" s="60">
        <v>0.55318311213878801</v>
      </c>
      <c r="H78" s="61">
        <v>0.92428571428571404</v>
      </c>
      <c r="I78" s="62">
        <v>5.98</v>
      </c>
      <c r="J78" s="37">
        <v>5.055714285714286</v>
      </c>
      <c r="K78" s="37">
        <v>546.9860896445133</v>
      </c>
      <c r="L78" s="1" t="s">
        <v>23</v>
      </c>
      <c r="M78" s="1">
        <v>1</v>
      </c>
    </row>
    <row r="79" spans="1:13" x14ac:dyDescent="0.3">
      <c r="A79">
        <v>2</v>
      </c>
      <c r="B79">
        <v>1</v>
      </c>
      <c r="C79" t="s">
        <v>79</v>
      </c>
      <c r="D79" s="1" t="s">
        <v>2</v>
      </c>
      <c r="E79" s="59" t="s">
        <v>14</v>
      </c>
      <c r="F79" s="60">
        <v>1.21733333333333</v>
      </c>
      <c r="G79" s="60">
        <v>0.40537170870970002</v>
      </c>
      <c r="H79" s="61">
        <v>1.37307692307692</v>
      </c>
      <c r="I79" s="62">
        <v>2.41</v>
      </c>
      <c r="J79" s="37">
        <v>1.0369230769230802</v>
      </c>
      <c r="K79" s="37">
        <v>75.518207282913579</v>
      </c>
      <c r="L79" s="1" t="s">
        <v>23</v>
      </c>
      <c r="M79" s="1">
        <v>1</v>
      </c>
    </row>
    <row r="80" spans="1:13" x14ac:dyDescent="0.3">
      <c r="A80">
        <v>2</v>
      </c>
      <c r="B80">
        <v>1</v>
      </c>
      <c r="C80" t="s">
        <v>79</v>
      </c>
      <c r="D80" s="1" t="s">
        <v>2</v>
      </c>
      <c r="E80" s="59" t="s">
        <v>15</v>
      </c>
      <c r="F80" s="60">
        <v>7.0293333333333301</v>
      </c>
      <c r="G80" s="60">
        <v>0.51297130090830101</v>
      </c>
      <c r="H80" s="61">
        <v>6.72</v>
      </c>
      <c r="I80" s="62">
        <v>3.91</v>
      </c>
      <c r="J80" s="37">
        <v>-2.8099999999999996</v>
      </c>
      <c r="K80" s="37">
        <v>-41.81547619047619</v>
      </c>
      <c r="L80" s="1" t="s">
        <v>23</v>
      </c>
      <c r="M80" s="1">
        <v>1</v>
      </c>
    </row>
    <row r="81" spans="1:13" x14ac:dyDescent="0.3">
      <c r="A81">
        <v>2</v>
      </c>
      <c r="B81">
        <v>1</v>
      </c>
      <c r="C81" t="s">
        <v>79</v>
      </c>
      <c r="D81" s="1" t="s">
        <v>2</v>
      </c>
      <c r="E81" s="59" t="s">
        <v>16</v>
      </c>
      <c r="F81" s="60">
        <v>0.69599999999999995</v>
      </c>
      <c r="G81" s="60">
        <v>7.0597450378891105E-2</v>
      </c>
      <c r="H81" s="61">
        <v>0.73</v>
      </c>
      <c r="I81" s="62">
        <v>4.76</v>
      </c>
      <c r="J81" s="37">
        <v>4.0299999999999994</v>
      </c>
      <c r="K81" s="37">
        <v>552.05479452054783</v>
      </c>
      <c r="L81" s="1" t="s">
        <v>23</v>
      </c>
      <c r="M81" s="1">
        <v>1</v>
      </c>
    </row>
    <row r="82" spans="1:13" x14ac:dyDescent="0.3">
      <c r="A82">
        <v>2</v>
      </c>
      <c r="B82">
        <v>1</v>
      </c>
      <c r="C82" t="s">
        <v>79</v>
      </c>
      <c r="D82" s="1" t="s">
        <v>2</v>
      </c>
      <c r="E82" s="59" t="s">
        <v>17</v>
      </c>
      <c r="F82" s="60">
        <v>0.139333333333333</v>
      </c>
      <c r="G82" s="60">
        <v>1.7688665548562101E-2</v>
      </c>
      <c r="H82" s="61">
        <v>0.14454545454545401</v>
      </c>
      <c r="I82" s="62">
        <v>1.37</v>
      </c>
      <c r="J82" s="37">
        <v>1.225454545454546</v>
      </c>
      <c r="K82" s="37">
        <v>847.79874213836843</v>
      </c>
      <c r="L82" s="1" t="s">
        <v>23</v>
      </c>
      <c r="M82" s="1">
        <v>1</v>
      </c>
    </row>
    <row r="83" spans="1:13" x14ac:dyDescent="0.3">
      <c r="A83">
        <v>2</v>
      </c>
      <c r="B83">
        <v>1</v>
      </c>
      <c r="C83" t="s">
        <v>79</v>
      </c>
      <c r="D83" s="1" t="s">
        <v>2</v>
      </c>
      <c r="E83" s="59" t="s">
        <v>18</v>
      </c>
      <c r="F83" s="60">
        <v>3.6585714285714199</v>
      </c>
      <c r="G83" s="60">
        <v>1.59436891743973</v>
      </c>
      <c r="H83" s="61">
        <v>4.4245454545454503</v>
      </c>
      <c r="I83" s="62">
        <v>3.98</v>
      </c>
      <c r="J83" s="37">
        <v>-0.44454545454545036</v>
      </c>
      <c r="K83" s="37">
        <v>-10.047257037189148</v>
      </c>
      <c r="L83" s="1" t="s">
        <v>23</v>
      </c>
      <c r="M83" s="1">
        <v>1</v>
      </c>
    </row>
    <row r="84" spans="1:13" x14ac:dyDescent="0.3">
      <c r="A84">
        <v>2</v>
      </c>
      <c r="B84">
        <v>1</v>
      </c>
      <c r="C84" t="s">
        <v>79</v>
      </c>
      <c r="D84" s="1" t="s">
        <v>2</v>
      </c>
      <c r="E84" s="59" t="s">
        <v>19</v>
      </c>
      <c r="F84" s="60">
        <v>1.2893333333333299</v>
      </c>
      <c r="G84" s="60">
        <v>1.2838352265337201</v>
      </c>
      <c r="H84" s="61">
        <v>0.78999999999999904</v>
      </c>
      <c r="I84" s="62">
        <v>2.46</v>
      </c>
      <c r="J84" s="37">
        <v>1.6700000000000008</v>
      </c>
      <c r="K84" s="37">
        <v>211.39240506329151</v>
      </c>
      <c r="L84" s="1" t="s">
        <v>23</v>
      </c>
      <c r="M84" s="1">
        <v>1</v>
      </c>
    </row>
    <row r="85" spans="1:13" x14ac:dyDescent="0.3">
      <c r="A85">
        <v>2</v>
      </c>
      <c r="B85">
        <v>1</v>
      </c>
      <c r="C85" t="s">
        <v>79</v>
      </c>
      <c r="D85" s="1" t="s">
        <v>2</v>
      </c>
      <c r="E85" s="59" t="s">
        <v>12</v>
      </c>
      <c r="F85" s="60">
        <v>5.1406666666666601</v>
      </c>
      <c r="G85" s="60">
        <v>0.86623681647816198</v>
      </c>
      <c r="H85" s="61">
        <v>5.5274999999999999</v>
      </c>
      <c r="I85" s="62">
        <v>5.41</v>
      </c>
      <c r="J85" s="37">
        <v>-0.11749999999999972</v>
      </c>
      <c r="K85" s="37">
        <v>-2.1257349615558518</v>
      </c>
      <c r="L85" s="1" t="s">
        <v>68</v>
      </c>
      <c r="M85" s="1">
        <v>1</v>
      </c>
    </row>
    <row r="86" spans="1:13" x14ac:dyDescent="0.3">
      <c r="A86">
        <v>2</v>
      </c>
      <c r="B86">
        <v>1</v>
      </c>
      <c r="C86" t="s">
        <v>79</v>
      </c>
      <c r="D86" s="1" t="s">
        <v>2</v>
      </c>
      <c r="E86" s="59" t="s">
        <v>13</v>
      </c>
      <c r="F86" s="60">
        <v>1.0653333333333299</v>
      </c>
      <c r="G86" s="60">
        <v>0.55318311213878801</v>
      </c>
      <c r="H86" s="61">
        <v>0.92428571428571404</v>
      </c>
      <c r="I86" s="62">
        <v>5.96</v>
      </c>
      <c r="J86" s="37">
        <v>5.0357142857142856</v>
      </c>
      <c r="K86" s="37">
        <v>544.82225656877915</v>
      </c>
      <c r="L86" s="1" t="s">
        <v>68</v>
      </c>
      <c r="M86" s="1">
        <v>1</v>
      </c>
    </row>
    <row r="87" spans="1:13" x14ac:dyDescent="0.3">
      <c r="A87">
        <v>2</v>
      </c>
      <c r="B87">
        <v>1</v>
      </c>
      <c r="C87" t="s">
        <v>79</v>
      </c>
      <c r="D87" s="1" t="s">
        <v>2</v>
      </c>
      <c r="E87" s="59" t="s">
        <v>14</v>
      </c>
      <c r="F87" s="60">
        <v>1.21733333333333</v>
      </c>
      <c r="G87" s="60">
        <v>0.40537170870970002</v>
      </c>
      <c r="H87" s="61">
        <v>1.37307692307692</v>
      </c>
      <c r="I87" s="62">
        <v>2.4300000000000002</v>
      </c>
      <c r="J87" s="37">
        <v>1.0569230769230802</v>
      </c>
      <c r="K87" s="37">
        <v>76.974789915966795</v>
      </c>
      <c r="L87" s="1" t="s">
        <v>68</v>
      </c>
      <c r="M87" s="1">
        <v>1</v>
      </c>
    </row>
    <row r="88" spans="1:13" x14ac:dyDescent="0.3">
      <c r="A88">
        <v>2</v>
      </c>
      <c r="B88">
        <v>1</v>
      </c>
      <c r="C88" t="s">
        <v>79</v>
      </c>
      <c r="D88" s="1" t="s">
        <v>2</v>
      </c>
      <c r="E88" s="59" t="s">
        <v>15</v>
      </c>
      <c r="F88" s="60">
        <v>7.0293333333333301</v>
      </c>
      <c r="G88" s="60">
        <v>0.51297130090830101</v>
      </c>
      <c r="H88" s="61">
        <v>6.72</v>
      </c>
      <c r="I88" s="62">
        <v>3.89</v>
      </c>
      <c r="J88" s="37">
        <v>-2.8299999999999996</v>
      </c>
      <c r="K88" s="37">
        <v>-42.113095238095234</v>
      </c>
      <c r="L88" s="1" t="s">
        <v>68</v>
      </c>
      <c r="M88" s="1">
        <v>1</v>
      </c>
    </row>
    <row r="89" spans="1:13" x14ac:dyDescent="0.3">
      <c r="A89">
        <v>2</v>
      </c>
      <c r="B89">
        <v>1</v>
      </c>
      <c r="C89" t="s">
        <v>79</v>
      </c>
      <c r="D89" s="1" t="s">
        <v>2</v>
      </c>
      <c r="E89" s="59" t="s">
        <v>16</v>
      </c>
      <c r="F89" s="60">
        <v>0.69599999999999995</v>
      </c>
      <c r="G89" s="60">
        <v>7.0597450378891105E-2</v>
      </c>
      <c r="H89" s="61">
        <v>0.73</v>
      </c>
      <c r="I89" s="62">
        <v>4.78</v>
      </c>
      <c r="J89" s="37">
        <v>4.0500000000000007</v>
      </c>
      <c r="K89" s="37">
        <v>554.79452054794535</v>
      </c>
      <c r="L89" s="1" t="s">
        <v>68</v>
      </c>
      <c r="M89" s="1">
        <v>1</v>
      </c>
    </row>
    <row r="90" spans="1:13" x14ac:dyDescent="0.3">
      <c r="A90">
        <v>2</v>
      </c>
      <c r="B90">
        <v>1</v>
      </c>
      <c r="C90" t="s">
        <v>79</v>
      </c>
      <c r="D90" s="1" t="s">
        <v>2</v>
      </c>
      <c r="E90" s="59" t="s">
        <v>17</v>
      </c>
      <c r="F90" s="60">
        <v>0.139333333333333</v>
      </c>
      <c r="G90" s="60">
        <v>1.7688665548562101E-2</v>
      </c>
      <c r="H90" s="61">
        <v>0.14454545454545401</v>
      </c>
      <c r="I90" s="62">
        <v>1.38</v>
      </c>
      <c r="J90" s="37">
        <v>1.2354545454545458</v>
      </c>
      <c r="K90" s="37">
        <v>854.7169811320789</v>
      </c>
      <c r="L90" s="1" t="s">
        <v>68</v>
      </c>
      <c r="M90" s="1">
        <v>1</v>
      </c>
    </row>
    <row r="91" spans="1:13" x14ac:dyDescent="0.3">
      <c r="A91">
        <v>2</v>
      </c>
      <c r="B91">
        <v>1</v>
      </c>
      <c r="C91" t="s">
        <v>79</v>
      </c>
      <c r="D91" s="1" t="s">
        <v>2</v>
      </c>
      <c r="E91" s="59" t="s">
        <v>18</v>
      </c>
      <c r="F91" s="60">
        <v>3.6585714285714199</v>
      </c>
      <c r="G91" s="60">
        <v>1.59436891743973</v>
      </c>
      <c r="H91" s="61">
        <v>4.4245454545454503</v>
      </c>
      <c r="I91" s="62">
        <v>4.01</v>
      </c>
      <c r="J91" s="37">
        <v>-0.41454545454545055</v>
      </c>
      <c r="K91" s="37">
        <v>-9.3692212862131914</v>
      </c>
      <c r="L91" s="1" t="s">
        <v>68</v>
      </c>
      <c r="M91" s="1">
        <v>1</v>
      </c>
    </row>
    <row r="92" spans="1:13" x14ac:dyDescent="0.3">
      <c r="A92">
        <v>2</v>
      </c>
      <c r="B92">
        <v>1</v>
      </c>
      <c r="C92" t="s">
        <v>79</v>
      </c>
      <c r="D92" s="1" t="s">
        <v>2</v>
      </c>
      <c r="E92" s="59" t="s">
        <v>19</v>
      </c>
      <c r="F92" s="60">
        <v>1.2893333333333299</v>
      </c>
      <c r="G92" s="60">
        <v>1.2838352265337201</v>
      </c>
      <c r="H92" s="61">
        <v>0.78999999999999904</v>
      </c>
      <c r="I92" s="62">
        <v>2.48</v>
      </c>
      <c r="J92" s="37">
        <v>1.6900000000000008</v>
      </c>
      <c r="K92" s="37">
        <v>213.92405063291179</v>
      </c>
      <c r="L92" s="1" t="s">
        <v>68</v>
      </c>
      <c r="M92" s="1">
        <v>1</v>
      </c>
    </row>
    <row r="93" spans="1:13" x14ac:dyDescent="0.3">
      <c r="A93">
        <v>2</v>
      </c>
      <c r="B93">
        <v>1</v>
      </c>
      <c r="C93" t="s">
        <v>79</v>
      </c>
      <c r="D93" s="1" t="s">
        <v>2</v>
      </c>
      <c r="E93" s="59" t="s">
        <v>12</v>
      </c>
      <c r="F93" s="60">
        <v>5.1406666666666601</v>
      </c>
      <c r="G93" s="60">
        <v>0.86623681647816198</v>
      </c>
      <c r="H93" s="61">
        <v>5.5274999999999999</v>
      </c>
      <c r="I93" s="62">
        <v>5.45</v>
      </c>
      <c r="J93" s="37">
        <v>-7.749999999999968E-2</v>
      </c>
      <c r="K93" s="37">
        <v>-1.4020805065581128</v>
      </c>
      <c r="L93" s="1" t="s">
        <v>69</v>
      </c>
      <c r="M93" s="1">
        <v>1</v>
      </c>
    </row>
    <row r="94" spans="1:13" x14ac:dyDescent="0.3">
      <c r="A94">
        <v>2</v>
      </c>
      <c r="B94">
        <v>1</v>
      </c>
      <c r="C94" t="s">
        <v>79</v>
      </c>
      <c r="D94" s="1" t="s">
        <v>2</v>
      </c>
      <c r="E94" s="59" t="s">
        <v>13</v>
      </c>
      <c r="F94" s="60">
        <v>1.0653333333333299</v>
      </c>
      <c r="G94" s="60">
        <v>0.55318311213878801</v>
      </c>
      <c r="H94" s="61">
        <v>0.92428571428571404</v>
      </c>
      <c r="I94" s="62">
        <v>6.03</v>
      </c>
      <c r="J94" s="37">
        <v>5.1057142857142859</v>
      </c>
      <c r="K94" s="37">
        <v>552.39567233384867</v>
      </c>
      <c r="L94" s="1" t="s">
        <v>69</v>
      </c>
      <c r="M94" s="1">
        <v>1</v>
      </c>
    </row>
    <row r="95" spans="1:13" x14ac:dyDescent="0.3">
      <c r="A95">
        <v>2</v>
      </c>
      <c r="B95">
        <v>1</v>
      </c>
      <c r="C95" t="s">
        <v>79</v>
      </c>
      <c r="D95" s="1" t="s">
        <v>2</v>
      </c>
      <c r="E95" s="59" t="s">
        <v>14</v>
      </c>
      <c r="F95" s="60">
        <v>1.21733333333333</v>
      </c>
      <c r="G95" s="60">
        <v>0.40537170870970002</v>
      </c>
      <c r="H95" s="61">
        <v>1.37307692307692</v>
      </c>
      <c r="I95" s="62">
        <v>2.4500000000000002</v>
      </c>
      <c r="J95" s="37">
        <v>1.0769230769230802</v>
      </c>
      <c r="K95" s="37">
        <v>78.431372549020026</v>
      </c>
      <c r="L95" s="1" t="s">
        <v>69</v>
      </c>
      <c r="M95" s="1">
        <v>1</v>
      </c>
    </row>
    <row r="96" spans="1:13" x14ac:dyDescent="0.3">
      <c r="A96">
        <v>2</v>
      </c>
      <c r="B96">
        <v>1</v>
      </c>
      <c r="C96" t="s">
        <v>79</v>
      </c>
      <c r="D96" s="1" t="s">
        <v>2</v>
      </c>
      <c r="E96" s="59" t="s">
        <v>15</v>
      </c>
      <c r="F96" s="60">
        <v>7.0293333333333301</v>
      </c>
      <c r="G96" s="60">
        <v>0.51297130090830101</v>
      </c>
      <c r="H96" s="61">
        <v>6.72</v>
      </c>
      <c r="I96" s="62">
        <v>3.92</v>
      </c>
      <c r="J96" s="37">
        <v>-2.8</v>
      </c>
      <c r="K96" s="37">
        <v>-41.666666666666664</v>
      </c>
      <c r="L96" s="1" t="s">
        <v>69</v>
      </c>
      <c r="M96" s="1">
        <v>1</v>
      </c>
    </row>
    <row r="97" spans="1:13" x14ac:dyDescent="0.3">
      <c r="A97">
        <v>2</v>
      </c>
      <c r="B97">
        <v>1</v>
      </c>
      <c r="C97" t="s">
        <v>79</v>
      </c>
      <c r="D97" s="1" t="s">
        <v>2</v>
      </c>
      <c r="E97" s="59" t="s">
        <v>16</v>
      </c>
      <c r="F97" s="60">
        <v>0.69599999999999995</v>
      </c>
      <c r="G97" s="60">
        <v>7.0597450378891105E-2</v>
      </c>
      <c r="H97" s="61">
        <v>0.73</v>
      </c>
      <c r="I97" s="62">
        <v>4.83</v>
      </c>
      <c r="J97" s="37">
        <v>4.0999999999999996</v>
      </c>
      <c r="K97" s="37">
        <v>561.64383561643831</v>
      </c>
      <c r="L97" s="1" t="s">
        <v>69</v>
      </c>
      <c r="M97" s="1">
        <v>1</v>
      </c>
    </row>
    <row r="98" spans="1:13" x14ac:dyDescent="0.3">
      <c r="A98">
        <v>2</v>
      </c>
      <c r="B98">
        <v>1</v>
      </c>
      <c r="C98" t="s">
        <v>79</v>
      </c>
      <c r="D98" s="1" t="s">
        <v>2</v>
      </c>
      <c r="E98" s="59" t="s">
        <v>17</v>
      </c>
      <c r="F98" s="60">
        <v>0.139333333333333</v>
      </c>
      <c r="G98" s="60">
        <v>1.7688665548562101E-2</v>
      </c>
      <c r="H98" s="61">
        <v>0.14454545454545401</v>
      </c>
      <c r="I98" s="62">
        <v>1.4</v>
      </c>
      <c r="J98" s="37">
        <v>1.2554545454545458</v>
      </c>
      <c r="K98" s="37">
        <v>868.5534591195003</v>
      </c>
      <c r="L98" s="1" t="s">
        <v>69</v>
      </c>
      <c r="M98" s="1">
        <v>1</v>
      </c>
    </row>
    <row r="99" spans="1:13" x14ac:dyDescent="0.3">
      <c r="A99">
        <v>2</v>
      </c>
      <c r="B99">
        <v>1</v>
      </c>
      <c r="C99" t="s">
        <v>79</v>
      </c>
      <c r="D99" s="1" t="s">
        <v>2</v>
      </c>
      <c r="E99" s="59" t="s">
        <v>18</v>
      </c>
      <c r="F99" s="60">
        <v>3.6585714285714199</v>
      </c>
      <c r="G99" s="60">
        <v>1.59436891743973</v>
      </c>
      <c r="H99" s="61">
        <v>4.4245454545454503</v>
      </c>
      <c r="I99" s="62">
        <v>3.97</v>
      </c>
      <c r="J99" s="37">
        <v>-0.45454545454545014</v>
      </c>
      <c r="K99" s="37">
        <v>-10.27326895418113</v>
      </c>
      <c r="L99" s="1" t="s">
        <v>69</v>
      </c>
      <c r="M99" s="1">
        <v>1</v>
      </c>
    </row>
    <row r="100" spans="1:13" x14ac:dyDescent="0.3">
      <c r="A100">
        <v>2</v>
      </c>
      <c r="B100">
        <v>1</v>
      </c>
      <c r="C100" t="s">
        <v>79</v>
      </c>
      <c r="D100" s="1" t="s">
        <v>2</v>
      </c>
      <c r="E100" s="59" t="s">
        <v>19</v>
      </c>
      <c r="F100" s="60">
        <v>1.2893333333333299</v>
      </c>
      <c r="G100" s="60">
        <v>1.2838352265337201</v>
      </c>
      <c r="H100" s="61">
        <v>0.78999999999999904</v>
      </c>
      <c r="I100" s="62">
        <v>2.4900000000000002</v>
      </c>
      <c r="J100" s="37">
        <v>1.7000000000000011</v>
      </c>
      <c r="K100" s="37">
        <v>215.18987341772191</v>
      </c>
      <c r="L100" s="1" t="s">
        <v>69</v>
      </c>
      <c r="M100" s="1">
        <v>1</v>
      </c>
    </row>
    <row r="102" spans="1:13" x14ac:dyDescent="0.3">
      <c r="A102">
        <v>2</v>
      </c>
      <c r="B102">
        <v>1</v>
      </c>
      <c r="C102" t="s">
        <v>79</v>
      </c>
      <c r="D102" s="1" t="s">
        <v>2</v>
      </c>
      <c r="E102" s="59" t="s">
        <v>12</v>
      </c>
      <c r="F102" s="60">
        <v>5.35666666666667</v>
      </c>
      <c r="G102" s="60">
        <v>1.07220437521128</v>
      </c>
      <c r="H102" s="61">
        <v>5.7215217391304298</v>
      </c>
      <c r="I102" s="62">
        <v>5.47</v>
      </c>
      <c r="J102" s="37">
        <v>-0.25152173913043008</v>
      </c>
      <c r="K102" s="37">
        <v>-4.3960636802309336</v>
      </c>
      <c r="L102" s="1" t="s">
        <v>23</v>
      </c>
      <c r="M102" s="1">
        <v>2</v>
      </c>
    </row>
    <row r="103" spans="1:13" x14ac:dyDescent="0.3">
      <c r="A103">
        <v>2</v>
      </c>
      <c r="B103">
        <v>1</v>
      </c>
      <c r="C103" t="s">
        <v>79</v>
      </c>
      <c r="D103" s="1" t="s">
        <v>2</v>
      </c>
      <c r="E103" s="59" t="s">
        <v>13</v>
      </c>
      <c r="F103" s="60">
        <v>1.03949152542372</v>
      </c>
      <c r="G103" s="60">
        <v>0.50614000785879398</v>
      </c>
      <c r="H103" s="61">
        <v>0.91036363636363604</v>
      </c>
      <c r="I103" s="62">
        <v>5.98</v>
      </c>
      <c r="J103" s="37">
        <v>5.0696363636363646</v>
      </c>
      <c r="K103" s="37">
        <v>556.88036748552054</v>
      </c>
      <c r="L103" s="1" t="s">
        <v>23</v>
      </c>
      <c r="M103" s="1">
        <v>2</v>
      </c>
    </row>
    <row r="104" spans="1:13" x14ac:dyDescent="0.3">
      <c r="A104">
        <v>2</v>
      </c>
      <c r="B104">
        <v>1</v>
      </c>
      <c r="C104" t="s">
        <v>79</v>
      </c>
      <c r="D104" s="1" t="s">
        <v>2</v>
      </c>
      <c r="E104" s="59" t="s">
        <v>14</v>
      </c>
      <c r="F104" s="60">
        <v>1.1277966101694901</v>
      </c>
      <c r="G104" s="60">
        <v>0.48004614113189897</v>
      </c>
      <c r="H104" s="61">
        <v>1.35048780487804</v>
      </c>
      <c r="I104" s="62">
        <v>2.41</v>
      </c>
      <c r="J104" s="37">
        <v>1.0595121951219602</v>
      </c>
      <c r="K104" s="37">
        <v>78.454036481850551</v>
      </c>
      <c r="L104" s="1" t="s">
        <v>23</v>
      </c>
      <c r="M104" s="1">
        <v>2</v>
      </c>
    </row>
    <row r="105" spans="1:13" x14ac:dyDescent="0.3">
      <c r="A105">
        <v>2</v>
      </c>
      <c r="B105">
        <v>1</v>
      </c>
      <c r="C105" t="s">
        <v>79</v>
      </c>
      <c r="D105" s="1" t="s">
        <v>2</v>
      </c>
      <c r="E105" s="59" t="s">
        <v>15</v>
      </c>
      <c r="F105" s="60">
        <v>6.45583333333333</v>
      </c>
      <c r="G105" s="60">
        <v>1.88352532207265</v>
      </c>
      <c r="H105" s="61">
        <v>7.1139622641509401</v>
      </c>
      <c r="I105" s="62">
        <v>3.91</v>
      </c>
      <c r="J105" s="37">
        <v>-3.20396226415094</v>
      </c>
      <c r="K105" s="37">
        <v>-45.037661786547815</v>
      </c>
      <c r="L105" s="1" t="s">
        <v>23</v>
      </c>
      <c r="M105" s="1">
        <v>2</v>
      </c>
    </row>
    <row r="106" spans="1:13" x14ac:dyDescent="0.3">
      <c r="A106">
        <v>2</v>
      </c>
      <c r="B106">
        <v>1</v>
      </c>
      <c r="C106" t="s">
        <v>79</v>
      </c>
      <c r="D106" s="1" t="s">
        <v>2</v>
      </c>
      <c r="E106" s="59" t="s">
        <v>16</v>
      </c>
      <c r="F106" s="60">
        <v>0.67683333333333295</v>
      </c>
      <c r="G106" s="60">
        <v>0.12876971262252901</v>
      </c>
      <c r="H106" s="61">
        <v>0.71658536585365895</v>
      </c>
      <c r="I106" s="62">
        <v>4.76</v>
      </c>
      <c r="J106" s="37">
        <v>4.0434146341463411</v>
      </c>
      <c r="K106" s="37">
        <v>564.26140231449926</v>
      </c>
      <c r="L106" s="1" t="s">
        <v>23</v>
      </c>
      <c r="M106" s="1">
        <v>2</v>
      </c>
    </row>
    <row r="107" spans="1:13" x14ac:dyDescent="0.3">
      <c r="A107">
        <v>2</v>
      </c>
      <c r="B107">
        <v>1</v>
      </c>
      <c r="C107" t="s">
        <v>79</v>
      </c>
      <c r="D107" s="1" t="s">
        <v>2</v>
      </c>
      <c r="E107" s="59" t="s">
        <v>17</v>
      </c>
      <c r="F107" s="60">
        <v>0.14533333333333301</v>
      </c>
      <c r="G107" s="60">
        <v>1.67796172648709E-2</v>
      </c>
      <c r="H107" s="61">
        <v>0.14686274509803901</v>
      </c>
      <c r="I107" s="62">
        <v>1.37</v>
      </c>
      <c r="J107" s="37">
        <v>1.223137254901961</v>
      </c>
      <c r="K107" s="37">
        <v>832.84379172229774</v>
      </c>
      <c r="L107" s="1" t="s">
        <v>23</v>
      </c>
      <c r="M107" s="1">
        <v>2</v>
      </c>
    </row>
    <row r="108" spans="1:13" x14ac:dyDescent="0.3">
      <c r="A108">
        <v>2</v>
      </c>
      <c r="B108">
        <v>1</v>
      </c>
      <c r="C108" t="s">
        <v>79</v>
      </c>
      <c r="D108" s="1" t="s">
        <v>2</v>
      </c>
      <c r="E108" s="59" t="s">
        <v>18</v>
      </c>
      <c r="F108" s="60">
        <v>4.1369811320754604</v>
      </c>
      <c r="G108" s="60">
        <v>1.46055247353386</v>
      </c>
      <c r="H108" s="61">
        <v>4.7213333333333196</v>
      </c>
      <c r="I108" s="62">
        <v>3.98</v>
      </c>
      <c r="J108" s="37">
        <v>-0.74133333333331963</v>
      </c>
      <c r="K108" s="37">
        <v>-15.701779158429577</v>
      </c>
      <c r="L108" s="1" t="s">
        <v>23</v>
      </c>
      <c r="M108" s="1">
        <v>2</v>
      </c>
    </row>
    <row r="109" spans="1:13" x14ac:dyDescent="0.3">
      <c r="A109">
        <v>2</v>
      </c>
      <c r="B109">
        <v>1</v>
      </c>
      <c r="C109" t="s">
        <v>79</v>
      </c>
      <c r="D109" s="1" t="s">
        <v>2</v>
      </c>
      <c r="E109" s="59" t="s">
        <v>19</v>
      </c>
      <c r="F109" s="60">
        <v>0.88220338983050794</v>
      </c>
      <c r="G109" s="60">
        <v>0.62979972010642804</v>
      </c>
      <c r="H109" s="61">
        <v>0.766491228070175</v>
      </c>
      <c r="I109" s="62">
        <v>2.46</v>
      </c>
      <c r="J109" s="37">
        <v>1.693508771929825</v>
      </c>
      <c r="K109" s="37">
        <v>220.94300755321603</v>
      </c>
      <c r="L109" s="1" t="s">
        <v>23</v>
      </c>
      <c r="M109" s="1">
        <v>2</v>
      </c>
    </row>
    <row r="110" spans="1:13" x14ac:dyDescent="0.3">
      <c r="A110">
        <v>2</v>
      </c>
      <c r="B110">
        <v>1</v>
      </c>
      <c r="C110" t="s">
        <v>79</v>
      </c>
      <c r="D110" s="1" t="s">
        <v>2</v>
      </c>
      <c r="E110" s="59" t="s">
        <v>12</v>
      </c>
      <c r="F110" s="60">
        <v>5.35666666666667</v>
      </c>
      <c r="G110" s="60">
        <v>1.07220437521128</v>
      </c>
      <c r="H110" s="61">
        <v>5.7215217391304298</v>
      </c>
      <c r="I110" s="62">
        <v>5.41</v>
      </c>
      <c r="J110" s="37">
        <v>-0.31152173913042969</v>
      </c>
      <c r="K110" s="37">
        <v>-5.4447357422393621</v>
      </c>
      <c r="L110" s="1" t="s">
        <v>68</v>
      </c>
      <c r="M110" s="1">
        <v>2</v>
      </c>
    </row>
    <row r="111" spans="1:13" x14ac:dyDescent="0.3">
      <c r="A111">
        <v>2</v>
      </c>
      <c r="B111">
        <v>1</v>
      </c>
      <c r="C111" t="s">
        <v>79</v>
      </c>
      <c r="D111" s="1" t="s">
        <v>2</v>
      </c>
      <c r="E111" s="59" t="s">
        <v>13</v>
      </c>
      <c r="F111" s="60">
        <v>1.03949152542372</v>
      </c>
      <c r="G111" s="60">
        <v>0.50614000785879398</v>
      </c>
      <c r="H111" s="61">
        <v>0.91036363636363604</v>
      </c>
      <c r="I111" s="62">
        <v>5.96</v>
      </c>
      <c r="J111" s="37">
        <v>5.0496363636363641</v>
      </c>
      <c r="K111" s="37">
        <v>554.68344317954893</v>
      </c>
      <c r="L111" s="1" t="s">
        <v>68</v>
      </c>
      <c r="M111" s="1">
        <v>2</v>
      </c>
    </row>
    <row r="112" spans="1:13" x14ac:dyDescent="0.3">
      <c r="A112">
        <v>2</v>
      </c>
      <c r="B112">
        <v>1</v>
      </c>
      <c r="C112" t="s">
        <v>79</v>
      </c>
      <c r="D112" s="1" t="s">
        <v>2</v>
      </c>
      <c r="E112" s="59" t="s">
        <v>14</v>
      </c>
      <c r="F112" s="60">
        <v>1.1277966101694901</v>
      </c>
      <c r="G112" s="60">
        <v>0.48004614113189897</v>
      </c>
      <c r="H112" s="61">
        <v>1.35048780487804</v>
      </c>
      <c r="I112" s="62">
        <v>2.4300000000000002</v>
      </c>
      <c r="J112" s="37">
        <v>1.0795121951219602</v>
      </c>
      <c r="K112" s="37">
        <v>79.934982842695774</v>
      </c>
      <c r="L112" s="1" t="s">
        <v>68</v>
      </c>
      <c r="M112" s="1">
        <v>2</v>
      </c>
    </row>
    <row r="113" spans="1:13" x14ac:dyDescent="0.3">
      <c r="A113">
        <v>2</v>
      </c>
      <c r="B113">
        <v>1</v>
      </c>
      <c r="C113" t="s">
        <v>79</v>
      </c>
      <c r="D113" s="1" t="s">
        <v>2</v>
      </c>
      <c r="E113" s="59" t="s">
        <v>15</v>
      </c>
      <c r="F113" s="60">
        <v>6.45583333333333</v>
      </c>
      <c r="G113" s="60">
        <v>1.88352532207265</v>
      </c>
      <c r="H113" s="61">
        <v>7.1139622641509401</v>
      </c>
      <c r="I113" s="62">
        <v>3.89</v>
      </c>
      <c r="J113" s="37">
        <v>-3.22396226415094</v>
      </c>
      <c r="K113" s="37">
        <v>-45.318799066412026</v>
      </c>
      <c r="L113" s="1" t="s">
        <v>68</v>
      </c>
      <c r="M113" s="1">
        <v>2</v>
      </c>
    </row>
    <row r="114" spans="1:13" x14ac:dyDescent="0.3">
      <c r="A114">
        <v>2</v>
      </c>
      <c r="B114">
        <v>1</v>
      </c>
      <c r="C114" t="s">
        <v>79</v>
      </c>
      <c r="D114" s="1" t="s">
        <v>2</v>
      </c>
      <c r="E114" s="59" t="s">
        <v>16</v>
      </c>
      <c r="F114" s="60">
        <v>0.67683333333333295</v>
      </c>
      <c r="G114" s="60">
        <v>0.12876971262252901</v>
      </c>
      <c r="H114" s="61">
        <v>0.71658536585365895</v>
      </c>
      <c r="I114" s="62">
        <v>4.78</v>
      </c>
      <c r="J114" s="37">
        <v>4.0634146341463415</v>
      </c>
      <c r="K114" s="37">
        <v>567.0524166099384</v>
      </c>
      <c r="L114" s="1" t="s">
        <v>68</v>
      </c>
      <c r="M114" s="1">
        <v>2</v>
      </c>
    </row>
    <row r="115" spans="1:13" x14ac:dyDescent="0.3">
      <c r="A115">
        <v>2</v>
      </c>
      <c r="B115">
        <v>1</v>
      </c>
      <c r="C115" t="s">
        <v>79</v>
      </c>
      <c r="D115" s="1" t="s">
        <v>2</v>
      </c>
      <c r="E115" s="59" t="s">
        <v>17</v>
      </c>
      <c r="F115" s="60">
        <v>0.14533333333333301</v>
      </c>
      <c r="G115" s="60">
        <v>1.67796172648709E-2</v>
      </c>
      <c r="H115" s="61">
        <v>0.14686274509803901</v>
      </c>
      <c r="I115" s="62">
        <v>1.38</v>
      </c>
      <c r="J115" s="37">
        <v>1.2331372549019608</v>
      </c>
      <c r="K115" s="37">
        <v>839.65287049399319</v>
      </c>
      <c r="L115" s="1" t="s">
        <v>68</v>
      </c>
      <c r="M115" s="1">
        <v>2</v>
      </c>
    </row>
    <row r="116" spans="1:13" x14ac:dyDescent="0.3">
      <c r="A116">
        <v>2</v>
      </c>
      <c r="B116">
        <v>1</v>
      </c>
      <c r="C116" t="s">
        <v>79</v>
      </c>
      <c r="D116" s="1" t="s">
        <v>2</v>
      </c>
      <c r="E116" s="59" t="s">
        <v>18</v>
      </c>
      <c r="F116" s="60">
        <v>4.1369811320754604</v>
      </c>
      <c r="G116" s="60">
        <v>1.46055247353386</v>
      </c>
      <c r="H116" s="61">
        <v>4.7213333333333196</v>
      </c>
      <c r="I116" s="62">
        <v>4.01</v>
      </c>
      <c r="J116" s="37">
        <v>-0.71133333333331983</v>
      </c>
      <c r="K116" s="37">
        <v>-15.06636543349312</v>
      </c>
      <c r="L116" s="1" t="s">
        <v>68</v>
      </c>
      <c r="M116" s="1">
        <v>2</v>
      </c>
    </row>
    <row r="117" spans="1:13" x14ac:dyDescent="0.3">
      <c r="A117">
        <v>2</v>
      </c>
      <c r="B117">
        <v>1</v>
      </c>
      <c r="C117" t="s">
        <v>79</v>
      </c>
      <c r="D117" s="1" t="s">
        <v>2</v>
      </c>
      <c r="E117" s="59" t="s">
        <v>19</v>
      </c>
      <c r="F117" s="60">
        <v>0.88220338983050794</v>
      </c>
      <c r="G117" s="60">
        <v>0.62979972010642804</v>
      </c>
      <c r="H117" s="61">
        <v>0.766491228070175</v>
      </c>
      <c r="I117" s="62">
        <v>2.48</v>
      </c>
      <c r="J117" s="37">
        <v>1.713508771929825</v>
      </c>
      <c r="K117" s="37">
        <v>223.55230029755111</v>
      </c>
      <c r="L117" s="1" t="s">
        <v>68</v>
      </c>
      <c r="M117" s="1">
        <v>2</v>
      </c>
    </row>
    <row r="118" spans="1:13" x14ac:dyDescent="0.3">
      <c r="A118">
        <v>2</v>
      </c>
      <c r="B118">
        <v>1</v>
      </c>
      <c r="C118" t="s">
        <v>79</v>
      </c>
      <c r="D118" s="1" t="s">
        <v>2</v>
      </c>
      <c r="E118" s="59" t="s">
        <v>12</v>
      </c>
      <c r="F118" s="60">
        <v>5.35666666666667</v>
      </c>
      <c r="G118" s="60">
        <v>1.07220437521128</v>
      </c>
      <c r="H118" s="61">
        <v>5.7215217391304298</v>
      </c>
      <c r="I118" s="62">
        <v>5.45</v>
      </c>
      <c r="J118" s="37">
        <v>-0.27152173913042965</v>
      </c>
      <c r="K118" s="37">
        <v>-4.7456210342337375</v>
      </c>
      <c r="L118" s="1" t="s">
        <v>69</v>
      </c>
      <c r="M118" s="1">
        <v>2</v>
      </c>
    </row>
    <row r="119" spans="1:13" x14ac:dyDescent="0.3">
      <c r="A119">
        <v>2</v>
      </c>
      <c r="B119">
        <v>1</v>
      </c>
      <c r="C119" t="s">
        <v>79</v>
      </c>
      <c r="D119" s="1" t="s">
        <v>2</v>
      </c>
      <c r="E119" s="59" t="s">
        <v>13</v>
      </c>
      <c r="F119" s="60">
        <v>1.03949152542372</v>
      </c>
      <c r="G119" s="60">
        <v>0.50614000785879398</v>
      </c>
      <c r="H119" s="61">
        <v>0.91036363636363604</v>
      </c>
      <c r="I119" s="62">
        <v>6.03</v>
      </c>
      <c r="J119" s="37">
        <v>5.1196363636363644</v>
      </c>
      <c r="K119" s="37">
        <v>562.37267825044967</v>
      </c>
      <c r="L119" s="1" t="s">
        <v>69</v>
      </c>
      <c r="M119" s="1">
        <v>2</v>
      </c>
    </row>
    <row r="120" spans="1:13" x14ac:dyDescent="0.3">
      <c r="A120">
        <v>2</v>
      </c>
      <c r="B120">
        <v>1</v>
      </c>
      <c r="C120" t="s">
        <v>79</v>
      </c>
      <c r="D120" s="1" t="s">
        <v>2</v>
      </c>
      <c r="E120" s="59" t="s">
        <v>14</v>
      </c>
      <c r="F120" s="60">
        <v>1.1277966101694901</v>
      </c>
      <c r="G120" s="60">
        <v>0.48004614113189897</v>
      </c>
      <c r="H120" s="61">
        <v>1.35048780487804</v>
      </c>
      <c r="I120" s="62">
        <v>2.4500000000000002</v>
      </c>
      <c r="J120" s="37">
        <v>1.0995121951219602</v>
      </c>
      <c r="K120" s="37">
        <v>81.415929203541012</v>
      </c>
      <c r="L120" s="1" t="s">
        <v>69</v>
      </c>
      <c r="M120" s="1">
        <v>2</v>
      </c>
    </row>
    <row r="121" spans="1:13" x14ac:dyDescent="0.3">
      <c r="A121">
        <v>2</v>
      </c>
      <c r="B121">
        <v>1</v>
      </c>
      <c r="C121" t="s">
        <v>79</v>
      </c>
      <c r="D121" s="1" t="s">
        <v>2</v>
      </c>
      <c r="E121" s="59" t="s">
        <v>15</v>
      </c>
      <c r="F121" s="60">
        <v>6.45583333333333</v>
      </c>
      <c r="G121" s="60">
        <v>1.88352532207265</v>
      </c>
      <c r="H121" s="61">
        <v>7.1139622641509401</v>
      </c>
      <c r="I121" s="62">
        <v>3.92</v>
      </c>
      <c r="J121" s="37">
        <v>-3.1939622641509402</v>
      </c>
      <c r="K121" s="37">
        <v>-44.897093146615717</v>
      </c>
      <c r="L121" s="1" t="s">
        <v>69</v>
      </c>
      <c r="M121" s="1">
        <v>2</v>
      </c>
    </row>
    <row r="122" spans="1:13" x14ac:dyDescent="0.3">
      <c r="A122">
        <v>2</v>
      </c>
      <c r="B122">
        <v>1</v>
      </c>
      <c r="C122" t="s">
        <v>79</v>
      </c>
      <c r="D122" s="1" t="s">
        <v>2</v>
      </c>
      <c r="E122" s="59" t="s">
        <v>16</v>
      </c>
      <c r="F122" s="60">
        <v>0.67683333333333295</v>
      </c>
      <c r="G122" s="60">
        <v>0.12876971262252901</v>
      </c>
      <c r="H122" s="61">
        <v>0.71658536585365895</v>
      </c>
      <c r="I122" s="62">
        <v>4.83</v>
      </c>
      <c r="J122" s="37">
        <v>4.1134146341463413</v>
      </c>
      <c r="K122" s="37">
        <v>574.02995234853609</v>
      </c>
      <c r="L122" s="1" t="s">
        <v>69</v>
      </c>
      <c r="M122" s="1">
        <v>2</v>
      </c>
    </row>
    <row r="123" spans="1:13" x14ac:dyDescent="0.3">
      <c r="A123">
        <v>2</v>
      </c>
      <c r="B123">
        <v>1</v>
      </c>
      <c r="C123" t="s">
        <v>79</v>
      </c>
      <c r="D123" s="1" t="s">
        <v>2</v>
      </c>
      <c r="E123" s="59" t="s">
        <v>17</v>
      </c>
      <c r="F123" s="60">
        <v>0.14533333333333301</v>
      </c>
      <c r="G123" s="60">
        <v>1.67796172648709E-2</v>
      </c>
      <c r="H123" s="61">
        <v>0.14686274509803901</v>
      </c>
      <c r="I123" s="62">
        <v>1.4</v>
      </c>
      <c r="J123" s="37">
        <v>1.2531372549019608</v>
      </c>
      <c r="K123" s="37">
        <v>853.27102803738433</v>
      </c>
      <c r="L123" s="1" t="s">
        <v>69</v>
      </c>
      <c r="M123" s="1">
        <v>2</v>
      </c>
    </row>
    <row r="124" spans="1:13" x14ac:dyDescent="0.3">
      <c r="A124">
        <v>2</v>
      </c>
      <c r="B124">
        <v>1</v>
      </c>
      <c r="C124" t="s">
        <v>79</v>
      </c>
      <c r="D124" s="1" t="s">
        <v>2</v>
      </c>
      <c r="E124" s="59" t="s">
        <v>18</v>
      </c>
      <c r="F124" s="60">
        <v>4.1369811320754604</v>
      </c>
      <c r="G124" s="60">
        <v>1.46055247353386</v>
      </c>
      <c r="H124" s="61">
        <v>4.7213333333333196</v>
      </c>
      <c r="I124" s="62">
        <v>3.97</v>
      </c>
      <c r="J124" s="37">
        <v>-0.75133333333331942</v>
      </c>
      <c r="K124" s="37">
        <v>-15.913583733408393</v>
      </c>
      <c r="L124" s="1" t="s">
        <v>69</v>
      </c>
      <c r="M124" s="1">
        <v>2</v>
      </c>
    </row>
    <row r="125" spans="1:13" x14ac:dyDescent="0.3">
      <c r="A125">
        <v>2</v>
      </c>
      <c r="B125">
        <v>1</v>
      </c>
      <c r="C125" t="s">
        <v>79</v>
      </c>
      <c r="D125" s="1" t="s">
        <v>2</v>
      </c>
      <c r="E125" s="59" t="s">
        <v>19</v>
      </c>
      <c r="F125" s="60">
        <v>0.88220338983050794</v>
      </c>
      <c r="G125" s="60">
        <v>0.62979972010642804</v>
      </c>
      <c r="H125" s="61">
        <v>0.766491228070175</v>
      </c>
      <c r="I125" s="62">
        <v>2.4900000000000002</v>
      </c>
      <c r="J125" s="37">
        <v>1.7235087719298252</v>
      </c>
      <c r="K125" s="37">
        <v>224.8569466697187</v>
      </c>
      <c r="L125" s="1" t="s">
        <v>69</v>
      </c>
      <c r="M125" s="1">
        <v>2</v>
      </c>
    </row>
    <row r="127" spans="1:13" x14ac:dyDescent="0.3">
      <c r="A127">
        <v>2</v>
      </c>
      <c r="B127">
        <v>1</v>
      </c>
      <c r="C127" t="s">
        <v>79</v>
      </c>
      <c r="D127" s="1" t="s">
        <v>2</v>
      </c>
      <c r="E127" s="59" t="s">
        <v>12</v>
      </c>
      <c r="F127" s="60">
        <v>4.9161666666666601</v>
      </c>
      <c r="G127" s="60">
        <v>1.1376834528500801</v>
      </c>
      <c r="H127" s="61">
        <v>5.3576744186046499</v>
      </c>
      <c r="I127" s="63">
        <v>5.47</v>
      </c>
      <c r="J127" s="58">
        <v>0.11232558139534987</v>
      </c>
      <c r="K127" s="58">
        <v>2.096536157652594</v>
      </c>
      <c r="L127" s="1" t="s">
        <v>23</v>
      </c>
      <c r="M127" s="1">
        <v>3</v>
      </c>
    </row>
    <row r="128" spans="1:13" x14ac:dyDescent="0.3">
      <c r="A128">
        <v>2</v>
      </c>
      <c r="B128">
        <v>1</v>
      </c>
      <c r="C128" t="s">
        <v>79</v>
      </c>
      <c r="D128" s="1" t="s">
        <v>2</v>
      </c>
      <c r="E128" s="59" t="s">
        <v>13</v>
      </c>
      <c r="F128" s="60">
        <v>1.1101694915254201</v>
      </c>
      <c r="G128" s="60">
        <v>0.623207916241316</v>
      </c>
      <c r="H128" s="61">
        <v>0.93148148148148102</v>
      </c>
      <c r="I128" s="63">
        <v>5.98</v>
      </c>
      <c r="J128" s="58">
        <v>5.0485185185185193</v>
      </c>
      <c r="K128" s="58">
        <v>541.98807157057695</v>
      </c>
      <c r="L128" s="1" t="s">
        <v>23</v>
      </c>
      <c r="M128" s="1">
        <v>3</v>
      </c>
    </row>
    <row r="129" spans="1:13" x14ac:dyDescent="0.3">
      <c r="A129">
        <v>2</v>
      </c>
      <c r="B129">
        <v>1</v>
      </c>
      <c r="C129" t="s">
        <v>79</v>
      </c>
      <c r="D129" s="1" t="s">
        <v>2</v>
      </c>
      <c r="E129" s="59" t="s">
        <v>14</v>
      </c>
      <c r="F129" s="60">
        <v>1.11883333333333</v>
      </c>
      <c r="G129" s="60">
        <v>0.51472352341383698</v>
      </c>
      <c r="H129" s="61">
        <v>1.4099999999999899</v>
      </c>
      <c r="I129" s="63">
        <v>2.41</v>
      </c>
      <c r="J129" s="58">
        <v>1.0000000000000102</v>
      </c>
      <c r="K129" s="58">
        <v>70.921985815604074</v>
      </c>
      <c r="L129" s="1" t="s">
        <v>23</v>
      </c>
      <c r="M129" s="1">
        <v>3</v>
      </c>
    </row>
    <row r="130" spans="1:13" x14ac:dyDescent="0.3">
      <c r="A130">
        <v>2</v>
      </c>
      <c r="B130">
        <v>1</v>
      </c>
      <c r="C130" t="s">
        <v>79</v>
      </c>
      <c r="D130" s="1" t="s">
        <v>2</v>
      </c>
      <c r="E130" s="59" t="s">
        <v>15</v>
      </c>
      <c r="F130" s="60">
        <v>6.7576666666666698</v>
      </c>
      <c r="G130" s="60">
        <v>1.53178584955237</v>
      </c>
      <c r="H130" s="61">
        <v>7.1375000000000002</v>
      </c>
      <c r="I130" s="63">
        <v>3.91</v>
      </c>
      <c r="J130" s="58">
        <v>-3.2275</v>
      </c>
      <c r="K130" s="58">
        <v>-45.218914185639228</v>
      </c>
      <c r="L130" s="1" t="s">
        <v>23</v>
      </c>
      <c r="M130" s="1">
        <v>3</v>
      </c>
    </row>
    <row r="131" spans="1:13" x14ac:dyDescent="0.3">
      <c r="A131">
        <v>2</v>
      </c>
      <c r="B131">
        <v>1</v>
      </c>
      <c r="C131" t="s">
        <v>79</v>
      </c>
      <c r="D131" s="1" t="s">
        <v>2</v>
      </c>
      <c r="E131" s="59" t="s">
        <v>16</v>
      </c>
      <c r="F131" s="60">
        <v>0.69483333333333297</v>
      </c>
      <c r="G131" s="60">
        <v>7.9067306068240903E-2</v>
      </c>
      <c r="H131" s="61">
        <v>0.71877551020408104</v>
      </c>
      <c r="I131" s="63">
        <v>4.76</v>
      </c>
      <c r="J131" s="58">
        <v>4.0412244897959191</v>
      </c>
      <c r="K131" s="58">
        <v>562.2373651334475</v>
      </c>
      <c r="L131" s="1" t="s">
        <v>23</v>
      </c>
      <c r="M131" s="1">
        <v>3</v>
      </c>
    </row>
    <row r="132" spans="1:13" x14ac:dyDescent="0.3">
      <c r="A132">
        <v>2</v>
      </c>
      <c r="B132">
        <v>1</v>
      </c>
      <c r="C132" t="s">
        <v>79</v>
      </c>
      <c r="D132" s="1" t="s">
        <v>2</v>
      </c>
      <c r="E132" s="59" t="s">
        <v>17</v>
      </c>
      <c r="F132" s="60">
        <v>0.14383333333333301</v>
      </c>
      <c r="G132" s="60">
        <v>1.45019155822793E-2</v>
      </c>
      <c r="H132" s="61">
        <v>0.14481481481481401</v>
      </c>
      <c r="I132" s="63">
        <v>1.37</v>
      </c>
      <c r="J132" s="58">
        <v>1.225185185185186</v>
      </c>
      <c r="K132" s="58">
        <v>846.03580562660386</v>
      </c>
      <c r="L132" s="1" t="s">
        <v>23</v>
      </c>
      <c r="M132" s="1">
        <v>3</v>
      </c>
    </row>
    <row r="133" spans="1:13" x14ac:dyDescent="0.3">
      <c r="A133">
        <v>2</v>
      </c>
      <c r="B133">
        <v>1</v>
      </c>
      <c r="C133" t="s">
        <v>79</v>
      </c>
      <c r="D133" s="1" t="s">
        <v>2</v>
      </c>
      <c r="E133" s="59" t="s">
        <v>18</v>
      </c>
      <c r="F133" s="60">
        <v>4.0671929824561301</v>
      </c>
      <c r="G133" s="60">
        <v>1.53511843578291</v>
      </c>
      <c r="H133" s="61">
        <v>4.7302173913043397</v>
      </c>
      <c r="I133" s="63">
        <v>3.98</v>
      </c>
      <c r="J133" s="58">
        <v>-0.75021739130433973</v>
      </c>
      <c r="K133" s="58">
        <v>-15.860103865067185</v>
      </c>
      <c r="L133" s="1" t="s">
        <v>23</v>
      </c>
      <c r="M133" s="1">
        <v>3</v>
      </c>
    </row>
    <row r="134" spans="1:13" x14ac:dyDescent="0.3">
      <c r="A134">
        <v>2</v>
      </c>
      <c r="B134">
        <v>1</v>
      </c>
      <c r="C134" t="s">
        <v>79</v>
      </c>
      <c r="D134" s="1" t="s">
        <v>2</v>
      </c>
      <c r="E134" s="59" t="s">
        <v>19</v>
      </c>
      <c r="F134" s="60">
        <v>1.0701694915254201</v>
      </c>
      <c r="G134" s="60">
        <v>0.95140127078550896</v>
      </c>
      <c r="H134" s="61">
        <v>0.78222222222222204</v>
      </c>
      <c r="I134" s="63">
        <v>2.46</v>
      </c>
      <c r="J134" s="58">
        <v>1.677777777777778</v>
      </c>
      <c r="K134" s="58">
        <v>214.48863636363646</v>
      </c>
      <c r="L134" s="1" t="s">
        <v>23</v>
      </c>
      <c r="M134" s="1">
        <v>3</v>
      </c>
    </row>
    <row r="135" spans="1:13" x14ac:dyDescent="0.3">
      <c r="A135">
        <v>2</v>
      </c>
      <c r="B135">
        <v>1</v>
      </c>
      <c r="C135" t="s">
        <v>79</v>
      </c>
      <c r="D135" s="1" t="s">
        <v>2</v>
      </c>
      <c r="E135" s="59" t="s">
        <v>12</v>
      </c>
      <c r="F135" s="60">
        <v>4.9161666666666601</v>
      </c>
      <c r="G135" s="60">
        <v>1.1376834528500801</v>
      </c>
      <c r="H135" s="61">
        <v>5.3576744186046499</v>
      </c>
      <c r="I135" s="63">
        <v>5.41</v>
      </c>
      <c r="J135" s="58">
        <v>5.2325581395350262E-2</v>
      </c>
      <c r="K135" s="58">
        <v>0.97664727840961096</v>
      </c>
      <c r="L135" s="1" t="s">
        <v>68</v>
      </c>
      <c r="M135" s="1">
        <v>3</v>
      </c>
    </row>
    <row r="136" spans="1:13" x14ac:dyDescent="0.3">
      <c r="A136">
        <v>2</v>
      </c>
      <c r="B136">
        <v>1</v>
      </c>
      <c r="C136" t="s">
        <v>79</v>
      </c>
      <c r="D136" s="1" t="s">
        <v>2</v>
      </c>
      <c r="E136" s="59" t="s">
        <v>13</v>
      </c>
      <c r="F136" s="60">
        <v>1.1101694915254201</v>
      </c>
      <c r="G136" s="60">
        <v>0.623207916241316</v>
      </c>
      <c r="H136" s="61">
        <v>0.93148148148148102</v>
      </c>
      <c r="I136" s="63">
        <v>5.96</v>
      </c>
      <c r="J136" s="58">
        <v>5.0285185185185188</v>
      </c>
      <c r="K136" s="58">
        <v>539.8409542743542</v>
      </c>
      <c r="L136" s="1" t="s">
        <v>68</v>
      </c>
      <c r="M136" s="1">
        <v>3</v>
      </c>
    </row>
    <row r="137" spans="1:13" x14ac:dyDescent="0.3">
      <c r="A137">
        <v>2</v>
      </c>
      <c r="B137">
        <v>1</v>
      </c>
      <c r="C137" t="s">
        <v>79</v>
      </c>
      <c r="D137" s="1" t="s">
        <v>2</v>
      </c>
      <c r="E137" s="59" t="s">
        <v>14</v>
      </c>
      <c r="F137" s="60">
        <v>1.11883333333333</v>
      </c>
      <c r="G137" s="60">
        <v>0.51472352341383698</v>
      </c>
      <c r="H137" s="61">
        <v>1.4099999999999899</v>
      </c>
      <c r="I137" s="63">
        <v>2.4300000000000002</v>
      </c>
      <c r="J137" s="58">
        <v>1.0200000000000102</v>
      </c>
      <c r="K137" s="58">
        <v>72.340425531916139</v>
      </c>
      <c r="L137" s="1" t="s">
        <v>68</v>
      </c>
      <c r="M137" s="1">
        <v>3</v>
      </c>
    </row>
    <row r="138" spans="1:13" x14ac:dyDescent="0.3">
      <c r="A138">
        <v>2</v>
      </c>
      <c r="B138">
        <v>1</v>
      </c>
      <c r="C138" t="s">
        <v>79</v>
      </c>
      <c r="D138" s="1" t="s">
        <v>2</v>
      </c>
      <c r="E138" s="59" t="s">
        <v>15</v>
      </c>
      <c r="F138" s="60">
        <v>6.7576666666666698</v>
      </c>
      <c r="G138" s="60">
        <v>1.53178584955237</v>
      </c>
      <c r="H138" s="61">
        <v>7.1375000000000002</v>
      </c>
      <c r="I138" s="63">
        <v>3.89</v>
      </c>
      <c r="J138" s="58">
        <v>-3.2475000000000001</v>
      </c>
      <c r="K138" s="58">
        <v>-45.499124343257442</v>
      </c>
      <c r="L138" s="1" t="s">
        <v>68</v>
      </c>
      <c r="M138" s="1">
        <v>3</v>
      </c>
    </row>
    <row r="139" spans="1:13" x14ac:dyDescent="0.3">
      <c r="A139">
        <v>2</v>
      </c>
      <c r="B139">
        <v>1</v>
      </c>
      <c r="C139" t="s">
        <v>79</v>
      </c>
      <c r="D139" s="1" t="s">
        <v>2</v>
      </c>
      <c r="E139" s="59" t="s">
        <v>16</v>
      </c>
      <c r="F139" s="60">
        <v>0.69483333333333297</v>
      </c>
      <c r="G139" s="60">
        <v>7.9067306068240903E-2</v>
      </c>
      <c r="H139" s="61">
        <v>0.71877551020408104</v>
      </c>
      <c r="I139" s="63">
        <v>4.78</v>
      </c>
      <c r="J139" s="58">
        <v>4.0612244897959195</v>
      </c>
      <c r="K139" s="58">
        <v>565.01987507098295</v>
      </c>
      <c r="L139" s="1" t="s">
        <v>68</v>
      </c>
      <c r="M139" s="1">
        <v>3</v>
      </c>
    </row>
    <row r="140" spans="1:13" x14ac:dyDescent="0.3">
      <c r="A140">
        <v>2</v>
      </c>
      <c r="B140">
        <v>1</v>
      </c>
      <c r="C140" t="s">
        <v>79</v>
      </c>
      <c r="D140" s="1" t="s">
        <v>2</v>
      </c>
      <c r="E140" s="59" t="s">
        <v>17</v>
      </c>
      <c r="F140" s="60">
        <v>0.14383333333333301</v>
      </c>
      <c r="G140" s="60">
        <v>1.45019155822793E-2</v>
      </c>
      <c r="H140" s="61">
        <v>0.14481481481481401</v>
      </c>
      <c r="I140" s="63">
        <v>1.38</v>
      </c>
      <c r="J140" s="58">
        <v>1.2351851851851858</v>
      </c>
      <c r="K140" s="58">
        <v>852.9411764705934</v>
      </c>
      <c r="L140" s="1" t="s">
        <v>68</v>
      </c>
      <c r="M140" s="1">
        <v>3</v>
      </c>
    </row>
    <row r="141" spans="1:13" x14ac:dyDescent="0.3">
      <c r="A141">
        <v>2</v>
      </c>
      <c r="B141">
        <v>1</v>
      </c>
      <c r="C141" t="s">
        <v>79</v>
      </c>
      <c r="D141" s="1" t="s">
        <v>2</v>
      </c>
      <c r="E141" s="59" t="s">
        <v>18</v>
      </c>
      <c r="F141" s="60">
        <v>4.0671929824561301</v>
      </c>
      <c r="G141" s="60">
        <v>1.53511843578291</v>
      </c>
      <c r="H141" s="61">
        <v>4.7302173913043397</v>
      </c>
      <c r="I141" s="63">
        <v>4.01</v>
      </c>
      <c r="J141" s="58">
        <v>-0.72021739130433993</v>
      </c>
      <c r="K141" s="58">
        <v>-15.225883542442068</v>
      </c>
      <c r="L141" s="1" t="s">
        <v>68</v>
      </c>
      <c r="M141" s="1">
        <v>3</v>
      </c>
    </row>
    <row r="142" spans="1:13" x14ac:dyDescent="0.3">
      <c r="A142">
        <v>2</v>
      </c>
      <c r="B142">
        <v>1</v>
      </c>
      <c r="C142" t="s">
        <v>79</v>
      </c>
      <c r="D142" s="1" t="s">
        <v>2</v>
      </c>
      <c r="E142" s="59" t="s">
        <v>19</v>
      </c>
      <c r="F142" s="60">
        <v>1.0701694915254201</v>
      </c>
      <c r="G142" s="60">
        <v>0.95140127078550896</v>
      </c>
      <c r="H142" s="61">
        <v>0.78222222222222204</v>
      </c>
      <c r="I142" s="63">
        <v>2.48</v>
      </c>
      <c r="J142" s="58">
        <v>1.6977777777777781</v>
      </c>
      <c r="K142" s="58">
        <v>217.04545454545462</v>
      </c>
      <c r="L142" s="1" t="s">
        <v>68</v>
      </c>
      <c r="M142" s="1">
        <v>3</v>
      </c>
    </row>
    <row r="143" spans="1:13" x14ac:dyDescent="0.3">
      <c r="A143">
        <v>2</v>
      </c>
      <c r="B143">
        <v>1</v>
      </c>
      <c r="C143" t="s">
        <v>79</v>
      </c>
      <c r="D143" s="1" t="s">
        <v>2</v>
      </c>
      <c r="E143" s="59" t="s">
        <v>12</v>
      </c>
      <c r="F143" s="60">
        <v>4.9161666666666601</v>
      </c>
      <c r="G143" s="60">
        <v>1.1376834528500801</v>
      </c>
      <c r="H143" s="61">
        <v>5.3576744186046499</v>
      </c>
      <c r="I143" s="63">
        <v>5.45</v>
      </c>
      <c r="J143" s="58">
        <v>9.2325581395350298E-2</v>
      </c>
      <c r="K143" s="58">
        <v>1.7232398645716049</v>
      </c>
      <c r="L143" s="1" t="s">
        <v>69</v>
      </c>
      <c r="M143" s="1">
        <v>3</v>
      </c>
    </row>
    <row r="144" spans="1:13" x14ac:dyDescent="0.3">
      <c r="A144">
        <v>2</v>
      </c>
      <c r="B144">
        <v>1</v>
      </c>
      <c r="C144" t="s">
        <v>79</v>
      </c>
      <c r="D144" s="1" t="s">
        <v>2</v>
      </c>
      <c r="E144" s="59" t="s">
        <v>13</v>
      </c>
      <c r="F144" s="60">
        <v>1.1101694915254201</v>
      </c>
      <c r="G144" s="60">
        <v>0.623207916241316</v>
      </c>
      <c r="H144" s="61">
        <v>0.93148148148148102</v>
      </c>
      <c r="I144" s="63">
        <v>6.03</v>
      </c>
      <c r="J144" s="58">
        <v>5.0985185185185191</v>
      </c>
      <c r="K144" s="58">
        <v>547.35586481113353</v>
      </c>
      <c r="L144" s="1" t="s">
        <v>69</v>
      </c>
      <c r="M144" s="1">
        <v>3</v>
      </c>
    </row>
    <row r="145" spans="1:13" x14ac:dyDescent="0.3">
      <c r="A145">
        <v>2</v>
      </c>
      <c r="B145">
        <v>1</v>
      </c>
      <c r="C145" t="s">
        <v>79</v>
      </c>
      <c r="D145" s="1" t="s">
        <v>2</v>
      </c>
      <c r="E145" s="59" t="s">
        <v>14</v>
      </c>
      <c r="F145" s="60">
        <v>1.11883333333333</v>
      </c>
      <c r="G145" s="60">
        <v>0.51472352341383698</v>
      </c>
      <c r="H145" s="61">
        <v>1.4099999999999899</v>
      </c>
      <c r="I145" s="63">
        <v>2.4500000000000002</v>
      </c>
      <c r="J145" s="58">
        <v>1.0400000000000102</v>
      </c>
      <c r="K145" s="58">
        <v>73.758865248228204</v>
      </c>
      <c r="L145" s="1" t="s">
        <v>69</v>
      </c>
      <c r="M145" s="1">
        <v>3</v>
      </c>
    </row>
    <row r="146" spans="1:13" x14ac:dyDescent="0.3">
      <c r="A146">
        <v>2</v>
      </c>
      <c r="B146">
        <v>1</v>
      </c>
      <c r="C146" t="s">
        <v>79</v>
      </c>
      <c r="D146" s="1" t="s">
        <v>2</v>
      </c>
      <c r="E146" s="59" t="s">
        <v>15</v>
      </c>
      <c r="F146" s="60">
        <v>6.7576666666666698</v>
      </c>
      <c r="G146" s="60">
        <v>1.53178584955237</v>
      </c>
      <c r="H146" s="61">
        <v>7.1375000000000002</v>
      </c>
      <c r="I146" s="63">
        <v>3.92</v>
      </c>
      <c r="J146" s="58">
        <v>-3.2175000000000002</v>
      </c>
      <c r="K146" s="58">
        <v>-45.078809106830128</v>
      </c>
      <c r="L146" s="1" t="s">
        <v>69</v>
      </c>
      <c r="M146" s="1">
        <v>3</v>
      </c>
    </row>
    <row r="147" spans="1:13" x14ac:dyDescent="0.3">
      <c r="A147">
        <v>2</v>
      </c>
      <c r="B147">
        <v>1</v>
      </c>
      <c r="C147" t="s">
        <v>79</v>
      </c>
      <c r="D147" s="1" t="s">
        <v>2</v>
      </c>
      <c r="E147" s="59" t="s">
        <v>16</v>
      </c>
      <c r="F147" s="60">
        <v>0.69483333333333297</v>
      </c>
      <c r="G147" s="60">
        <v>7.9067306068240903E-2</v>
      </c>
      <c r="H147" s="61">
        <v>0.71877551020408104</v>
      </c>
      <c r="I147" s="63">
        <v>4.83</v>
      </c>
      <c r="J147" s="58">
        <v>4.1112244897959194</v>
      </c>
      <c r="K147" s="58">
        <v>571.97614991482169</v>
      </c>
      <c r="L147" s="1" t="s">
        <v>69</v>
      </c>
      <c r="M147" s="1">
        <v>3</v>
      </c>
    </row>
    <row r="148" spans="1:13" x14ac:dyDescent="0.3">
      <c r="A148">
        <v>2</v>
      </c>
      <c r="B148">
        <v>1</v>
      </c>
      <c r="C148" t="s">
        <v>79</v>
      </c>
      <c r="D148" s="1" t="s">
        <v>2</v>
      </c>
      <c r="E148" s="59" t="s">
        <v>17</v>
      </c>
      <c r="F148" s="60">
        <v>0.14383333333333301</v>
      </c>
      <c r="G148" s="60">
        <v>1.45019155822793E-2</v>
      </c>
      <c r="H148" s="61">
        <v>0.14481481481481401</v>
      </c>
      <c r="I148" s="63">
        <v>1.4</v>
      </c>
      <c r="J148" s="58">
        <v>1.2551851851851858</v>
      </c>
      <c r="K148" s="58">
        <v>866.75191815857295</v>
      </c>
      <c r="L148" s="1" t="s">
        <v>69</v>
      </c>
      <c r="M148" s="1">
        <v>3</v>
      </c>
    </row>
    <row r="149" spans="1:13" x14ac:dyDescent="0.3">
      <c r="A149">
        <v>2</v>
      </c>
      <c r="B149">
        <v>1</v>
      </c>
      <c r="C149" t="s">
        <v>79</v>
      </c>
      <c r="D149" s="1" t="s">
        <v>2</v>
      </c>
      <c r="E149" s="59" t="s">
        <v>18</v>
      </c>
      <c r="F149" s="60">
        <v>4.0671929824561301</v>
      </c>
      <c r="G149" s="60">
        <v>1.53511843578291</v>
      </c>
      <c r="H149" s="61">
        <v>4.7302173913043397</v>
      </c>
      <c r="I149" s="63">
        <v>3.97</v>
      </c>
      <c r="J149" s="58">
        <v>-0.76021739130433952</v>
      </c>
      <c r="K149" s="58">
        <v>-16.071510639275555</v>
      </c>
      <c r="L149" s="1" t="s">
        <v>69</v>
      </c>
      <c r="M149" s="1">
        <v>3</v>
      </c>
    </row>
    <row r="150" spans="1:13" x14ac:dyDescent="0.3">
      <c r="A150">
        <v>2</v>
      </c>
      <c r="B150">
        <v>1</v>
      </c>
      <c r="C150" t="s">
        <v>79</v>
      </c>
      <c r="D150" s="1" t="s">
        <v>2</v>
      </c>
      <c r="E150" s="59" t="s">
        <v>19</v>
      </c>
      <c r="F150" s="60">
        <v>1.0701694915254201</v>
      </c>
      <c r="G150" s="60">
        <v>0.95140127078550896</v>
      </c>
      <c r="H150" s="61">
        <v>0.78222222222222204</v>
      </c>
      <c r="I150" s="63">
        <v>2.4900000000000002</v>
      </c>
      <c r="J150" s="58">
        <v>1.7077777777777783</v>
      </c>
      <c r="K150" s="58">
        <v>218.32386363636377</v>
      </c>
      <c r="L150" s="1" t="s">
        <v>69</v>
      </c>
      <c r="M150" s="1">
        <v>3</v>
      </c>
    </row>
    <row r="152" spans="1:13" x14ac:dyDescent="0.3">
      <c r="A152">
        <v>3</v>
      </c>
      <c r="B152">
        <v>1</v>
      </c>
      <c r="C152" t="s">
        <v>79</v>
      </c>
      <c r="D152" s="1" t="s">
        <v>2</v>
      </c>
      <c r="E152" s="59" t="s">
        <v>12</v>
      </c>
      <c r="F152" s="60">
        <v>3.3066</v>
      </c>
      <c r="G152" s="60">
        <v>1.0826312576311401</v>
      </c>
      <c r="H152" s="61">
        <v>3.8620512820512798</v>
      </c>
      <c r="I152" s="62">
        <v>5.36</v>
      </c>
      <c r="J152" s="37">
        <v>1.4979487179487205</v>
      </c>
      <c r="K152" s="37">
        <v>38.786349754348784</v>
      </c>
      <c r="L152" s="1" t="s">
        <v>23</v>
      </c>
      <c r="M152" s="1">
        <v>1</v>
      </c>
    </row>
    <row r="153" spans="1:13" x14ac:dyDescent="0.3">
      <c r="A153">
        <v>3</v>
      </c>
      <c r="B153">
        <v>1</v>
      </c>
      <c r="C153" t="s">
        <v>79</v>
      </c>
      <c r="D153" s="1" t="s">
        <v>2</v>
      </c>
      <c r="E153" s="59" t="s">
        <v>13</v>
      </c>
      <c r="F153" s="60">
        <v>3.62299999999999</v>
      </c>
      <c r="G153" s="60">
        <v>4.31495782134657</v>
      </c>
      <c r="H153" s="61">
        <v>2.2026666666666599</v>
      </c>
      <c r="I153" s="62">
        <v>2.94</v>
      </c>
      <c r="J153" s="37">
        <v>0.73733333333334006</v>
      </c>
      <c r="K153" s="37">
        <v>33.474576271186848</v>
      </c>
      <c r="L153" s="1" t="s">
        <v>23</v>
      </c>
      <c r="M153" s="1">
        <v>1</v>
      </c>
    </row>
    <row r="154" spans="1:13" x14ac:dyDescent="0.3">
      <c r="A154">
        <v>3</v>
      </c>
      <c r="B154">
        <v>1</v>
      </c>
      <c r="C154" t="s">
        <v>79</v>
      </c>
      <c r="D154" s="1" t="s">
        <v>2</v>
      </c>
      <c r="E154" s="59" t="s">
        <v>14</v>
      </c>
      <c r="F154" s="60">
        <v>1.5453999999999899</v>
      </c>
      <c r="G154" s="60">
        <v>0.45663644182215601</v>
      </c>
      <c r="H154" s="61">
        <v>1.7366666666666599</v>
      </c>
      <c r="I154" s="62">
        <v>4.8</v>
      </c>
      <c r="J154" s="37">
        <v>3.0633333333333397</v>
      </c>
      <c r="K154" s="37">
        <v>176.39155470249625</v>
      </c>
      <c r="L154" s="1" t="s">
        <v>23</v>
      </c>
      <c r="M154" s="1">
        <v>1</v>
      </c>
    </row>
    <row r="155" spans="1:13" x14ac:dyDescent="0.3">
      <c r="A155">
        <v>3</v>
      </c>
      <c r="B155">
        <v>1</v>
      </c>
      <c r="C155" t="s">
        <v>79</v>
      </c>
      <c r="D155" s="1" t="s">
        <v>2</v>
      </c>
      <c r="E155" s="59" t="s">
        <v>15</v>
      </c>
      <c r="F155" s="60">
        <v>0.88919999999999999</v>
      </c>
      <c r="G155" s="60">
        <v>0.163656225057282</v>
      </c>
      <c r="H155" s="61">
        <v>0.81780487804877999</v>
      </c>
      <c r="I155" s="62">
        <v>3.73</v>
      </c>
      <c r="J155" s="37">
        <v>2.9121951219512199</v>
      </c>
      <c r="K155" s="37">
        <v>356.09901580674045</v>
      </c>
      <c r="L155" s="1" t="s">
        <v>23</v>
      </c>
      <c r="M155" s="1">
        <v>1</v>
      </c>
    </row>
    <row r="156" spans="1:13" x14ac:dyDescent="0.3">
      <c r="A156">
        <v>3</v>
      </c>
      <c r="B156">
        <v>1</v>
      </c>
      <c r="C156" t="s">
        <v>79</v>
      </c>
      <c r="D156" s="1" t="s">
        <v>2</v>
      </c>
      <c r="E156" s="59" t="s">
        <v>16</v>
      </c>
      <c r="F156" s="60">
        <v>12.274800000000001</v>
      </c>
      <c r="G156" s="60">
        <v>3.9396955415361701</v>
      </c>
      <c r="H156" s="61">
        <v>13.8734285714285</v>
      </c>
      <c r="I156" s="62">
        <v>1.71</v>
      </c>
      <c r="J156" s="37">
        <v>-12.163428571428501</v>
      </c>
      <c r="K156" s="37">
        <v>-87.674279712502781</v>
      </c>
      <c r="L156" s="1" t="s">
        <v>23</v>
      </c>
      <c r="M156" s="1">
        <v>1</v>
      </c>
    </row>
    <row r="157" spans="1:13" x14ac:dyDescent="0.3">
      <c r="A157">
        <v>3</v>
      </c>
      <c r="B157">
        <v>1</v>
      </c>
      <c r="C157" t="s">
        <v>79</v>
      </c>
      <c r="D157" s="1" t="s">
        <v>2</v>
      </c>
      <c r="E157" s="59" t="s">
        <v>17</v>
      </c>
      <c r="F157" s="60">
        <v>3.5686</v>
      </c>
      <c r="G157" s="60">
        <v>2.4408252784662801</v>
      </c>
      <c r="H157" s="61">
        <v>3.2244897959183598</v>
      </c>
      <c r="I157" s="62">
        <v>5.0599999999999996</v>
      </c>
      <c r="J157" s="37">
        <v>1.8355102040816398</v>
      </c>
      <c r="K157" s="37">
        <v>56.924050632911751</v>
      </c>
      <c r="L157" s="1" t="s">
        <v>23</v>
      </c>
      <c r="M157" s="1">
        <v>1</v>
      </c>
    </row>
    <row r="158" spans="1:13" x14ac:dyDescent="0.3">
      <c r="A158">
        <v>3</v>
      </c>
      <c r="B158">
        <v>1</v>
      </c>
      <c r="C158" t="s">
        <v>79</v>
      </c>
      <c r="D158" s="1" t="s">
        <v>2</v>
      </c>
      <c r="E158" s="59" t="s">
        <v>18</v>
      </c>
      <c r="F158" s="60">
        <v>1.2295833333333299</v>
      </c>
      <c r="G158" s="60">
        <v>0.28051261360033097</v>
      </c>
      <c r="H158" s="61">
        <v>1.17</v>
      </c>
      <c r="I158" s="62">
        <v>1.69</v>
      </c>
      <c r="J158" s="37">
        <v>0.52</v>
      </c>
      <c r="K158" s="37">
        <v>44.44444444444445</v>
      </c>
      <c r="L158" s="1" t="s">
        <v>23</v>
      </c>
      <c r="M158" s="1">
        <v>1</v>
      </c>
    </row>
    <row r="159" spans="1:13" x14ac:dyDescent="0.3">
      <c r="A159">
        <v>3</v>
      </c>
      <c r="B159">
        <v>1</v>
      </c>
      <c r="C159" t="s">
        <v>79</v>
      </c>
      <c r="D159" s="1" t="s">
        <v>2</v>
      </c>
      <c r="E159" s="59" t="s">
        <v>19</v>
      </c>
      <c r="F159" s="60">
        <v>1.3957999999999999</v>
      </c>
      <c r="G159" s="60">
        <v>0.86851157735519002</v>
      </c>
      <c r="H159" s="61">
        <v>1.18787234042553</v>
      </c>
      <c r="I159" s="62">
        <v>1.68</v>
      </c>
      <c r="J159" s="37">
        <v>0.49212765957446991</v>
      </c>
      <c r="K159" s="37">
        <v>41.429339065019029</v>
      </c>
      <c r="L159" s="1" t="s">
        <v>23</v>
      </c>
      <c r="M159" s="1">
        <v>1</v>
      </c>
    </row>
    <row r="160" spans="1:13" x14ac:dyDescent="0.3">
      <c r="A160">
        <v>3</v>
      </c>
      <c r="B160">
        <v>1</v>
      </c>
      <c r="C160" t="s">
        <v>79</v>
      </c>
      <c r="D160" s="1" t="s">
        <v>2</v>
      </c>
      <c r="E160" s="59" t="s">
        <v>12</v>
      </c>
      <c r="F160" s="60">
        <v>3.3066</v>
      </c>
      <c r="G160" s="60">
        <v>1.0826312576311401</v>
      </c>
      <c r="H160" s="61">
        <v>3.8620512820512798</v>
      </c>
      <c r="I160" s="62">
        <v>5.32</v>
      </c>
      <c r="J160" s="37">
        <v>1.4579487179487205</v>
      </c>
      <c r="K160" s="37">
        <v>37.750630726331252</v>
      </c>
      <c r="L160" s="1" t="s">
        <v>68</v>
      </c>
      <c r="M160" s="1">
        <v>1</v>
      </c>
    </row>
    <row r="161" spans="1:13" x14ac:dyDescent="0.3">
      <c r="A161">
        <v>3</v>
      </c>
      <c r="B161">
        <v>1</v>
      </c>
      <c r="C161" t="s">
        <v>79</v>
      </c>
      <c r="D161" s="1" t="s">
        <v>2</v>
      </c>
      <c r="E161" s="59" t="s">
        <v>13</v>
      </c>
      <c r="F161" s="60">
        <v>3.62299999999999</v>
      </c>
      <c r="G161" s="60">
        <v>4.31495782134657</v>
      </c>
      <c r="H161" s="61">
        <v>2.2026666666666599</v>
      </c>
      <c r="I161" s="62">
        <v>2.95</v>
      </c>
      <c r="J161" s="37">
        <v>0.74733333333334029</v>
      </c>
      <c r="K161" s="37">
        <v>33.92857142857185</v>
      </c>
      <c r="L161" s="1" t="s">
        <v>68</v>
      </c>
      <c r="M161" s="1">
        <v>1</v>
      </c>
    </row>
    <row r="162" spans="1:13" x14ac:dyDescent="0.3">
      <c r="A162">
        <v>3</v>
      </c>
      <c r="B162">
        <v>1</v>
      </c>
      <c r="C162" t="s">
        <v>79</v>
      </c>
      <c r="D162" s="1" t="s">
        <v>2</v>
      </c>
      <c r="E162" s="59" t="s">
        <v>14</v>
      </c>
      <c r="F162" s="60">
        <v>1.5453999999999899</v>
      </c>
      <c r="G162" s="60">
        <v>0.45663644182215601</v>
      </c>
      <c r="H162" s="61">
        <v>1.7366666666666599</v>
      </c>
      <c r="I162" s="62">
        <v>4.8099999999999996</v>
      </c>
      <c r="J162" s="37">
        <v>3.0733333333333395</v>
      </c>
      <c r="K162" s="37">
        <v>176.96737044145979</v>
      </c>
      <c r="L162" s="1" t="s">
        <v>68</v>
      </c>
      <c r="M162" s="1">
        <v>1</v>
      </c>
    </row>
    <row r="163" spans="1:13" x14ac:dyDescent="0.3">
      <c r="A163">
        <v>3</v>
      </c>
      <c r="B163">
        <v>1</v>
      </c>
      <c r="C163" t="s">
        <v>79</v>
      </c>
      <c r="D163" s="1" t="s">
        <v>2</v>
      </c>
      <c r="E163" s="59" t="s">
        <v>15</v>
      </c>
      <c r="F163" s="60">
        <v>0.88919999999999999</v>
      </c>
      <c r="G163" s="60">
        <v>0.163656225057282</v>
      </c>
      <c r="H163" s="61">
        <v>0.81780487804877999</v>
      </c>
      <c r="I163" s="62">
        <v>3.68</v>
      </c>
      <c r="J163" s="37">
        <v>2.8621951219512201</v>
      </c>
      <c r="K163" s="37">
        <v>349.98508798091291</v>
      </c>
      <c r="L163" s="1" t="s">
        <v>68</v>
      </c>
      <c r="M163" s="1">
        <v>1</v>
      </c>
    </row>
    <row r="164" spans="1:13" x14ac:dyDescent="0.3">
      <c r="A164">
        <v>3</v>
      </c>
      <c r="B164">
        <v>1</v>
      </c>
      <c r="C164" t="s">
        <v>79</v>
      </c>
      <c r="D164" s="1" t="s">
        <v>2</v>
      </c>
      <c r="E164" s="59" t="s">
        <v>16</v>
      </c>
      <c r="F164" s="60">
        <v>12.274800000000001</v>
      </c>
      <c r="G164" s="60">
        <v>3.9396955415361701</v>
      </c>
      <c r="H164" s="61">
        <v>13.8734285714285</v>
      </c>
      <c r="I164" s="62">
        <v>1.73</v>
      </c>
      <c r="J164" s="37">
        <v>-12.143428571428499</v>
      </c>
      <c r="K164" s="37">
        <v>-87.530119241303979</v>
      </c>
      <c r="L164" s="1" t="s">
        <v>68</v>
      </c>
      <c r="M164" s="1">
        <v>1</v>
      </c>
    </row>
    <row r="165" spans="1:13" x14ac:dyDescent="0.3">
      <c r="A165">
        <v>3</v>
      </c>
      <c r="B165">
        <v>1</v>
      </c>
      <c r="C165" t="s">
        <v>79</v>
      </c>
      <c r="D165" s="1" t="s">
        <v>2</v>
      </c>
      <c r="E165" s="59" t="s">
        <v>17</v>
      </c>
      <c r="F165" s="60">
        <v>3.5686</v>
      </c>
      <c r="G165" s="60">
        <v>2.4408252784662801</v>
      </c>
      <c r="H165" s="61">
        <v>3.2244897959183598</v>
      </c>
      <c r="I165" s="62">
        <v>5.0599999999999996</v>
      </c>
      <c r="J165" s="37">
        <v>1.8355102040816398</v>
      </c>
      <c r="K165" s="37">
        <v>56.924050632911751</v>
      </c>
      <c r="L165" s="1" t="s">
        <v>68</v>
      </c>
      <c r="M165" s="1">
        <v>1</v>
      </c>
    </row>
    <row r="166" spans="1:13" x14ac:dyDescent="0.3">
      <c r="A166">
        <v>3</v>
      </c>
      <c r="B166">
        <v>1</v>
      </c>
      <c r="C166" t="s">
        <v>79</v>
      </c>
      <c r="D166" s="1" t="s">
        <v>2</v>
      </c>
      <c r="E166" s="59" t="s">
        <v>18</v>
      </c>
      <c r="F166" s="60">
        <v>1.2295833333333299</v>
      </c>
      <c r="G166" s="60">
        <v>0.28051261360033097</v>
      </c>
      <c r="H166" s="61">
        <v>1.17</v>
      </c>
      <c r="I166" s="62">
        <v>1.74</v>
      </c>
      <c r="J166" s="37">
        <v>0.57000000000000006</v>
      </c>
      <c r="K166" s="37">
        <v>48.71794871794873</v>
      </c>
      <c r="L166" s="1" t="s">
        <v>68</v>
      </c>
      <c r="M166" s="1">
        <v>1</v>
      </c>
    </row>
    <row r="167" spans="1:13" x14ac:dyDescent="0.3">
      <c r="A167">
        <v>3</v>
      </c>
      <c r="B167">
        <v>1</v>
      </c>
      <c r="C167" t="s">
        <v>79</v>
      </c>
      <c r="D167" s="1" t="s">
        <v>2</v>
      </c>
      <c r="E167" s="59" t="s">
        <v>19</v>
      </c>
      <c r="F167" s="60">
        <v>1.3957999999999999</v>
      </c>
      <c r="G167" s="60">
        <v>0.86851157735519002</v>
      </c>
      <c r="H167" s="61">
        <v>1.18787234042553</v>
      </c>
      <c r="I167" s="62">
        <v>1.74</v>
      </c>
      <c r="J167" s="37">
        <v>0.55212765957446996</v>
      </c>
      <c r="K167" s="37">
        <v>46.480386888769708</v>
      </c>
      <c r="L167" s="1" t="s">
        <v>68</v>
      </c>
      <c r="M167" s="1">
        <v>1</v>
      </c>
    </row>
    <row r="168" spans="1:13" x14ac:dyDescent="0.3">
      <c r="A168">
        <v>3</v>
      </c>
      <c r="B168">
        <v>1</v>
      </c>
      <c r="C168" t="s">
        <v>79</v>
      </c>
      <c r="D168" s="1" t="s">
        <v>2</v>
      </c>
      <c r="E168" s="59" t="s">
        <v>12</v>
      </c>
      <c r="F168" s="60">
        <v>3.3066</v>
      </c>
      <c r="G168" s="60">
        <v>1.0826312576311401</v>
      </c>
      <c r="H168" s="61">
        <v>3.8620512820512798</v>
      </c>
      <c r="I168" s="62">
        <v>5.28</v>
      </c>
      <c r="J168" s="37">
        <v>1.4179487179487205</v>
      </c>
      <c r="K168" s="37">
        <v>36.71491169831372</v>
      </c>
      <c r="L168" s="1" t="s">
        <v>69</v>
      </c>
      <c r="M168" s="1">
        <v>1</v>
      </c>
    </row>
    <row r="169" spans="1:13" x14ac:dyDescent="0.3">
      <c r="A169">
        <v>3</v>
      </c>
      <c r="B169">
        <v>1</v>
      </c>
      <c r="C169" t="s">
        <v>79</v>
      </c>
      <c r="D169" s="1" t="s">
        <v>2</v>
      </c>
      <c r="E169" s="59" t="s">
        <v>13</v>
      </c>
      <c r="F169" s="60">
        <v>3.62299999999999</v>
      </c>
      <c r="G169" s="60">
        <v>4.31495782134657</v>
      </c>
      <c r="H169" s="61">
        <v>2.2026666666666599</v>
      </c>
      <c r="I169" s="62">
        <v>2.98</v>
      </c>
      <c r="J169" s="37">
        <v>0.77733333333334009</v>
      </c>
      <c r="K169" s="37">
        <v>35.290556900726806</v>
      </c>
      <c r="L169" s="1" t="s">
        <v>69</v>
      </c>
      <c r="M169" s="1">
        <v>1</v>
      </c>
    </row>
    <row r="170" spans="1:13" x14ac:dyDescent="0.3">
      <c r="A170">
        <v>3</v>
      </c>
      <c r="B170">
        <v>1</v>
      </c>
      <c r="C170" t="s">
        <v>79</v>
      </c>
      <c r="D170" s="1" t="s">
        <v>2</v>
      </c>
      <c r="E170" s="59" t="s">
        <v>14</v>
      </c>
      <c r="F170" s="60">
        <v>1.5453999999999899</v>
      </c>
      <c r="G170" s="60">
        <v>0.45663644182215601</v>
      </c>
      <c r="H170" s="61">
        <v>1.7366666666666599</v>
      </c>
      <c r="I170" s="62">
        <v>4.83</v>
      </c>
      <c r="J170" s="37">
        <v>3.0933333333333399</v>
      </c>
      <c r="K170" s="37">
        <v>178.11900191938687</v>
      </c>
      <c r="L170" s="1" t="s">
        <v>69</v>
      </c>
      <c r="M170" s="1">
        <v>1</v>
      </c>
    </row>
    <row r="171" spans="1:13" x14ac:dyDescent="0.3">
      <c r="A171">
        <v>3</v>
      </c>
      <c r="B171">
        <v>1</v>
      </c>
      <c r="C171" t="s">
        <v>79</v>
      </c>
      <c r="D171" s="1" t="s">
        <v>2</v>
      </c>
      <c r="E171" s="59" t="s">
        <v>15</v>
      </c>
      <c r="F171" s="60">
        <v>0.88919999999999999</v>
      </c>
      <c r="G171" s="60">
        <v>0.163656225057282</v>
      </c>
      <c r="H171" s="61">
        <v>0.81780487804877999</v>
      </c>
      <c r="I171" s="62">
        <v>3.71</v>
      </c>
      <c r="J171" s="37">
        <v>2.8921951219512199</v>
      </c>
      <c r="K171" s="37">
        <v>353.65344467640944</v>
      </c>
      <c r="L171" s="1" t="s">
        <v>69</v>
      </c>
      <c r="M171" s="1">
        <v>1</v>
      </c>
    </row>
    <row r="172" spans="1:13" x14ac:dyDescent="0.3">
      <c r="A172">
        <v>3</v>
      </c>
      <c r="B172">
        <v>1</v>
      </c>
      <c r="C172" t="s">
        <v>79</v>
      </c>
      <c r="D172" s="1" t="s">
        <v>2</v>
      </c>
      <c r="E172" s="59" t="s">
        <v>16</v>
      </c>
      <c r="F172" s="60">
        <v>12.274800000000001</v>
      </c>
      <c r="G172" s="60">
        <v>3.9396955415361701</v>
      </c>
      <c r="H172" s="61">
        <v>13.8734285714285</v>
      </c>
      <c r="I172" s="62">
        <v>1.74</v>
      </c>
      <c r="J172" s="37">
        <v>-12.1334285714285</v>
      </c>
      <c r="K172" s="37">
        <v>-87.458039005704563</v>
      </c>
      <c r="L172" s="1" t="s">
        <v>69</v>
      </c>
      <c r="M172" s="1">
        <v>1</v>
      </c>
    </row>
    <row r="173" spans="1:13" x14ac:dyDescent="0.3">
      <c r="A173">
        <v>3</v>
      </c>
      <c r="B173">
        <v>1</v>
      </c>
      <c r="C173" t="s">
        <v>79</v>
      </c>
      <c r="D173" s="1" t="s">
        <v>2</v>
      </c>
      <c r="E173" s="59" t="s">
        <v>17</v>
      </c>
      <c r="F173" s="60">
        <v>3.5686</v>
      </c>
      <c r="G173" s="60">
        <v>2.4408252784662801</v>
      </c>
      <c r="H173" s="61">
        <v>3.2244897959183598</v>
      </c>
      <c r="I173" s="62">
        <v>5.14</v>
      </c>
      <c r="J173" s="37">
        <v>1.9155102040816399</v>
      </c>
      <c r="K173" s="37">
        <v>59.405063291139605</v>
      </c>
      <c r="L173" s="1" t="s">
        <v>69</v>
      </c>
      <c r="M173" s="1">
        <v>1</v>
      </c>
    </row>
    <row r="174" spans="1:13" x14ac:dyDescent="0.3">
      <c r="A174">
        <v>3</v>
      </c>
      <c r="B174">
        <v>1</v>
      </c>
      <c r="C174" t="s">
        <v>79</v>
      </c>
      <c r="D174" s="1" t="s">
        <v>2</v>
      </c>
      <c r="E174" s="59" t="s">
        <v>18</v>
      </c>
      <c r="F174" s="60">
        <v>1.2295833333333299</v>
      </c>
      <c r="G174" s="60">
        <v>0.28051261360033097</v>
      </c>
      <c r="H174" s="61">
        <v>1.17</v>
      </c>
      <c r="I174" s="62">
        <v>1.7</v>
      </c>
      <c r="J174" s="37">
        <v>0.53</v>
      </c>
      <c r="K174" s="37">
        <v>45.299145299145302</v>
      </c>
      <c r="L174" s="1" t="s">
        <v>69</v>
      </c>
      <c r="M174" s="1">
        <v>1</v>
      </c>
    </row>
    <row r="175" spans="1:13" x14ac:dyDescent="0.3">
      <c r="A175">
        <v>3</v>
      </c>
      <c r="B175">
        <v>1</v>
      </c>
      <c r="C175" t="s">
        <v>79</v>
      </c>
      <c r="D175" s="1" t="s">
        <v>2</v>
      </c>
      <c r="E175" s="59" t="s">
        <v>19</v>
      </c>
      <c r="F175" s="60">
        <v>1.3957999999999999</v>
      </c>
      <c r="G175" s="60">
        <v>0.86851157735519002</v>
      </c>
      <c r="H175" s="61">
        <v>1.18787234042553</v>
      </c>
      <c r="I175" s="62">
        <v>1.73</v>
      </c>
      <c r="J175" s="37">
        <v>0.54212765957446996</v>
      </c>
      <c r="K175" s="37">
        <v>45.638545584811261</v>
      </c>
      <c r="L175" s="1" t="s">
        <v>69</v>
      </c>
      <c r="M175" s="1">
        <v>1</v>
      </c>
    </row>
    <row r="177" spans="1:13" x14ac:dyDescent="0.3">
      <c r="A177">
        <v>3</v>
      </c>
      <c r="B177">
        <v>1</v>
      </c>
      <c r="C177" t="s">
        <v>79</v>
      </c>
      <c r="D177" s="1" t="s">
        <v>2</v>
      </c>
      <c r="E177" s="59" t="s">
        <v>12</v>
      </c>
      <c r="F177" s="60">
        <v>3.2848333333333302</v>
      </c>
      <c r="G177" s="60">
        <v>0.94343431438312397</v>
      </c>
      <c r="H177" s="61">
        <v>3.7138775510204098</v>
      </c>
      <c r="I177" s="62">
        <v>5.36</v>
      </c>
      <c r="J177" s="37">
        <v>1.6461224489795905</v>
      </c>
      <c r="K177" s="37">
        <v>44.323552038685513</v>
      </c>
      <c r="L177" s="1" t="s">
        <v>23</v>
      </c>
      <c r="M177" s="1">
        <v>2</v>
      </c>
    </row>
    <row r="178" spans="1:13" x14ac:dyDescent="0.3">
      <c r="A178">
        <v>3</v>
      </c>
      <c r="B178">
        <v>1</v>
      </c>
      <c r="C178" t="s">
        <v>79</v>
      </c>
      <c r="D178" s="1" t="s">
        <v>2</v>
      </c>
      <c r="E178" s="59" t="s">
        <v>13</v>
      </c>
      <c r="F178" s="60">
        <v>3.74399999999999</v>
      </c>
      <c r="G178" s="60">
        <v>4.2249545165204596</v>
      </c>
      <c r="H178" s="61">
        <v>2.2262264150943398</v>
      </c>
      <c r="I178" s="62">
        <v>2.94</v>
      </c>
      <c r="J178" s="37">
        <v>0.71377358490566012</v>
      </c>
      <c r="K178" s="37">
        <v>32.062039155860653</v>
      </c>
      <c r="L178" s="1" t="s">
        <v>23</v>
      </c>
      <c r="M178" s="1">
        <v>2</v>
      </c>
    </row>
    <row r="179" spans="1:13" x14ac:dyDescent="0.3">
      <c r="A179">
        <v>3</v>
      </c>
      <c r="B179">
        <v>1</v>
      </c>
      <c r="C179" t="s">
        <v>79</v>
      </c>
      <c r="D179" s="1" t="s">
        <v>2</v>
      </c>
      <c r="E179" s="59" t="s">
        <v>14</v>
      </c>
      <c r="F179" s="60">
        <v>1.5753333333333299</v>
      </c>
      <c r="G179" s="60">
        <v>0.551009578460806</v>
      </c>
      <c r="H179" s="61">
        <v>1.87782608695652</v>
      </c>
      <c r="I179" s="62">
        <v>4.8</v>
      </c>
      <c r="J179" s="37">
        <v>2.9221739130434798</v>
      </c>
      <c r="K179" s="37">
        <v>155.61472563093332</v>
      </c>
      <c r="L179" s="1" t="s">
        <v>23</v>
      </c>
      <c r="M179" s="1">
        <v>2</v>
      </c>
    </row>
    <row r="180" spans="1:13" x14ac:dyDescent="0.3">
      <c r="A180">
        <v>3</v>
      </c>
      <c r="B180">
        <v>1</v>
      </c>
      <c r="C180" t="s">
        <v>79</v>
      </c>
      <c r="D180" s="1" t="s">
        <v>2</v>
      </c>
      <c r="E180" s="59" t="s">
        <v>15</v>
      </c>
      <c r="F180" s="60">
        <v>0.94199999999999995</v>
      </c>
      <c r="G180" s="60">
        <v>0.20890827333226</v>
      </c>
      <c r="H180" s="61">
        <v>0.85</v>
      </c>
      <c r="I180" s="62">
        <v>3.73</v>
      </c>
      <c r="J180" s="37">
        <v>2.88</v>
      </c>
      <c r="K180" s="37">
        <v>338.8235294117647</v>
      </c>
      <c r="L180" s="1" t="s">
        <v>23</v>
      </c>
      <c r="M180" s="1">
        <v>2</v>
      </c>
    </row>
    <row r="181" spans="1:13" x14ac:dyDescent="0.3">
      <c r="A181">
        <v>3</v>
      </c>
      <c r="B181">
        <v>1</v>
      </c>
      <c r="C181" t="s">
        <v>79</v>
      </c>
      <c r="D181" s="1" t="s">
        <v>2</v>
      </c>
      <c r="E181" s="59" t="s">
        <v>16</v>
      </c>
      <c r="F181" s="60">
        <v>12.720833333333299</v>
      </c>
      <c r="G181" s="60">
        <v>4.2859784148105797</v>
      </c>
      <c r="H181" s="61">
        <v>14.693243243243201</v>
      </c>
      <c r="I181" s="62">
        <v>1.71</v>
      </c>
      <c r="J181" s="37">
        <v>-12.983243243243201</v>
      </c>
      <c r="K181" s="37">
        <v>-88.361997608755601</v>
      </c>
      <c r="L181" s="1" t="s">
        <v>23</v>
      </c>
      <c r="M181" s="1">
        <v>2</v>
      </c>
    </row>
    <row r="182" spans="1:13" x14ac:dyDescent="0.3">
      <c r="A182">
        <v>3</v>
      </c>
      <c r="B182">
        <v>1</v>
      </c>
      <c r="C182" t="s">
        <v>79</v>
      </c>
      <c r="D182" s="1" t="s">
        <v>2</v>
      </c>
      <c r="E182" s="59" t="s">
        <v>17</v>
      </c>
      <c r="F182" s="60">
        <v>3.6419999999999999</v>
      </c>
      <c r="G182" s="60">
        <v>3.4860908383651301</v>
      </c>
      <c r="H182" s="61">
        <v>3.0024137931034498</v>
      </c>
      <c r="I182" s="62">
        <v>5.0599999999999996</v>
      </c>
      <c r="J182" s="37">
        <v>2.0575862068965498</v>
      </c>
      <c r="K182" s="37">
        <v>68.531066957620197</v>
      </c>
      <c r="L182" s="1" t="s">
        <v>23</v>
      </c>
      <c r="M182" s="1">
        <v>2</v>
      </c>
    </row>
    <row r="183" spans="1:13" x14ac:dyDescent="0.3">
      <c r="A183">
        <v>3</v>
      </c>
      <c r="B183">
        <v>1</v>
      </c>
      <c r="C183" t="s">
        <v>79</v>
      </c>
      <c r="D183" s="1" t="s">
        <v>2</v>
      </c>
      <c r="E183" s="59" t="s">
        <v>18</v>
      </c>
      <c r="F183" s="60">
        <v>1.23566666666666</v>
      </c>
      <c r="G183" s="60">
        <v>0.20710196093282701</v>
      </c>
      <c r="H183" s="61">
        <v>1.1863265306122399</v>
      </c>
      <c r="I183" s="62">
        <v>1.69</v>
      </c>
      <c r="J183" s="37">
        <v>0.50367346938776003</v>
      </c>
      <c r="K183" s="37">
        <v>42.456562876312312</v>
      </c>
      <c r="L183" s="1" t="s">
        <v>23</v>
      </c>
      <c r="M183" s="1">
        <v>2</v>
      </c>
    </row>
    <row r="184" spans="1:13" x14ac:dyDescent="0.3">
      <c r="A184">
        <v>3</v>
      </c>
      <c r="B184">
        <v>1</v>
      </c>
      <c r="C184" t="s">
        <v>79</v>
      </c>
      <c r="D184" s="1" t="s">
        <v>2</v>
      </c>
      <c r="E184" s="59" t="s">
        <v>19</v>
      </c>
      <c r="F184" s="60">
        <v>1.4844999999999999</v>
      </c>
      <c r="G184" s="60">
        <v>0.80080880989159897</v>
      </c>
      <c r="H184" s="61">
        <v>1.2792857142857099</v>
      </c>
      <c r="I184" s="62">
        <v>1.68</v>
      </c>
      <c r="J184" s="37">
        <v>0.40071428571429002</v>
      </c>
      <c r="K184" s="37">
        <v>31.323283082077495</v>
      </c>
      <c r="L184" s="1" t="s">
        <v>23</v>
      </c>
      <c r="M184" s="1">
        <v>2</v>
      </c>
    </row>
    <row r="185" spans="1:13" x14ac:dyDescent="0.3">
      <c r="A185">
        <v>3</v>
      </c>
      <c r="B185">
        <v>1</v>
      </c>
      <c r="C185" t="s">
        <v>79</v>
      </c>
      <c r="D185" s="1" t="s">
        <v>2</v>
      </c>
      <c r="E185" s="59" t="s">
        <v>12</v>
      </c>
      <c r="F185" s="60">
        <v>3.2848333333333302</v>
      </c>
      <c r="G185" s="60">
        <v>0.94343431438312397</v>
      </c>
      <c r="H185" s="61">
        <v>3.7138775510204098</v>
      </c>
      <c r="I185" s="62">
        <v>5.32</v>
      </c>
      <c r="J185" s="37">
        <v>1.6061224489795904</v>
      </c>
      <c r="K185" s="37">
        <v>43.246510605560992</v>
      </c>
      <c r="L185" s="1" t="s">
        <v>68</v>
      </c>
      <c r="M185" s="1">
        <v>2</v>
      </c>
    </row>
    <row r="186" spans="1:13" x14ac:dyDescent="0.3">
      <c r="A186">
        <v>3</v>
      </c>
      <c r="B186">
        <v>1</v>
      </c>
      <c r="C186" t="s">
        <v>79</v>
      </c>
      <c r="D186" s="1" t="s">
        <v>2</v>
      </c>
      <c r="E186" s="59" t="s">
        <v>13</v>
      </c>
      <c r="F186" s="60">
        <v>3.74399999999999</v>
      </c>
      <c r="G186" s="60">
        <v>4.2249545165204596</v>
      </c>
      <c r="H186" s="61">
        <v>2.2262264150943398</v>
      </c>
      <c r="I186" s="62">
        <v>2.95</v>
      </c>
      <c r="J186" s="37">
        <v>0.72377358490566035</v>
      </c>
      <c r="K186" s="37">
        <v>32.51122976523434</v>
      </c>
      <c r="L186" s="1" t="s">
        <v>68</v>
      </c>
      <c r="M186" s="1">
        <v>2</v>
      </c>
    </row>
    <row r="187" spans="1:13" x14ac:dyDescent="0.3">
      <c r="A187">
        <v>3</v>
      </c>
      <c r="B187">
        <v>1</v>
      </c>
      <c r="C187" t="s">
        <v>79</v>
      </c>
      <c r="D187" s="1" t="s">
        <v>2</v>
      </c>
      <c r="E187" s="59" t="s">
        <v>14</v>
      </c>
      <c r="F187" s="60">
        <v>1.5753333333333299</v>
      </c>
      <c r="G187" s="60">
        <v>0.551009578460806</v>
      </c>
      <c r="H187" s="61">
        <v>1.87782608695652</v>
      </c>
      <c r="I187" s="62">
        <v>4.8099999999999996</v>
      </c>
      <c r="J187" s="37">
        <v>2.9321739130434796</v>
      </c>
      <c r="K187" s="37">
        <v>156.14725630933108</v>
      </c>
      <c r="L187" s="1" t="s">
        <v>68</v>
      </c>
      <c r="M187" s="1">
        <v>2</v>
      </c>
    </row>
    <row r="188" spans="1:13" x14ac:dyDescent="0.3">
      <c r="A188">
        <v>3</v>
      </c>
      <c r="B188">
        <v>1</v>
      </c>
      <c r="C188" t="s">
        <v>79</v>
      </c>
      <c r="D188" s="1" t="s">
        <v>2</v>
      </c>
      <c r="E188" s="59" t="s">
        <v>15</v>
      </c>
      <c r="F188" s="60">
        <v>0.94199999999999995</v>
      </c>
      <c r="G188" s="60">
        <v>0.20890827333226</v>
      </c>
      <c r="H188" s="61">
        <v>0.85</v>
      </c>
      <c r="I188" s="62">
        <v>3.68</v>
      </c>
      <c r="J188" s="37">
        <v>2.83</v>
      </c>
      <c r="K188" s="37">
        <v>332.94117647058823</v>
      </c>
      <c r="L188" s="1" t="s">
        <v>68</v>
      </c>
      <c r="M188" s="1">
        <v>2</v>
      </c>
    </row>
    <row r="189" spans="1:13" x14ac:dyDescent="0.3">
      <c r="A189">
        <v>3</v>
      </c>
      <c r="B189">
        <v>1</v>
      </c>
      <c r="C189" t="s">
        <v>79</v>
      </c>
      <c r="D189" s="1" t="s">
        <v>2</v>
      </c>
      <c r="E189" s="59" t="s">
        <v>16</v>
      </c>
      <c r="F189" s="60">
        <v>12.720833333333299</v>
      </c>
      <c r="G189" s="60">
        <v>4.2859784148105797</v>
      </c>
      <c r="H189" s="61">
        <v>14.693243243243201</v>
      </c>
      <c r="I189" s="62">
        <v>1.73</v>
      </c>
      <c r="J189" s="37">
        <v>-12.9632432432432</v>
      </c>
      <c r="K189" s="37">
        <v>-88.225880621723491</v>
      </c>
      <c r="L189" s="1" t="s">
        <v>68</v>
      </c>
      <c r="M189" s="1">
        <v>2</v>
      </c>
    </row>
    <row r="190" spans="1:13" x14ac:dyDescent="0.3">
      <c r="A190">
        <v>3</v>
      </c>
      <c r="B190">
        <v>1</v>
      </c>
      <c r="C190" t="s">
        <v>79</v>
      </c>
      <c r="D190" s="1" t="s">
        <v>2</v>
      </c>
      <c r="E190" s="59" t="s">
        <v>17</v>
      </c>
      <c r="F190" s="60">
        <v>3.6419999999999999</v>
      </c>
      <c r="G190" s="60">
        <v>3.4860908383651301</v>
      </c>
      <c r="H190" s="61">
        <v>3.0024137931034498</v>
      </c>
      <c r="I190" s="62">
        <v>5.0599999999999996</v>
      </c>
      <c r="J190" s="37">
        <v>2.0575862068965498</v>
      </c>
      <c r="K190" s="37">
        <v>68.531066957620197</v>
      </c>
      <c r="L190" s="1" t="s">
        <v>68</v>
      </c>
      <c r="M190" s="1">
        <v>2</v>
      </c>
    </row>
    <row r="191" spans="1:13" x14ac:dyDescent="0.3">
      <c r="A191">
        <v>3</v>
      </c>
      <c r="B191">
        <v>1</v>
      </c>
      <c r="C191" t="s">
        <v>79</v>
      </c>
      <c r="D191" s="1" t="s">
        <v>2</v>
      </c>
      <c r="E191" s="59" t="s">
        <v>18</v>
      </c>
      <c r="F191" s="60">
        <v>1.23566666666666</v>
      </c>
      <c r="G191" s="60">
        <v>0.20710196093282701</v>
      </c>
      <c r="H191" s="61">
        <v>1.1863265306122399</v>
      </c>
      <c r="I191" s="62">
        <v>1.74</v>
      </c>
      <c r="J191" s="37">
        <v>0.55367346938776008</v>
      </c>
      <c r="K191" s="37">
        <v>46.671254085670668</v>
      </c>
      <c r="L191" s="1" t="s">
        <v>68</v>
      </c>
      <c r="M191" s="1">
        <v>2</v>
      </c>
    </row>
    <row r="192" spans="1:13" x14ac:dyDescent="0.3">
      <c r="A192">
        <v>3</v>
      </c>
      <c r="B192">
        <v>1</v>
      </c>
      <c r="C192" t="s">
        <v>79</v>
      </c>
      <c r="D192" s="1" t="s">
        <v>2</v>
      </c>
      <c r="E192" s="59" t="s">
        <v>19</v>
      </c>
      <c r="F192" s="60">
        <v>1.4844999999999999</v>
      </c>
      <c r="G192" s="60">
        <v>0.80080880989159897</v>
      </c>
      <c r="H192" s="61">
        <v>1.2792857142857099</v>
      </c>
      <c r="I192" s="62">
        <v>1.74</v>
      </c>
      <c r="J192" s="37">
        <v>0.46071428571429007</v>
      </c>
      <c r="K192" s="37">
        <v>36.013400335008839</v>
      </c>
      <c r="L192" s="1" t="s">
        <v>68</v>
      </c>
      <c r="M192" s="1">
        <v>2</v>
      </c>
    </row>
    <row r="193" spans="1:13" x14ac:dyDescent="0.3">
      <c r="A193">
        <v>3</v>
      </c>
      <c r="B193">
        <v>1</v>
      </c>
      <c r="C193" t="s">
        <v>79</v>
      </c>
      <c r="D193" s="1" t="s">
        <v>2</v>
      </c>
      <c r="E193" s="59" t="s">
        <v>12</v>
      </c>
      <c r="F193" s="60">
        <v>3.2848333333333302</v>
      </c>
      <c r="G193" s="60">
        <v>0.94343431438312397</v>
      </c>
      <c r="H193" s="61">
        <v>3.7138775510204098</v>
      </c>
      <c r="I193" s="62">
        <v>5.28</v>
      </c>
      <c r="J193" s="37">
        <v>1.5661224489795904</v>
      </c>
      <c r="K193" s="37">
        <v>42.169469172436472</v>
      </c>
      <c r="L193" s="1" t="s">
        <v>69</v>
      </c>
      <c r="M193" s="1">
        <v>2</v>
      </c>
    </row>
    <row r="194" spans="1:13" x14ac:dyDescent="0.3">
      <c r="A194">
        <v>3</v>
      </c>
      <c r="B194">
        <v>1</v>
      </c>
      <c r="C194" t="s">
        <v>79</v>
      </c>
      <c r="D194" s="1" t="s">
        <v>2</v>
      </c>
      <c r="E194" s="59" t="s">
        <v>13</v>
      </c>
      <c r="F194" s="60">
        <v>3.74399999999999</v>
      </c>
      <c r="G194" s="60">
        <v>4.2249545165204596</v>
      </c>
      <c r="H194" s="61">
        <v>2.2262264150943398</v>
      </c>
      <c r="I194" s="62">
        <v>2.98</v>
      </c>
      <c r="J194" s="37">
        <v>0.75377358490566015</v>
      </c>
      <c r="K194" s="37">
        <v>33.858801593355352</v>
      </c>
      <c r="L194" s="1" t="s">
        <v>69</v>
      </c>
      <c r="M194" s="1">
        <v>2</v>
      </c>
    </row>
    <row r="195" spans="1:13" x14ac:dyDescent="0.3">
      <c r="A195">
        <v>3</v>
      </c>
      <c r="B195">
        <v>1</v>
      </c>
      <c r="C195" t="s">
        <v>79</v>
      </c>
      <c r="D195" s="1" t="s">
        <v>2</v>
      </c>
      <c r="E195" s="59" t="s">
        <v>14</v>
      </c>
      <c r="F195" s="60">
        <v>1.5753333333333299</v>
      </c>
      <c r="G195" s="60">
        <v>0.551009578460806</v>
      </c>
      <c r="H195" s="61">
        <v>1.87782608695652</v>
      </c>
      <c r="I195" s="62">
        <v>4.83</v>
      </c>
      <c r="J195" s="37">
        <v>2.9521739130434801</v>
      </c>
      <c r="K195" s="37">
        <v>157.21231766612667</v>
      </c>
      <c r="L195" s="1" t="s">
        <v>69</v>
      </c>
      <c r="M195" s="1">
        <v>2</v>
      </c>
    </row>
    <row r="196" spans="1:13" x14ac:dyDescent="0.3">
      <c r="A196">
        <v>3</v>
      </c>
      <c r="B196">
        <v>1</v>
      </c>
      <c r="C196" t="s">
        <v>79</v>
      </c>
      <c r="D196" s="1" t="s">
        <v>2</v>
      </c>
      <c r="E196" s="59" t="s">
        <v>15</v>
      </c>
      <c r="F196" s="60">
        <v>0.94199999999999995</v>
      </c>
      <c r="G196" s="60">
        <v>0.20890827333226</v>
      </c>
      <c r="H196" s="61">
        <v>0.85</v>
      </c>
      <c r="I196" s="62">
        <v>3.71</v>
      </c>
      <c r="J196" s="37">
        <v>2.86</v>
      </c>
      <c r="K196" s="37">
        <v>336.47058823529414</v>
      </c>
      <c r="L196" s="1" t="s">
        <v>69</v>
      </c>
      <c r="M196" s="1">
        <v>2</v>
      </c>
    </row>
    <row r="197" spans="1:13" x14ac:dyDescent="0.3">
      <c r="A197">
        <v>3</v>
      </c>
      <c r="B197">
        <v>1</v>
      </c>
      <c r="C197" t="s">
        <v>79</v>
      </c>
      <c r="D197" s="1" t="s">
        <v>2</v>
      </c>
      <c r="E197" s="59" t="s">
        <v>16</v>
      </c>
      <c r="F197" s="60">
        <v>12.720833333333299</v>
      </c>
      <c r="G197" s="60">
        <v>4.2859784148105797</v>
      </c>
      <c r="H197" s="61">
        <v>14.693243243243201</v>
      </c>
      <c r="I197" s="62">
        <v>1.74</v>
      </c>
      <c r="J197" s="37">
        <v>-12.9532432432432</v>
      </c>
      <c r="K197" s="37">
        <v>-88.157822128207457</v>
      </c>
      <c r="L197" s="1" t="s">
        <v>69</v>
      </c>
      <c r="M197" s="1">
        <v>2</v>
      </c>
    </row>
    <row r="198" spans="1:13" x14ac:dyDescent="0.3">
      <c r="A198">
        <v>3</v>
      </c>
      <c r="B198">
        <v>1</v>
      </c>
      <c r="C198" t="s">
        <v>79</v>
      </c>
      <c r="D198" s="1" t="s">
        <v>2</v>
      </c>
      <c r="E198" s="59" t="s">
        <v>17</v>
      </c>
      <c r="F198" s="60">
        <v>3.6419999999999999</v>
      </c>
      <c r="G198" s="60">
        <v>3.4860908383651301</v>
      </c>
      <c r="H198" s="61">
        <v>3.0024137931034498</v>
      </c>
      <c r="I198" s="62">
        <v>5.14</v>
      </c>
      <c r="J198" s="37">
        <v>2.1375862068965499</v>
      </c>
      <c r="K198" s="37">
        <v>71.195589755369156</v>
      </c>
      <c r="L198" s="1" t="s">
        <v>69</v>
      </c>
      <c r="M198" s="1">
        <v>2</v>
      </c>
    </row>
    <row r="199" spans="1:13" x14ac:dyDescent="0.3">
      <c r="A199">
        <v>3</v>
      </c>
      <c r="B199">
        <v>1</v>
      </c>
      <c r="C199" t="s">
        <v>79</v>
      </c>
      <c r="D199" s="1" t="s">
        <v>2</v>
      </c>
      <c r="E199" s="59" t="s">
        <v>18</v>
      </c>
      <c r="F199" s="60">
        <v>1.23566666666666</v>
      </c>
      <c r="G199" s="60">
        <v>0.20710196093282701</v>
      </c>
      <c r="H199" s="61">
        <v>1.1863265306122399</v>
      </c>
      <c r="I199" s="62">
        <v>1.7</v>
      </c>
      <c r="J199" s="37">
        <v>0.51367346938776004</v>
      </c>
      <c r="K199" s="37">
        <v>43.299501118183983</v>
      </c>
      <c r="L199" s="1" t="s">
        <v>69</v>
      </c>
      <c r="M199" s="1">
        <v>2</v>
      </c>
    </row>
    <row r="200" spans="1:13" x14ac:dyDescent="0.3">
      <c r="A200">
        <v>3</v>
      </c>
      <c r="B200">
        <v>1</v>
      </c>
      <c r="C200" t="s">
        <v>79</v>
      </c>
      <c r="D200" s="1" t="s">
        <v>2</v>
      </c>
      <c r="E200" s="59" t="s">
        <v>19</v>
      </c>
      <c r="F200" s="60">
        <v>1.4844999999999999</v>
      </c>
      <c r="G200" s="60">
        <v>0.80080880989159897</v>
      </c>
      <c r="H200" s="61">
        <v>1.2792857142857099</v>
      </c>
      <c r="I200" s="62">
        <v>1.73</v>
      </c>
      <c r="J200" s="37">
        <v>0.45071428571429006</v>
      </c>
      <c r="K200" s="37">
        <v>35.231714126186944</v>
      </c>
      <c r="L200" s="1" t="s">
        <v>69</v>
      </c>
      <c r="M200" s="1">
        <v>2</v>
      </c>
    </row>
    <row r="202" spans="1:13" x14ac:dyDescent="0.3">
      <c r="A202">
        <v>3</v>
      </c>
      <c r="B202">
        <v>1</v>
      </c>
      <c r="C202" t="s">
        <v>79</v>
      </c>
      <c r="D202" s="1" t="s">
        <v>2</v>
      </c>
      <c r="E202" s="59" t="s">
        <v>12</v>
      </c>
      <c r="F202" s="60">
        <v>3.1589999999999998</v>
      </c>
      <c r="G202" s="60">
        <v>0.92962304188310596</v>
      </c>
      <c r="H202" s="61">
        <v>3.54790697674418</v>
      </c>
      <c r="I202" s="63">
        <v>5.36</v>
      </c>
      <c r="J202" s="58">
        <v>1.8120930232558203</v>
      </c>
      <c r="K202" s="58">
        <v>51.074986890404041</v>
      </c>
      <c r="L202" s="1" t="s">
        <v>23</v>
      </c>
      <c r="M202" s="1">
        <v>3</v>
      </c>
    </row>
    <row r="203" spans="1:13" x14ac:dyDescent="0.3">
      <c r="A203">
        <v>3</v>
      </c>
      <c r="B203">
        <v>1</v>
      </c>
      <c r="C203" t="s">
        <v>79</v>
      </c>
      <c r="D203" s="1" t="s">
        <v>2</v>
      </c>
      <c r="E203" s="59" t="s">
        <v>13</v>
      </c>
      <c r="F203" s="60">
        <v>3.1758333333333302</v>
      </c>
      <c r="G203" s="60">
        <v>3.4446471960935998</v>
      </c>
      <c r="H203" s="61">
        <v>2.15236363636363</v>
      </c>
      <c r="I203" s="63">
        <v>2.94</v>
      </c>
      <c r="J203" s="58">
        <v>0.78763636363636991</v>
      </c>
      <c r="K203" s="58">
        <v>36.594019260010533</v>
      </c>
      <c r="L203" s="1" t="s">
        <v>23</v>
      </c>
      <c r="M203" s="1">
        <v>3</v>
      </c>
    </row>
    <row r="204" spans="1:13" x14ac:dyDescent="0.3">
      <c r="A204">
        <v>3</v>
      </c>
      <c r="B204">
        <v>1</v>
      </c>
      <c r="C204" t="s">
        <v>79</v>
      </c>
      <c r="D204" s="1" t="s">
        <v>2</v>
      </c>
      <c r="E204" s="59" t="s">
        <v>14</v>
      </c>
      <c r="F204" s="60">
        <v>1.5215000000000001</v>
      </c>
      <c r="G204" s="60">
        <v>0.55032967392282195</v>
      </c>
      <c r="H204" s="61">
        <v>1.8340000000000001</v>
      </c>
      <c r="I204" s="63">
        <v>4.8</v>
      </c>
      <c r="J204" s="58">
        <v>2.9659999999999997</v>
      </c>
      <c r="K204" s="58">
        <v>161.72300981461285</v>
      </c>
      <c r="L204" s="1" t="s">
        <v>23</v>
      </c>
      <c r="M204" s="1">
        <v>3</v>
      </c>
    </row>
    <row r="205" spans="1:13" x14ac:dyDescent="0.3">
      <c r="A205">
        <v>3</v>
      </c>
      <c r="B205">
        <v>1</v>
      </c>
      <c r="C205" t="s">
        <v>79</v>
      </c>
      <c r="D205" s="1" t="s">
        <v>2</v>
      </c>
      <c r="E205" s="59" t="s">
        <v>15</v>
      </c>
      <c r="F205" s="60">
        <v>0.92</v>
      </c>
      <c r="G205" s="60">
        <v>0.191363528395564</v>
      </c>
      <c r="H205" s="61">
        <v>0.828666666666667</v>
      </c>
      <c r="I205" s="63">
        <v>3.73</v>
      </c>
      <c r="J205" s="58">
        <v>2.9013333333333331</v>
      </c>
      <c r="K205" s="58">
        <v>350.12067578439246</v>
      </c>
      <c r="L205" s="1" t="s">
        <v>23</v>
      </c>
      <c r="M205" s="1">
        <v>3</v>
      </c>
    </row>
    <row r="206" spans="1:13" x14ac:dyDescent="0.3">
      <c r="A206">
        <v>3</v>
      </c>
      <c r="B206">
        <v>1</v>
      </c>
      <c r="C206" t="s">
        <v>79</v>
      </c>
      <c r="D206" s="1" t="s">
        <v>2</v>
      </c>
      <c r="E206" s="59" t="s">
        <v>16</v>
      </c>
      <c r="F206" s="60">
        <v>14.8938333333333</v>
      </c>
      <c r="G206" s="60">
        <v>4.7556738364703799</v>
      </c>
      <c r="H206" s="61">
        <v>17.202444444444399</v>
      </c>
      <c r="I206" s="63">
        <v>1.71</v>
      </c>
      <c r="J206" s="58">
        <v>-15.492444444444398</v>
      </c>
      <c r="K206" s="58">
        <v>-90.059552260014698</v>
      </c>
      <c r="L206" s="1" t="s">
        <v>23</v>
      </c>
      <c r="M206" s="1">
        <v>3</v>
      </c>
    </row>
    <row r="207" spans="1:13" x14ac:dyDescent="0.3">
      <c r="A207">
        <v>3</v>
      </c>
      <c r="B207">
        <v>1</v>
      </c>
      <c r="C207" t="s">
        <v>79</v>
      </c>
      <c r="D207" s="1" t="s">
        <v>2</v>
      </c>
      <c r="E207" s="59" t="s">
        <v>17</v>
      </c>
      <c r="F207" s="60">
        <v>3.3620000000000001</v>
      </c>
      <c r="G207" s="60">
        <v>2.7076661537198299</v>
      </c>
      <c r="H207" s="61">
        <v>3.0130508474576199</v>
      </c>
      <c r="I207" s="63">
        <v>5.0599999999999996</v>
      </c>
      <c r="J207" s="58">
        <v>2.0469491525423797</v>
      </c>
      <c r="K207" s="58">
        <v>67.936097204253073</v>
      </c>
      <c r="L207" s="1" t="s">
        <v>23</v>
      </c>
      <c r="M207" s="1">
        <v>3</v>
      </c>
    </row>
    <row r="208" spans="1:13" x14ac:dyDescent="0.3">
      <c r="A208">
        <v>3</v>
      </c>
      <c r="B208">
        <v>1</v>
      </c>
      <c r="C208" t="s">
        <v>79</v>
      </c>
      <c r="D208" s="1" t="s">
        <v>2</v>
      </c>
      <c r="E208" s="59" t="s">
        <v>18</v>
      </c>
      <c r="F208" s="60">
        <v>1.2549999999999999</v>
      </c>
      <c r="G208" s="60">
        <v>0.26544205160188999</v>
      </c>
      <c r="H208" s="61">
        <v>1.2075</v>
      </c>
      <c r="I208" s="63">
        <v>1.69</v>
      </c>
      <c r="J208" s="58">
        <v>0.48249999999999993</v>
      </c>
      <c r="K208" s="58">
        <v>39.958592132505174</v>
      </c>
      <c r="L208" s="1" t="s">
        <v>23</v>
      </c>
      <c r="M208" s="1">
        <v>3</v>
      </c>
    </row>
    <row r="209" spans="1:13" x14ac:dyDescent="0.3">
      <c r="A209">
        <v>3</v>
      </c>
      <c r="B209">
        <v>1</v>
      </c>
      <c r="C209" t="s">
        <v>79</v>
      </c>
      <c r="D209" s="1" t="s">
        <v>2</v>
      </c>
      <c r="E209" s="59" t="s">
        <v>19</v>
      </c>
      <c r="F209" s="60">
        <v>1.3221666666666601</v>
      </c>
      <c r="G209" s="60">
        <v>0.64929215731868695</v>
      </c>
      <c r="H209" s="61">
        <v>1.21137931034482</v>
      </c>
      <c r="I209" s="63">
        <v>1.68</v>
      </c>
      <c r="J209" s="58">
        <v>0.46862068965517989</v>
      </c>
      <c r="K209" s="58">
        <v>38.684884713920589</v>
      </c>
      <c r="L209" s="1" t="s">
        <v>23</v>
      </c>
      <c r="M209" s="1">
        <v>3</v>
      </c>
    </row>
    <row r="210" spans="1:13" x14ac:dyDescent="0.3">
      <c r="A210">
        <v>3</v>
      </c>
      <c r="B210">
        <v>1</v>
      </c>
      <c r="C210" t="s">
        <v>79</v>
      </c>
      <c r="D210" s="1" t="s">
        <v>2</v>
      </c>
      <c r="E210" s="59" t="s">
        <v>12</v>
      </c>
      <c r="F210" s="60">
        <v>3.1589999999999998</v>
      </c>
      <c r="G210" s="60">
        <v>0.92962304188310596</v>
      </c>
      <c r="H210" s="61">
        <v>3.54790697674418</v>
      </c>
      <c r="I210" s="63">
        <v>5.32</v>
      </c>
      <c r="J210" s="58">
        <v>1.7720930232558203</v>
      </c>
      <c r="K210" s="58">
        <v>49.947561615102522</v>
      </c>
      <c r="L210" s="1" t="s">
        <v>68</v>
      </c>
      <c r="M210" s="1">
        <v>3</v>
      </c>
    </row>
    <row r="211" spans="1:13" x14ac:dyDescent="0.3">
      <c r="A211">
        <v>3</v>
      </c>
      <c r="B211">
        <v>1</v>
      </c>
      <c r="C211" t="s">
        <v>79</v>
      </c>
      <c r="D211" s="1" t="s">
        <v>2</v>
      </c>
      <c r="E211" s="59" t="s">
        <v>13</v>
      </c>
      <c r="F211" s="60">
        <v>3.1758333333333302</v>
      </c>
      <c r="G211" s="60">
        <v>3.4446471960935998</v>
      </c>
      <c r="H211" s="61">
        <v>2.15236363636363</v>
      </c>
      <c r="I211" s="63">
        <v>2.95</v>
      </c>
      <c r="J211" s="58">
        <v>0.79763636363637014</v>
      </c>
      <c r="K211" s="58">
        <v>37.058624767697658</v>
      </c>
      <c r="L211" s="1" t="s">
        <v>68</v>
      </c>
      <c r="M211" s="1">
        <v>3</v>
      </c>
    </row>
    <row r="212" spans="1:13" x14ac:dyDescent="0.3">
      <c r="A212">
        <v>3</v>
      </c>
      <c r="B212">
        <v>1</v>
      </c>
      <c r="C212" t="s">
        <v>79</v>
      </c>
      <c r="D212" s="1" t="s">
        <v>2</v>
      </c>
      <c r="E212" s="59" t="s">
        <v>14</v>
      </c>
      <c r="F212" s="60">
        <v>1.5215000000000001</v>
      </c>
      <c r="G212" s="60">
        <v>0.55032967392282195</v>
      </c>
      <c r="H212" s="61">
        <v>1.8340000000000001</v>
      </c>
      <c r="I212" s="63">
        <v>4.8099999999999996</v>
      </c>
      <c r="J212" s="58">
        <v>2.9759999999999995</v>
      </c>
      <c r="K212" s="58">
        <v>162.26826608505996</v>
      </c>
      <c r="L212" s="1" t="s">
        <v>68</v>
      </c>
      <c r="M212" s="1">
        <v>3</v>
      </c>
    </row>
    <row r="213" spans="1:13" x14ac:dyDescent="0.3">
      <c r="A213">
        <v>3</v>
      </c>
      <c r="B213">
        <v>1</v>
      </c>
      <c r="C213" t="s">
        <v>79</v>
      </c>
      <c r="D213" s="1" t="s">
        <v>2</v>
      </c>
      <c r="E213" s="59" t="s">
        <v>15</v>
      </c>
      <c r="F213" s="60">
        <v>0.92</v>
      </c>
      <c r="G213" s="60">
        <v>0.191363528395564</v>
      </c>
      <c r="H213" s="61">
        <v>0.828666666666667</v>
      </c>
      <c r="I213" s="63">
        <v>3.68</v>
      </c>
      <c r="J213" s="58">
        <v>2.8513333333333333</v>
      </c>
      <c r="K213" s="58">
        <v>344.08688656476249</v>
      </c>
      <c r="L213" s="1" t="s">
        <v>68</v>
      </c>
      <c r="M213" s="1">
        <v>3</v>
      </c>
    </row>
    <row r="214" spans="1:13" x14ac:dyDescent="0.3">
      <c r="A214">
        <v>3</v>
      </c>
      <c r="B214">
        <v>1</v>
      </c>
      <c r="C214" t="s">
        <v>79</v>
      </c>
      <c r="D214" s="1" t="s">
        <v>2</v>
      </c>
      <c r="E214" s="59" t="s">
        <v>16</v>
      </c>
      <c r="F214" s="60">
        <v>14.8938333333333</v>
      </c>
      <c r="G214" s="60">
        <v>4.7556738364703799</v>
      </c>
      <c r="H214" s="61">
        <v>17.202444444444399</v>
      </c>
      <c r="I214" s="63">
        <v>1.73</v>
      </c>
      <c r="J214" s="58">
        <v>-15.472444444444399</v>
      </c>
      <c r="K214" s="58">
        <v>-89.943289713348207</v>
      </c>
      <c r="L214" s="1" t="s">
        <v>68</v>
      </c>
      <c r="M214" s="1">
        <v>3</v>
      </c>
    </row>
    <row r="215" spans="1:13" x14ac:dyDescent="0.3">
      <c r="A215">
        <v>3</v>
      </c>
      <c r="B215">
        <v>1</v>
      </c>
      <c r="C215" t="s">
        <v>79</v>
      </c>
      <c r="D215" s="1" t="s">
        <v>2</v>
      </c>
      <c r="E215" s="59" t="s">
        <v>17</v>
      </c>
      <c r="F215" s="60">
        <v>3.3620000000000001</v>
      </c>
      <c r="G215" s="60">
        <v>2.7076661537198299</v>
      </c>
      <c r="H215" s="61">
        <v>3.0130508474576199</v>
      </c>
      <c r="I215" s="63">
        <v>5.0599999999999996</v>
      </c>
      <c r="J215" s="58">
        <v>2.0469491525423797</v>
      </c>
      <c r="K215" s="58">
        <v>67.936097204253073</v>
      </c>
      <c r="L215" s="1" t="s">
        <v>68</v>
      </c>
      <c r="M215" s="1">
        <v>3</v>
      </c>
    </row>
    <row r="216" spans="1:13" x14ac:dyDescent="0.3">
      <c r="A216">
        <v>3</v>
      </c>
      <c r="B216">
        <v>1</v>
      </c>
      <c r="C216" t="s">
        <v>79</v>
      </c>
      <c r="D216" s="1" t="s">
        <v>2</v>
      </c>
      <c r="E216" s="59" t="s">
        <v>18</v>
      </c>
      <c r="F216" s="60">
        <v>1.2549999999999999</v>
      </c>
      <c r="G216" s="60">
        <v>0.26544205160188999</v>
      </c>
      <c r="H216" s="61">
        <v>1.2075</v>
      </c>
      <c r="I216" s="63">
        <v>1.74</v>
      </c>
      <c r="J216" s="58">
        <v>0.53249999999999997</v>
      </c>
      <c r="K216" s="58">
        <v>44.099378881987569</v>
      </c>
      <c r="L216" s="1" t="s">
        <v>68</v>
      </c>
      <c r="M216" s="1">
        <v>3</v>
      </c>
    </row>
    <row r="217" spans="1:13" x14ac:dyDescent="0.3">
      <c r="A217">
        <v>3</v>
      </c>
      <c r="B217">
        <v>1</v>
      </c>
      <c r="C217" t="s">
        <v>79</v>
      </c>
      <c r="D217" s="1" t="s">
        <v>2</v>
      </c>
      <c r="E217" s="59" t="s">
        <v>19</v>
      </c>
      <c r="F217" s="60">
        <v>1.3221666666666601</v>
      </c>
      <c r="G217" s="60">
        <v>0.64929215731868695</v>
      </c>
      <c r="H217" s="61">
        <v>1.21137931034482</v>
      </c>
      <c r="I217" s="63">
        <v>1.74</v>
      </c>
      <c r="J217" s="58">
        <v>0.52862068965517994</v>
      </c>
      <c r="K217" s="58">
        <v>43.637916310846322</v>
      </c>
      <c r="L217" s="1" t="s">
        <v>68</v>
      </c>
      <c r="M217" s="1">
        <v>3</v>
      </c>
    </row>
    <row r="218" spans="1:13" x14ac:dyDescent="0.3">
      <c r="A218">
        <v>3</v>
      </c>
      <c r="B218">
        <v>1</v>
      </c>
      <c r="C218" t="s">
        <v>79</v>
      </c>
      <c r="D218" s="1" t="s">
        <v>2</v>
      </c>
      <c r="E218" s="59" t="s">
        <v>12</v>
      </c>
      <c r="F218" s="60">
        <v>3.1589999999999998</v>
      </c>
      <c r="G218" s="60">
        <v>0.92962304188310596</v>
      </c>
      <c r="H218" s="61">
        <v>3.54790697674418</v>
      </c>
      <c r="I218" s="63">
        <v>5.28</v>
      </c>
      <c r="J218" s="58">
        <v>1.7320930232558203</v>
      </c>
      <c r="K218" s="58">
        <v>48.820136339800996</v>
      </c>
      <c r="L218" s="1" t="s">
        <v>69</v>
      </c>
      <c r="M218" s="1">
        <v>3</v>
      </c>
    </row>
    <row r="219" spans="1:13" x14ac:dyDescent="0.3">
      <c r="A219">
        <v>3</v>
      </c>
      <c r="B219">
        <v>1</v>
      </c>
      <c r="C219" t="s">
        <v>79</v>
      </c>
      <c r="D219" s="1" t="s">
        <v>2</v>
      </c>
      <c r="E219" s="59" t="s">
        <v>13</v>
      </c>
      <c r="F219" s="60">
        <v>3.1758333333333302</v>
      </c>
      <c r="G219" s="60">
        <v>3.4446471960935998</v>
      </c>
      <c r="H219" s="61">
        <v>2.15236363636363</v>
      </c>
      <c r="I219" s="63">
        <v>2.98</v>
      </c>
      <c r="J219" s="58">
        <v>0.82763636363636994</v>
      </c>
      <c r="K219" s="58">
        <v>38.452441290758983</v>
      </c>
      <c r="L219" s="1" t="s">
        <v>69</v>
      </c>
      <c r="M219" s="1">
        <v>3</v>
      </c>
    </row>
    <row r="220" spans="1:13" x14ac:dyDescent="0.3">
      <c r="A220">
        <v>3</v>
      </c>
      <c r="B220">
        <v>1</v>
      </c>
      <c r="C220" t="s">
        <v>79</v>
      </c>
      <c r="D220" s="1" t="s">
        <v>2</v>
      </c>
      <c r="E220" s="59" t="s">
        <v>14</v>
      </c>
      <c r="F220" s="60">
        <v>1.5215000000000001</v>
      </c>
      <c r="G220" s="60">
        <v>0.55032967392282195</v>
      </c>
      <c r="H220" s="61">
        <v>1.8340000000000001</v>
      </c>
      <c r="I220" s="63">
        <v>4.83</v>
      </c>
      <c r="J220" s="58">
        <v>2.996</v>
      </c>
      <c r="K220" s="58">
        <v>163.35877862595419</v>
      </c>
      <c r="L220" s="1" t="s">
        <v>69</v>
      </c>
      <c r="M220" s="1">
        <v>3</v>
      </c>
    </row>
    <row r="221" spans="1:13" x14ac:dyDescent="0.3">
      <c r="A221">
        <v>3</v>
      </c>
      <c r="B221">
        <v>1</v>
      </c>
      <c r="C221" t="s">
        <v>79</v>
      </c>
      <c r="D221" s="1" t="s">
        <v>2</v>
      </c>
      <c r="E221" s="59" t="s">
        <v>15</v>
      </c>
      <c r="F221" s="60">
        <v>0.92</v>
      </c>
      <c r="G221" s="60">
        <v>0.191363528395564</v>
      </c>
      <c r="H221" s="61">
        <v>0.828666666666667</v>
      </c>
      <c r="I221" s="63">
        <v>3.71</v>
      </c>
      <c r="J221" s="58">
        <v>2.8813333333333331</v>
      </c>
      <c r="K221" s="58">
        <v>347.70716009654046</v>
      </c>
      <c r="L221" s="1" t="s">
        <v>69</v>
      </c>
      <c r="M221" s="1">
        <v>3</v>
      </c>
    </row>
    <row r="222" spans="1:13" x14ac:dyDescent="0.3">
      <c r="A222">
        <v>3</v>
      </c>
      <c r="B222">
        <v>1</v>
      </c>
      <c r="C222" t="s">
        <v>79</v>
      </c>
      <c r="D222" s="1" t="s">
        <v>2</v>
      </c>
      <c r="E222" s="59" t="s">
        <v>16</v>
      </c>
      <c r="F222" s="60">
        <v>14.8938333333333</v>
      </c>
      <c r="G222" s="60">
        <v>4.7556738364703799</v>
      </c>
      <c r="H222" s="61">
        <v>17.202444444444399</v>
      </c>
      <c r="I222" s="63">
        <v>1.74</v>
      </c>
      <c r="J222" s="58">
        <v>-15.462444444444399</v>
      </c>
      <c r="K222" s="58">
        <v>-89.885158440014962</v>
      </c>
      <c r="L222" s="1" t="s">
        <v>69</v>
      </c>
      <c r="M222" s="1">
        <v>3</v>
      </c>
    </row>
    <row r="223" spans="1:13" x14ac:dyDescent="0.3">
      <c r="A223">
        <v>3</v>
      </c>
      <c r="B223">
        <v>1</v>
      </c>
      <c r="C223" t="s">
        <v>79</v>
      </c>
      <c r="D223" s="1" t="s">
        <v>2</v>
      </c>
      <c r="E223" s="59" t="s">
        <v>17</v>
      </c>
      <c r="F223" s="60">
        <v>3.3620000000000001</v>
      </c>
      <c r="G223" s="60">
        <v>2.7076661537198299</v>
      </c>
      <c r="H223" s="61">
        <v>3.0130508474576199</v>
      </c>
      <c r="I223" s="63">
        <v>5.14</v>
      </c>
      <c r="J223" s="58">
        <v>2.1269491525423798</v>
      </c>
      <c r="K223" s="58">
        <v>70.591213365585148</v>
      </c>
      <c r="L223" s="1" t="s">
        <v>69</v>
      </c>
      <c r="M223" s="1">
        <v>3</v>
      </c>
    </row>
    <row r="224" spans="1:13" x14ac:dyDescent="0.3">
      <c r="A224">
        <v>3</v>
      </c>
      <c r="B224">
        <v>1</v>
      </c>
      <c r="C224" t="s">
        <v>79</v>
      </c>
      <c r="D224" s="1" t="s">
        <v>2</v>
      </c>
      <c r="E224" s="59" t="s">
        <v>18</v>
      </c>
      <c r="F224" s="60">
        <v>1.2549999999999999</v>
      </c>
      <c r="G224" s="60">
        <v>0.26544205160188999</v>
      </c>
      <c r="H224" s="61">
        <v>1.2075</v>
      </c>
      <c r="I224" s="63">
        <v>1.7</v>
      </c>
      <c r="J224" s="58">
        <v>0.49249999999999994</v>
      </c>
      <c r="K224" s="58">
        <v>40.786749482401653</v>
      </c>
      <c r="L224" s="1" t="s">
        <v>69</v>
      </c>
      <c r="M224" s="1">
        <v>3</v>
      </c>
    </row>
    <row r="225" spans="1:13" x14ac:dyDescent="0.3">
      <c r="A225">
        <v>3</v>
      </c>
      <c r="B225">
        <v>1</v>
      </c>
      <c r="C225" t="s">
        <v>79</v>
      </c>
      <c r="D225" s="1" t="s">
        <v>2</v>
      </c>
      <c r="E225" s="59" t="s">
        <v>19</v>
      </c>
      <c r="F225" s="60">
        <v>1.3221666666666601</v>
      </c>
      <c r="G225" s="60">
        <v>0.64929215731868695</v>
      </c>
      <c r="H225" s="61">
        <v>1.21137931034482</v>
      </c>
      <c r="I225" s="63">
        <v>1.73</v>
      </c>
      <c r="J225" s="58">
        <v>0.51862068965517993</v>
      </c>
      <c r="K225" s="58">
        <v>42.812411044692034</v>
      </c>
      <c r="L225" s="1" t="s">
        <v>69</v>
      </c>
      <c r="M225" s="1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5ABD-CA23-49BA-A6BC-2BC6EC0F23A5}">
  <dimension ref="A1:M225"/>
  <sheetViews>
    <sheetView topLeftCell="A224" workbookViewId="0">
      <selection activeCell="P25" sqref="P25"/>
    </sheetView>
  </sheetViews>
  <sheetFormatPr defaultColWidth="8.88671875" defaultRowHeight="14.4" x14ac:dyDescent="0.3"/>
  <sheetData>
    <row r="1" spans="1:13" ht="43.2" x14ac:dyDescent="0.3">
      <c r="A1" t="s">
        <v>145</v>
      </c>
      <c r="B1" t="s">
        <v>146</v>
      </c>
      <c r="C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 x14ac:dyDescent="0.3">
      <c r="A2">
        <v>12</v>
      </c>
      <c r="B2">
        <v>1</v>
      </c>
      <c r="C2" t="s">
        <v>79</v>
      </c>
      <c r="D2" s="1" t="s">
        <v>2</v>
      </c>
      <c r="E2" s="59" t="s">
        <v>12</v>
      </c>
      <c r="F2" s="60">
        <v>1.9759259259259201</v>
      </c>
      <c r="G2" s="60">
        <v>0.43899936099893799</v>
      </c>
      <c r="H2" s="61">
        <v>2.0986956521739102</v>
      </c>
      <c r="I2" s="62">
        <v>1.95</v>
      </c>
      <c r="J2" s="37">
        <v>-0.14869565217391023</v>
      </c>
      <c r="K2" s="37">
        <v>-7.0851460534492237</v>
      </c>
      <c r="L2" s="1" t="s">
        <v>23</v>
      </c>
      <c r="M2" s="1">
        <v>1</v>
      </c>
    </row>
    <row r="3" spans="1:13" x14ac:dyDescent="0.3">
      <c r="A3">
        <v>12</v>
      </c>
      <c r="B3">
        <v>1</v>
      </c>
      <c r="C3" t="s">
        <v>79</v>
      </c>
      <c r="D3" s="1" t="s">
        <v>2</v>
      </c>
      <c r="E3" s="59" t="s">
        <v>13</v>
      </c>
      <c r="F3" s="60">
        <v>0.46172413793103401</v>
      </c>
      <c r="G3" s="60">
        <v>6.2260241673337199E-2</v>
      </c>
      <c r="H3" s="61">
        <v>0.44999999999999901</v>
      </c>
      <c r="I3" s="62">
        <v>3.4</v>
      </c>
      <c r="J3" s="37">
        <v>2.9500000000000011</v>
      </c>
      <c r="K3" s="37">
        <v>655.55555555555725</v>
      </c>
      <c r="L3" s="1" t="s">
        <v>23</v>
      </c>
      <c r="M3" s="1">
        <v>1</v>
      </c>
    </row>
    <row r="4" spans="1:13" x14ac:dyDescent="0.3">
      <c r="A4">
        <v>12</v>
      </c>
      <c r="B4">
        <v>1</v>
      </c>
      <c r="C4" t="s">
        <v>79</v>
      </c>
      <c r="D4" s="1" t="s">
        <v>2</v>
      </c>
      <c r="E4" s="59" t="s">
        <v>14</v>
      </c>
      <c r="F4" s="60">
        <v>0.233833333333333</v>
      </c>
      <c r="G4" s="60">
        <v>0.115066526651131</v>
      </c>
      <c r="H4" s="61">
        <v>0.222407407407407</v>
      </c>
      <c r="I4" s="62">
        <v>4.83</v>
      </c>
      <c r="J4" s="37">
        <v>4.6075925925925931</v>
      </c>
      <c r="K4" s="37">
        <v>2071.6902581182389</v>
      </c>
      <c r="L4" s="1" t="s">
        <v>23</v>
      </c>
      <c r="M4" s="1">
        <v>1</v>
      </c>
    </row>
    <row r="5" spans="1:13" x14ac:dyDescent="0.3">
      <c r="A5">
        <v>12</v>
      </c>
      <c r="B5">
        <v>1</v>
      </c>
      <c r="C5" t="s">
        <v>79</v>
      </c>
      <c r="D5" s="1" t="s">
        <v>2</v>
      </c>
      <c r="E5" s="59" t="s">
        <v>15</v>
      </c>
      <c r="F5" s="60">
        <v>1.0721666666666601</v>
      </c>
      <c r="G5" s="60">
        <v>1.30814001756522</v>
      </c>
      <c r="H5" s="61">
        <v>0.70963636363636295</v>
      </c>
      <c r="I5" s="62">
        <v>5.42</v>
      </c>
      <c r="J5" s="37">
        <v>4.7103636363636365</v>
      </c>
      <c r="K5" s="37">
        <v>663.7714578529343</v>
      </c>
      <c r="L5" s="1" t="s">
        <v>23</v>
      </c>
      <c r="M5" s="1">
        <v>1</v>
      </c>
    </row>
    <row r="6" spans="1:13" x14ac:dyDescent="0.3">
      <c r="A6">
        <v>12</v>
      </c>
      <c r="B6">
        <v>1</v>
      </c>
      <c r="C6" t="s">
        <v>79</v>
      </c>
      <c r="D6" s="1" t="s">
        <v>2</v>
      </c>
      <c r="E6" s="59" t="s">
        <v>16</v>
      </c>
      <c r="F6" s="60">
        <v>2.25</v>
      </c>
      <c r="G6" s="60">
        <v>0.536768106355062</v>
      </c>
      <c r="H6" s="61">
        <v>2.4655102040816299</v>
      </c>
      <c r="I6" s="62">
        <v>3.92</v>
      </c>
      <c r="J6" s="37">
        <v>1.45448979591837</v>
      </c>
      <c r="K6" s="37">
        <v>58.993460806224832</v>
      </c>
      <c r="L6" s="1" t="s">
        <v>23</v>
      </c>
      <c r="M6" s="1">
        <v>1</v>
      </c>
    </row>
    <row r="7" spans="1:13" x14ac:dyDescent="0.3">
      <c r="A7">
        <v>12</v>
      </c>
      <c r="B7">
        <v>1</v>
      </c>
      <c r="C7" t="s">
        <v>79</v>
      </c>
      <c r="D7" s="1" t="s">
        <v>2</v>
      </c>
      <c r="E7" s="59" t="s">
        <v>17</v>
      </c>
      <c r="F7" s="60">
        <v>1.12866666666666</v>
      </c>
      <c r="G7" s="60">
        <v>1.0281203993480299</v>
      </c>
      <c r="H7" s="61">
        <v>0.825454545454544</v>
      </c>
      <c r="I7" s="62">
        <v>4.3499999999999996</v>
      </c>
      <c r="J7" s="37">
        <v>3.5245454545454558</v>
      </c>
      <c r="K7" s="37">
        <v>426.98237885462646</v>
      </c>
      <c r="L7" s="1" t="s">
        <v>23</v>
      </c>
      <c r="M7" s="1">
        <v>1</v>
      </c>
    </row>
    <row r="8" spans="1:13" x14ac:dyDescent="0.3">
      <c r="A8">
        <v>12</v>
      </c>
      <c r="B8">
        <v>1</v>
      </c>
      <c r="C8" t="s">
        <v>79</v>
      </c>
      <c r="D8" s="1" t="s">
        <v>2</v>
      </c>
      <c r="E8" s="59" t="s">
        <v>18</v>
      </c>
      <c r="F8" s="60">
        <v>2.5513333333333299</v>
      </c>
      <c r="G8" s="60">
        <v>7.8547337036691101</v>
      </c>
      <c r="H8" s="61">
        <v>0.75508771929824603</v>
      </c>
      <c r="I8" s="62">
        <v>1.86</v>
      </c>
      <c r="J8" s="37">
        <v>1.104912280701754</v>
      </c>
      <c r="K8" s="37">
        <v>146.32899628252773</v>
      </c>
      <c r="L8" s="1" t="s">
        <v>23</v>
      </c>
      <c r="M8" s="1">
        <v>1</v>
      </c>
    </row>
    <row r="9" spans="1:13" x14ac:dyDescent="0.3">
      <c r="A9">
        <v>12</v>
      </c>
      <c r="B9">
        <v>1</v>
      </c>
      <c r="C9" t="s">
        <v>79</v>
      </c>
      <c r="D9" s="1" t="s">
        <v>2</v>
      </c>
      <c r="E9" s="59" t="s">
        <v>19</v>
      </c>
      <c r="F9" s="60">
        <v>0.65149999999999997</v>
      </c>
      <c r="G9" s="60">
        <v>0.106424073091257</v>
      </c>
      <c r="H9" s="61">
        <v>0.71690476190476204</v>
      </c>
      <c r="I9" s="62">
        <v>2.73</v>
      </c>
      <c r="J9" s="37">
        <v>2.013095238095238</v>
      </c>
      <c r="K9" s="37">
        <v>280.8037196944536</v>
      </c>
      <c r="L9" s="1" t="s">
        <v>23</v>
      </c>
      <c r="M9" s="1">
        <v>1</v>
      </c>
    </row>
    <row r="10" spans="1:13" x14ac:dyDescent="0.3">
      <c r="A10">
        <v>12</v>
      </c>
      <c r="B10">
        <v>1</v>
      </c>
      <c r="C10" t="s">
        <v>79</v>
      </c>
      <c r="D10" s="1" t="s">
        <v>2</v>
      </c>
      <c r="E10" s="59" t="s">
        <v>12</v>
      </c>
      <c r="F10" s="60">
        <v>1.9759259259259201</v>
      </c>
      <c r="G10" s="60">
        <v>0.43899936099893799</v>
      </c>
      <c r="H10" s="61">
        <v>2.0986956521739102</v>
      </c>
      <c r="I10" s="62">
        <v>1.94</v>
      </c>
      <c r="J10" s="37">
        <v>-0.15869565217391024</v>
      </c>
      <c r="K10" s="37">
        <v>-7.5616324839443552</v>
      </c>
      <c r="L10" s="1" t="s">
        <v>68</v>
      </c>
      <c r="M10" s="1">
        <v>1</v>
      </c>
    </row>
    <row r="11" spans="1:13" x14ac:dyDescent="0.3">
      <c r="A11">
        <v>12</v>
      </c>
      <c r="B11">
        <v>1</v>
      </c>
      <c r="C11" t="s">
        <v>79</v>
      </c>
      <c r="D11" s="1" t="s">
        <v>2</v>
      </c>
      <c r="E11" s="59" t="s">
        <v>13</v>
      </c>
      <c r="F11" s="60">
        <v>0.46172413793103401</v>
      </c>
      <c r="G11" s="60">
        <v>6.2260241673337199E-2</v>
      </c>
      <c r="H11" s="61">
        <v>0.44999999999999901</v>
      </c>
      <c r="I11" s="62">
        <v>3.45</v>
      </c>
      <c r="J11" s="37">
        <v>3.0000000000000013</v>
      </c>
      <c r="K11" s="37">
        <v>666.66666666666833</v>
      </c>
      <c r="L11" s="1" t="s">
        <v>68</v>
      </c>
      <c r="M11" s="1">
        <v>1</v>
      </c>
    </row>
    <row r="12" spans="1:13" x14ac:dyDescent="0.3">
      <c r="A12">
        <v>12</v>
      </c>
      <c r="B12">
        <v>1</v>
      </c>
      <c r="C12" t="s">
        <v>79</v>
      </c>
      <c r="D12" s="1" t="s">
        <v>2</v>
      </c>
      <c r="E12" s="59" t="s">
        <v>14</v>
      </c>
      <c r="F12" s="60">
        <v>0.233833333333333</v>
      </c>
      <c r="G12" s="60">
        <v>0.115066526651131</v>
      </c>
      <c r="H12" s="61">
        <v>0.222407407407407</v>
      </c>
      <c r="I12" s="62">
        <v>4.8499999999999996</v>
      </c>
      <c r="J12" s="37">
        <v>4.6275925925925927</v>
      </c>
      <c r="K12" s="37">
        <v>2080.6827643630345</v>
      </c>
      <c r="L12" s="1" t="s">
        <v>68</v>
      </c>
      <c r="M12" s="1">
        <v>1</v>
      </c>
    </row>
    <row r="13" spans="1:13" x14ac:dyDescent="0.3">
      <c r="A13">
        <v>12</v>
      </c>
      <c r="B13">
        <v>1</v>
      </c>
      <c r="C13" t="s">
        <v>79</v>
      </c>
      <c r="D13" s="1" t="s">
        <v>2</v>
      </c>
      <c r="E13" s="59" t="s">
        <v>15</v>
      </c>
      <c r="F13" s="60">
        <v>1.0721666666666601</v>
      </c>
      <c r="G13" s="60">
        <v>1.30814001756522</v>
      </c>
      <c r="H13" s="61">
        <v>0.70963636363636295</v>
      </c>
      <c r="I13" s="62">
        <v>5.37</v>
      </c>
      <c r="J13" s="37">
        <v>4.6603636363636376</v>
      </c>
      <c r="K13" s="37">
        <v>656.72559569561952</v>
      </c>
      <c r="L13" s="1" t="s">
        <v>68</v>
      </c>
      <c r="M13" s="1">
        <v>1</v>
      </c>
    </row>
    <row r="14" spans="1:13" x14ac:dyDescent="0.3">
      <c r="A14">
        <v>12</v>
      </c>
      <c r="B14">
        <v>1</v>
      </c>
      <c r="C14" t="s">
        <v>79</v>
      </c>
      <c r="D14" s="1" t="s">
        <v>2</v>
      </c>
      <c r="E14" s="59" t="s">
        <v>16</v>
      </c>
      <c r="F14" s="60">
        <v>2.25</v>
      </c>
      <c r="G14" s="60">
        <v>0.536768106355062</v>
      </c>
      <c r="H14" s="61">
        <v>2.4655102040816299</v>
      </c>
      <c r="I14" s="62">
        <v>3.93</v>
      </c>
      <c r="J14" s="37">
        <v>1.4644897959183703</v>
      </c>
      <c r="K14" s="37">
        <v>59.39905636950602</v>
      </c>
      <c r="L14" s="1" t="s">
        <v>68</v>
      </c>
      <c r="M14" s="1">
        <v>1</v>
      </c>
    </row>
    <row r="15" spans="1:13" x14ac:dyDescent="0.3">
      <c r="A15">
        <v>12</v>
      </c>
      <c r="B15">
        <v>1</v>
      </c>
      <c r="C15" t="s">
        <v>79</v>
      </c>
      <c r="D15" s="1" t="s">
        <v>2</v>
      </c>
      <c r="E15" s="59" t="s">
        <v>17</v>
      </c>
      <c r="F15" s="60">
        <v>1.12866666666666</v>
      </c>
      <c r="G15" s="60">
        <v>1.0281203993480299</v>
      </c>
      <c r="H15" s="61">
        <v>0.825454545454544</v>
      </c>
      <c r="I15" s="62">
        <v>4.3499999999999996</v>
      </c>
      <c r="J15" s="37">
        <v>3.5245454545454558</v>
      </c>
      <c r="K15" s="37">
        <v>426.98237885462646</v>
      </c>
      <c r="L15" s="1" t="s">
        <v>68</v>
      </c>
      <c r="M15" s="1">
        <v>1</v>
      </c>
    </row>
    <row r="16" spans="1:13" x14ac:dyDescent="0.3">
      <c r="A16">
        <v>12</v>
      </c>
      <c r="B16">
        <v>1</v>
      </c>
      <c r="C16" t="s">
        <v>79</v>
      </c>
      <c r="D16" s="1" t="s">
        <v>2</v>
      </c>
      <c r="E16" s="59" t="s">
        <v>18</v>
      </c>
      <c r="F16" s="60">
        <v>2.5513333333333299</v>
      </c>
      <c r="G16" s="60">
        <v>7.8547337036691101</v>
      </c>
      <c r="H16" s="61">
        <v>0.75508771929824603</v>
      </c>
      <c r="I16" s="62">
        <v>1.76</v>
      </c>
      <c r="J16" s="37">
        <v>1.0049122807017539</v>
      </c>
      <c r="K16" s="37">
        <v>133.08550185873591</v>
      </c>
      <c r="L16" s="1" t="s">
        <v>68</v>
      </c>
      <c r="M16" s="1">
        <v>1</v>
      </c>
    </row>
    <row r="17" spans="1:13" x14ac:dyDescent="0.3">
      <c r="A17">
        <v>12</v>
      </c>
      <c r="B17">
        <v>1</v>
      </c>
      <c r="C17" t="s">
        <v>79</v>
      </c>
      <c r="D17" s="1" t="s">
        <v>2</v>
      </c>
      <c r="E17" s="59" t="s">
        <v>19</v>
      </c>
      <c r="F17" s="60">
        <v>0.65149999999999997</v>
      </c>
      <c r="G17" s="60">
        <v>0.106424073091257</v>
      </c>
      <c r="H17" s="61">
        <v>0.71690476190476204</v>
      </c>
      <c r="I17" s="62">
        <v>2.64</v>
      </c>
      <c r="J17" s="37">
        <v>1.9230952380952382</v>
      </c>
      <c r="K17" s="37">
        <v>268.24975091331783</v>
      </c>
      <c r="L17" s="1" t="s">
        <v>68</v>
      </c>
      <c r="M17" s="1">
        <v>1</v>
      </c>
    </row>
    <row r="18" spans="1:13" x14ac:dyDescent="0.3">
      <c r="A18">
        <v>12</v>
      </c>
      <c r="B18">
        <v>1</v>
      </c>
      <c r="C18" t="s">
        <v>79</v>
      </c>
      <c r="D18" s="1" t="s">
        <v>2</v>
      </c>
      <c r="E18" s="59" t="s">
        <v>12</v>
      </c>
      <c r="F18" s="60">
        <v>1.9759259259259201</v>
      </c>
      <c r="G18" s="60">
        <v>0.43899936099893799</v>
      </c>
      <c r="H18" s="61">
        <v>2.0986956521739102</v>
      </c>
      <c r="I18" s="62">
        <v>1.87</v>
      </c>
      <c r="J18" s="37">
        <v>-0.22869565217391008</v>
      </c>
      <c r="K18" s="37">
        <v>-10.897037497410274</v>
      </c>
      <c r="L18" s="1" t="s">
        <v>69</v>
      </c>
      <c r="M18" s="1">
        <v>1</v>
      </c>
    </row>
    <row r="19" spans="1:13" x14ac:dyDescent="0.3">
      <c r="A19">
        <v>12</v>
      </c>
      <c r="B19">
        <v>1</v>
      </c>
      <c r="C19" t="s">
        <v>79</v>
      </c>
      <c r="D19" s="1" t="s">
        <v>2</v>
      </c>
      <c r="E19" s="59" t="s">
        <v>13</v>
      </c>
      <c r="F19" s="60">
        <v>0.46172413793103401</v>
      </c>
      <c r="G19" s="60">
        <v>6.2260241673337199E-2</v>
      </c>
      <c r="H19" s="61">
        <v>0.44999999999999901</v>
      </c>
      <c r="I19" s="62">
        <v>3.49</v>
      </c>
      <c r="J19" s="37">
        <v>3.0400000000000014</v>
      </c>
      <c r="K19" s="37">
        <v>675.55555555555736</v>
      </c>
      <c r="L19" s="1" t="s">
        <v>69</v>
      </c>
      <c r="M19" s="1">
        <v>1</v>
      </c>
    </row>
    <row r="20" spans="1:13" x14ac:dyDescent="0.3">
      <c r="A20">
        <v>12</v>
      </c>
      <c r="B20">
        <v>1</v>
      </c>
      <c r="C20" t="s">
        <v>79</v>
      </c>
      <c r="D20" s="1" t="s">
        <v>2</v>
      </c>
      <c r="E20" s="59" t="s">
        <v>14</v>
      </c>
      <c r="F20" s="60">
        <v>0.233833333333333</v>
      </c>
      <c r="G20" s="60">
        <v>0.115066526651131</v>
      </c>
      <c r="H20" s="61">
        <v>0.222407407407407</v>
      </c>
      <c r="I20" s="62">
        <v>4.88</v>
      </c>
      <c r="J20" s="37">
        <v>4.657592592592593</v>
      </c>
      <c r="K20" s="37">
        <v>2094.1715237302287</v>
      </c>
      <c r="L20" s="1" t="s">
        <v>69</v>
      </c>
      <c r="M20" s="1">
        <v>1</v>
      </c>
    </row>
    <row r="21" spans="1:13" x14ac:dyDescent="0.3">
      <c r="A21">
        <v>12</v>
      </c>
      <c r="B21">
        <v>1</v>
      </c>
      <c r="C21" t="s">
        <v>79</v>
      </c>
      <c r="D21" s="1" t="s">
        <v>2</v>
      </c>
      <c r="E21" s="59" t="s">
        <v>15</v>
      </c>
      <c r="F21" s="60">
        <v>1.0721666666666601</v>
      </c>
      <c r="G21" s="60">
        <v>1.30814001756522</v>
      </c>
      <c r="H21" s="61">
        <v>0.70963636363636295</v>
      </c>
      <c r="I21" s="62">
        <v>5.41</v>
      </c>
      <c r="J21" s="37">
        <v>4.7003636363636367</v>
      </c>
      <c r="K21" s="37">
        <v>662.36228542147137</v>
      </c>
      <c r="L21" s="1" t="s">
        <v>69</v>
      </c>
      <c r="M21" s="1">
        <v>1</v>
      </c>
    </row>
    <row r="22" spans="1:13" x14ac:dyDescent="0.3">
      <c r="A22">
        <v>12</v>
      </c>
      <c r="B22">
        <v>1</v>
      </c>
      <c r="C22" t="s">
        <v>79</v>
      </c>
      <c r="D22" s="1" t="s">
        <v>2</v>
      </c>
      <c r="E22" s="59" t="s">
        <v>16</v>
      </c>
      <c r="F22" s="60">
        <v>2.25</v>
      </c>
      <c r="G22" s="60">
        <v>0.536768106355062</v>
      </c>
      <c r="H22" s="61">
        <v>2.4655102040816299</v>
      </c>
      <c r="I22" s="62">
        <v>3.97</v>
      </c>
      <c r="J22" s="37">
        <v>1.5044897959183703</v>
      </c>
      <c r="K22" s="37">
        <v>61.021438622630761</v>
      </c>
      <c r="L22" s="1" t="s">
        <v>69</v>
      </c>
      <c r="M22" s="1">
        <v>1</v>
      </c>
    </row>
    <row r="23" spans="1:13" x14ac:dyDescent="0.3">
      <c r="A23">
        <v>12</v>
      </c>
      <c r="B23">
        <v>1</v>
      </c>
      <c r="C23" t="s">
        <v>79</v>
      </c>
      <c r="D23" s="1" t="s">
        <v>2</v>
      </c>
      <c r="E23" s="59" t="s">
        <v>17</v>
      </c>
      <c r="F23" s="60">
        <v>1.12866666666666</v>
      </c>
      <c r="G23" s="60">
        <v>1.0281203993480299</v>
      </c>
      <c r="H23" s="61">
        <v>0.825454545454544</v>
      </c>
      <c r="I23" s="62">
        <v>4.4000000000000004</v>
      </c>
      <c r="J23" s="37">
        <v>3.5745454545454565</v>
      </c>
      <c r="K23" s="37">
        <v>433.03964757709349</v>
      </c>
      <c r="L23" s="1" t="s">
        <v>69</v>
      </c>
      <c r="M23" s="1">
        <v>1</v>
      </c>
    </row>
    <row r="24" spans="1:13" x14ac:dyDescent="0.3">
      <c r="A24">
        <v>12</v>
      </c>
      <c r="B24">
        <v>1</v>
      </c>
      <c r="C24" t="s">
        <v>79</v>
      </c>
      <c r="D24" s="1" t="s">
        <v>2</v>
      </c>
      <c r="E24" s="59" t="s">
        <v>18</v>
      </c>
      <c r="F24" s="60">
        <v>2.5513333333333299</v>
      </c>
      <c r="G24" s="60">
        <v>7.8547337036691101</v>
      </c>
      <c r="H24" s="61">
        <v>0.75508771929824603</v>
      </c>
      <c r="I24" s="62">
        <v>1.76</v>
      </c>
      <c r="J24" s="37">
        <v>1.0049122807017539</v>
      </c>
      <c r="K24" s="37">
        <v>133.08550185873591</v>
      </c>
      <c r="L24" s="1" t="s">
        <v>69</v>
      </c>
      <c r="M24" s="1">
        <v>1</v>
      </c>
    </row>
    <row r="25" spans="1:13" x14ac:dyDescent="0.3">
      <c r="A25">
        <v>12</v>
      </c>
      <c r="B25">
        <v>1</v>
      </c>
      <c r="C25" t="s">
        <v>79</v>
      </c>
      <c r="D25" s="1" t="s">
        <v>2</v>
      </c>
      <c r="E25" s="59" t="s">
        <v>19</v>
      </c>
      <c r="F25" s="60">
        <v>0.65149999999999997</v>
      </c>
      <c r="G25" s="60">
        <v>0.106424073091257</v>
      </c>
      <c r="H25" s="61">
        <v>0.71690476190476204</v>
      </c>
      <c r="I25" s="62">
        <v>2.66</v>
      </c>
      <c r="J25" s="37">
        <v>1.9430952380952382</v>
      </c>
      <c r="K25" s="37">
        <v>271.03952175357023</v>
      </c>
      <c r="L25" s="1" t="s">
        <v>69</v>
      </c>
      <c r="M25" s="1">
        <v>1</v>
      </c>
    </row>
    <row r="27" spans="1:13" x14ac:dyDescent="0.3">
      <c r="A27">
        <v>12</v>
      </c>
      <c r="B27">
        <v>1</v>
      </c>
      <c r="C27" t="s">
        <v>79</v>
      </c>
      <c r="D27" s="1" t="s">
        <v>2</v>
      </c>
      <c r="E27" s="59" t="s">
        <v>12</v>
      </c>
      <c r="F27" s="60">
        <v>1.94333333333333</v>
      </c>
      <c r="G27" s="60">
        <v>0.47693465660053103</v>
      </c>
      <c r="H27" s="61">
        <v>2.1274193548387101</v>
      </c>
      <c r="I27" s="62">
        <v>1.95</v>
      </c>
      <c r="J27" s="37">
        <v>-0.17741935483871019</v>
      </c>
      <c r="K27" s="37">
        <v>-8.3396512509477088</v>
      </c>
      <c r="L27" s="1" t="s">
        <v>23</v>
      </c>
      <c r="M27" s="1">
        <v>2</v>
      </c>
    </row>
    <row r="28" spans="1:13" x14ac:dyDescent="0.3">
      <c r="A28">
        <v>12</v>
      </c>
      <c r="B28">
        <v>1</v>
      </c>
      <c r="C28" t="s">
        <v>79</v>
      </c>
      <c r="D28" s="1" t="s">
        <v>2</v>
      </c>
      <c r="E28" s="59" t="s">
        <v>13</v>
      </c>
      <c r="F28" s="60">
        <v>0.45564102564102499</v>
      </c>
      <c r="G28" s="60">
        <v>3.2643754795568303E-2</v>
      </c>
      <c r="H28" s="61">
        <v>0.44999999999999901</v>
      </c>
      <c r="I28" s="62">
        <v>3.4</v>
      </c>
      <c r="J28" s="37">
        <v>2.9500000000000011</v>
      </c>
      <c r="K28" s="37">
        <v>655.55555555555725</v>
      </c>
      <c r="L28" s="1" t="s">
        <v>23</v>
      </c>
      <c r="M28" s="1">
        <v>2</v>
      </c>
    </row>
    <row r="29" spans="1:13" x14ac:dyDescent="0.3">
      <c r="A29">
        <v>12</v>
      </c>
      <c r="B29">
        <v>1</v>
      </c>
      <c r="C29" t="s">
        <v>79</v>
      </c>
      <c r="D29" s="1" t="s">
        <v>2</v>
      </c>
      <c r="E29" s="59" t="s">
        <v>14</v>
      </c>
      <c r="F29" s="60">
        <v>0.23824999999999999</v>
      </c>
      <c r="G29" s="60">
        <v>0.10917617643057401</v>
      </c>
      <c r="H29" s="61">
        <v>0.222564102564102</v>
      </c>
      <c r="I29" s="62">
        <v>4.83</v>
      </c>
      <c r="J29" s="37">
        <v>4.6074358974358978</v>
      </c>
      <c r="K29" s="37">
        <v>2070.161290322586</v>
      </c>
      <c r="L29" s="1" t="s">
        <v>23</v>
      </c>
      <c r="M29" s="1">
        <v>2</v>
      </c>
    </row>
    <row r="30" spans="1:13" x14ac:dyDescent="0.3">
      <c r="A30">
        <v>12</v>
      </c>
      <c r="B30">
        <v>1</v>
      </c>
      <c r="C30" t="s">
        <v>79</v>
      </c>
      <c r="D30" s="1" t="s">
        <v>2</v>
      </c>
      <c r="E30" s="59" t="s">
        <v>15</v>
      </c>
      <c r="F30" s="60">
        <v>0.84899999999999998</v>
      </c>
      <c r="G30" s="60">
        <v>0.836300783211399</v>
      </c>
      <c r="H30" s="61">
        <v>0.494999999999999</v>
      </c>
      <c r="I30" s="62">
        <v>5.42</v>
      </c>
      <c r="J30" s="37">
        <v>4.9250000000000007</v>
      </c>
      <c r="K30" s="37">
        <v>994.94949494949708</v>
      </c>
      <c r="L30" s="1" t="s">
        <v>23</v>
      </c>
      <c r="M30" s="1">
        <v>2</v>
      </c>
    </row>
    <row r="31" spans="1:13" x14ac:dyDescent="0.3">
      <c r="A31">
        <v>12</v>
      </c>
      <c r="B31">
        <v>1</v>
      </c>
      <c r="C31" t="s">
        <v>79</v>
      </c>
      <c r="D31" s="1" t="s">
        <v>2</v>
      </c>
      <c r="E31" s="59" t="s">
        <v>16</v>
      </c>
      <c r="F31" s="60">
        <v>2.2044999999999999</v>
      </c>
      <c r="G31" s="60">
        <v>0.39150957842688799</v>
      </c>
      <c r="H31" s="61">
        <v>2.3094117647058798</v>
      </c>
      <c r="I31" s="62">
        <v>3.92</v>
      </c>
      <c r="J31" s="37">
        <v>1.6105882352941201</v>
      </c>
      <c r="K31" s="37">
        <v>69.740193581253365</v>
      </c>
      <c r="L31" s="1" t="s">
        <v>23</v>
      </c>
      <c r="M31" s="1">
        <v>2</v>
      </c>
    </row>
    <row r="32" spans="1:13" x14ac:dyDescent="0.3">
      <c r="A32">
        <v>12</v>
      </c>
      <c r="B32">
        <v>1</v>
      </c>
      <c r="C32" t="s">
        <v>79</v>
      </c>
      <c r="D32" s="1" t="s">
        <v>2</v>
      </c>
      <c r="E32" s="59" t="s">
        <v>17</v>
      </c>
      <c r="F32" s="60">
        <v>0.85846153846153805</v>
      </c>
      <c r="G32" s="60">
        <v>0.227478243102088</v>
      </c>
      <c r="H32" s="61">
        <v>0.74241379310344802</v>
      </c>
      <c r="I32" s="62">
        <v>4.3499999999999996</v>
      </c>
      <c r="J32" s="37">
        <v>3.6075862068965519</v>
      </c>
      <c r="K32" s="37">
        <v>485.92661402693932</v>
      </c>
      <c r="L32" s="1" t="s">
        <v>23</v>
      </c>
      <c r="M32" s="1">
        <v>2</v>
      </c>
    </row>
    <row r="33" spans="1:13" x14ac:dyDescent="0.3">
      <c r="A33">
        <v>12</v>
      </c>
      <c r="B33">
        <v>1</v>
      </c>
      <c r="C33" t="s">
        <v>79</v>
      </c>
      <c r="D33" s="1" t="s">
        <v>2</v>
      </c>
      <c r="E33" s="59" t="s">
        <v>18</v>
      </c>
      <c r="F33" s="60">
        <v>2.8182499999999902</v>
      </c>
      <c r="G33" s="60">
        <v>8.99494215865227</v>
      </c>
      <c r="H33" s="61">
        <v>0.76210526315789495</v>
      </c>
      <c r="I33" s="62">
        <v>1.86</v>
      </c>
      <c r="J33" s="37">
        <v>1.0978947368421053</v>
      </c>
      <c r="K33" s="37">
        <v>144.06077348066296</v>
      </c>
      <c r="L33" s="1" t="s">
        <v>23</v>
      </c>
      <c r="M33" s="1">
        <v>2</v>
      </c>
    </row>
    <row r="34" spans="1:13" x14ac:dyDescent="0.3">
      <c r="A34">
        <v>12</v>
      </c>
      <c r="B34">
        <v>1</v>
      </c>
      <c r="C34" t="s">
        <v>79</v>
      </c>
      <c r="D34" s="1" t="s">
        <v>2</v>
      </c>
      <c r="E34" s="59" t="s">
        <v>19</v>
      </c>
      <c r="F34" s="60">
        <v>0.67525000000000002</v>
      </c>
      <c r="G34" s="60">
        <v>0.107074448399232</v>
      </c>
      <c r="H34" s="61">
        <v>0.72633333333333305</v>
      </c>
      <c r="I34" s="62">
        <v>2.73</v>
      </c>
      <c r="J34" s="37">
        <v>2.0036666666666667</v>
      </c>
      <c r="K34" s="37">
        <v>275.86048646167978</v>
      </c>
      <c r="L34" s="1" t="s">
        <v>23</v>
      </c>
      <c r="M34" s="1">
        <v>2</v>
      </c>
    </row>
    <row r="35" spans="1:13" x14ac:dyDescent="0.3">
      <c r="A35">
        <v>12</v>
      </c>
      <c r="B35">
        <v>1</v>
      </c>
      <c r="C35" t="s">
        <v>79</v>
      </c>
      <c r="D35" s="1" t="s">
        <v>2</v>
      </c>
      <c r="E35" s="59" t="s">
        <v>12</v>
      </c>
      <c r="F35" s="60">
        <v>1.94333333333333</v>
      </c>
      <c r="G35" s="60">
        <v>0.47693465660053103</v>
      </c>
      <c r="H35" s="61">
        <v>2.1274193548387101</v>
      </c>
      <c r="I35" s="62">
        <v>1.94</v>
      </c>
      <c r="J35" s="37">
        <v>-0.18741935483871019</v>
      </c>
      <c r="K35" s="37">
        <v>-8.809704321455671</v>
      </c>
      <c r="L35" s="1" t="s">
        <v>68</v>
      </c>
      <c r="M35" s="1">
        <v>2</v>
      </c>
    </row>
    <row r="36" spans="1:13" x14ac:dyDescent="0.3">
      <c r="A36">
        <v>12</v>
      </c>
      <c r="B36">
        <v>1</v>
      </c>
      <c r="C36" t="s">
        <v>79</v>
      </c>
      <c r="D36" s="1" t="s">
        <v>2</v>
      </c>
      <c r="E36" s="59" t="s">
        <v>13</v>
      </c>
      <c r="F36" s="60">
        <v>0.45564102564102499</v>
      </c>
      <c r="G36" s="60">
        <v>3.2643754795568303E-2</v>
      </c>
      <c r="H36" s="61">
        <v>0.44999999999999901</v>
      </c>
      <c r="I36" s="62">
        <v>3.45</v>
      </c>
      <c r="J36" s="37">
        <v>3.0000000000000013</v>
      </c>
      <c r="K36" s="37">
        <v>666.66666666666833</v>
      </c>
      <c r="L36" s="1" t="s">
        <v>68</v>
      </c>
      <c r="M36" s="1">
        <v>2</v>
      </c>
    </row>
    <row r="37" spans="1:13" x14ac:dyDescent="0.3">
      <c r="A37">
        <v>12</v>
      </c>
      <c r="B37">
        <v>1</v>
      </c>
      <c r="C37" t="s">
        <v>79</v>
      </c>
      <c r="D37" s="1" t="s">
        <v>2</v>
      </c>
      <c r="E37" s="59" t="s">
        <v>14</v>
      </c>
      <c r="F37" s="60">
        <v>0.23824999999999999</v>
      </c>
      <c r="G37" s="60">
        <v>0.10917617643057401</v>
      </c>
      <c r="H37" s="61">
        <v>0.222564102564102</v>
      </c>
      <c r="I37" s="62">
        <v>4.8499999999999996</v>
      </c>
      <c r="J37" s="37">
        <v>4.6274358974358973</v>
      </c>
      <c r="K37" s="37">
        <v>2079.147465437793</v>
      </c>
      <c r="L37" s="1" t="s">
        <v>68</v>
      </c>
      <c r="M37" s="1">
        <v>2</v>
      </c>
    </row>
    <row r="38" spans="1:13" x14ac:dyDescent="0.3">
      <c r="A38">
        <v>12</v>
      </c>
      <c r="B38">
        <v>1</v>
      </c>
      <c r="C38" t="s">
        <v>79</v>
      </c>
      <c r="D38" s="1" t="s">
        <v>2</v>
      </c>
      <c r="E38" s="59" t="s">
        <v>15</v>
      </c>
      <c r="F38" s="60">
        <v>0.84899999999999998</v>
      </c>
      <c r="G38" s="60">
        <v>0.836300783211399</v>
      </c>
      <c r="H38" s="61">
        <v>0.494999999999999</v>
      </c>
      <c r="I38" s="62">
        <v>5.37</v>
      </c>
      <c r="J38" s="37">
        <v>4.8750000000000009</v>
      </c>
      <c r="K38" s="37">
        <v>984.84848484848703</v>
      </c>
      <c r="L38" s="1" t="s">
        <v>68</v>
      </c>
      <c r="M38" s="1">
        <v>2</v>
      </c>
    </row>
    <row r="39" spans="1:13" x14ac:dyDescent="0.3">
      <c r="A39">
        <v>12</v>
      </c>
      <c r="B39">
        <v>1</v>
      </c>
      <c r="C39" t="s">
        <v>79</v>
      </c>
      <c r="D39" s="1" t="s">
        <v>2</v>
      </c>
      <c r="E39" s="59" t="s">
        <v>16</v>
      </c>
      <c r="F39" s="60">
        <v>2.2044999999999999</v>
      </c>
      <c r="G39" s="60">
        <v>0.39150957842688799</v>
      </c>
      <c r="H39" s="61">
        <v>2.3094117647058798</v>
      </c>
      <c r="I39" s="62">
        <v>3.93</v>
      </c>
      <c r="J39" s="37">
        <v>1.6205882352941203</v>
      </c>
      <c r="K39" s="37">
        <v>70.173204279164736</v>
      </c>
      <c r="L39" s="1" t="s">
        <v>68</v>
      </c>
      <c r="M39" s="1">
        <v>2</v>
      </c>
    </row>
    <row r="40" spans="1:13" x14ac:dyDescent="0.3">
      <c r="A40">
        <v>12</v>
      </c>
      <c r="B40">
        <v>1</v>
      </c>
      <c r="C40" t="s">
        <v>79</v>
      </c>
      <c r="D40" s="1" t="s">
        <v>2</v>
      </c>
      <c r="E40" s="59" t="s">
        <v>17</v>
      </c>
      <c r="F40" s="60">
        <v>0.85846153846153805</v>
      </c>
      <c r="G40" s="60">
        <v>0.227478243102088</v>
      </c>
      <c r="H40" s="61">
        <v>0.74241379310344802</v>
      </c>
      <c r="I40" s="62">
        <v>4.3499999999999996</v>
      </c>
      <c r="J40" s="37">
        <v>3.6075862068965519</v>
      </c>
      <c r="K40" s="37">
        <v>485.92661402693932</v>
      </c>
      <c r="L40" s="1" t="s">
        <v>68</v>
      </c>
      <c r="M40" s="1">
        <v>2</v>
      </c>
    </row>
    <row r="41" spans="1:13" x14ac:dyDescent="0.3">
      <c r="A41">
        <v>12</v>
      </c>
      <c r="B41">
        <v>1</v>
      </c>
      <c r="C41" t="s">
        <v>79</v>
      </c>
      <c r="D41" s="1" t="s">
        <v>2</v>
      </c>
      <c r="E41" s="59" t="s">
        <v>18</v>
      </c>
      <c r="F41" s="60">
        <v>2.8182499999999902</v>
      </c>
      <c r="G41" s="60">
        <v>8.99494215865227</v>
      </c>
      <c r="H41" s="61">
        <v>0.76210526315789495</v>
      </c>
      <c r="I41" s="62">
        <v>1.76</v>
      </c>
      <c r="J41" s="37">
        <v>0.99789473684210506</v>
      </c>
      <c r="K41" s="37">
        <v>130.93922651933696</v>
      </c>
      <c r="L41" s="1" t="s">
        <v>68</v>
      </c>
      <c r="M41" s="1">
        <v>2</v>
      </c>
    </row>
    <row r="42" spans="1:13" x14ac:dyDescent="0.3">
      <c r="A42">
        <v>12</v>
      </c>
      <c r="B42">
        <v>1</v>
      </c>
      <c r="C42" t="s">
        <v>79</v>
      </c>
      <c r="D42" s="1" t="s">
        <v>2</v>
      </c>
      <c r="E42" s="59" t="s">
        <v>19</v>
      </c>
      <c r="F42" s="60">
        <v>0.67525000000000002</v>
      </c>
      <c r="G42" s="60">
        <v>0.107074448399232</v>
      </c>
      <c r="H42" s="61">
        <v>0.72633333333333305</v>
      </c>
      <c r="I42" s="62">
        <v>2.64</v>
      </c>
      <c r="J42" s="37">
        <v>1.9136666666666671</v>
      </c>
      <c r="K42" s="37">
        <v>263.46948141349259</v>
      </c>
      <c r="L42" s="1" t="s">
        <v>68</v>
      </c>
      <c r="M42" s="1">
        <v>2</v>
      </c>
    </row>
    <row r="43" spans="1:13" x14ac:dyDescent="0.3">
      <c r="A43">
        <v>12</v>
      </c>
      <c r="B43">
        <v>1</v>
      </c>
      <c r="C43" t="s">
        <v>79</v>
      </c>
      <c r="D43" s="1" t="s">
        <v>2</v>
      </c>
      <c r="E43" s="59" t="s">
        <v>12</v>
      </c>
      <c r="F43" s="60">
        <v>1.94333333333333</v>
      </c>
      <c r="G43" s="60">
        <v>0.47693465660053103</v>
      </c>
      <c r="H43" s="61">
        <v>2.1274193548387101</v>
      </c>
      <c r="I43" s="62">
        <v>1.87</v>
      </c>
      <c r="J43" s="37">
        <v>-0.25741935483871003</v>
      </c>
      <c r="K43" s="37">
        <v>-12.100075815011387</v>
      </c>
      <c r="L43" s="1" t="s">
        <v>69</v>
      </c>
      <c r="M43" s="1">
        <v>2</v>
      </c>
    </row>
    <row r="44" spans="1:13" x14ac:dyDescent="0.3">
      <c r="A44">
        <v>12</v>
      </c>
      <c r="B44">
        <v>1</v>
      </c>
      <c r="C44" t="s">
        <v>79</v>
      </c>
      <c r="D44" s="1" t="s">
        <v>2</v>
      </c>
      <c r="E44" s="59" t="s">
        <v>13</v>
      </c>
      <c r="F44" s="60">
        <v>0.45564102564102499</v>
      </c>
      <c r="G44" s="60">
        <v>3.2643754795568303E-2</v>
      </c>
      <c r="H44" s="61">
        <v>0.44999999999999901</v>
      </c>
      <c r="I44" s="62">
        <v>3.49</v>
      </c>
      <c r="J44" s="37">
        <v>3.0400000000000014</v>
      </c>
      <c r="K44" s="37">
        <v>675.55555555555736</v>
      </c>
      <c r="L44" s="1" t="s">
        <v>69</v>
      </c>
      <c r="M44" s="1">
        <v>2</v>
      </c>
    </row>
    <row r="45" spans="1:13" x14ac:dyDescent="0.3">
      <c r="A45">
        <v>12</v>
      </c>
      <c r="B45">
        <v>1</v>
      </c>
      <c r="C45" t="s">
        <v>79</v>
      </c>
      <c r="D45" s="1" t="s">
        <v>2</v>
      </c>
      <c r="E45" s="59" t="s">
        <v>14</v>
      </c>
      <c r="F45" s="60">
        <v>0.23824999999999999</v>
      </c>
      <c r="G45" s="60">
        <v>0.10917617643057401</v>
      </c>
      <c r="H45" s="61">
        <v>0.222564102564102</v>
      </c>
      <c r="I45" s="62">
        <v>4.88</v>
      </c>
      <c r="J45" s="37">
        <v>4.6574358974358976</v>
      </c>
      <c r="K45" s="37">
        <v>2092.6267281106047</v>
      </c>
      <c r="L45" s="1" t="s">
        <v>69</v>
      </c>
      <c r="M45" s="1">
        <v>2</v>
      </c>
    </row>
    <row r="46" spans="1:13" x14ac:dyDescent="0.3">
      <c r="A46">
        <v>12</v>
      </c>
      <c r="B46">
        <v>1</v>
      </c>
      <c r="C46" t="s">
        <v>79</v>
      </c>
      <c r="D46" s="1" t="s">
        <v>2</v>
      </c>
      <c r="E46" s="59" t="s">
        <v>15</v>
      </c>
      <c r="F46" s="60">
        <v>0.84899999999999998</v>
      </c>
      <c r="G46" s="60">
        <v>0.836300783211399</v>
      </c>
      <c r="H46" s="61">
        <v>0.494999999999999</v>
      </c>
      <c r="I46" s="62">
        <v>5.41</v>
      </c>
      <c r="J46" s="37">
        <v>4.9150000000000009</v>
      </c>
      <c r="K46" s="37">
        <v>992.92929292929523</v>
      </c>
      <c r="L46" s="1" t="s">
        <v>69</v>
      </c>
      <c r="M46" s="1">
        <v>2</v>
      </c>
    </row>
    <row r="47" spans="1:13" x14ac:dyDescent="0.3">
      <c r="A47">
        <v>12</v>
      </c>
      <c r="B47">
        <v>1</v>
      </c>
      <c r="C47" t="s">
        <v>79</v>
      </c>
      <c r="D47" s="1" t="s">
        <v>2</v>
      </c>
      <c r="E47" s="59" t="s">
        <v>16</v>
      </c>
      <c r="F47" s="60">
        <v>2.2044999999999999</v>
      </c>
      <c r="G47" s="60">
        <v>0.39150957842688799</v>
      </c>
      <c r="H47" s="61">
        <v>2.3094117647058798</v>
      </c>
      <c r="I47" s="62">
        <v>3.97</v>
      </c>
      <c r="J47" s="37">
        <v>1.6605882352941204</v>
      </c>
      <c r="K47" s="37">
        <v>71.905247070810191</v>
      </c>
      <c r="L47" s="1" t="s">
        <v>69</v>
      </c>
      <c r="M47" s="1">
        <v>2</v>
      </c>
    </row>
    <row r="48" spans="1:13" x14ac:dyDescent="0.3">
      <c r="A48">
        <v>12</v>
      </c>
      <c r="B48">
        <v>1</v>
      </c>
      <c r="C48" t="s">
        <v>79</v>
      </c>
      <c r="D48" s="1" t="s">
        <v>2</v>
      </c>
      <c r="E48" s="59" t="s">
        <v>17</v>
      </c>
      <c r="F48" s="60">
        <v>0.85846153846153805</v>
      </c>
      <c r="G48" s="60">
        <v>0.227478243102088</v>
      </c>
      <c r="H48" s="61">
        <v>0.74241379310344802</v>
      </c>
      <c r="I48" s="62">
        <v>4.4000000000000004</v>
      </c>
      <c r="J48" s="37">
        <v>3.6575862068965526</v>
      </c>
      <c r="K48" s="37">
        <v>492.66140269391576</v>
      </c>
      <c r="L48" s="1" t="s">
        <v>69</v>
      </c>
      <c r="M48" s="1">
        <v>2</v>
      </c>
    </row>
    <row r="49" spans="1:13" x14ac:dyDescent="0.3">
      <c r="A49">
        <v>12</v>
      </c>
      <c r="B49">
        <v>1</v>
      </c>
      <c r="C49" t="s">
        <v>79</v>
      </c>
      <c r="D49" s="1" t="s">
        <v>2</v>
      </c>
      <c r="E49" s="59" t="s">
        <v>18</v>
      </c>
      <c r="F49" s="60">
        <v>2.8182499999999902</v>
      </c>
      <c r="G49" s="60">
        <v>8.99494215865227</v>
      </c>
      <c r="H49" s="61">
        <v>0.76210526315789495</v>
      </c>
      <c r="I49" s="62">
        <v>1.76</v>
      </c>
      <c r="J49" s="37">
        <v>0.99789473684210506</v>
      </c>
      <c r="K49" s="37">
        <v>130.93922651933696</v>
      </c>
      <c r="L49" s="1" t="s">
        <v>69</v>
      </c>
      <c r="M49" s="1">
        <v>2</v>
      </c>
    </row>
    <row r="50" spans="1:13" x14ac:dyDescent="0.3">
      <c r="A50">
        <v>12</v>
      </c>
      <c r="B50">
        <v>1</v>
      </c>
      <c r="C50" t="s">
        <v>79</v>
      </c>
      <c r="D50" s="1" t="s">
        <v>2</v>
      </c>
      <c r="E50" s="59" t="s">
        <v>19</v>
      </c>
      <c r="F50" s="60">
        <v>0.67525000000000002</v>
      </c>
      <c r="G50" s="60">
        <v>0.107074448399232</v>
      </c>
      <c r="H50" s="61">
        <v>0.72633333333333305</v>
      </c>
      <c r="I50" s="62">
        <v>2.66</v>
      </c>
      <c r="J50" s="37">
        <v>1.9336666666666671</v>
      </c>
      <c r="K50" s="37">
        <v>266.22303809086753</v>
      </c>
      <c r="L50" s="1" t="s">
        <v>69</v>
      </c>
      <c r="M50" s="1">
        <v>2</v>
      </c>
    </row>
    <row r="52" spans="1:13" x14ac:dyDescent="0.3">
      <c r="A52">
        <v>12</v>
      </c>
      <c r="B52">
        <v>1</v>
      </c>
      <c r="C52" t="s">
        <v>79</v>
      </c>
      <c r="D52" s="1" t="s">
        <v>2</v>
      </c>
      <c r="E52" s="59" t="s">
        <v>12</v>
      </c>
      <c r="F52" s="60">
        <v>1.9503508771929801</v>
      </c>
      <c r="G52" s="60">
        <v>0.50362184683003297</v>
      </c>
      <c r="H52" s="61">
        <v>2.1404347826086898</v>
      </c>
      <c r="I52" s="63">
        <v>1.95</v>
      </c>
      <c r="J52" s="58">
        <v>-0.19043478260868985</v>
      </c>
      <c r="K52" s="58">
        <v>-8.8970140158437498</v>
      </c>
      <c r="L52" s="1" t="s">
        <v>23</v>
      </c>
      <c r="M52" s="1">
        <v>3</v>
      </c>
    </row>
    <row r="53" spans="1:13" x14ac:dyDescent="0.3">
      <c r="A53">
        <v>12</v>
      </c>
      <c r="B53">
        <v>1</v>
      </c>
      <c r="C53" t="s">
        <v>79</v>
      </c>
      <c r="D53" s="1" t="s">
        <v>2</v>
      </c>
      <c r="E53" s="59" t="s">
        <v>13</v>
      </c>
      <c r="F53" s="60">
        <v>0.45724137931034398</v>
      </c>
      <c r="G53" s="60">
        <v>3.5369629649542197E-2</v>
      </c>
      <c r="H53" s="61">
        <v>0.44999999999999901</v>
      </c>
      <c r="I53" s="63">
        <v>3.4</v>
      </c>
      <c r="J53" s="58">
        <v>2.9500000000000011</v>
      </c>
      <c r="K53" s="58">
        <v>655.55555555555725</v>
      </c>
      <c r="L53" s="1" t="s">
        <v>23</v>
      </c>
      <c r="M53" s="1">
        <v>3</v>
      </c>
    </row>
    <row r="54" spans="1:13" x14ac:dyDescent="0.3">
      <c r="A54">
        <v>12</v>
      </c>
      <c r="B54">
        <v>1</v>
      </c>
      <c r="C54" t="s">
        <v>79</v>
      </c>
      <c r="D54" s="1" t="s">
        <v>2</v>
      </c>
      <c r="E54" s="59" t="s">
        <v>14</v>
      </c>
      <c r="F54" s="60">
        <v>0.23250000000000001</v>
      </c>
      <c r="G54" s="60">
        <v>9.3979164357496398E-2</v>
      </c>
      <c r="H54" s="61">
        <v>0.24595744680851001</v>
      </c>
      <c r="I54" s="63">
        <v>4.83</v>
      </c>
      <c r="J54" s="58">
        <v>4.5840425531914901</v>
      </c>
      <c r="K54" s="58">
        <v>1863.7543252595208</v>
      </c>
      <c r="L54" s="1" t="s">
        <v>23</v>
      </c>
      <c r="M54" s="1">
        <v>3</v>
      </c>
    </row>
    <row r="55" spans="1:13" x14ac:dyDescent="0.3">
      <c r="A55">
        <v>12</v>
      </c>
      <c r="B55">
        <v>1</v>
      </c>
      <c r="C55" t="s">
        <v>79</v>
      </c>
      <c r="D55" s="1" t="s">
        <v>2</v>
      </c>
      <c r="E55" s="59" t="s">
        <v>15</v>
      </c>
      <c r="F55" s="60">
        <v>1.0740000000000001</v>
      </c>
      <c r="G55" s="60">
        <v>1.1627140663120901</v>
      </c>
      <c r="H55" s="61">
        <v>0.80142857142857105</v>
      </c>
      <c r="I55" s="63">
        <v>5.42</v>
      </c>
      <c r="J55" s="58">
        <v>4.6185714285714292</v>
      </c>
      <c r="K55" s="58">
        <v>576.29233511586483</v>
      </c>
      <c r="L55" s="1" t="s">
        <v>23</v>
      </c>
      <c r="M55" s="1">
        <v>3</v>
      </c>
    </row>
    <row r="56" spans="1:13" x14ac:dyDescent="0.3">
      <c r="A56">
        <v>12</v>
      </c>
      <c r="B56">
        <v>1</v>
      </c>
      <c r="C56" t="s">
        <v>79</v>
      </c>
      <c r="D56" s="1" t="s">
        <v>2</v>
      </c>
      <c r="E56" s="59" t="s">
        <v>16</v>
      </c>
      <c r="F56" s="60">
        <v>2.3133333333333299</v>
      </c>
      <c r="G56" s="60">
        <v>0.47200517887930898</v>
      </c>
      <c r="H56" s="61">
        <v>2.43814814814814</v>
      </c>
      <c r="I56" s="63">
        <v>3.92</v>
      </c>
      <c r="J56" s="58">
        <v>1.48185185185186</v>
      </c>
      <c r="K56" s="58">
        <v>60.777760899286584</v>
      </c>
      <c r="L56" s="1" t="s">
        <v>23</v>
      </c>
      <c r="M56" s="1">
        <v>3</v>
      </c>
    </row>
    <row r="57" spans="1:13" x14ac:dyDescent="0.3">
      <c r="A57">
        <v>12</v>
      </c>
      <c r="B57">
        <v>1</v>
      </c>
      <c r="C57" t="s">
        <v>79</v>
      </c>
      <c r="D57" s="1" t="s">
        <v>2</v>
      </c>
      <c r="E57" s="59" t="s">
        <v>17</v>
      </c>
      <c r="F57" s="60">
        <v>0.97982758620689503</v>
      </c>
      <c r="G57" s="60">
        <v>0.77135011814107002</v>
      </c>
      <c r="H57" s="61">
        <v>0.840178571428571</v>
      </c>
      <c r="I57" s="63">
        <v>4.3499999999999996</v>
      </c>
      <c r="J57" s="58">
        <v>3.5098214285714286</v>
      </c>
      <c r="K57" s="58">
        <v>417.7470775770459</v>
      </c>
      <c r="L57" s="1" t="s">
        <v>23</v>
      </c>
      <c r="M57" s="1">
        <v>3</v>
      </c>
    </row>
    <row r="58" spans="1:13" x14ac:dyDescent="0.3">
      <c r="A58">
        <v>12</v>
      </c>
      <c r="B58">
        <v>1</v>
      </c>
      <c r="C58" t="s">
        <v>79</v>
      </c>
      <c r="D58" s="1" t="s">
        <v>2</v>
      </c>
      <c r="E58" s="59" t="s">
        <v>18</v>
      </c>
      <c r="F58" s="60">
        <v>2.11406779661016</v>
      </c>
      <c r="G58" s="60">
        <v>7.4778819893236497</v>
      </c>
      <c r="H58" s="61">
        <v>0.71859649122807001</v>
      </c>
      <c r="I58" s="63">
        <v>1.86</v>
      </c>
      <c r="J58" s="58">
        <v>1.1414035087719301</v>
      </c>
      <c r="K58" s="58">
        <v>158.83789062500006</v>
      </c>
      <c r="L58" s="1" t="s">
        <v>23</v>
      </c>
      <c r="M58" s="1">
        <v>3</v>
      </c>
    </row>
    <row r="59" spans="1:13" x14ac:dyDescent="0.3">
      <c r="A59">
        <v>12</v>
      </c>
      <c r="B59">
        <v>1</v>
      </c>
      <c r="C59" t="s">
        <v>79</v>
      </c>
      <c r="D59" s="1" t="s">
        <v>2</v>
      </c>
      <c r="E59" s="59" t="s">
        <v>19</v>
      </c>
      <c r="F59" s="60">
        <v>0.64033333333333298</v>
      </c>
      <c r="G59" s="60">
        <v>0.12102295466379701</v>
      </c>
      <c r="H59" s="61">
        <v>0.66872340425531895</v>
      </c>
      <c r="I59" s="63">
        <v>2.73</v>
      </c>
      <c r="J59" s="58">
        <v>2.061276595744681</v>
      </c>
      <c r="K59" s="58">
        <v>308.24053452115822</v>
      </c>
      <c r="L59" s="1" t="s">
        <v>23</v>
      </c>
      <c r="M59" s="1">
        <v>3</v>
      </c>
    </row>
    <row r="60" spans="1:13" x14ac:dyDescent="0.3">
      <c r="A60">
        <v>12</v>
      </c>
      <c r="B60">
        <v>1</v>
      </c>
      <c r="C60" t="s">
        <v>79</v>
      </c>
      <c r="D60" s="1" t="s">
        <v>2</v>
      </c>
      <c r="E60" s="59" t="s">
        <v>12</v>
      </c>
      <c r="F60" s="60">
        <v>1.9503508771929801</v>
      </c>
      <c r="G60" s="60">
        <v>0.50362184683003297</v>
      </c>
      <c r="H60" s="61">
        <v>2.1404347826086898</v>
      </c>
      <c r="I60" s="63">
        <v>1.94</v>
      </c>
      <c r="J60" s="58">
        <v>-0.20043478260868985</v>
      </c>
      <c r="K60" s="58">
        <v>-9.3642088157625007</v>
      </c>
      <c r="L60" s="1" t="s">
        <v>68</v>
      </c>
      <c r="M60" s="1">
        <v>3</v>
      </c>
    </row>
    <row r="61" spans="1:13" x14ac:dyDescent="0.3">
      <c r="A61">
        <v>12</v>
      </c>
      <c r="B61">
        <v>1</v>
      </c>
      <c r="C61" t="s">
        <v>79</v>
      </c>
      <c r="D61" s="1" t="s">
        <v>2</v>
      </c>
      <c r="E61" s="59" t="s">
        <v>13</v>
      </c>
      <c r="F61" s="60">
        <v>0.45724137931034398</v>
      </c>
      <c r="G61" s="60">
        <v>3.5369629649542197E-2</v>
      </c>
      <c r="H61" s="61">
        <v>0.44999999999999901</v>
      </c>
      <c r="I61" s="63">
        <v>3.45</v>
      </c>
      <c r="J61" s="58">
        <v>3.0000000000000013</v>
      </c>
      <c r="K61" s="58">
        <v>666.66666666666833</v>
      </c>
      <c r="L61" s="1" t="s">
        <v>68</v>
      </c>
      <c r="M61" s="1">
        <v>3</v>
      </c>
    </row>
    <row r="62" spans="1:13" x14ac:dyDescent="0.3">
      <c r="A62">
        <v>12</v>
      </c>
      <c r="B62">
        <v>1</v>
      </c>
      <c r="C62" t="s">
        <v>79</v>
      </c>
      <c r="D62" s="1" t="s">
        <v>2</v>
      </c>
      <c r="E62" s="59" t="s">
        <v>14</v>
      </c>
      <c r="F62" s="60">
        <v>0.23250000000000001</v>
      </c>
      <c r="G62" s="60">
        <v>9.3979164357496398E-2</v>
      </c>
      <c r="H62" s="61">
        <v>0.24595744680851001</v>
      </c>
      <c r="I62" s="63">
        <v>4.8499999999999996</v>
      </c>
      <c r="J62" s="58">
        <v>4.6040425531914897</v>
      </c>
      <c r="K62" s="58">
        <v>1871.8858131487939</v>
      </c>
      <c r="L62" s="1" t="s">
        <v>68</v>
      </c>
      <c r="M62" s="1">
        <v>3</v>
      </c>
    </row>
    <row r="63" spans="1:13" x14ac:dyDescent="0.3">
      <c r="A63">
        <v>12</v>
      </c>
      <c r="B63">
        <v>1</v>
      </c>
      <c r="C63" t="s">
        <v>79</v>
      </c>
      <c r="D63" s="1" t="s">
        <v>2</v>
      </c>
      <c r="E63" s="59" t="s">
        <v>15</v>
      </c>
      <c r="F63" s="60">
        <v>1.0740000000000001</v>
      </c>
      <c r="G63" s="60">
        <v>1.1627140663120901</v>
      </c>
      <c r="H63" s="61">
        <v>0.80142857142857105</v>
      </c>
      <c r="I63" s="63">
        <v>5.37</v>
      </c>
      <c r="J63" s="58">
        <v>4.5685714285714294</v>
      </c>
      <c r="K63" s="58">
        <v>570.05347593582928</v>
      </c>
      <c r="L63" s="1" t="s">
        <v>68</v>
      </c>
      <c r="M63" s="1">
        <v>3</v>
      </c>
    </row>
    <row r="64" spans="1:13" x14ac:dyDescent="0.3">
      <c r="A64">
        <v>12</v>
      </c>
      <c r="B64">
        <v>1</v>
      </c>
      <c r="C64" t="s">
        <v>79</v>
      </c>
      <c r="D64" s="1" t="s">
        <v>2</v>
      </c>
      <c r="E64" s="59" t="s">
        <v>16</v>
      </c>
      <c r="F64" s="60">
        <v>2.3133333333333299</v>
      </c>
      <c r="G64" s="60">
        <v>0.47200517887930898</v>
      </c>
      <c r="H64" s="61">
        <v>2.43814814814814</v>
      </c>
      <c r="I64" s="63">
        <v>3.93</v>
      </c>
      <c r="J64" s="58">
        <v>1.4918518518518602</v>
      </c>
      <c r="K64" s="58">
        <v>61.187908248519463</v>
      </c>
      <c r="L64" s="1" t="s">
        <v>68</v>
      </c>
      <c r="M64" s="1">
        <v>3</v>
      </c>
    </row>
    <row r="65" spans="1:13" x14ac:dyDescent="0.3">
      <c r="A65">
        <v>12</v>
      </c>
      <c r="B65">
        <v>1</v>
      </c>
      <c r="C65" t="s">
        <v>79</v>
      </c>
      <c r="D65" s="1" t="s">
        <v>2</v>
      </c>
      <c r="E65" s="59" t="s">
        <v>17</v>
      </c>
      <c r="F65" s="60">
        <v>0.97982758620689503</v>
      </c>
      <c r="G65" s="60">
        <v>0.77135011814107002</v>
      </c>
      <c r="H65" s="61">
        <v>0.840178571428571</v>
      </c>
      <c r="I65" s="63">
        <v>4.3499999999999996</v>
      </c>
      <c r="J65" s="58">
        <v>3.5098214285714286</v>
      </c>
      <c r="K65" s="58">
        <v>417.7470775770459</v>
      </c>
      <c r="L65" s="1" t="s">
        <v>68</v>
      </c>
      <c r="M65" s="1">
        <v>3</v>
      </c>
    </row>
    <row r="66" spans="1:13" x14ac:dyDescent="0.3">
      <c r="A66">
        <v>12</v>
      </c>
      <c r="B66">
        <v>1</v>
      </c>
      <c r="C66" t="s">
        <v>79</v>
      </c>
      <c r="D66" s="1" t="s">
        <v>2</v>
      </c>
      <c r="E66" s="59" t="s">
        <v>18</v>
      </c>
      <c r="F66" s="60">
        <v>2.11406779661016</v>
      </c>
      <c r="G66" s="60">
        <v>7.4778819893236497</v>
      </c>
      <c r="H66" s="61">
        <v>0.71859649122807001</v>
      </c>
      <c r="I66" s="63">
        <v>1.76</v>
      </c>
      <c r="J66" s="58">
        <v>1.04140350877193</v>
      </c>
      <c r="K66" s="58">
        <v>144.92187500000006</v>
      </c>
      <c r="L66" s="1" t="s">
        <v>68</v>
      </c>
      <c r="M66" s="1">
        <v>3</v>
      </c>
    </row>
    <row r="67" spans="1:13" x14ac:dyDescent="0.3">
      <c r="A67">
        <v>12</v>
      </c>
      <c r="B67">
        <v>1</v>
      </c>
      <c r="C67" t="s">
        <v>79</v>
      </c>
      <c r="D67" s="1" t="s">
        <v>2</v>
      </c>
      <c r="E67" s="59" t="s">
        <v>19</v>
      </c>
      <c r="F67" s="60">
        <v>0.64033333333333298</v>
      </c>
      <c r="G67" s="60">
        <v>0.12102295466379701</v>
      </c>
      <c r="H67" s="61">
        <v>0.66872340425531895</v>
      </c>
      <c r="I67" s="63">
        <v>2.64</v>
      </c>
      <c r="J67" s="58">
        <v>1.9712765957446812</v>
      </c>
      <c r="K67" s="58">
        <v>294.78205536112011</v>
      </c>
      <c r="L67" s="1" t="s">
        <v>68</v>
      </c>
      <c r="M67" s="1">
        <v>3</v>
      </c>
    </row>
    <row r="68" spans="1:13" x14ac:dyDescent="0.3">
      <c r="A68">
        <v>12</v>
      </c>
      <c r="B68">
        <v>1</v>
      </c>
      <c r="C68" t="s">
        <v>79</v>
      </c>
      <c r="D68" s="1" t="s">
        <v>2</v>
      </c>
      <c r="E68" s="59" t="s">
        <v>12</v>
      </c>
      <c r="F68" s="60">
        <v>1.9503508771929801</v>
      </c>
      <c r="G68" s="60">
        <v>0.50362184683003297</v>
      </c>
      <c r="H68" s="61">
        <v>2.1404347826086898</v>
      </c>
      <c r="I68" s="63">
        <v>1.87</v>
      </c>
      <c r="J68" s="58">
        <v>-0.27043478260868969</v>
      </c>
      <c r="K68" s="58">
        <v>-12.634572415193743</v>
      </c>
      <c r="L68" s="1" t="s">
        <v>69</v>
      </c>
      <c r="M68" s="1">
        <v>3</v>
      </c>
    </row>
    <row r="69" spans="1:13" x14ac:dyDescent="0.3">
      <c r="A69">
        <v>12</v>
      </c>
      <c r="B69">
        <v>1</v>
      </c>
      <c r="C69" t="s">
        <v>79</v>
      </c>
      <c r="D69" s="1" t="s">
        <v>2</v>
      </c>
      <c r="E69" s="59" t="s">
        <v>13</v>
      </c>
      <c r="F69" s="60">
        <v>0.45724137931034398</v>
      </c>
      <c r="G69" s="60">
        <v>3.5369629649542197E-2</v>
      </c>
      <c r="H69" s="61">
        <v>0.44999999999999901</v>
      </c>
      <c r="I69" s="63">
        <v>3.49</v>
      </c>
      <c r="J69" s="58">
        <v>3.0400000000000014</v>
      </c>
      <c r="K69" s="58">
        <v>675.55555555555736</v>
      </c>
      <c r="L69" s="1" t="s">
        <v>69</v>
      </c>
      <c r="M69" s="1">
        <v>3</v>
      </c>
    </row>
    <row r="70" spans="1:13" x14ac:dyDescent="0.3">
      <c r="A70">
        <v>12</v>
      </c>
      <c r="B70">
        <v>1</v>
      </c>
      <c r="C70" t="s">
        <v>79</v>
      </c>
      <c r="D70" s="1" t="s">
        <v>2</v>
      </c>
      <c r="E70" s="59" t="s">
        <v>14</v>
      </c>
      <c r="F70" s="60">
        <v>0.23250000000000001</v>
      </c>
      <c r="G70" s="60">
        <v>9.3979164357496398E-2</v>
      </c>
      <c r="H70" s="61">
        <v>0.24595744680851001</v>
      </c>
      <c r="I70" s="63">
        <v>4.88</v>
      </c>
      <c r="J70" s="58">
        <v>4.6340425531914899</v>
      </c>
      <c r="K70" s="58">
        <v>1884.0830449827042</v>
      </c>
      <c r="L70" s="1" t="s">
        <v>69</v>
      </c>
      <c r="M70" s="1">
        <v>3</v>
      </c>
    </row>
    <row r="71" spans="1:13" x14ac:dyDescent="0.3">
      <c r="A71">
        <v>12</v>
      </c>
      <c r="B71">
        <v>1</v>
      </c>
      <c r="C71" t="s">
        <v>79</v>
      </c>
      <c r="D71" s="1" t="s">
        <v>2</v>
      </c>
      <c r="E71" s="59" t="s">
        <v>15</v>
      </c>
      <c r="F71" s="60">
        <v>1.0740000000000001</v>
      </c>
      <c r="G71" s="60">
        <v>1.1627140663120901</v>
      </c>
      <c r="H71" s="61">
        <v>0.80142857142857105</v>
      </c>
      <c r="I71" s="63">
        <v>5.41</v>
      </c>
      <c r="J71" s="58">
        <v>4.6085714285714294</v>
      </c>
      <c r="K71" s="58">
        <v>575.04456327985781</v>
      </c>
      <c r="L71" s="1" t="s">
        <v>69</v>
      </c>
      <c r="M71" s="1">
        <v>3</v>
      </c>
    </row>
    <row r="72" spans="1:13" x14ac:dyDescent="0.3">
      <c r="A72">
        <v>12</v>
      </c>
      <c r="B72">
        <v>1</v>
      </c>
      <c r="C72" t="s">
        <v>79</v>
      </c>
      <c r="D72" s="1" t="s">
        <v>2</v>
      </c>
      <c r="E72" s="59" t="s">
        <v>16</v>
      </c>
      <c r="F72" s="60">
        <v>2.3133333333333299</v>
      </c>
      <c r="G72" s="60">
        <v>0.47200517887930898</v>
      </c>
      <c r="H72" s="61">
        <v>2.43814814814814</v>
      </c>
      <c r="I72" s="63">
        <v>3.97</v>
      </c>
      <c r="J72" s="58">
        <v>1.5318518518518602</v>
      </c>
      <c r="K72" s="58">
        <v>62.828497645450952</v>
      </c>
      <c r="L72" s="1" t="s">
        <v>69</v>
      </c>
      <c r="M72" s="1">
        <v>3</v>
      </c>
    </row>
    <row r="73" spans="1:13" x14ac:dyDescent="0.3">
      <c r="A73">
        <v>12</v>
      </c>
      <c r="B73">
        <v>1</v>
      </c>
      <c r="C73" t="s">
        <v>79</v>
      </c>
      <c r="D73" s="1" t="s">
        <v>2</v>
      </c>
      <c r="E73" s="59" t="s">
        <v>17</v>
      </c>
      <c r="F73" s="60">
        <v>0.97982758620689503</v>
      </c>
      <c r="G73" s="60">
        <v>0.77135011814107002</v>
      </c>
      <c r="H73" s="61">
        <v>0.840178571428571</v>
      </c>
      <c r="I73" s="63">
        <v>4.4000000000000004</v>
      </c>
      <c r="J73" s="58">
        <v>3.5598214285714294</v>
      </c>
      <c r="K73" s="58">
        <v>423.69819341126498</v>
      </c>
      <c r="L73" s="1" t="s">
        <v>69</v>
      </c>
      <c r="M73" s="1">
        <v>3</v>
      </c>
    </row>
    <row r="74" spans="1:13" x14ac:dyDescent="0.3">
      <c r="A74">
        <v>12</v>
      </c>
      <c r="B74">
        <v>1</v>
      </c>
      <c r="C74" t="s">
        <v>79</v>
      </c>
      <c r="D74" s="1" t="s">
        <v>2</v>
      </c>
      <c r="E74" s="59" t="s">
        <v>18</v>
      </c>
      <c r="F74" s="60">
        <v>2.11406779661016</v>
      </c>
      <c r="G74" s="60">
        <v>7.4778819893236497</v>
      </c>
      <c r="H74" s="61">
        <v>0.71859649122807001</v>
      </c>
      <c r="I74" s="63">
        <v>1.76</v>
      </c>
      <c r="J74" s="58">
        <v>1.04140350877193</v>
      </c>
      <c r="K74" s="58">
        <v>144.92187500000006</v>
      </c>
      <c r="L74" s="1" t="s">
        <v>69</v>
      </c>
      <c r="M74" s="1">
        <v>3</v>
      </c>
    </row>
    <row r="75" spans="1:13" x14ac:dyDescent="0.3">
      <c r="A75">
        <v>12</v>
      </c>
      <c r="B75">
        <v>1</v>
      </c>
      <c r="C75" t="s">
        <v>79</v>
      </c>
      <c r="D75" s="1" t="s">
        <v>2</v>
      </c>
      <c r="E75" s="59" t="s">
        <v>19</v>
      </c>
      <c r="F75" s="60">
        <v>0.64033333333333298</v>
      </c>
      <c r="G75" s="60">
        <v>0.12102295466379701</v>
      </c>
      <c r="H75" s="61">
        <v>0.66872340425531895</v>
      </c>
      <c r="I75" s="63">
        <v>2.66</v>
      </c>
      <c r="J75" s="58">
        <v>1.9912765957446812</v>
      </c>
      <c r="K75" s="58">
        <v>297.77282850779523</v>
      </c>
      <c r="L75" s="1" t="s">
        <v>69</v>
      </c>
      <c r="M75" s="1">
        <v>3</v>
      </c>
    </row>
    <row r="77" spans="1:13" x14ac:dyDescent="0.3">
      <c r="A77">
        <v>14</v>
      </c>
      <c r="B77">
        <v>1</v>
      </c>
      <c r="C77" t="s">
        <v>79</v>
      </c>
      <c r="D77" s="1" t="s">
        <v>2</v>
      </c>
      <c r="E77" s="59" t="s">
        <v>12</v>
      </c>
      <c r="F77" s="60">
        <v>0.480833333333333</v>
      </c>
      <c r="G77" s="60">
        <v>0.18218389671489099</v>
      </c>
      <c r="H77" s="61">
        <v>0.47791666666666599</v>
      </c>
      <c r="I77" s="62">
        <v>5.07</v>
      </c>
      <c r="J77" s="37">
        <v>4.592083333333334</v>
      </c>
      <c r="K77" s="37">
        <v>960.85440278988813</v>
      </c>
      <c r="L77" s="1" t="s">
        <v>23</v>
      </c>
      <c r="M77" s="1">
        <v>1</v>
      </c>
    </row>
    <row r="78" spans="1:13" x14ac:dyDescent="0.3">
      <c r="A78">
        <v>14</v>
      </c>
      <c r="B78">
        <v>1</v>
      </c>
      <c r="C78" t="s">
        <v>79</v>
      </c>
      <c r="D78" s="1" t="s">
        <v>2</v>
      </c>
      <c r="E78" s="59" t="s">
        <v>13</v>
      </c>
      <c r="F78" s="60">
        <v>0.97586206896551697</v>
      </c>
      <c r="G78" s="60">
        <v>1.2508494141330899</v>
      </c>
      <c r="H78" s="61">
        <v>0.40958333333333302</v>
      </c>
      <c r="I78" s="62">
        <v>5.65</v>
      </c>
      <c r="J78" s="37">
        <v>5.2404166666666674</v>
      </c>
      <c r="K78" s="37">
        <v>1279.4506612410999</v>
      </c>
      <c r="L78" s="1" t="s">
        <v>23</v>
      </c>
      <c r="M78" s="1">
        <v>1</v>
      </c>
    </row>
    <row r="79" spans="1:13" x14ac:dyDescent="0.3">
      <c r="A79">
        <v>14</v>
      </c>
      <c r="B79">
        <v>1</v>
      </c>
      <c r="C79" t="s">
        <v>79</v>
      </c>
      <c r="D79" s="1" t="s">
        <v>2</v>
      </c>
      <c r="E79" s="59" t="s">
        <v>14</v>
      </c>
      <c r="F79" s="60">
        <v>0.41349999999999898</v>
      </c>
      <c r="G79" s="60">
        <v>0.106220289963829</v>
      </c>
      <c r="H79" s="61">
        <v>0.437058823529411</v>
      </c>
      <c r="I79" s="62">
        <v>1.37</v>
      </c>
      <c r="J79" s="37">
        <v>0.93294117647058905</v>
      </c>
      <c r="K79" s="37">
        <v>213.45895020188485</v>
      </c>
      <c r="L79" s="1" t="s">
        <v>23</v>
      </c>
      <c r="M79" s="1">
        <v>1</v>
      </c>
    </row>
    <row r="80" spans="1:13" x14ac:dyDescent="0.3">
      <c r="A80">
        <v>14</v>
      </c>
      <c r="B80">
        <v>1</v>
      </c>
      <c r="C80" t="s">
        <v>79</v>
      </c>
      <c r="D80" s="1" t="s">
        <v>2</v>
      </c>
      <c r="E80" s="59" t="s">
        <v>15</v>
      </c>
      <c r="F80" s="60">
        <v>2.0759999999999899</v>
      </c>
      <c r="G80" s="60">
        <v>1.6093302954956099</v>
      </c>
      <c r="H80" s="61">
        <v>1.6614285714285699</v>
      </c>
      <c r="I80" s="62">
        <v>3.57</v>
      </c>
      <c r="J80" s="37">
        <v>1.9085714285714299</v>
      </c>
      <c r="K80" s="37">
        <v>114.87532244196063</v>
      </c>
      <c r="L80" s="1" t="s">
        <v>23</v>
      </c>
      <c r="M80" s="1">
        <v>1</v>
      </c>
    </row>
    <row r="81" spans="1:13" x14ac:dyDescent="0.3">
      <c r="A81">
        <v>14</v>
      </c>
      <c r="B81">
        <v>1</v>
      </c>
      <c r="C81" t="s">
        <v>79</v>
      </c>
      <c r="D81" s="1" t="s">
        <v>2</v>
      </c>
      <c r="E81" s="59" t="s">
        <v>16</v>
      </c>
      <c r="F81" s="60">
        <v>3.5724999999999998</v>
      </c>
      <c r="G81" s="60">
        <v>2.4900747144078501</v>
      </c>
      <c r="H81" s="61">
        <v>2.4112244897959099</v>
      </c>
      <c r="I81" s="62">
        <v>4.6500000000000004</v>
      </c>
      <c r="J81" s="37">
        <v>2.2387755102040905</v>
      </c>
      <c r="K81" s="37">
        <v>92.848074481591894</v>
      </c>
      <c r="L81" s="1" t="s">
        <v>23</v>
      </c>
      <c r="M81" s="1">
        <v>1</v>
      </c>
    </row>
    <row r="82" spans="1:13" x14ac:dyDescent="0.3">
      <c r="A82">
        <v>14</v>
      </c>
      <c r="B82">
        <v>1</v>
      </c>
      <c r="C82" t="s">
        <v>79</v>
      </c>
      <c r="D82" s="1" t="s">
        <v>2</v>
      </c>
      <c r="E82" s="59" t="s">
        <v>17</v>
      </c>
      <c r="F82" s="60">
        <v>0.199333333333333</v>
      </c>
      <c r="G82" s="60">
        <v>0.132172446279682</v>
      </c>
      <c r="H82" s="61">
        <v>0.15528301886792401</v>
      </c>
      <c r="I82" s="62">
        <v>1.3</v>
      </c>
      <c r="J82" s="37">
        <v>1.1447169811320761</v>
      </c>
      <c r="K82" s="37">
        <v>737.18104495747548</v>
      </c>
      <c r="L82" s="1" t="s">
        <v>23</v>
      </c>
      <c r="M82" s="1">
        <v>1</v>
      </c>
    </row>
    <row r="83" spans="1:13" x14ac:dyDescent="0.3">
      <c r="A83">
        <v>14</v>
      </c>
      <c r="B83">
        <v>1</v>
      </c>
      <c r="C83" t="s">
        <v>79</v>
      </c>
      <c r="D83" s="1" t="s">
        <v>2</v>
      </c>
      <c r="E83" s="59" t="s">
        <v>18</v>
      </c>
      <c r="F83" s="60">
        <v>0.51166666666666705</v>
      </c>
      <c r="G83" s="60">
        <v>0.10035215770254</v>
      </c>
      <c r="H83" s="61">
        <v>0.52039999999999997</v>
      </c>
      <c r="I83" s="62">
        <v>4.17</v>
      </c>
      <c r="J83" s="37">
        <v>3.6496</v>
      </c>
      <c r="K83" s="37">
        <v>701.30668716372031</v>
      </c>
      <c r="L83" s="1" t="s">
        <v>23</v>
      </c>
      <c r="M83" s="1">
        <v>1</v>
      </c>
    </row>
    <row r="84" spans="1:13" x14ac:dyDescent="0.3">
      <c r="A84">
        <v>14</v>
      </c>
      <c r="B84">
        <v>1</v>
      </c>
      <c r="C84" t="s">
        <v>79</v>
      </c>
      <c r="D84" s="1" t="s">
        <v>2</v>
      </c>
      <c r="E84" s="59" t="s">
        <v>19</v>
      </c>
      <c r="F84" s="60">
        <v>0.185999999999999</v>
      </c>
      <c r="G84" s="60">
        <v>0.32675781041417601</v>
      </c>
      <c r="H84" s="61">
        <v>0.111052631578947</v>
      </c>
      <c r="I84" s="62">
        <v>2.82</v>
      </c>
      <c r="J84" s="37">
        <v>2.708947368421053</v>
      </c>
      <c r="K84" s="37">
        <v>2439.3364928910037</v>
      </c>
      <c r="L84" s="1" t="s">
        <v>23</v>
      </c>
      <c r="M84" s="1">
        <v>1</v>
      </c>
    </row>
    <row r="85" spans="1:13" x14ac:dyDescent="0.3">
      <c r="A85">
        <v>14</v>
      </c>
      <c r="B85">
        <v>1</v>
      </c>
      <c r="C85" t="s">
        <v>79</v>
      </c>
      <c r="D85" s="1" t="s">
        <v>2</v>
      </c>
      <c r="E85" s="59" t="s">
        <v>12</v>
      </c>
      <c r="F85" s="60">
        <v>0.480833333333333</v>
      </c>
      <c r="G85" s="60">
        <v>0.18218389671489099</v>
      </c>
      <c r="H85" s="61">
        <v>0.47791666666666599</v>
      </c>
      <c r="I85" s="62">
        <v>4.95</v>
      </c>
      <c r="J85" s="37">
        <v>4.4720833333333339</v>
      </c>
      <c r="K85" s="37">
        <v>935.74542284219842</v>
      </c>
      <c r="L85" s="1" t="s">
        <v>68</v>
      </c>
      <c r="M85" s="1">
        <v>1</v>
      </c>
    </row>
    <row r="86" spans="1:13" x14ac:dyDescent="0.3">
      <c r="A86">
        <v>14</v>
      </c>
      <c r="B86">
        <v>1</v>
      </c>
      <c r="C86" t="s">
        <v>79</v>
      </c>
      <c r="D86" s="1" t="s">
        <v>2</v>
      </c>
      <c r="E86" s="59" t="s">
        <v>13</v>
      </c>
      <c r="F86" s="60">
        <v>0.97586206896551697</v>
      </c>
      <c r="G86" s="60">
        <v>1.2508494141330899</v>
      </c>
      <c r="H86" s="61">
        <v>0.40958333333333302</v>
      </c>
      <c r="I86" s="62">
        <v>5.51</v>
      </c>
      <c r="J86" s="37">
        <v>5.1004166666666668</v>
      </c>
      <c r="K86" s="37">
        <v>1245.2695829094619</v>
      </c>
      <c r="L86" s="1" t="s">
        <v>68</v>
      </c>
      <c r="M86" s="1">
        <v>1</v>
      </c>
    </row>
    <row r="87" spans="1:13" x14ac:dyDescent="0.3">
      <c r="A87">
        <v>14</v>
      </c>
      <c r="B87">
        <v>1</v>
      </c>
      <c r="C87" t="s">
        <v>79</v>
      </c>
      <c r="D87" s="1" t="s">
        <v>2</v>
      </c>
      <c r="E87" s="59" t="s">
        <v>14</v>
      </c>
      <c r="F87" s="60">
        <v>0.41349999999999898</v>
      </c>
      <c r="G87" s="60">
        <v>0.106220289963829</v>
      </c>
      <c r="H87" s="61">
        <v>0.437058823529411</v>
      </c>
      <c r="I87" s="62">
        <v>1.27</v>
      </c>
      <c r="J87" s="37">
        <v>0.83294117647058896</v>
      </c>
      <c r="K87" s="37">
        <v>190.57873485868154</v>
      </c>
      <c r="L87" s="1" t="s">
        <v>68</v>
      </c>
      <c r="M87" s="1">
        <v>1</v>
      </c>
    </row>
    <row r="88" spans="1:13" x14ac:dyDescent="0.3">
      <c r="A88">
        <v>14</v>
      </c>
      <c r="B88">
        <v>1</v>
      </c>
      <c r="C88" t="s">
        <v>79</v>
      </c>
      <c r="D88" s="1" t="s">
        <v>2</v>
      </c>
      <c r="E88" s="59" t="s">
        <v>15</v>
      </c>
      <c r="F88" s="60">
        <v>2.0759999999999899</v>
      </c>
      <c r="G88" s="60">
        <v>1.6093302954956099</v>
      </c>
      <c r="H88" s="61">
        <v>1.6614285714285699</v>
      </c>
      <c r="I88" s="62">
        <v>3.39</v>
      </c>
      <c r="J88" s="37">
        <v>1.7285714285714302</v>
      </c>
      <c r="K88" s="37">
        <v>104.04127257093742</v>
      </c>
      <c r="L88" s="1" t="s">
        <v>68</v>
      </c>
      <c r="M88" s="1">
        <v>1</v>
      </c>
    </row>
    <row r="89" spans="1:13" x14ac:dyDescent="0.3">
      <c r="A89">
        <v>14</v>
      </c>
      <c r="B89">
        <v>1</v>
      </c>
      <c r="C89" t="s">
        <v>79</v>
      </c>
      <c r="D89" s="1" t="s">
        <v>2</v>
      </c>
      <c r="E89" s="59" t="s">
        <v>16</v>
      </c>
      <c r="F89" s="60">
        <v>3.5724999999999998</v>
      </c>
      <c r="G89" s="60">
        <v>2.4900747144078501</v>
      </c>
      <c r="H89" s="61">
        <v>2.4112244897959099</v>
      </c>
      <c r="I89" s="62">
        <v>4.53</v>
      </c>
      <c r="J89" s="37">
        <v>2.1187755102040904</v>
      </c>
      <c r="K89" s="37">
        <v>87.871349978841124</v>
      </c>
      <c r="L89" s="1" t="s">
        <v>68</v>
      </c>
      <c r="M89" s="1">
        <v>1</v>
      </c>
    </row>
    <row r="90" spans="1:13" x14ac:dyDescent="0.3">
      <c r="A90">
        <v>14</v>
      </c>
      <c r="B90">
        <v>1</v>
      </c>
      <c r="C90" t="s">
        <v>79</v>
      </c>
      <c r="D90" s="1" t="s">
        <v>2</v>
      </c>
      <c r="E90" s="59" t="s">
        <v>17</v>
      </c>
      <c r="F90" s="60">
        <v>0.199333333333333</v>
      </c>
      <c r="G90" s="60">
        <v>0.132172446279682</v>
      </c>
      <c r="H90" s="61">
        <v>0.15528301886792401</v>
      </c>
      <c r="I90" s="62">
        <v>1.21</v>
      </c>
      <c r="J90" s="37">
        <v>1.054716981132076</v>
      </c>
      <c r="K90" s="37">
        <v>679.22235722965024</v>
      </c>
      <c r="L90" s="1" t="s">
        <v>68</v>
      </c>
      <c r="M90" s="1">
        <v>1</v>
      </c>
    </row>
    <row r="91" spans="1:13" x14ac:dyDescent="0.3">
      <c r="A91">
        <v>14</v>
      </c>
      <c r="B91">
        <v>1</v>
      </c>
      <c r="C91" t="s">
        <v>79</v>
      </c>
      <c r="D91" s="1" t="s">
        <v>2</v>
      </c>
      <c r="E91" s="59" t="s">
        <v>18</v>
      </c>
      <c r="F91" s="60">
        <v>0.51166666666666705</v>
      </c>
      <c r="G91" s="60">
        <v>0.10035215770254</v>
      </c>
      <c r="H91" s="61">
        <v>0.52039999999999997</v>
      </c>
      <c r="I91" s="62">
        <v>4.07</v>
      </c>
      <c r="J91" s="37">
        <v>3.5496000000000003</v>
      </c>
      <c r="K91" s="37">
        <v>682.09069946195245</v>
      </c>
      <c r="L91" s="1" t="s">
        <v>68</v>
      </c>
      <c r="M91" s="1">
        <v>1</v>
      </c>
    </row>
    <row r="92" spans="1:13" x14ac:dyDescent="0.3">
      <c r="A92">
        <v>14</v>
      </c>
      <c r="B92">
        <v>1</v>
      </c>
      <c r="C92" t="s">
        <v>79</v>
      </c>
      <c r="D92" s="1" t="s">
        <v>2</v>
      </c>
      <c r="E92" s="59" t="s">
        <v>19</v>
      </c>
      <c r="F92" s="60">
        <v>0.185999999999999</v>
      </c>
      <c r="G92" s="60">
        <v>0.32675781041417601</v>
      </c>
      <c r="H92" s="61">
        <v>0.111052631578947</v>
      </c>
      <c r="I92" s="62">
        <v>2.74</v>
      </c>
      <c r="J92" s="37">
        <v>2.6289473684210534</v>
      </c>
      <c r="K92" s="37">
        <v>2367.298578199061</v>
      </c>
      <c r="L92" s="1" t="s">
        <v>68</v>
      </c>
      <c r="M92" s="1">
        <v>1</v>
      </c>
    </row>
    <row r="93" spans="1:13" x14ac:dyDescent="0.3">
      <c r="A93">
        <v>14</v>
      </c>
      <c r="B93">
        <v>1</v>
      </c>
      <c r="C93" t="s">
        <v>79</v>
      </c>
      <c r="D93" s="1" t="s">
        <v>2</v>
      </c>
      <c r="E93" s="59" t="s">
        <v>12</v>
      </c>
      <c r="F93" s="60">
        <v>0.480833333333333</v>
      </c>
      <c r="G93" s="60">
        <v>0.18218389671489099</v>
      </c>
      <c r="H93" s="61">
        <v>0.47791666666666599</v>
      </c>
      <c r="I93" s="62">
        <v>4.93</v>
      </c>
      <c r="J93" s="37">
        <v>4.4520833333333334</v>
      </c>
      <c r="K93" s="37">
        <v>931.56059285091681</v>
      </c>
      <c r="L93" s="1" t="s">
        <v>69</v>
      </c>
      <c r="M93" s="1">
        <v>1</v>
      </c>
    </row>
    <row r="94" spans="1:13" x14ac:dyDescent="0.3">
      <c r="A94">
        <v>14</v>
      </c>
      <c r="B94">
        <v>1</v>
      </c>
      <c r="C94" t="s">
        <v>79</v>
      </c>
      <c r="D94" s="1" t="s">
        <v>2</v>
      </c>
      <c r="E94" s="59" t="s">
        <v>13</v>
      </c>
      <c r="F94" s="60">
        <v>0.97586206896551697</v>
      </c>
      <c r="G94" s="60">
        <v>1.2508494141330899</v>
      </c>
      <c r="H94" s="61">
        <v>0.40958333333333302</v>
      </c>
      <c r="I94" s="62">
        <v>5.56</v>
      </c>
      <c r="J94" s="37">
        <v>5.1504166666666666</v>
      </c>
      <c r="K94" s="37">
        <v>1257.4771108850466</v>
      </c>
      <c r="L94" s="1" t="s">
        <v>69</v>
      </c>
      <c r="M94" s="1">
        <v>1</v>
      </c>
    </row>
    <row r="95" spans="1:13" x14ac:dyDescent="0.3">
      <c r="A95">
        <v>14</v>
      </c>
      <c r="B95">
        <v>1</v>
      </c>
      <c r="C95" t="s">
        <v>79</v>
      </c>
      <c r="D95" s="1" t="s">
        <v>2</v>
      </c>
      <c r="E95" s="59" t="s">
        <v>14</v>
      </c>
      <c r="F95" s="60">
        <v>0.41349999999999898</v>
      </c>
      <c r="G95" s="60">
        <v>0.106220289963829</v>
      </c>
      <c r="H95" s="61">
        <v>0.437058823529411</v>
      </c>
      <c r="I95" s="62">
        <v>1.32</v>
      </c>
      <c r="J95" s="37">
        <v>0.88294117647058901</v>
      </c>
      <c r="K95" s="37">
        <v>202.01884253028317</v>
      </c>
      <c r="L95" s="1" t="s">
        <v>69</v>
      </c>
      <c r="M95" s="1">
        <v>1</v>
      </c>
    </row>
    <row r="96" spans="1:13" x14ac:dyDescent="0.3">
      <c r="A96">
        <v>14</v>
      </c>
      <c r="B96">
        <v>1</v>
      </c>
      <c r="C96" t="s">
        <v>79</v>
      </c>
      <c r="D96" s="1" t="s">
        <v>2</v>
      </c>
      <c r="E96" s="59" t="s">
        <v>15</v>
      </c>
      <c r="F96" s="60">
        <v>2.0759999999999899</v>
      </c>
      <c r="G96" s="60">
        <v>1.6093302954956099</v>
      </c>
      <c r="H96" s="61">
        <v>1.6614285714285699</v>
      </c>
      <c r="I96" s="62">
        <v>3.44</v>
      </c>
      <c r="J96" s="37">
        <v>1.77857142857143</v>
      </c>
      <c r="K96" s="37">
        <v>107.05073086844385</v>
      </c>
      <c r="L96" s="1" t="s">
        <v>69</v>
      </c>
      <c r="M96" s="1">
        <v>1</v>
      </c>
    </row>
    <row r="97" spans="1:13" x14ac:dyDescent="0.3">
      <c r="A97">
        <v>14</v>
      </c>
      <c r="B97">
        <v>1</v>
      </c>
      <c r="C97" t="s">
        <v>79</v>
      </c>
      <c r="D97" s="1" t="s">
        <v>2</v>
      </c>
      <c r="E97" s="59" t="s">
        <v>16</v>
      </c>
      <c r="F97" s="60">
        <v>3.5724999999999998</v>
      </c>
      <c r="G97" s="60">
        <v>2.4900747144078501</v>
      </c>
      <c r="H97" s="61">
        <v>2.4112244897959099</v>
      </c>
      <c r="I97" s="62">
        <v>4.59</v>
      </c>
      <c r="J97" s="37">
        <v>2.17877551020409</v>
      </c>
      <c r="K97" s="37">
        <v>90.359712230216488</v>
      </c>
      <c r="L97" s="1" t="s">
        <v>69</v>
      </c>
      <c r="M97" s="1">
        <v>1</v>
      </c>
    </row>
    <row r="98" spans="1:13" x14ac:dyDescent="0.3">
      <c r="A98">
        <v>14</v>
      </c>
      <c r="B98">
        <v>1</v>
      </c>
      <c r="C98" t="s">
        <v>79</v>
      </c>
      <c r="D98" s="1" t="s">
        <v>2</v>
      </c>
      <c r="E98" s="59" t="s">
        <v>17</v>
      </c>
      <c r="F98" s="60">
        <v>0.199333333333333</v>
      </c>
      <c r="G98" s="60">
        <v>0.132172446279682</v>
      </c>
      <c r="H98" s="61">
        <v>0.15528301886792401</v>
      </c>
      <c r="I98" s="62">
        <v>1.25</v>
      </c>
      <c r="J98" s="37">
        <v>1.0947169811320761</v>
      </c>
      <c r="K98" s="37">
        <v>704.98177399757265</v>
      </c>
      <c r="L98" s="1" t="s">
        <v>69</v>
      </c>
      <c r="M98" s="1">
        <v>1</v>
      </c>
    </row>
    <row r="99" spans="1:13" x14ac:dyDescent="0.3">
      <c r="A99">
        <v>14</v>
      </c>
      <c r="B99">
        <v>1</v>
      </c>
      <c r="C99" t="s">
        <v>79</v>
      </c>
      <c r="D99" s="1" t="s">
        <v>2</v>
      </c>
      <c r="E99" s="59" t="s">
        <v>18</v>
      </c>
      <c r="F99" s="60">
        <v>0.51166666666666705</v>
      </c>
      <c r="G99" s="60">
        <v>0.10035215770254</v>
      </c>
      <c r="H99" s="61">
        <v>0.52039999999999997</v>
      </c>
      <c r="I99" s="62">
        <v>4.05</v>
      </c>
      <c r="J99" s="37">
        <v>3.5295999999999998</v>
      </c>
      <c r="K99" s="37">
        <v>678.24750192159877</v>
      </c>
      <c r="L99" s="1" t="s">
        <v>69</v>
      </c>
      <c r="M99" s="1">
        <v>1</v>
      </c>
    </row>
    <row r="100" spans="1:13" x14ac:dyDescent="0.3">
      <c r="A100">
        <v>14</v>
      </c>
      <c r="B100">
        <v>1</v>
      </c>
      <c r="C100" t="s">
        <v>79</v>
      </c>
      <c r="D100" s="1" t="s">
        <v>2</v>
      </c>
      <c r="E100" s="59" t="s">
        <v>19</v>
      </c>
      <c r="F100" s="60">
        <v>0.185999999999999</v>
      </c>
      <c r="G100" s="60">
        <v>0.32675781041417601</v>
      </c>
      <c r="H100" s="61">
        <v>0.111052631578947</v>
      </c>
      <c r="I100" s="62">
        <v>2.72</v>
      </c>
      <c r="J100" s="37">
        <v>2.6089473684210533</v>
      </c>
      <c r="K100" s="37">
        <v>2349.2890995260746</v>
      </c>
      <c r="L100" s="1" t="s">
        <v>69</v>
      </c>
      <c r="M100" s="1">
        <v>1</v>
      </c>
    </row>
    <row r="102" spans="1:13" x14ac:dyDescent="0.3">
      <c r="A102">
        <v>14</v>
      </c>
      <c r="B102">
        <v>1</v>
      </c>
      <c r="C102" t="s">
        <v>79</v>
      </c>
      <c r="D102" s="1" t="s">
        <v>2</v>
      </c>
      <c r="E102" s="59" t="s">
        <v>12</v>
      </c>
      <c r="F102" s="60">
        <v>0.47449999999999998</v>
      </c>
      <c r="G102" s="60">
        <v>0.182468490430539</v>
      </c>
      <c r="H102" s="61">
        <v>0.46999999999999897</v>
      </c>
      <c r="I102" s="62">
        <v>5.07</v>
      </c>
      <c r="J102" s="37">
        <v>4.6000000000000014</v>
      </c>
      <c r="K102" s="37">
        <v>978.72340425532161</v>
      </c>
      <c r="L102" s="1" t="s">
        <v>23</v>
      </c>
      <c r="M102" s="1">
        <v>2</v>
      </c>
    </row>
    <row r="103" spans="1:13" x14ac:dyDescent="0.3">
      <c r="A103">
        <v>14</v>
      </c>
      <c r="B103">
        <v>1</v>
      </c>
      <c r="C103" t="s">
        <v>79</v>
      </c>
      <c r="D103" s="1" t="s">
        <v>2</v>
      </c>
      <c r="E103" s="59" t="s">
        <v>13</v>
      </c>
      <c r="F103" s="60">
        <v>1.50293103448275</v>
      </c>
      <c r="G103" s="60">
        <v>1.5812293434613001</v>
      </c>
      <c r="H103" s="61">
        <v>0.40538461538461501</v>
      </c>
      <c r="I103" s="62">
        <v>5.65</v>
      </c>
      <c r="J103" s="37">
        <v>5.2446153846153853</v>
      </c>
      <c r="K103" s="37">
        <v>1293.7381404174587</v>
      </c>
      <c r="L103" s="1" t="s">
        <v>23</v>
      </c>
      <c r="M103" s="1">
        <v>2</v>
      </c>
    </row>
    <row r="104" spans="1:13" x14ac:dyDescent="0.3">
      <c r="A104">
        <v>14</v>
      </c>
      <c r="B104">
        <v>1</v>
      </c>
      <c r="C104" t="s">
        <v>79</v>
      </c>
      <c r="D104" s="1" t="s">
        <v>2</v>
      </c>
      <c r="E104" s="59" t="s">
        <v>14</v>
      </c>
      <c r="F104" s="60">
        <v>0.44783333333333197</v>
      </c>
      <c r="G104" s="60">
        <v>7.6856829379191902E-2</v>
      </c>
      <c r="H104" s="61">
        <v>0.447599999999999</v>
      </c>
      <c r="I104" s="62">
        <v>1.37</v>
      </c>
      <c r="J104" s="37">
        <v>0.92240000000000111</v>
      </c>
      <c r="K104" s="37">
        <v>206.07685433422768</v>
      </c>
      <c r="L104" s="1" t="s">
        <v>23</v>
      </c>
      <c r="M104" s="1">
        <v>2</v>
      </c>
    </row>
    <row r="105" spans="1:13" x14ac:dyDescent="0.3">
      <c r="A105">
        <v>14</v>
      </c>
      <c r="B105">
        <v>1</v>
      </c>
      <c r="C105" t="s">
        <v>79</v>
      </c>
      <c r="D105" s="1" t="s">
        <v>2</v>
      </c>
      <c r="E105" s="59" t="s">
        <v>15</v>
      </c>
      <c r="F105" s="60">
        <v>1.9893333333333301</v>
      </c>
      <c r="G105" s="60">
        <v>1.57333389830498</v>
      </c>
      <c r="H105" s="61">
        <v>1.58928571428571</v>
      </c>
      <c r="I105" s="62">
        <v>3.57</v>
      </c>
      <c r="J105" s="37">
        <v>1.9807142857142899</v>
      </c>
      <c r="K105" s="37">
        <v>124.62921348314666</v>
      </c>
      <c r="L105" s="1" t="s">
        <v>23</v>
      </c>
      <c r="M105" s="1">
        <v>2</v>
      </c>
    </row>
    <row r="106" spans="1:13" x14ac:dyDescent="0.3">
      <c r="A106">
        <v>14</v>
      </c>
      <c r="B106">
        <v>1</v>
      </c>
      <c r="C106" t="s">
        <v>79</v>
      </c>
      <c r="D106" s="1" t="s">
        <v>2</v>
      </c>
      <c r="E106" s="59" t="s">
        <v>16</v>
      </c>
      <c r="F106" s="60">
        <v>4.0415000000000001</v>
      </c>
      <c r="G106" s="60">
        <v>2.6799862095416298</v>
      </c>
      <c r="H106" s="61">
        <v>2.7434042553191502</v>
      </c>
      <c r="I106" s="62">
        <v>4.6500000000000004</v>
      </c>
      <c r="J106" s="37">
        <v>1.9065957446808501</v>
      </c>
      <c r="K106" s="37">
        <v>69.49744067007903</v>
      </c>
      <c r="L106" s="1" t="s">
        <v>23</v>
      </c>
      <c r="M106" s="1">
        <v>2</v>
      </c>
    </row>
    <row r="107" spans="1:13" x14ac:dyDescent="0.3">
      <c r="A107">
        <v>14</v>
      </c>
      <c r="B107">
        <v>1</v>
      </c>
      <c r="C107" t="s">
        <v>79</v>
      </c>
      <c r="D107" s="1" t="s">
        <v>2</v>
      </c>
      <c r="E107" s="59" t="s">
        <v>17</v>
      </c>
      <c r="F107" s="60">
        <v>0.197333333333333</v>
      </c>
      <c r="G107" s="60">
        <v>0.11007371267574299</v>
      </c>
      <c r="H107" s="61">
        <v>0.14959183673469401</v>
      </c>
      <c r="I107" s="62">
        <v>1.3</v>
      </c>
      <c r="J107" s="37">
        <v>1.150408163265306</v>
      </c>
      <c r="K107" s="37">
        <v>769.0313778990444</v>
      </c>
      <c r="L107" s="1" t="s">
        <v>23</v>
      </c>
      <c r="M107" s="1">
        <v>2</v>
      </c>
    </row>
    <row r="108" spans="1:13" x14ac:dyDescent="0.3">
      <c r="A108">
        <v>14</v>
      </c>
      <c r="B108">
        <v>1</v>
      </c>
      <c r="C108" t="s">
        <v>79</v>
      </c>
      <c r="D108" s="1" t="s">
        <v>2</v>
      </c>
      <c r="E108" s="59" t="s">
        <v>18</v>
      </c>
      <c r="F108" s="60">
        <v>0.50066666666666604</v>
      </c>
      <c r="G108" s="60">
        <v>5.1051172584204302E-2</v>
      </c>
      <c r="H108" s="61">
        <v>0.51769230769230701</v>
      </c>
      <c r="I108" s="62">
        <v>4.17</v>
      </c>
      <c r="J108" s="37">
        <v>3.6523076923076929</v>
      </c>
      <c r="K108" s="37">
        <v>705.49777117384951</v>
      </c>
      <c r="L108" s="1" t="s">
        <v>23</v>
      </c>
      <c r="M108" s="1">
        <v>2</v>
      </c>
    </row>
    <row r="109" spans="1:13" x14ac:dyDescent="0.3">
      <c r="A109">
        <v>14</v>
      </c>
      <c r="B109">
        <v>1</v>
      </c>
      <c r="C109" t="s">
        <v>79</v>
      </c>
      <c r="D109" s="1" t="s">
        <v>2</v>
      </c>
      <c r="E109" s="59" t="s">
        <v>19</v>
      </c>
      <c r="F109" s="60">
        <v>0.21033333333333301</v>
      </c>
      <c r="G109" s="60">
        <v>0.37413886310952599</v>
      </c>
      <c r="H109" s="61">
        <v>0.110357142857142</v>
      </c>
      <c r="I109" s="62">
        <v>2.82</v>
      </c>
      <c r="J109" s="37">
        <v>2.7096428571428577</v>
      </c>
      <c r="K109" s="37">
        <v>2455.3398058252624</v>
      </c>
      <c r="L109" s="1" t="s">
        <v>23</v>
      </c>
      <c r="M109" s="1">
        <v>2</v>
      </c>
    </row>
    <row r="110" spans="1:13" x14ac:dyDescent="0.3">
      <c r="A110">
        <v>14</v>
      </c>
      <c r="B110">
        <v>1</v>
      </c>
      <c r="C110" t="s">
        <v>79</v>
      </c>
      <c r="D110" s="1" t="s">
        <v>2</v>
      </c>
      <c r="E110" s="59" t="s">
        <v>12</v>
      </c>
      <c r="F110" s="60">
        <v>0.47449999999999998</v>
      </c>
      <c r="G110" s="60">
        <v>0.182468490430539</v>
      </c>
      <c r="H110" s="61">
        <v>0.46999999999999897</v>
      </c>
      <c r="I110" s="62">
        <v>4.95</v>
      </c>
      <c r="J110" s="37">
        <v>4.4800000000000013</v>
      </c>
      <c r="K110" s="37">
        <v>953.19148936170461</v>
      </c>
      <c r="L110" s="1" t="s">
        <v>68</v>
      </c>
      <c r="M110" s="1">
        <v>2</v>
      </c>
    </row>
    <row r="111" spans="1:13" x14ac:dyDescent="0.3">
      <c r="A111">
        <v>14</v>
      </c>
      <c r="B111">
        <v>1</v>
      </c>
      <c r="C111" t="s">
        <v>79</v>
      </c>
      <c r="D111" s="1" t="s">
        <v>2</v>
      </c>
      <c r="E111" s="59" t="s">
        <v>13</v>
      </c>
      <c r="F111" s="60">
        <v>1.50293103448275</v>
      </c>
      <c r="G111" s="60">
        <v>1.5812293434613001</v>
      </c>
      <c r="H111" s="61">
        <v>0.40538461538461501</v>
      </c>
      <c r="I111" s="62">
        <v>5.51</v>
      </c>
      <c r="J111" s="37">
        <v>5.1046153846153848</v>
      </c>
      <c r="K111" s="37">
        <v>1259.2030360531321</v>
      </c>
      <c r="L111" s="1" t="s">
        <v>68</v>
      </c>
      <c r="M111" s="1">
        <v>2</v>
      </c>
    </row>
    <row r="112" spans="1:13" x14ac:dyDescent="0.3">
      <c r="A112">
        <v>14</v>
      </c>
      <c r="B112">
        <v>1</v>
      </c>
      <c r="C112" t="s">
        <v>79</v>
      </c>
      <c r="D112" s="1" t="s">
        <v>2</v>
      </c>
      <c r="E112" s="59" t="s">
        <v>14</v>
      </c>
      <c r="F112" s="60">
        <v>0.44783333333333197</v>
      </c>
      <c r="G112" s="60">
        <v>7.6856829379191902E-2</v>
      </c>
      <c r="H112" s="61">
        <v>0.447599999999999</v>
      </c>
      <c r="I112" s="62">
        <v>1.27</v>
      </c>
      <c r="J112" s="37">
        <v>0.82240000000000102</v>
      </c>
      <c r="K112" s="37">
        <v>183.73547810545193</v>
      </c>
      <c r="L112" s="1" t="s">
        <v>68</v>
      </c>
      <c r="M112" s="1">
        <v>2</v>
      </c>
    </row>
    <row r="113" spans="1:13" x14ac:dyDescent="0.3">
      <c r="A113">
        <v>14</v>
      </c>
      <c r="B113">
        <v>1</v>
      </c>
      <c r="C113" t="s">
        <v>79</v>
      </c>
      <c r="D113" s="1" t="s">
        <v>2</v>
      </c>
      <c r="E113" s="59" t="s">
        <v>15</v>
      </c>
      <c r="F113" s="60">
        <v>1.9893333333333301</v>
      </c>
      <c r="G113" s="60">
        <v>1.57333389830498</v>
      </c>
      <c r="H113" s="61">
        <v>1.58928571428571</v>
      </c>
      <c r="I113" s="62">
        <v>3.39</v>
      </c>
      <c r="J113" s="37">
        <v>1.8007142857142902</v>
      </c>
      <c r="K113" s="37">
        <v>113.30337078651745</v>
      </c>
      <c r="L113" s="1" t="s">
        <v>68</v>
      </c>
      <c r="M113" s="1">
        <v>2</v>
      </c>
    </row>
    <row r="114" spans="1:13" x14ac:dyDescent="0.3">
      <c r="A114">
        <v>14</v>
      </c>
      <c r="B114">
        <v>1</v>
      </c>
      <c r="C114" t="s">
        <v>79</v>
      </c>
      <c r="D114" s="1" t="s">
        <v>2</v>
      </c>
      <c r="E114" s="59" t="s">
        <v>16</v>
      </c>
      <c r="F114" s="60">
        <v>4.0415000000000001</v>
      </c>
      <c r="G114" s="60">
        <v>2.6799862095416298</v>
      </c>
      <c r="H114" s="61">
        <v>2.7434042553191502</v>
      </c>
      <c r="I114" s="62">
        <v>4.53</v>
      </c>
      <c r="J114" s="37">
        <v>1.78659574468085</v>
      </c>
      <c r="K114" s="37">
        <v>65.123313168915715</v>
      </c>
      <c r="L114" s="1" t="s">
        <v>68</v>
      </c>
      <c r="M114" s="1">
        <v>2</v>
      </c>
    </row>
    <row r="115" spans="1:13" x14ac:dyDescent="0.3">
      <c r="A115">
        <v>14</v>
      </c>
      <c r="B115">
        <v>1</v>
      </c>
      <c r="C115" t="s">
        <v>79</v>
      </c>
      <c r="D115" s="1" t="s">
        <v>2</v>
      </c>
      <c r="E115" s="59" t="s">
        <v>17</v>
      </c>
      <c r="F115" s="60">
        <v>0.197333333333333</v>
      </c>
      <c r="G115" s="60">
        <v>0.11007371267574299</v>
      </c>
      <c r="H115" s="61">
        <v>0.14959183673469401</v>
      </c>
      <c r="I115" s="62">
        <v>1.21</v>
      </c>
      <c r="J115" s="37">
        <v>1.060408163265306</v>
      </c>
      <c r="K115" s="37">
        <v>708.86766712141809</v>
      </c>
      <c r="L115" s="1" t="s">
        <v>68</v>
      </c>
      <c r="M115" s="1">
        <v>2</v>
      </c>
    </row>
    <row r="116" spans="1:13" x14ac:dyDescent="0.3">
      <c r="A116">
        <v>14</v>
      </c>
      <c r="B116">
        <v>1</v>
      </c>
      <c r="C116" t="s">
        <v>79</v>
      </c>
      <c r="D116" s="1" t="s">
        <v>2</v>
      </c>
      <c r="E116" s="59" t="s">
        <v>18</v>
      </c>
      <c r="F116" s="60">
        <v>0.50066666666666604</v>
      </c>
      <c r="G116" s="60">
        <v>5.1051172584204302E-2</v>
      </c>
      <c r="H116" s="61">
        <v>0.51769230769230701</v>
      </c>
      <c r="I116" s="62">
        <v>4.07</v>
      </c>
      <c r="J116" s="37">
        <v>3.5523076923076933</v>
      </c>
      <c r="K116" s="37">
        <v>686.18127786032801</v>
      </c>
      <c r="L116" s="1" t="s">
        <v>68</v>
      </c>
      <c r="M116" s="1">
        <v>2</v>
      </c>
    </row>
    <row r="117" spans="1:13" x14ac:dyDescent="0.3">
      <c r="A117">
        <v>14</v>
      </c>
      <c r="B117">
        <v>1</v>
      </c>
      <c r="C117" t="s">
        <v>79</v>
      </c>
      <c r="D117" s="1" t="s">
        <v>2</v>
      </c>
      <c r="E117" s="59" t="s">
        <v>19</v>
      </c>
      <c r="F117" s="60">
        <v>0.21033333333333301</v>
      </c>
      <c r="G117" s="60">
        <v>0.37413886310952599</v>
      </c>
      <c r="H117" s="61">
        <v>0.110357142857142</v>
      </c>
      <c r="I117" s="62">
        <v>2.74</v>
      </c>
      <c r="J117" s="37">
        <v>2.6296428571428581</v>
      </c>
      <c r="K117" s="37">
        <v>2382.8478964401488</v>
      </c>
      <c r="L117" s="1" t="s">
        <v>68</v>
      </c>
      <c r="M117" s="1">
        <v>2</v>
      </c>
    </row>
    <row r="118" spans="1:13" x14ac:dyDescent="0.3">
      <c r="A118">
        <v>14</v>
      </c>
      <c r="B118">
        <v>1</v>
      </c>
      <c r="C118" t="s">
        <v>79</v>
      </c>
      <c r="D118" s="1" t="s">
        <v>2</v>
      </c>
      <c r="E118" s="59" t="s">
        <v>12</v>
      </c>
      <c r="F118" s="60">
        <v>0.47449999999999998</v>
      </c>
      <c r="G118" s="60">
        <v>0.182468490430539</v>
      </c>
      <c r="H118" s="61">
        <v>0.46999999999999897</v>
      </c>
      <c r="I118" s="62">
        <v>4.93</v>
      </c>
      <c r="J118" s="37">
        <v>4.4600000000000009</v>
      </c>
      <c r="K118" s="37">
        <v>948.93617021276827</v>
      </c>
      <c r="L118" s="1" t="s">
        <v>69</v>
      </c>
      <c r="M118" s="1">
        <v>2</v>
      </c>
    </row>
    <row r="119" spans="1:13" x14ac:dyDescent="0.3">
      <c r="A119">
        <v>14</v>
      </c>
      <c r="B119">
        <v>1</v>
      </c>
      <c r="C119" t="s">
        <v>79</v>
      </c>
      <c r="D119" s="1" t="s">
        <v>2</v>
      </c>
      <c r="E119" s="59" t="s">
        <v>13</v>
      </c>
      <c r="F119" s="60">
        <v>1.50293103448275</v>
      </c>
      <c r="G119" s="60">
        <v>1.5812293434613001</v>
      </c>
      <c r="H119" s="61">
        <v>0.40538461538461501</v>
      </c>
      <c r="I119" s="62">
        <v>5.56</v>
      </c>
      <c r="J119" s="37">
        <v>5.1546153846153846</v>
      </c>
      <c r="K119" s="37">
        <v>1271.5370018975343</v>
      </c>
      <c r="L119" s="1" t="s">
        <v>69</v>
      </c>
      <c r="M119" s="1">
        <v>2</v>
      </c>
    </row>
    <row r="120" spans="1:13" x14ac:dyDescent="0.3">
      <c r="A120">
        <v>14</v>
      </c>
      <c r="B120">
        <v>1</v>
      </c>
      <c r="C120" t="s">
        <v>79</v>
      </c>
      <c r="D120" s="1" t="s">
        <v>2</v>
      </c>
      <c r="E120" s="59" t="s">
        <v>14</v>
      </c>
      <c r="F120" s="60">
        <v>0.44783333333333197</v>
      </c>
      <c r="G120" s="60">
        <v>7.6856829379191902E-2</v>
      </c>
      <c r="H120" s="61">
        <v>0.447599999999999</v>
      </c>
      <c r="I120" s="62">
        <v>1.32</v>
      </c>
      <c r="J120" s="37">
        <v>0.87240000000000106</v>
      </c>
      <c r="K120" s="37">
        <v>194.9061662198398</v>
      </c>
      <c r="L120" s="1" t="s">
        <v>69</v>
      </c>
      <c r="M120" s="1">
        <v>2</v>
      </c>
    </row>
    <row r="121" spans="1:13" x14ac:dyDescent="0.3">
      <c r="A121">
        <v>14</v>
      </c>
      <c r="B121">
        <v>1</v>
      </c>
      <c r="C121" t="s">
        <v>79</v>
      </c>
      <c r="D121" s="1" t="s">
        <v>2</v>
      </c>
      <c r="E121" s="59" t="s">
        <v>15</v>
      </c>
      <c r="F121" s="60">
        <v>1.9893333333333301</v>
      </c>
      <c r="G121" s="60">
        <v>1.57333389830498</v>
      </c>
      <c r="H121" s="61">
        <v>1.58928571428571</v>
      </c>
      <c r="I121" s="62">
        <v>3.44</v>
      </c>
      <c r="J121" s="37">
        <v>1.85071428571429</v>
      </c>
      <c r="K121" s="37">
        <v>116.44943820224778</v>
      </c>
      <c r="L121" s="1" t="s">
        <v>69</v>
      </c>
      <c r="M121" s="1">
        <v>2</v>
      </c>
    </row>
    <row r="122" spans="1:13" x14ac:dyDescent="0.3">
      <c r="A122">
        <v>14</v>
      </c>
      <c r="B122">
        <v>1</v>
      </c>
      <c r="C122" t="s">
        <v>79</v>
      </c>
      <c r="D122" s="1" t="s">
        <v>2</v>
      </c>
      <c r="E122" s="59" t="s">
        <v>16</v>
      </c>
      <c r="F122" s="60">
        <v>4.0415000000000001</v>
      </c>
      <c r="G122" s="60">
        <v>2.6799862095416298</v>
      </c>
      <c r="H122" s="61">
        <v>2.7434042553191502</v>
      </c>
      <c r="I122" s="62">
        <v>4.59</v>
      </c>
      <c r="J122" s="37">
        <v>1.8465957446808496</v>
      </c>
      <c r="K122" s="37">
        <v>67.310376919497358</v>
      </c>
      <c r="L122" s="1" t="s">
        <v>69</v>
      </c>
      <c r="M122" s="1">
        <v>2</v>
      </c>
    </row>
    <row r="123" spans="1:13" x14ac:dyDescent="0.3">
      <c r="A123">
        <v>14</v>
      </c>
      <c r="B123">
        <v>1</v>
      </c>
      <c r="C123" t="s">
        <v>79</v>
      </c>
      <c r="D123" s="1" t="s">
        <v>2</v>
      </c>
      <c r="E123" s="59" t="s">
        <v>17</v>
      </c>
      <c r="F123" s="60">
        <v>0.197333333333333</v>
      </c>
      <c r="G123" s="60">
        <v>0.11007371267574299</v>
      </c>
      <c r="H123" s="61">
        <v>0.14959183673469401</v>
      </c>
      <c r="I123" s="62">
        <v>1.25</v>
      </c>
      <c r="J123" s="37">
        <v>1.100408163265306</v>
      </c>
      <c r="K123" s="37">
        <v>735.60709413369636</v>
      </c>
      <c r="L123" s="1" t="s">
        <v>69</v>
      </c>
      <c r="M123" s="1">
        <v>2</v>
      </c>
    </row>
    <row r="124" spans="1:13" x14ac:dyDescent="0.3">
      <c r="A124">
        <v>14</v>
      </c>
      <c r="B124">
        <v>1</v>
      </c>
      <c r="C124" t="s">
        <v>79</v>
      </c>
      <c r="D124" s="1" t="s">
        <v>2</v>
      </c>
      <c r="E124" s="59" t="s">
        <v>18</v>
      </c>
      <c r="F124" s="60">
        <v>0.50066666666666604</v>
      </c>
      <c r="G124" s="60">
        <v>5.1051172584204302E-2</v>
      </c>
      <c r="H124" s="61">
        <v>0.51769230769230701</v>
      </c>
      <c r="I124" s="62">
        <v>4.05</v>
      </c>
      <c r="J124" s="37">
        <v>3.5323076923076928</v>
      </c>
      <c r="K124" s="37">
        <v>682.31797919762357</v>
      </c>
      <c r="L124" s="1" t="s">
        <v>69</v>
      </c>
      <c r="M124" s="1">
        <v>2</v>
      </c>
    </row>
    <row r="125" spans="1:13" x14ac:dyDescent="0.3">
      <c r="A125">
        <v>14</v>
      </c>
      <c r="B125">
        <v>1</v>
      </c>
      <c r="C125" t="s">
        <v>79</v>
      </c>
      <c r="D125" s="1" t="s">
        <v>2</v>
      </c>
      <c r="E125" s="59" t="s">
        <v>19</v>
      </c>
      <c r="F125" s="60">
        <v>0.21033333333333301</v>
      </c>
      <c r="G125" s="60">
        <v>0.37413886310952599</v>
      </c>
      <c r="H125" s="61">
        <v>0.110357142857142</v>
      </c>
      <c r="I125" s="62">
        <v>2.72</v>
      </c>
      <c r="J125" s="37">
        <v>2.609642857142858</v>
      </c>
      <c r="K125" s="37">
        <v>2364.7249190938701</v>
      </c>
      <c r="L125" s="1" t="s">
        <v>69</v>
      </c>
      <c r="M125" s="1">
        <v>2</v>
      </c>
    </row>
    <row r="127" spans="1:13" x14ac:dyDescent="0.3">
      <c r="A127">
        <v>14</v>
      </c>
      <c r="B127">
        <v>1</v>
      </c>
      <c r="C127" t="s">
        <v>79</v>
      </c>
      <c r="D127" s="1" t="s">
        <v>2</v>
      </c>
      <c r="E127" s="59" t="s">
        <v>12</v>
      </c>
      <c r="F127" s="60">
        <v>0.45271186440677902</v>
      </c>
      <c r="G127" s="60">
        <v>0.12906220427026699</v>
      </c>
      <c r="H127" s="61">
        <v>0.46919999999999901</v>
      </c>
      <c r="I127" s="63">
        <v>5.07</v>
      </c>
      <c r="J127" s="58">
        <v>4.6008000000000013</v>
      </c>
      <c r="K127" s="58">
        <v>980.56265984654965</v>
      </c>
      <c r="L127" s="1" t="s">
        <v>23</v>
      </c>
      <c r="M127" s="1">
        <v>3</v>
      </c>
    </row>
    <row r="128" spans="1:13" x14ac:dyDescent="0.3">
      <c r="A128">
        <v>14</v>
      </c>
      <c r="B128">
        <v>1</v>
      </c>
      <c r="C128" t="s">
        <v>79</v>
      </c>
      <c r="D128" s="1" t="s">
        <v>2</v>
      </c>
      <c r="E128" s="59" t="s">
        <v>13</v>
      </c>
      <c r="F128" s="60">
        <v>1.26827586206896</v>
      </c>
      <c r="G128" s="60">
        <v>1.47483270580327</v>
      </c>
      <c r="H128" s="61">
        <v>0.40674418604651102</v>
      </c>
      <c r="I128" s="63">
        <v>5.65</v>
      </c>
      <c r="J128" s="58">
        <v>5.2432558139534891</v>
      </c>
      <c r="K128" s="58">
        <v>1289.0794739851365</v>
      </c>
      <c r="L128" s="1" t="s">
        <v>23</v>
      </c>
      <c r="M128" s="1">
        <v>3</v>
      </c>
    </row>
    <row r="129" spans="1:13" x14ac:dyDescent="0.3">
      <c r="A129">
        <v>14</v>
      </c>
      <c r="B129">
        <v>1</v>
      </c>
      <c r="C129" t="s">
        <v>79</v>
      </c>
      <c r="D129" s="1" t="s">
        <v>2</v>
      </c>
      <c r="E129" s="59" t="s">
        <v>14</v>
      </c>
      <c r="F129" s="60">
        <v>0.437999999999999</v>
      </c>
      <c r="G129" s="60">
        <v>7.5538069872085098E-2</v>
      </c>
      <c r="H129" s="61">
        <v>0.439411764705882</v>
      </c>
      <c r="I129" s="63">
        <v>1.37</v>
      </c>
      <c r="J129" s="58">
        <v>0.93058823529411816</v>
      </c>
      <c r="K129" s="58">
        <v>211.78045515394942</v>
      </c>
      <c r="L129" s="1" t="s">
        <v>23</v>
      </c>
      <c r="M129" s="1">
        <v>3</v>
      </c>
    </row>
    <row r="130" spans="1:13" x14ac:dyDescent="0.3">
      <c r="A130">
        <v>14</v>
      </c>
      <c r="B130">
        <v>1</v>
      </c>
      <c r="C130" t="s">
        <v>79</v>
      </c>
      <c r="D130" s="1" t="s">
        <v>2</v>
      </c>
      <c r="E130" s="59" t="s">
        <v>15</v>
      </c>
      <c r="F130" s="60">
        <v>1.8536666666666599</v>
      </c>
      <c r="G130" s="60">
        <v>1.1089829675077101</v>
      </c>
      <c r="H130" s="61">
        <v>1.7541509433962199</v>
      </c>
      <c r="I130" s="63">
        <v>3.57</v>
      </c>
      <c r="J130" s="58">
        <v>1.8158490566037799</v>
      </c>
      <c r="K130" s="58">
        <v>103.51726363343087</v>
      </c>
      <c r="L130" s="1" t="s">
        <v>23</v>
      </c>
      <c r="M130" s="1">
        <v>3</v>
      </c>
    </row>
    <row r="131" spans="1:13" x14ac:dyDescent="0.3">
      <c r="A131">
        <v>14</v>
      </c>
      <c r="B131">
        <v>1</v>
      </c>
      <c r="C131" t="s">
        <v>79</v>
      </c>
      <c r="D131" s="1" t="s">
        <v>2</v>
      </c>
      <c r="E131" s="59" t="s">
        <v>16</v>
      </c>
      <c r="F131" s="60">
        <v>4.1496666666666604</v>
      </c>
      <c r="G131" s="60">
        <v>2.8654272320584599</v>
      </c>
      <c r="H131" s="61">
        <v>2.5747727272727201</v>
      </c>
      <c r="I131" s="63">
        <v>4.6500000000000004</v>
      </c>
      <c r="J131" s="58">
        <v>2.0752272727272802</v>
      </c>
      <c r="K131" s="58">
        <v>80.598464118634112</v>
      </c>
      <c r="L131" s="1" t="s">
        <v>23</v>
      </c>
      <c r="M131" s="1">
        <v>3</v>
      </c>
    </row>
    <row r="132" spans="1:13" x14ac:dyDescent="0.3">
      <c r="A132">
        <v>14</v>
      </c>
      <c r="B132">
        <v>1</v>
      </c>
      <c r="C132" t="s">
        <v>79</v>
      </c>
      <c r="D132" s="1" t="s">
        <v>2</v>
      </c>
      <c r="E132" s="59" t="s">
        <v>17</v>
      </c>
      <c r="F132" s="60">
        <v>0.21133333333333301</v>
      </c>
      <c r="G132" s="60">
        <v>0.134690591934089</v>
      </c>
      <c r="H132" s="61">
        <v>0.15840000000000001</v>
      </c>
      <c r="I132" s="63">
        <v>1.3</v>
      </c>
      <c r="J132" s="58">
        <v>1.1415999999999999</v>
      </c>
      <c r="K132" s="58">
        <v>720.70707070707056</v>
      </c>
      <c r="L132" s="1" t="s">
        <v>23</v>
      </c>
      <c r="M132" s="1">
        <v>3</v>
      </c>
    </row>
    <row r="133" spans="1:13" x14ac:dyDescent="0.3">
      <c r="A133">
        <v>14</v>
      </c>
      <c r="B133">
        <v>1</v>
      </c>
      <c r="C133" t="s">
        <v>79</v>
      </c>
      <c r="D133" s="1" t="s">
        <v>2</v>
      </c>
      <c r="E133" s="59" t="s">
        <v>18</v>
      </c>
      <c r="F133" s="60">
        <v>0.51300000000000001</v>
      </c>
      <c r="G133" s="60">
        <v>0.105944954260848</v>
      </c>
      <c r="H133" s="61">
        <v>0.52319148936170201</v>
      </c>
      <c r="I133" s="63">
        <v>4.17</v>
      </c>
      <c r="J133" s="58">
        <v>3.6468085106382979</v>
      </c>
      <c r="K133" s="58">
        <v>697.03131354209052</v>
      </c>
      <c r="L133" s="1" t="s">
        <v>23</v>
      </c>
      <c r="M133" s="1">
        <v>3</v>
      </c>
    </row>
    <row r="134" spans="1:13" x14ac:dyDescent="0.3">
      <c r="A134">
        <v>14</v>
      </c>
      <c r="B134">
        <v>1</v>
      </c>
      <c r="C134" t="s">
        <v>79</v>
      </c>
      <c r="D134" s="1" t="s">
        <v>2</v>
      </c>
      <c r="E134" s="59" t="s">
        <v>19</v>
      </c>
      <c r="F134" s="60">
        <v>0.16066666666666601</v>
      </c>
      <c r="G134" s="60">
        <v>0.26923265445005401</v>
      </c>
      <c r="H134" s="61">
        <v>0.110689655172413</v>
      </c>
      <c r="I134" s="63">
        <v>2.82</v>
      </c>
      <c r="J134" s="58">
        <v>2.7093103448275868</v>
      </c>
      <c r="K134" s="58">
        <v>2447.6635514018872</v>
      </c>
      <c r="L134" s="1" t="s">
        <v>23</v>
      </c>
      <c r="M134" s="1">
        <v>3</v>
      </c>
    </row>
    <row r="135" spans="1:13" x14ac:dyDescent="0.3">
      <c r="A135">
        <v>14</v>
      </c>
      <c r="B135">
        <v>1</v>
      </c>
      <c r="C135" t="s">
        <v>79</v>
      </c>
      <c r="D135" s="1" t="s">
        <v>2</v>
      </c>
      <c r="E135" s="59" t="s">
        <v>12</v>
      </c>
      <c r="F135" s="60">
        <v>0.45271186440677902</v>
      </c>
      <c r="G135" s="60">
        <v>0.12906220427026699</v>
      </c>
      <c r="H135" s="61">
        <v>0.46919999999999901</v>
      </c>
      <c r="I135" s="63">
        <v>4.95</v>
      </c>
      <c r="J135" s="58">
        <v>4.4808000000000012</v>
      </c>
      <c r="K135" s="58">
        <v>954.98721227621706</v>
      </c>
      <c r="L135" s="1" t="s">
        <v>68</v>
      </c>
      <c r="M135" s="1">
        <v>3</v>
      </c>
    </row>
    <row r="136" spans="1:13" x14ac:dyDescent="0.3">
      <c r="A136">
        <v>14</v>
      </c>
      <c r="B136">
        <v>1</v>
      </c>
      <c r="C136" t="s">
        <v>79</v>
      </c>
      <c r="D136" s="1" t="s">
        <v>2</v>
      </c>
      <c r="E136" s="59" t="s">
        <v>13</v>
      </c>
      <c r="F136" s="60">
        <v>1.26827586206896</v>
      </c>
      <c r="G136" s="60">
        <v>1.47483270580327</v>
      </c>
      <c r="H136" s="61">
        <v>0.40674418604651102</v>
      </c>
      <c r="I136" s="63">
        <v>5.51</v>
      </c>
      <c r="J136" s="58">
        <v>5.1032558139534885</v>
      </c>
      <c r="K136" s="58">
        <v>1254.6598056032037</v>
      </c>
      <c r="L136" s="1" t="s">
        <v>68</v>
      </c>
      <c r="M136" s="1">
        <v>3</v>
      </c>
    </row>
    <row r="137" spans="1:13" x14ac:dyDescent="0.3">
      <c r="A137">
        <v>14</v>
      </c>
      <c r="B137">
        <v>1</v>
      </c>
      <c r="C137" t="s">
        <v>79</v>
      </c>
      <c r="D137" s="1" t="s">
        <v>2</v>
      </c>
      <c r="E137" s="59" t="s">
        <v>14</v>
      </c>
      <c r="F137" s="60">
        <v>0.437999999999999</v>
      </c>
      <c r="G137" s="60">
        <v>7.5538069872085098E-2</v>
      </c>
      <c r="H137" s="61">
        <v>0.439411764705882</v>
      </c>
      <c r="I137" s="63">
        <v>1.27</v>
      </c>
      <c r="J137" s="58">
        <v>0.83058823529411807</v>
      </c>
      <c r="K137" s="58">
        <v>189.02275769745674</v>
      </c>
      <c r="L137" s="1" t="s">
        <v>68</v>
      </c>
      <c r="M137" s="1">
        <v>3</v>
      </c>
    </row>
    <row r="138" spans="1:13" x14ac:dyDescent="0.3">
      <c r="A138">
        <v>14</v>
      </c>
      <c r="B138">
        <v>1</v>
      </c>
      <c r="C138" t="s">
        <v>79</v>
      </c>
      <c r="D138" s="1" t="s">
        <v>2</v>
      </c>
      <c r="E138" s="59" t="s">
        <v>15</v>
      </c>
      <c r="F138" s="60">
        <v>1.8536666666666599</v>
      </c>
      <c r="G138" s="60">
        <v>1.1089829675077101</v>
      </c>
      <c r="H138" s="61">
        <v>1.7541509433962199</v>
      </c>
      <c r="I138" s="63">
        <v>3.39</v>
      </c>
      <c r="J138" s="58">
        <v>1.6358490566037802</v>
      </c>
      <c r="K138" s="58">
        <v>93.255888996451191</v>
      </c>
      <c r="L138" s="1" t="s">
        <v>68</v>
      </c>
      <c r="M138" s="1">
        <v>3</v>
      </c>
    </row>
    <row r="139" spans="1:13" x14ac:dyDescent="0.3">
      <c r="A139">
        <v>14</v>
      </c>
      <c r="B139">
        <v>1</v>
      </c>
      <c r="C139" t="s">
        <v>79</v>
      </c>
      <c r="D139" s="1" t="s">
        <v>2</v>
      </c>
      <c r="E139" s="59" t="s">
        <v>16</v>
      </c>
      <c r="F139" s="60">
        <v>4.1496666666666604</v>
      </c>
      <c r="G139" s="60">
        <v>2.8654272320584599</v>
      </c>
      <c r="H139" s="61">
        <v>2.5747727272727201</v>
      </c>
      <c r="I139" s="63">
        <v>4.53</v>
      </c>
      <c r="J139" s="58">
        <v>1.9552272727272801</v>
      </c>
      <c r="K139" s="58">
        <v>75.93785859299193</v>
      </c>
      <c r="L139" s="1" t="s">
        <v>68</v>
      </c>
      <c r="M139" s="1">
        <v>3</v>
      </c>
    </row>
    <row r="140" spans="1:13" x14ac:dyDescent="0.3">
      <c r="A140">
        <v>14</v>
      </c>
      <c r="B140">
        <v>1</v>
      </c>
      <c r="C140" t="s">
        <v>79</v>
      </c>
      <c r="D140" s="1" t="s">
        <v>2</v>
      </c>
      <c r="E140" s="59" t="s">
        <v>17</v>
      </c>
      <c r="F140" s="60">
        <v>0.21133333333333301</v>
      </c>
      <c r="G140" s="60">
        <v>0.134690591934089</v>
      </c>
      <c r="H140" s="61">
        <v>0.15840000000000001</v>
      </c>
      <c r="I140" s="63">
        <v>1.21</v>
      </c>
      <c r="J140" s="58">
        <v>1.0515999999999999</v>
      </c>
      <c r="K140" s="58">
        <v>663.8888888888888</v>
      </c>
      <c r="L140" s="1" t="s">
        <v>68</v>
      </c>
      <c r="M140" s="1">
        <v>3</v>
      </c>
    </row>
    <row r="141" spans="1:13" x14ac:dyDescent="0.3">
      <c r="A141">
        <v>14</v>
      </c>
      <c r="B141">
        <v>1</v>
      </c>
      <c r="C141" t="s">
        <v>79</v>
      </c>
      <c r="D141" s="1" t="s">
        <v>2</v>
      </c>
      <c r="E141" s="59" t="s">
        <v>18</v>
      </c>
      <c r="F141" s="60">
        <v>0.51300000000000001</v>
      </c>
      <c r="G141" s="60">
        <v>0.105944954260848</v>
      </c>
      <c r="H141" s="61">
        <v>0.52319148936170201</v>
      </c>
      <c r="I141" s="63">
        <v>4.07</v>
      </c>
      <c r="J141" s="58">
        <v>3.5468085106382983</v>
      </c>
      <c r="K141" s="58">
        <v>677.91785278568545</v>
      </c>
      <c r="L141" s="1" t="s">
        <v>68</v>
      </c>
      <c r="M141" s="1">
        <v>3</v>
      </c>
    </row>
    <row r="142" spans="1:13" x14ac:dyDescent="0.3">
      <c r="A142">
        <v>14</v>
      </c>
      <c r="B142">
        <v>1</v>
      </c>
      <c r="C142" t="s">
        <v>79</v>
      </c>
      <c r="D142" s="1" t="s">
        <v>2</v>
      </c>
      <c r="E142" s="59" t="s">
        <v>19</v>
      </c>
      <c r="F142" s="60">
        <v>0.16066666666666601</v>
      </c>
      <c r="G142" s="60">
        <v>0.26923265445005401</v>
      </c>
      <c r="H142" s="61">
        <v>0.110689655172413</v>
      </c>
      <c r="I142" s="63">
        <v>2.74</v>
      </c>
      <c r="J142" s="58">
        <v>2.6293103448275872</v>
      </c>
      <c r="K142" s="58">
        <v>2375.3894080997065</v>
      </c>
      <c r="L142" s="1" t="s">
        <v>68</v>
      </c>
      <c r="M142" s="1">
        <v>3</v>
      </c>
    </row>
    <row r="143" spans="1:13" x14ac:dyDescent="0.3">
      <c r="A143">
        <v>14</v>
      </c>
      <c r="B143">
        <v>1</v>
      </c>
      <c r="C143" t="s">
        <v>79</v>
      </c>
      <c r="D143" s="1" t="s">
        <v>2</v>
      </c>
      <c r="E143" s="59" t="s">
        <v>12</v>
      </c>
      <c r="F143" s="60">
        <v>0.45271186440677902</v>
      </c>
      <c r="G143" s="60">
        <v>0.12906220427026699</v>
      </c>
      <c r="H143" s="61">
        <v>0.46919999999999901</v>
      </c>
      <c r="I143" s="63">
        <v>4.93</v>
      </c>
      <c r="J143" s="58">
        <v>4.4608000000000008</v>
      </c>
      <c r="K143" s="58">
        <v>950.72463768116154</v>
      </c>
      <c r="L143" s="1" t="s">
        <v>69</v>
      </c>
      <c r="M143" s="1">
        <v>3</v>
      </c>
    </row>
    <row r="144" spans="1:13" x14ac:dyDescent="0.3">
      <c r="A144">
        <v>14</v>
      </c>
      <c r="B144">
        <v>1</v>
      </c>
      <c r="C144" t="s">
        <v>79</v>
      </c>
      <c r="D144" s="1" t="s">
        <v>2</v>
      </c>
      <c r="E144" s="59" t="s">
        <v>13</v>
      </c>
      <c r="F144" s="60">
        <v>1.26827586206896</v>
      </c>
      <c r="G144" s="60">
        <v>1.47483270580327</v>
      </c>
      <c r="H144" s="61">
        <v>0.40674418604651102</v>
      </c>
      <c r="I144" s="63">
        <v>5.56</v>
      </c>
      <c r="J144" s="58">
        <v>5.1532558139534883</v>
      </c>
      <c r="K144" s="58">
        <v>1266.9525443110367</v>
      </c>
      <c r="L144" s="1" t="s">
        <v>69</v>
      </c>
      <c r="M144" s="1">
        <v>3</v>
      </c>
    </row>
    <row r="145" spans="1:13" x14ac:dyDescent="0.3">
      <c r="A145">
        <v>14</v>
      </c>
      <c r="B145">
        <v>1</v>
      </c>
      <c r="C145" t="s">
        <v>79</v>
      </c>
      <c r="D145" s="1" t="s">
        <v>2</v>
      </c>
      <c r="E145" s="59" t="s">
        <v>14</v>
      </c>
      <c r="F145" s="60">
        <v>0.437999999999999</v>
      </c>
      <c r="G145" s="60">
        <v>7.5538069872085098E-2</v>
      </c>
      <c r="H145" s="61">
        <v>0.439411764705882</v>
      </c>
      <c r="I145" s="63">
        <v>1.32</v>
      </c>
      <c r="J145" s="58">
        <v>0.88058823529411812</v>
      </c>
      <c r="K145" s="58">
        <v>200.40160642570308</v>
      </c>
      <c r="L145" s="1" t="s">
        <v>69</v>
      </c>
      <c r="M145" s="1">
        <v>3</v>
      </c>
    </row>
    <row r="146" spans="1:13" x14ac:dyDescent="0.3">
      <c r="A146">
        <v>14</v>
      </c>
      <c r="B146">
        <v>1</v>
      </c>
      <c r="C146" t="s">
        <v>79</v>
      </c>
      <c r="D146" s="1" t="s">
        <v>2</v>
      </c>
      <c r="E146" s="59" t="s">
        <v>15</v>
      </c>
      <c r="F146" s="60">
        <v>1.8536666666666599</v>
      </c>
      <c r="G146" s="60">
        <v>1.1089829675077101</v>
      </c>
      <c r="H146" s="61">
        <v>1.7541509433962199</v>
      </c>
      <c r="I146" s="63">
        <v>3.44</v>
      </c>
      <c r="J146" s="58">
        <v>1.68584905660378</v>
      </c>
      <c r="K146" s="58">
        <v>96.106270840056652</v>
      </c>
      <c r="L146" s="1" t="s">
        <v>69</v>
      </c>
      <c r="M146" s="1">
        <v>3</v>
      </c>
    </row>
    <row r="147" spans="1:13" x14ac:dyDescent="0.3">
      <c r="A147">
        <v>14</v>
      </c>
      <c r="B147">
        <v>1</v>
      </c>
      <c r="C147" t="s">
        <v>79</v>
      </c>
      <c r="D147" s="1" t="s">
        <v>2</v>
      </c>
      <c r="E147" s="59" t="s">
        <v>16</v>
      </c>
      <c r="F147" s="60">
        <v>4.1496666666666604</v>
      </c>
      <c r="G147" s="60">
        <v>2.8654272320584599</v>
      </c>
      <c r="H147" s="61">
        <v>2.5747727272727201</v>
      </c>
      <c r="I147" s="63">
        <v>4.59</v>
      </c>
      <c r="J147" s="58">
        <v>2.0152272727272798</v>
      </c>
      <c r="K147" s="58">
        <v>78.268161355813007</v>
      </c>
      <c r="L147" s="1" t="s">
        <v>69</v>
      </c>
      <c r="M147" s="1">
        <v>3</v>
      </c>
    </row>
    <row r="148" spans="1:13" x14ac:dyDescent="0.3">
      <c r="A148">
        <v>14</v>
      </c>
      <c r="B148">
        <v>1</v>
      </c>
      <c r="C148" t="s">
        <v>79</v>
      </c>
      <c r="D148" s="1" t="s">
        <v>2</v>
      </c>
      <c r="E148" s="59" t="s">
        <v>17</v>
      </c>
      <c r="F148" s="60">
        <v>0.21133333333333301</v>
      </c>
      <c r="G148" s="60">
        <v>0.134690591934089</v>
      </c>
      <c r="H148" s="61">
        <v>0.15840000000000001</v>
      </c>
      <c r="I148" s="63">
        <v>1.25</v>
      </c>
      <c r="J148" s="58">
        <v>1.0915999999999999</v>
      </c>
      <c r="K148" s="58">
        <v>689.14141414141397</v>
      </c>
      <c r="L148" s="1" t="s">
        <v>69</v>
      </c>
      <c r="M148" s="1">
        <v>3</v>
      </c>
    </row>
    <row r="149" spans="1:13" x14ac:dyDescent="0.3">
      <c r="A149">
        <v>14</v>
      </c>
      <c r="B149">
        <v>1</v>
      </c>
      <c r="C149" t="s">
        <v>79</v>
      </c>
      <c r="D149" s="1" t="s">
        <v>2</v>
      </c>
      <c r="E149" s="59" t="s">
        <v>18</v>
      </c>
      <c r="F149" s="60">
        <v>0.51300000000000001</v>
      </c>
      <c r="G149" s="60">
        <v>0.105944954260848</v>
      </c>
      <c r="H149" s="61">
        <v>0.52319148936170201</v>
      </c>
      <c r="I149" s="63">
        <v>4.05</v>
      </c>
      <c r="J149" s="58">
        <v>3.5268085106382978</v>
      </c>
      <c r="K149" s="58">
        <v>674.09516063440435</v>
      </c>
      <c r="L149" s="1" t="s">
        <v>69</v>
      </c>
      <c r="M149" s="1">
        <v>3</v>
      </c>
    </row>
    <row r="150" spans="1:13" x14ac:dyDescent="0.3">
      <c r="A150">
        <v>14</v>
      </c>
      <c r="B150">
        <v>1</v>
      </c>
      <c r="C150" t="s">
        <v>79</v>
      </c>
      <c r="D150" s="1" t="s">
        <v>2</v>
      </c>
      <c r="E150" s="59" t="s">
        <v>19</v>
      </c>
      <c r="F150" s="60">
        <v>0.16066666666666601</v>
      </c>
      <c r="G150" s="60">
        <v>0.26923265445005401</v>
      </c>
      <c r="H150" s="61">
        <v>0.110689655172413</v>
      </c>
      <c r="I150" s="63">
        <v>2.72</v>
      </c>
      <c r="J150" s="58">
        <v>2.6093103448275872</v>
      </c>
      <c r="K150" s="58">
        <v>2357.320872274161</v>
      </c>
      <c r="L150" s="1" t="s">
        <v>69</v>
      </c>
      <c r="M150" s="1">
        <v>3</v>
      </c>
    </row>
    <row r="152" spans="1:13" x14ac:dyDescent="0.3">
      <c r="A152">
        <v>16</v>
      </c>
      <c r="B152">
        <v>1</v>
      </c>
      <c r="C152" t="s">
        <v>79</v>
      </c>
      <c r="D152" s="1" t="s">
        <v>2</v>
      </c>
      <c r="E152" s="59" t="s">
        <v>12</v>
      </c>
      <c r="F152" s="60">
        <v>1.85049999999999</v>
      </c>
      <c r="G152" s="60">
        <v>0.30294347657607601</v>
      </c>
      <c r="H152" s="61">
        <v>1.71723404255319</v>
      </c>
      <c r="I152" s="62">
        <v>3.8</v>
      </c>
      <c r="J152" s="37">
        <v>2.08276595744681</v>
      </c>
      <c r="K152" s="37">
        <v>121.28608598686674</v>
      </c>
      <c r="L152" s="1" t="s">
        <v>23</v>
      </c>
      <c r="M152" s="1">
        <v>1</v>
      </c>
    </row>
    <row r="153" spans="1:13" x14ac:dyDescent="0.3">
      <c r="A153">
        <v>16</v>
      </c>
      <c r="B153">
        <v>1</v>
      </c>
      <c r="C153" t="s">
        <v>79</v>
      </c>
      <c r="D153" s="1" t="s">
        <v>2</v>
      </c>
      <c r="E153" s="59" t="s">
        <v>13</v>
      </c>
      <c r="F153" s="60">
        <v>0.44666666666666599</v>
      </c>
      <c r="G153" s="60">
        <v>2.3711225658371599E-2</v>
      </c>
      <c r="H153" s="61">
        <v>0.44999999999999901</v>
      </c>
      <c r="I153" s="62">
        <v>2.5</v>
      </c>
      <c r="J153" s="37">
        <v>2.0500000000000012</v>
      </c>
      <c r="K153" s="37">
        <v>455.55555555555679</v>
      </c>
      <c r="L153" s="1" t="s">
        <v>23</v>
      </c>
      <c r="M153" s="1">
        <v>1</v>
      </c>
    </row>
    <row r="154" spans="1:13" x14ac:dyDescent="0.3">
      <c r="A154">
        <v>16</v>
      </c>
      <c r="B154">
        <v>1</v>
      </c>
      <c r="C154" t="s">
        <v>79</v>
      </c>
      <c r="D154" s="1" t="s">
        <v>2</v>
      </c>
      <c r="E154" s="59" t="s">
        <v>14</v>
      </c>
      <c r="F154" s="60">
        <v>0.27783333333333299</v>
      </c>
      <c r="G154" s="60">
        <v>0.20711584251867801</v>
      </c>
      <c r="H154" s="61">
        <v>0.17595744680851</v>
      </c>
      <c r="I154" s="62">
        <v>4.05</v>
      </c>
      <c r="J154" s="37">
        <v>3.8740425531914897</v>
      </c>
      <c r="K154" s="37">
        <v>2201.6928657799358</v>
      </c>
      <c r="L154" s="1" t="s">
        <v>23</v>
      </c>
      <c r="M154" s="1">
        <v>1</v>
      </c>
    </row>
    <row r="155" spans="1:13" x14ac:dyDescent="0.3">
      <c r="A155">
        <v>16</v>
      </c>
      <c r="B155">
        <v>1</v>
      </c>
      <c r="C155" t="s">
        <v>79</v>
      </c>
      <c r="D155" s="1" t="s">
        <v>2</v>
      </c>
      <c r="E155" s="59" t="s">
        <v>15</v>
      </c>
      <c r="F155" s="60">
        <v>3.2679661016949102</v>
      </c>
      <c r="G155" s="60">
        <v>0.83025783142799403</v>
      </c>
      <c r="H155" s="61">
        <v>3.3354545454545401</v>
      </c>
      <c r="I155" s="62">
        <v>3.84</v>
      </c>
      <c r="J155" s="37">
        <v>0.50454545454545974</v>
      </c>
      <c r="K155" s="37">
        <v>15.126737530662485</v>
      </c>
      <c r="L155" s="1" t="s">
        <v>23</v>
      </c>
      <c r="M155" s="1">
        <v>1</v>
      </c>
    </row>
    <row r="156" spans="1:13" x14ac:dyDescent="0.3">
      <c r="A156">
        <v>16</v>
      </c>
      <c r="B156">
        <v>1</v>
      </c>
      <c r="C156" t="s">
        <v>79</v>
      </c>
      <c r="D156" s="1" t="s">
        <v>2</v>
      </c>
      <c r="E156" s="59" t="s">
        <v>16</v>
      </c>
      <c r="F156" s="60">
        <v>7.9289999999999896</v>
      </c>
      <c r="G156" s="60">
        <v>0.657778331456223</v>
      </c>
      <c r="H156" s="61">
        <v>7.8799999999999901</v>
      </c>
      <c r="I156" s="62">
        <v>2.25</v>
      </c>
      <c r="J156" s="37">
        <v>-5.6299999999999901</v>
      </c>
      <c r="K156" s="37">
        <v>-71.446700507614182</v>
      </c>
      <c r="L156" s="1" t="s">
        <v>23</v>
      </c>
      <c r="M156" s="1">
        <v>1</v>
      </c>
    </row>
    <row r="157" spans="1:13" x14ac:dyDescent="0.3">
      <c r="A157">
        <v>16</v>
      </c>
      <c r="B157">
        <v>1</v>
      </c>
      <c r="C157" t="s">
        <v>79</v>
      </c>
      <c r="D157" s="1" t="s">
        <v>2</v>
      </c>
      <c r="E157" s="59" t="s">
        <v>17</v>
      </c>
      <c r="F157" s="60">
        <v>3.2690000000000001</v>
      </c>
      <c r="G157" s="60">
        <v>0.69426867997915598</v>
      </c>
      <c r="H157" s="61">
        <v>3.4464999999999999</v>
      </c>
      <c r="I157" s="62">
        <v>4.26</v>
      </c>
      <c r="J157" s="37">
        <v>0.81349999999999989</v>
      </c>
      <c r="K157" s="37">
        <v>23.603655882779627</v>
      </c>
      <c r="L157" s="1" t="s">
        <v>23</v>
      </c>
      <c r="M157" s="1">
        <v>1</v>
      </c>
    </row>
    <row r="158" spans="1:13" x14ac:dyDescent="0.3">
      <c r="A158">
        <v>16</v>
      </c>
      <c r="B158">
        <v>1</v>
      </c>
      <c r="C158" t="s">
        <v>79</v>
      </c>
      <c r="D158" s="1" t="s">
        <v>2</v>
      </c>
      <c r="E158" s="59" t="s">
        <v>18</v>
      </c>
      <c r="F158" s="60">
        <v>0.70133333333333303</v>
      </c>
      <c r="G158" s="60">
        <v>0.24435265953580701</v>
      </c>
      <c r="H158" s="61">
        <v>0.84727272727272795</v>
      </c>
      <c r="I158" s="62">
        <v>1.27</v>
      </c>
      <c r="J158" s="37">
        <v>0.42272727272727206</v>
      </c>
      <c r="K158" s="37">
        <v>49.892703862660824</v>
      </c>
      <c r="L158" s="1" t="s">
        <v>23</v>
      </c>
      <c r="M158" s="1">
        <v>1</v>
      </c>
    </row>
    <row r="159" spans="1:13" x14ac:dyDescent="0.3">
      <c r="A159">
        <v>16</v>
      </c>
      <c r="B159">
        <v>1</v>
      </c>
      <c r="C159" t="s">
        <v>79</v>
      </c>
      <c r="D159" s="1" t="s">
        <v>2</v>
      </c>
      <c r="E159" s="59" t="s">
        <v>19</v>
      </c>
      <c r="F159" s="60">
        <v>2.88071428571428</v>
      </c>
      <c r="G159" s="60">
        <v>1.5336020357581699</v>
      </c>
      <c r="H159" s="61">
        <v>3.7844444444444401</v>
      </c>
      <c r="I159" s="62">
        <v>1.64</v>
      </c>
      <c r="J159" s="37">
        <v>-2.1444444444444404</v>
      </c>
      <c r="K159" s="37">
        <v>-56.664709336465023</v>
      </c>
      <c r="L159" s="1" t="s">
        <v>23</v>
      </c>
      <c r="M159" s="1">
        <v>1</v>
      </c>
    </row>
    <row r="160" spans="1:13" x14ac:dyDescent="0.3">
      <c r="A160">
        <v>16</v>
      </c>
      <c r="B160">
        <v>1</v>
      </c>
      <c r="C160" t="s">
        <v>79</v>
      </c>
      <c r="D160" s="1" t="s">
        <v>2</v>
      </c>
      <c r="E160" s="59" t="s">
        <v>12</v>
      </c>
      <c r="F160" s="60">
        <v>1.85049999999999</v>
      </c>
      <c r="G160" s="60">
        <v>0.30294347657607601</v>
      </c>
      <c r="H160" s="61">
        <v>1.71723404255319</v>
      </c>
      <c r="I160" s="62">
        <v>3.62</v>
      </c>
      <c r="J160" s="37">
        <v>1.9027659574468101</v>
      </c>
      <c r="K160" s="37">
        <v>110.80411349275201</v>
      </c>
      <c r="L160" s="1" t="s">
        <v>68</v>
      </c>
      <c r="M160" s="1">
        <v>1</v>
      </c>
    </row>
    <row r="161" spans="1:13" x14ac:dyDescent="0.3">
      <c r="A161">
        <v>16</v>
      </c>
      <c r="B161">
        <v>1</v>
      </c>
      <c r="C161" t="s">
        <v>79</v>
      </c>
      <c r="D161" s="1" t="s">
        <v>2</v>
      </c>
      <c r="E161" s="59" t="s">
        <v>13</v>
      </c>
      <c r="F161" s="60">
        <v>0.44666666666666599</v>
      </c>
      <c r="G161" s="60">
        <v>2.3711225658371599E-2</v>
      </c>
      <c r="H161" s="61">
        <v>0.44999999999999901</v>
      </c>
      <c r="I161" s="62">
        <v>2.38</v>
      </c>
      <c r="J161" s="37">
        <v>1.9300000000000008</v>
      </c>
      <c r="K161" s="37">
        <v>428.88888888889005</v>
      </c>
      <c r="L161" s="1" t="s">
        <v>68</v>
      </c>
      <c r="M161" s="1">
        <v>1</v>
      </c>
    </row>
    <row r="162" spans="1:13" x14ac:dyDescent="0.3">
      <c r="A162">
        <v>16</v>
      </c>
      <c r="B162">
        <v>1</v>
      </c>
      <c r="C162" t="s">
        <v>79</v>
      </c>
      <c r="D162" s="1" t="s">
        <v>2</v>
      </c>
      <c r="E162" s="59" t="s">
        <v>14</v>
      </c>
      <c r="F162" s="60">
        <v>0.27783333333333299</v>
      </c>
      <c r="G162" s="60">
        <v>0.20711584251867801</v>
      </c>
      <c r="H162" s="61">
        <v>0.17595744680851</v>
      </c>
      <c r="I162" s="62">
        <v>3.96</v>
      </c>
      <c r="J162" s="37">
        <v>3.7840425531914899</v>
      </c>
      <c r="K162" s="37">
        <v>2150.5441354292707</v>
      </c>
      <c r="L162" s="1" t="s">
        <v>68</v>
      </c>
      <c r="M162" s="1">
        <v>1</v>
      </c>
    </row>
    <row r="163" spans="1:13" x14ac:dyDescent="0.3">
      <c r="A163">
        <v>16</v>
      </c>
      <c r="B163">
        <v>1</v>
      </c>
      <c r="C163" t="s">
        <v>79</v>
      </c>
      <c r="D163" s="1" t="s">
        <v>2</v>
      </c>
      <c r="E163" s="59" t="s">
        <v>15</v>
      </c>
      <c r="F163" s="60">
        <v>3.2679661016949102</v>
      </c>
      <c r="G163" s="60">
        <v>0.83025783142799403</v>
      </c>
      <c r="H163" s="61">
        <v>3.3354545454545401</v>
      </c>
      <c r="I163" s="62">
        <v>3.68</v>
      </c>
      <c r="J163" s="37">
        <v>0.34454545454546004</v>
      </c>
      <c r="K163" s="37">
        <v>10.329790133551557</v>
      </c>
      <c r="L163" s="1" t="s">
        <v>68</v>
      </c>
      <c r="M163" s="1">
        <v>1</v>
      </c>
    </row>
    <row r="164" spans="1:13" x14ac:dyDescent="0.3">
      <c r="A164">
        <v>16</v>
      </c>
      <c r="B164">
        <v>1</v>
      </c>
      <c r="C164" t="s">
        <v>79</v>
      </c>
      <c r="D164" s="1" t="s">
        <v>2</v>
      </c>
      <c r="E164" s="59" t="s">
        <v>16</v>
      </c>
      <c r="F164" s="60">
        <v>7.9289999999999896</v>
      </c>
      <c r="G164" s="60">
        <v>0.657778331456223</v>
      </c>
      <c r="H164" s="61">
        <v>7.8799999999999901</v>
      </c>
      <c r="I164" s="62">
        <v>2.14</v>
      </c>
      <c r="J164" s="37">
        <v>-5.7399999999999896</v>
      </c>
      <c r="K164" s="37">
        <v>-72.842639593908586</v>
      </c>
      <c r="L164" s="1" t="s">
        <v>68</v>
      </c>
      <c r="M164" s="1">
        <v>1</v>
      </c>
    </row>
    <row r="165" spans="1:13" x14ac:dyDescent="0.3">
      <c r="A165">
        <v>16</v>
      </c>
      <c r="B165">
        <v>1</v>
      </c>
      <c r="C165" t="s">
        <v>79</v>
      </c>
      <c r="D165" s="1" t="s">
        <v>2</v>
      </c>
      <c r="E165" s="59" t="s">
        <v>17</v>
      </c>
      <c r="F165" s="60">
        <v>3.2690000000000001</v>
      </c>
      <c r="G165" s="60">
        <v>0.69426867997915598</v>
      </c>
      <c r="H165" s="61">
        <v>3.4464999999999999</v>
      </c>
      <c r="I165" s="62">
        <v>4.1100000000000003</v>
      </c>
      <c r="J165" s="37">
        <v>0.66350000000000042</v>
      </c>
      <c r="K165" s="37">
        <v>19.251414478456418</v>
      </c>
      <c r="L165" s="1" t="s">
        <v>68</v>
      </c>
      <c r="M165" s="1">
        <v>1</v>
      </c>
    </row>
    <row r="166" spans="1:13" x14ac:dyDescent="0.3">
      <c r="A166">
        <v>16</v>
      </c>
      <c r="B166">
        <v>1</v>
      </c>
      <c r="C166" t="s">
        <v>79</v>
      </c>
      <c r="D166" s="1" t="s">
        <v>2</v>
      </c>
      <c r="E166" s="59" t="s">
        <v>18</v>
      </c>
      <c r="F166" s="60">
        <v>0.70133333333333303</v>
      </c>
      <c r="G166" s="60">
        <v>0.24435265953580701</v>
      </c>
      <c r="H166" s="61">
        <v>0.84727272727272795</v>
      </c>
      <c r="I166" s="62">
        <v>1.1399999999999999</v>
      </c>
      <c r="J166" s="37">
        <v>0.29272727272727195</v>
      </c>
      <c r="K166" s="37">
        <v>34.549356223175849</v>
      </c>
      <c r="L166" s="1" t="s">
        <v>68</v>
      </c>
      <c r="M166" s="1">
        <v>1</v>
      </c>
    </row>
    <row r="167" spans="1:13" x14ac:dyDescent="0.3">
      <c r="A167">
        <v>16</v>
      </c>
      <c r="B167">
        <v>1</v>
      </c>
      <c r="C167" t="s">
        <v>79</v>
      </c>
      <c r="D167" s="1" t="s">
        <v>2</v>
      </c>
      <c r="E167" s="59" t="s">
        <v>19</v>
      </c>
      <c r="F167" s="60">
        <v>2.88071428571428</v>
      </c>
      <c r="G167" s="60">
        <v>1.5336020357581699</v>
      </c>
      <c r="H167" s="61">
        <v>3.7844444444444401</v>
      </c>
      <c r="I167" s="62">
        <v>1.5</v>
      </c>
      <c r="J167" s="37">
        <v>-2.2844444444444401</v>
      </c>
      <c r="K167" s="37">
        <v>-60.364063417498478</v>
      </c>
      <c r="L167" s="1" t="s">
        <v>68</v>
      </c>
      <c r="M167" s="1">
        <v>1</v>
      </c>
    </row>
    <row r="168" spans="1:13" x14ac:dyDescent="0.3">
      <c r="A168">
        <v>16</v>
      </c>
      <c r="B168">
        <v>1</v>
      </c>
      <c r="C168" t="s">
        <v>79</v>
      </c>
      <c r="D168" s="1" t="s">
        <v>2</v>
      </c>
      <c r="E168" s="59" t="s">
        <v>12</v>
      </c>
      <c r="F168" s="60">
        <v>1.85049999999999</v>
      </c>
      <c r="G168" s="60">
        <v>0.30294347657607601</v>
      </c>
      <c r="H168" s="61">
        <v>1.71723404255319</v>
      </c>
      <c r="I168" s="62">
        <v>3.55</v>
      </c>
      <c r="J168" s="37">
        <v>1.8327659574468098</v>
      </c>
      <c r="K168" s="37">
        <v>106.72779085615183</v>
      </c>
      <c r="L168" s="1" t="s">
        <v>69</v>
      </c>
      <c r="M168" s="1">
        <v>1</v>
      </c>
    </row>
    <row r="169" spans="1:13" x14ac:dyDescent="0.3">
      <c r="A169">
        <v>16</v>
      </c>
      <c r="B169">
        <v>1</v>
      </c>
      <c r="C169" t="s">
        <v>79</v>
      </c>
      <c r="D169" s="1" t="s">
        <v>2</v>
      </c>
      <c r="E169" s="59" t="s">
        <v>13</v>
      </c>
      <c r="F169" s="60">
        <v>0.44666666666666599</v>
      </c>
      <c r="G169" s="60">
        <v>2.3711225658371599E-2</v>
      </c>
      <c r="H169" s="61">
        <v>0.44999999999999901</v>
      </c>
      <c r="I169" s="62">
        <v>2.44</v>
      </c>
      <c r="J169" s="37">
        <v>1.9900000000000009</v>
      </c>
      <c r="K169" s="37">
        <v>442.22222222222342</v>
      </c>
      <c r="L169" s="1" t="s">
        <v>69</v>
      </c>
      <c r="M169" s="1">
        <v>1</v>
      </c>
    </row>
    <row r="170" spans="1:13" x14ac:dyDescent="0.3">
      <c r="A170">
        <v>16</v>
      </c>
      <c r="B170">
        <v>1</v>
      </c>
      <c r="C170" t="s">
        <v>79</v>
      </c>
      <c r="D170" s="1" t="s">
        <v>2</v>
      </c>
      <c r="E170" s="59" t="s">
        <v>14</v>
      </c>
      <c r="F170" s="60">
        <v>0.27783333333333299</v>
      </c>
      <c r="G170" s="60">
        <v>0.20711584251867801</v>
      </c>
      <c r="H170" s="61">
        <v>0.17595744680851</v>
      </c>
      <c r="I170" s="62">
        <v>3.99</v>
      </c>
      <c r="J170" s="37">
        <v>3.8140425531914901</v>
      </c>
      <c r="K170" s="37">
        <v>2167.5937122128257</v>
      </c>
      <c r="L170" s="1" t="s">
        <v>69</v>
      </c>
      <c r="M170" s="1">
        <v>1</v>
      </c>
    </row>
    <row r="171" spans="1:13" x14ac:dyDescent="0.3">
      <c r="A171">
        <v>16</v>
      </c>
      <c r="B171">
        <v>1</v>
      </c>
      <c r="C171" t="s">
        <v>79</v>
      </c>
      <c r="D171" s="1" t="s">
        <v>2</v>
      </c>
      <c r="E171" s="59" t="s">
        <v>15</v>
      </c>
      <c r="F171" s="60">
        <v>3.2679661016949102</v>
      </c>
      <c r="G171" s="60">
        <v>0.83025783142799403</v>
      </c>
      <c r="H171" s="61">
        <v>3.3354545454545401</v>
      </c>
      <c r="I171" s="62">
        <v>3.75</v>
      </c>
      <c r="J171" s="37">
        <v>0.41454545454545988</v>
      </c>
      <c r="K171" s="37">
        <v>12.428454619787587</v>
      </c>
      <c r="L171" s="1" t="s">
        <v>69</v>
      </c>
      <c r="M171" s="1">
        <v>1</v>
      </c>
    </row>
    <row r="172" spans="1:13" x14ac:dyDescent="0.3">
      <c r="A172">
        <v>16</v>
      </c>
      <c r="B172">
        <v>1</v>
      </c>
      <c r="C172" t="s">
        <v>79</v>
      </c>
      <c r="D172" s="1" t="s">
        <v>2</v>
      </c>
      <c r="E172" s="59" t="s">
        <v>16</v>
      </c>
      <c r="F172" s="60">
        <v>7.9289999999999896</v>
      </c>
      <c r="G172" s="60">
        <v>0.657778331456223</v>
      </c>
      <c r="H172" s="61">
        <v>7.8799999999999901</v>
      </c>
      <c r="I172" s="62">
        <v>2.2000000000000002</v>
      </c>
      <c r="J172" s="37">
        <v>-5.6799999999999899</v>
      </c>
      <c r="K172" s="37">
        <v>-72.081218274111635</v>
      </c>
      <c r="L172" s="1" t="s">
        <v>69</v>
      </c>
      <c r="M172" s="1">
        <v>1</v>
      </c>
    </row>
    <row r="173" spans="1:13" x14ac:dyDescent="0.3">
      <c r="A173">
        <v>16</v>
      </c>
      <c r="B173">
        <v>1</v>
      </c>
      <c r="C173" t="s">
        <v>79</v>
      </c>
      <c r="D173" s="1" t="s">
        <v>2</v>
      </c>
      <c r="E173" s="59" t="s">
        <v>17</v>
      </c>
      <c r="F173" s="60">
        <v>3.2690000000000001</v>
      </c>
      <c r="G173" s="60">
        <v>0.69426867997915598</v>
      </c>
      <c r="H173" s="61">
        <v>3.4464999999999999</v>
      </c>
      <c r="I173" s="62">
        <v>4.25</v>
      </c>
      <c r="J173" s="37">
        <v>0.8035000000000001</v>
      </c>
      <c r="K173" s="37">
        <v>23.313506455824754</v>
      </c>
      <c r="L173" s="1" t="s">
        <v>69</v>
      </c>
      <c r="M173" s="1">
        <v>1</v>
      </c>
    </row>
    <row r="174" spans="1:13" x14ac:dyDescent="0.3">
      <c r="A174">
        <v>16</v>
      </c>
      <c r="B174">
        <v>1</v>
      </c>
      <c r="C174" t="s">
        <v>79</v>
      </c>
      <c r="D174" s="1" t="s">
        <v>2</v>
      </c>
      <c r="E174" s="59" t="s">
        <v>18</v>
      </c>
      <c r="F174" s="60">
        <v>0.70133333333333303</v>
      </c>
      <c r="G174" s="60">
        <v>0.24435265953580701</v>
      </c>
      <c r="H174" s="61">
        <v>0.84727272727272795</v>
      </c>
      <c r="I174" s="62">
        <v>1.1599999999999999</v>
      </c>
      <c r="J174" s="37">
        <v>0.31272727272727197</v>
      </c>
      <c r="K174" s="37">
        <v>36.90987124463507</v>
      </c>
      <c r="L174" s="1" t="s">
        <v>69</v>
      </c>
      <c r="M174" s="1">
        <v>1</v>
      </c>
    </row>
    <row r="175" spans="1:13" x14ac:dyDescent="0.3">
      <c r="A175">
        <v>16</v>
      </c>
      <c r="B175">
        <v>1</v>
      </c>
      <c r="C175" t="s">
        <v>79</v>
      </c>
      <c r="D175" s="1" t="s">
        <v>2</v>
      </c>
      <c r="E175" s="59" t="s">
        <v>19</v>
      </c>
      <c r="F175" s="60">
        <v>2.88071428571428</v>
      </c>
      <c r="G175" s="60">
        <v>1.5336020357581699</v>
      </c>
      <c r="H175" s="61">
        <v>3.7844444444444401</v>
      </c>
      <c r="I175" s="62">
        <v>1.51</v>
      </c>
      <c r="J175" s="37">
        <v>-2.2744444444444403</v>
      </c>
      <c r="K175" s="37">
        <v>-60.099823840281822</v>
      </c>
      <c r="L175" s="1" t="s">
        <v>69</v>
      </c>
      <c r="M175" s="1">
        <v>1</v>
      </c>
    </row>
    <row r="176" spans="1:13" x14ac:dyDescent="0.3">
      <c r="D176" s="1"/>
      <c r="E176" s="59"/>
      <c r="F176" s="60"/>
      <c r="G176" s="60"/>
      <c r="H176" s="61"/>
      <c r="I176" s="62"/>
      <c r="J176" s="37"/>
      <c r="K176" s="37"/>
      <c r="L176" s="1"/>
      <c r="M176" s="1"/>
    </row>
    <row r="177" spans="1:13" x14ac:dyDescent="0.3">
      <c r="A177">
        <v>16</v>
      </c>
      <c r="B177">
        <v>1</v>
      </c>
      <c r="C177" t="s">
        <v>79</v>
      </c>
      <c r="D177" s="1" t="s">
        <v>2</v>
      </c>
      <c r="E177" s="59" t="s">
        <v>12</v>
      </c>
      <c r="F177" s="60">
        <v>1.9124999999999901</v>
      </c>
      <c r="G177" s="60">
        <v>0.35629868088445099</v>
      </c>
      <c r="H177" s="61">
        <v>1.79239999999999</v>
      </c>
      <c r="I177" s="62">
        <v>3.8</v>
      </c>
      <c r="J177" s="37">
        <v>2.0076000000000098</v>
      </c>
      <c r="K177" s="37">
        <v>112.00624860522322</v>
      </c>
      <c r="L177" s="1" t="s">
        <v>23</v>
      </c>
      <c r="M177" s="1">
        <v>2</v>
      </c>
    </row>
    <row r="178" spans="1:13" x14ac:dyDescent="0.3">
      <c r="A178">
        <v>16</v>
      </c>
      <c r="B178">
        <v>1</v>
      </c>
      <c r="C178" t="s">
        <v>79</v>
      </c>
      <c r="D178" s="1" t="s">
        <v>2</v>
      </c>
      <c r="E178" s="59" t="s">
        <v>13</v>
      </c>
      <c r="F178" s="60">
        <v>0.44599999999999901</v>
      </c>
      <c r="G178" s="60">
        <v>2.79999999999999E-2</v>
      </c>
      <c r="H178" s="61">
        <v>0.44999999999999901</v>
      </c>
      <c r="I178" s="62">
        <v>2.5</v>
      </c>
      <c r="J178" s="37">
        <v>2.0500000000000012</v>
      </c>
      <c r="K178" s="37">
        <v>455.55555555555679</v>
      </c>
      <c r="L178" s="1" t="s">
        <v>23</v>
      </c>
      <c r="M178" s="1">
        <v>2</v>
      </c>
    </row>
    <row r="179" spans="1:13" x14ac:dyDescent="0.3">
      <c r="A179">
        <v>16</v>
      </c>
      <c r="B179">
        <v>1</v>
      </c>
      <c r="C179" t="s">
        <v>79</v>
      </c>
      <c r="D179" s="1" t="s">
        <v>2</v>
      </c>
      <c r="E179" s="59" t="s">
        <v>14</v>
      </c>
      <c r="F179" s="60">
        <v>0.27933333333333299</v>
      </c>
      <c r="G179" s="60">
        <v>0.203722578250151</v>
      </c>
      <c r="H179" s="61">
        <v>0.163333333333333</v>
      </c>
      <c r="I179" s="62">
        <v>4.05</v>
      </c>
      <c r="J179" s="37">
        <v>3.8866666666666667</v>
      </c>
      <c r="K179" s="37">
        <v>2379.591836734699</v>
      </c>
      <c r="L179" s="1" t="s">
        <v>23</v>
      </c>
      <c r="M179" s="1">
        <v>2</v>
      </c>
    </row>
    <row r="180" spans="1:13" x14ac:dyDescent="0.3">
      <c r="A180">
        <v>16</v>
      </c>
      <c r="B180">
        <v>1</v>
      </c>
      <c r="C180" t="s">
        <v>79</v>
      </c>
      <c r="D180" s="1" t="s">
        <v>2</v>
      </c>
      <c r="E180" s="59" t="s">
        <v>15</v>
      </c>
      <c r="F180" s="60">
        <v>3.4459322033898299</v>
      </c>
      <c r="G180" s="60">
        <v>0.70481905033044001</v>
      </c>
      <c r="H180" s="61">
        <v>3.33391304347826</v>
      </c>
      <c r="I180" s="62">
        <v>3.84</v>
      </c>
      <c r="J180" s="37">
        <v>0.50608695652173985</v>
      </c>
      <c r="K180" s="37">
        <v>15.179968701095486</v>
      </c>
      <c r="L180" s="1" t="s">
        <v>23</v>
      </c>
      <c r="M180" s="1">
        <v>2</v>
      </c>
    </row>
    <row r="181" spans="1:13" x14ac:dyDescent="0.3">
      <c r="A181">
        <v>16</v>
      </c>
      <c r="B181">
        <v>1</v>
      </c>
      <c r="C181" t="s">
        <v>79</v>
      </c>
      <c r="D181" s="1" t="s">
        <v>2</v>
      </c>
      <c r="E181" s="59" t="s">
        <v>16</v>
      </c>
      <c r="F181" s="60">
        <v>7.9328333333333303</v>
      </c>
      <c r="G181" s="60">
        <v>0.71810187686396898</v>
      </c>
      <c r="H181" s="61">
        <v>7.8799999999999901</v>
      </c>
      <c r="I181" s="62">
        <v>2.25</v>
      </c>
      <c r="J181" s="37">
        <v>-5.6299999999999901</v>
      </c>
      <c r="K181" s="37">
        <v>-71.446700507614182</v>
      </c>
      <c r="L181" s="1" t="s">
        <v>23</v>
      </c>
      <c r="M181" s="1">
        <v>2</v>
      </c>
    </row>
    <row r="182" spans="1:13" x14ac:dyDescent="0.3">
      <c r="A182">
        <v>16</v>
      </c>
      <c r="B182">
        <v>1</v>
      </c>
      <c r="C182" t="s">
        <v>79</v>
      </c>
      <c r="D182" s="1" t="s">
        <v>2</v>
      </c>
      <c r="E182" s="59" t="s">
        <v>17</v>
      </c>
      <c r="F182" s="60">
        <v>3.2311666666666601</v>
      </c>
      <c r="G182" s="60">
        <v>0.76922058315905395</v>
      </c>
      <c r="H182" s="61">
        <v>3.4109302325581399</v>
      </c>
      <c r="I182" s="62">
        <v>4.26</v>
      </c>
      <c r="J182" s="37">
        <v>0.84906976744185991</v>
      </c>
      <c r="K182" s="37">
        <v>24.892616076907327</v>
      </c>
      <c r="L182" s="1" t="s">
        <v>23</v>
      </c>
      <c r="M182" s="1">
        <v>2</v>
      </c>
    </row>
    <row r="183" spans="1:13" x14ac:dyDescent="0.3">
      <c r="A183">
        <v>16</v>
      </c>
      <c r="B183">
        <v>1</v>
      </c>
      <c r="C183" t="s">
        <v>79</v>
      </c>
      <c r="D183" s="1" t="s">
        <v>2</v>
      </c>
      <c r="E183" s="59" t="s">
        <v>18</v>
      </c>
      <c r="F183" s="60">
        <v>0.68816666666666704</v>
      </c>
      <c r="G183" s="60">
        <v>0.25074217612696997</v>
      </c>
      <c r="H183" s="61">
        <v>0.84441860465116303</v>
      </c>
      <c r="I183" s="62">
        <v>1.27</v>
      </c>
      <c r="J183" s="37">
        <v>0.42558139534883699</v>
      </c>
      <c r="K183" s="37">
        <v>50.399339025061927</v>
      </c>
      <c r="L183" s="1" t="s">
        <v>23</v>
      </c>
      <c r="M183" s="1">
        <v>2</v>
      </c>
    </row>
    <row r="184" spans="1:13" x14ac:dyDescent="0.3">
      <c r="A184">
        <v>16</v>
      </c>
      <c r="B184">
        <v>1</v>
      </c>
      <c r="C184" t="s">
        <v>79</v>
      </c>
      <c r="D184" s="1" t="s">
        <v>2</v>
      </c>
      <c r="E184" s="59" t="s">
        <v>19</v>
      </c>
      <c r="F184" s="60">
        <v>3.0851851851851801</v>
      </c>
      <c r="G184" s="60">
        <v>1.65993835309532</v>
      </c>
      <c r="H184" s="61">
        <v>3.42133333333333</v>
      </c>
      <c r="I184" s="62">
        <v>1.64</v>
      </c>
      <c r="J184" s="37">
        <v>-1.7813333333333301</v>
      </c>
      <c r="K184" s="37">
        <v>-52.065471551052177</v>
      </c>
      <c r="L184" s="1" t="s">
        <v>23</v>
      </c>
      <c r="M184" s="1">
        <v>2</v>
      </c>
    </row>
    <row r="185" spans="1:13" x14ac:dyDescent="0.3">
      <c r="A185">
        <v>16</v>
      </c>
      <c r="B185">
        <v>1</v>
      </c>
      <c r="C185" t="s">
        <v>79</v>
      </c>
      <c r="D185" s="1" t="s">
        <v>2</v>
      </c>
      <c r="E185" s="59" t="s">
        <v>12</v>
      </c>
      <c r="F185" s="60">
        <v>1.9124999999999901</v>
      </c>
      <c r="G185" s="60">
        <v>0.35629868088445099</v>
      </c>
      <c r="H185" s="61">
        <v>1.79239999999999</v>
      </c>
      <c r="I185" s="62">
        <v>3.62</v>
      </c>
      <c r="J185" s="37">
        <v>1.8276000000000101</v>
      </c>
      <c r="K185" s="37">
        <v>101.96384735550214</v>
      </c>
      <c r="L185" s="1" t="s">
        <v>68</v>
      </c>
      <c r="M185" s="1">
        <v>2</v>
      </c>
    </row>
    <row r="186" spans="1:13" x14ac:dyDescent="0.3">
      <c r="A186">
        <v>16</v>
      </c>
      <c r="B186">
        <v>1</v>
      </c>
      <c r="C186" t="s">
        <v>79</v>
      </c>
      <c r="D186" s="1" t="s">
        <v>2</v>
      </c>
      <c r="E186" s="59" t="s">
        <v>13</v>
      </c>
      <c r="F186" s="60">
        <v>0.44599999999999901</v>
      </c>
      <c r="G186" s="60">
        <v>2.79999999999999E-2</v>
      </c>
      <c r="H186" s="61">
        <v>0.44999999999999901</v>
      </c>
      <c r="I186" s="62">
        <v>2.38</v>
      </c>
      <c r="J186" s="37">
        <v>1.9300000000000008</v>
      </c>
      <c r="K186" s="37">
        <v>428.88888888889005</v>
      </c>
      <c r="L186" s="1" t="s">
        <v>68</v>
      </c>
      <c r="M186" s="1">
        <v>2</v>
      </c>
    </row>
    <row r="187" spans="1:13" x14ac:dyDescent="0.3">
      <c r="A187">
        <v>16</v>
      </c>
      <c r="B187">
        <v>1</v>
      </c>
      <c r="C187" t="s">
        <v>79</v>
      </c>
      <c r="D187" s="1" t="s">
        <v>2</v>
      </c>
      <c r="E187" s="59" t="s">
        <v>14</v>
      </c>
      <c r="F187" s="60">
        <v>0.27933333333333299</v>
      </c>
      <c r="G187" s="60">
        <v>0.203722578250151</v>
      </c>
      <c r="H187" s="61">
        <v>0.163333333333333</v>
      </c>
      <c r="I187" s="62">
        <v>3.96</v>
      </c>
      <c r="J187" s="37">
        <v>3.7966666666666669</v>
      </c>
      <c r="K187" s="37">
        <v>2324.4897959183722</v>
      </c>
      <c r="L187" s="1" t="s">
        <v>68</v>
      </c>
      <c r="M187" s="1">
        <v>2</v>
      </c>
    </row>
    <row r="188" spans="1:13" x14ac:dyDescent="0.3">
      <c r="A188">
        <v>16</v>
      </c>
      <c r="B188">
        <v>1</v>
      </c>
      <c r="C188" t="s">
        <v>79</v>
      </c>
      <c r="D188" s="1" t="s">
        <v>2</v>
      </c>
      <c r="E188" s="59" t="s">
        <v>15</v>
      </c>
      <c r="F188" s="60">
        <v>3.4459322033898299</v>
      </c>
      <c r="G188" s="60">
        <v>0.70481905033044001</v>
      </c>
      <c r="H188" s="61">
        <v>3.33391304347826</v>
      </c>
      <c r="I188" s="62">
        <v>3.68</v>
      </c>
      <c r="J188" s="37">
        <v>0.34608695652174015</v>
      </c>
      <c r="K188" s="37">
        <v>10.38080333854985</v>
      </c>
      <c r="L188" s="1" t="s">
        <v>68</v>
      </c>
      <c r="M188" s="1">
        <v>2</v>
      </c>
    </row>
    <row r="189" spans="1:13" x14ac:dyDescent="0.3">
      <c r="A189">
        <v>16</v>
      </c>
      <c r="B189">
        <v>1</v>
      </c>
      <c r="C189" t="s">
        <v>79</v>
      </c>
      <c r="D189" s="1" t="s">
        <v>2</v>
      </c>
      <c r="E189" s="59" t="s">
        <v>16</v>
      </c>
      <c r="F189" s="60">
        <v>7.9328333333333303</v>
      </c>
      <c r="G189" s="60">
        <v>0.71810187686396898</v>
      </c>
      <c r="H189" s="61">
        <v>7.8799999999999901</v>
      </c>
      <c r="I189" s="62">
        <v>2.14</v>
      </c>
      <c r="J189" s="37">
        <v>-5.7399999999999896</v>
      </c>
      <c r="K189" s="37">
        <v>-72.842639593908586</v>
      </c>
      <c r="L189" s="1" t="s">
        <v>68</v>
      </c>
      <c r="M189" s="1">
        <v>2</v>
      </c>
    </row>
    <row r="190" spans="1:13" x14ac:dyDescent="0.3">
      <c r="A190">
        <v>16</v>
      </c>
      <c r="B190">
        <v>1</v>
      </c>
      <c r="C190" t="s">
        <v>79</v>
      </c>
      <c r="D190" s="1" t="s">
        <v>2</v>
      </c>
      <c r="E190" s="59" t="s">
        <v>17</v>
      </c>
      <c r="F190" s="60">
        <v>3.2311666666666601</v>
      </c>
      <c r="G190" s="60">
        <v>0.76922058315905395</v>
      </c>
      <c r="H190" s="61">
        <v>3.4109302325581399</v>
      </c>
      <c r="I190" s="62">
        <v>4.1100000000000003</v>
      </c>
      <c r="J190" s="37">
        <v>0.69906976744186045</v>
      </c>
      <c r="K190" s="37">
        <v>20.494988750255676</v>
      </c>
      <c r="L190" s="1" t="s">
        <v>68</v>
      </c>
      <c r="M190" s="1">
        <v>2</v>
      </c>
    </row>
    <row r="191" spans="1:13" x14ac:dyDescent="0.3">
      <c r="A191">
        <v>16</v>
      </c>
      <c r="B191">
        <v>1</v>
      </c>
      <c r="C191" t="s">
        <v>79</v>
      </c>
      <c r="D191" s="1" t="s">
        <v>2</v>
      </c>
      <c r="E191" s="59" t="s">
        <v>18</v>
      </c>
      <c r="F191" s="60">
        <v>0.68816666666666704</v>
      </c>
      <c r="G191" s="60">
        <v>0.25074217612696997</v>
      </c>
      <c r="H191" s="61">
        <v>0.84441860465116303</v>
      </c>
      <c r="I191" s="62">
        <v>1.1399999999999999</v>
      </c>
      <c r="J191" s="37">
        <v>0.29558139534883687</v>
      </c>
      <c r="K191" s="37">
        <v>35.004131093362659</v>
      </c>
      <c r="L191" s="1" t="s">
        <v>68</v>
      </c>
      <c r="M191" s="1">
        <v>2</v>
      </c>
    </row>
    <row r="192" spans="1:13" x14ac:dyDescent="0.3">
      <c r="A192">
        <v>16</v>
      </c>
      <c r="B192">
        <v>1</v>
      </c>
      <c r="C192" t="s">
        <v>79</v>
      </c>
      <c r="D192" s="1" t="s">
        <v>2</v>
      </c>
      <c r="E192" s="59" t="s">
        <v>19</v>
      </c>
      <c r="F192" s="60">
        <v>3.0851851851851801</v>
      </c>
      <c r="G192" s="60">
        <v>1.65993835309532</v>
      </c>
      <c r="H192" s="61">
        <v>3.42133333333333</v>
      </c>
      <c r="I192" s="62">
        <v>1.5</v>
      </c>
      <c r="J192" s="37">
        <v>-1.92133333333333</v>
      </c>
      <c r="K192" s="37">
        <v>-56.157443491816018</v>
      </c>
      <c r="L192" s="1" t="s">
        <v>68</v>
      </c>
      <c r="M192" s="1">
        <v>2</v>
      </c>
    </row>
    <row r="193" spans="1:13" x14ac:dyDescent="0.3">
      <c r="A193">
        <v>16</v>
      </c>
      <c r="B193">
        <v>1</v>
      </c>
      <c r="C193" t="s">
        <v>79</v>
      </c>
      <c r="D193" s="1" t="s">
        <v>2</v>
      </c>
      <c r="E193" s="59" t="s">
        <v>12</v>
      </c>
      <c r="F193" s="60">
        <v>1.9124999999999901</v>
      </c>
      <c r="G193" s="60">
        <v>0.35629868088445099</v>
      </c>
      <c r="H193" s="61">
        <v>1.79239999999999</v>
      </c>
      <c r="I193" s="62">
        <v>3.55</v>
      </c>
      <c r="J193" s="37">
        <v>1.7576000000000098</v>
      </c>
      <c r="K193" s="37">
        <v>98.05846909172169</v>
      </c>
      <c r="L193" s="1" t="s">
        <v>69</v>
      </c>
      <c r="M193" s="1">
        <v>2</v>
      </c>
    </row>
    <row r="194" spans="1:13" x14ac:dyDescent="0.3">
      <c r="A194">
        <v>16</v>
      </c>
      <c r="B194">
        <v>1</v>
      </c>
      <c r="C194" t="s">
        <v>79</v>
      </c>
      <c r="D194" s="1" t="s">
        <v>2</v>
      </c>
      <c r="E194" s="59" t="s">
        <v>13</v>
      </c>
      <c r="F194" s="60">
        <v>0.44599999999999901</v>
      </c>
      <c r="G194" s="60">
        <v>2.79999999999999E-2</v>
      </c>
      <c r="H194" s="61">
        <v>0.44999999999999901</v>
      </c>
      <c r="I194" s="62">
        <v>2.44</v>
      </c>
      <c r="J194" s="37">
        <v>1.9900000000000009</v>
      </c>
      <c r="K194" s="37">
        <v>442.22222222222342</v>
      </c>
      <c r="L194" s="1" t="s">
        <v>69</v>
      </c>
      <c r="M194" s="1">
        <v>2</v>
      </c>
    </row>
    <row r="195" spans="1:13" x14ac:dyDescent="0.3">
      <c r="A195">
        <v>16</v>
      </c>
      <c r="B195">
        <v>1</v>
      </c>
      <c r="C195" t="s">
        <v>79</v>
      </c>
      <c r="D195" s="1" t="s">
        <v>2</v>
      </c>
      <c r="E195" s="59" t="s">
        <v>14</v>
      </c>
      <c r="F195" s="60">
        <v>0.27933333333333299</v>
      </c>
      <c r="G195" s="60">
        <v>0.203722578250151</v>
      </c>
      <c r="H195" s="61">
        <v>0.163333333333333</v>
      </c>
      <c r="I195" s="62">
        <v>3.99</v>
      </c>
      <c r="J195" s="37">
        <v>3.8266666666666671</v>
      </c>
      <c r="K195" s="37">
        <v>2342.8571428571481</v>
      </c>
      <c r="L195" s="1" t="s">
        <v>69</v>
      </c>
      <c r="M195" s="1">
        <v>2</v>
      </c>
    </row>
    <row r="196" spans="1:13" x14ac:dyDescent="0.3">
      <c r="A196">
        <v>16</v>
      </c>
      <c r="B196">
        <v>1</v>
      </c>
      <c r="C196" t="s">
        <v>79</v>
      </c>
      <c r="D196" s="1" t="s">
        <v>2</v>
      </c>
      <c r="E196" s="59" t="s">
        <v>15</v>
      </c>
      <c r="F196" s="60">
        <v>3.4459322033898299</v>
      </c>
      <c r="G196" s="60">
        <v>0.70481905033044001</v>
      </c>
      <c r="H196" s="61">
        <v>3.33391304347826</v>
      </c>
      <c r="I196" s="62">
        <v>3.75</v>
      </c>
      <c r="J196" s="37">
        <v>0.41608695652173999</v>
      </c>
      <c r="K196" s="37">
        <v>12.480438184663566</v>
      </c>
      <c r="L196" s="1" t="s">
        <v>69</v>
      </c>
      <c r="M196" s="1">
        <v>2</v>
      </c>
    </row>
    <row r="197" spans="1:13" x14ac:dyDescent="0.3">
      <c r="A197">
        <v>16</v>
      </c>
      <c r="B197">
        <v>1</v>
      </c>
      <c r="C197" t="s">
        <v>79</v>
      </c>
      <c r="D197" s="1" t="s">
        <v>2</v>
      </c>
      <c r="E197" s="59" t="s">
        <v>16</v>
      </c>
      <c r="F197" s="60">
        <v>7.9328333333333303</v>
      </c>
      <c r="G197" s="60">
        <v>0.71810187686396898</v>
      </c>
      <c r="H197" s="61">
        <v>7.8799999999999901</v>
      </c>
      <c r="I197" s="62">
        <v>2.2000000000000002</v>
      </c>
      <c r="J197" s="37">
        <v>-5.6799999999999899</v>
      </c>
      <c r="K197" s="37">
        <v>-72.081218274111635</v>
      </c>
      <c r="L197" s="1" t="s">
        <v>69</v>
      </c>
      <c r="M197" s="1">
        <v>2</v>
      </c>
    </row>
    <row r="198" spans="1:13" x14ac:dyDescent="0.3">
      <c r="A198">
        <v>16</v>
      </c>
      <c r="B198">
        <v>1</v>
      </c>
      <c r="C198" t="s">
        <v>79</v>
      </c>
      <c r="D198" s="1" t="s">
        <v>2</v>
      </c>
      <c r="E198" s="59" t="s">
        <v>17</v>
      </c>
      <c r="F198" s="60">
        <v>3.2311666666666601</v>
      </c>
      <c r="G198" s="60">
        <v>0.76922058315905395</v>
      </c>
      <c r="H198" s="61">
        <v>3.4109302325581399</v>
      </c>
      <c r="I198" s="62">
        <v>4.25</v>
      </c>
      <c r="J198" s="37">
        <v>0.83906976744186013</v>
      </c>
      <c r="K198" s="37">
        <v>24.599440921797218</v>
      </c>
      <c r="L198" s="1" t="s">
        <v>69</v>
      </c>
      <c r="M198" s="1">
        <v>2</v>
      </c>
    </row>
    <row r="199" spans="1:13" x14ac:dyDescent="0.3">
      <c r="A199">
        <v>16</v>
      </c>
      <c r="B199">
        <v>1</v>
      </c>
      <c r="C199" t="s">
        <v>79</v>
      </c>
      <c r="D199" s="1" t="s">
        <v>2</v>
      </c>
      <c r="E199" s="59" t="s">
        <v>18</v>
      </c>
      <c r="F199" s="60">
        <v>0.68816666666666704</v>
      </c>
      <c r="G199" s="60">
        <v>0.25074217612696997</v>
      </c>
      <c r="H199" s="61">
        <v>0.84441860465116303</v>
      </c>
      <c r="I199" s="62">
        <v>1.1599999999999999</v>
      </c>
      <c r="J199" s="37">
        <v>0.31558139534883689</v>
      </c>
      <c r="K199" s="37">
        <v>37.37262462131639</v>
      </c>
      <c r="L199" s="1" t="s">
        <v>69</v>
      </c>
      <c r="M199" s="1">
        <v>2</v>
      </c>
    </row>
    <row r="200" spans="1:13" x14ac:dyDescent="0.3">
      <c r="A200">
        <v>16</v>
      </c>
      <c r="B200">
        <v>1</v>
      </c>
      <c r="C200" t="s">
        <v>79</v>
      </c>
      <c r="D200" s="1" t="s">
        <v>2</v>
      </c>
      <c r="E200" s="59" t="s">
        <v>19</v>
      </c>
      <c r="F200" s="60">
        <v>3.0851851851851801</v>
      </c>
      <c r="G200" s="60">
        <v>1.65993835309532</v>
      </c>
      <c r="H200" s="61">
        <v>3.42133333333333</v>
      </c>
      <c r="I200" s="62">
        <v>1.51</v>
      </c>
      <c r="J200" s="37">
        <v>-1.91133333333333</v>
      </c>
      <c r="K200" s="37">
        <v>-55.865159781761456</v>
      </c>
      <c r="L200" s="1" t="s">
        <v>69</v>
      </c>
      <c r="M200" s="1">
        <v>2</v>
      </c>
    </row>
    <row r="201" spans="1:13" x14ac:dyDescent="0.3">
      <c r="D201" s="1"/>
      <c r="E201" s="59"/>
      <c r="F201" s="60"/>
      <c r="G201" s="60"/>
      <c r="H201" s="61"/>
      <c r="I201" s="62"/>
      <c r="J201" s="37"/>
      <c r="K201" s="37"/>
      <c r="L201" s="1"/>
      <c r="M201" s="1"/>
    </row>
    <row r="202" spans="1:13" x14ac:dyDescent="0.3">
      <c r="A202">
        <v>16</v>
      </c>
      <c r="B202">
        <v>1</v>
      </c>
      <c r="C202" t="s">
        <v>79</v>
      </c>
      <c r="D202" s="1" t="s">
        <v>2</v>
      </c>
      <c r="E202" s="59" t="s">
        <v>12</v>
      </c>
      <c r="F202" s="60">
        <v>1.90699999999999</v>
      </c>
      <c r="G202" s="60">
        <v>0.27877888490103803</v>
      </c>
      <c r="H202" s="61">
        <v>1.89</v>
      </c>
      <c r="I202" s="63">
        <v>3.8</v>
      </c>
      <c r="J202" s="58">
        <v>1.91</v>
      </c>
      <c r="K202" s="58">
        <v>101.05820105820106</v>
      </c>
      <c r="L202" s="1" t="s">
        <v>23</v>
      </c>
      <c r="M202" s="1">
        <v>3</v>
      </c>
    </row>
    <row r="203" spans="1:13" x14ac:dyDescent="0.3">
      <c r="A203">
        <v>16</v>
      </c>
      <c r="B203">
        <v>1</v>
      </c>
      <c r="C203" t="s">
        <v>79</v>
      </c>
      <c r="D203" s="1" t="s">
        <v>2</v>
      </c>
      <c r="E203" s="59" t="s">
        <v>13</v>
      </c>
      <c r="F203" s="60">
        <v>0.44749999999999901</v>
      </c>
      <c r="G203" s="60">
        <v>3.41869858279433E-2</v>
      </c>
      <c r="H203" s="61">
        <v>0.44999999999999901</v>
      </c>
      <c r="I203" s="63">
        <v>2.5</v>
      </c>
      <c r="J203" s="58">
        <v>2.0500000000000012</v>
      </c>
      <c r="K203" s="58">
        <v>455.55555555555679</v>
      </c>
      <c r="L203" s="1" t="s">
        <v>23</v>
      </c>
      <c r="M203" s="1">
        <v>3</v>
      </c>
    </row>
    <row r="204" spans="1:13" x14ac:dyDescent="0.3">
      <c r="A204">
        <v>16</v>
      </c>
      <c r="B204">
        <v>1</v>
      </c>
      <c r="C204" t="s">
        <v>79</v>
      </c>
      <c r="D204" s="1" t="s">
        <v>2</v>
      </c>
      <c r="E204" s="59" t="s">
        <v>14</v>
      </c>
      <c r="F204" s="60">
        <v>0.24533333333333299</v>
      </c>
      <c r="G204" s="60">
        <v>0.19302389028879799</v>
      </c>
      <c r="H204" s="61">
        <v>0.15448979591836701</v>
      </c>
      <c r="I204" s="63">
        <v>4.05</v>
      </c>
      <c r="J204" s="58">
        <v>3.8955102040816327</v>
      </c>
      <c r="K204" s="58">
        <v>2521.5323645970993</v>
      </c>
      <c r="L204" s="1" t="s">
        <v>23</v>
      </c>
      <c r="M204" s="1">
        <v>3</v>
      </c>
    </row>
    <row r="205" spans="1:13" x14ac:dyDescent="0.3">
      <c r="A205">
        <v>16</v>
      </c>
      <c r="B205">
        <v>1</v>
      </c>
      <c r="C205" t="s">
        <v>79</v>
      </c>
      <c r="D205" s="1" t="s">
        <v>2</v>
      </c>
      <c r="E205" s="59" t="s">
        <v>15</v>
      </c>
      <c r="F205" s="60">
        <v>3.40491525423728</v>
      </c>
      <c r="G205" s="60">
        <v>0.74938024762467503</v>
      </c>
      <c r="H205" s="61">
        <v>3.3354545454545401</v>
      </c>
      <c r="I205" s="63">
        <v>3.84</v>
      </c>
      <c r="J205" s="58">
        <v>0.50454545454545974</v>
      </c>
      <c r="K205" s="58">
        <v>15.126737530662485</v>
      </c>
      <c r="L205" s="1" t="s">
        <v>23</v>
      </c>
      <c r="M205" s="1">
        <v>3</v>
      </c>
    </row>
    <row r="206" spans="1:13" x14ac:dyDescent="0.3">
      <c r="A206">
        <v>16</v>
      </c>
      <c r="B206">
        <v>1</v>
      </c>
      <c r="C206" t="s">
        <v>79</v>
      </c>
      <c r="D206" s="1" t="s">
        <v>2</v>
      </c>
      <c r="E206" s="59" t="s">
        <v>16</v>
      </c>
      <c r="F206" s="60">
        <v>8.0166666666666604</v>
      </c>
      <c r="G206" s="60">
        <v>0.71290173859297601</v>
      </c>
      <c r="H206" s="61">
        <v>7.8799999999999901</v>
      </c>
      <c r="I206" s="63">
        <v>2.25</v>
      </c>
      <c r="J206" s="58">
        <v>-5.6299999999999901</v>
      </c>
      <c r="K206" s="58">
        <v>-71.446700507614182</v>
      </c>
      <c r="L206" s="1" t="s">
        <v>23</v>
      </c>
      <c r="M206" s="1">
        <v>3</v>
      </c>
    </row>
    <row r="207" spans="1:13" x14ac:dyDescent="0.3">
      <c r="A207">
        <v>16</v>
      </c>
      <c r="B207">
        <v>1</v>
      </c>
      <c r="C207" t="s">
        <v>79</v>
      </c>
      <c r="D207" s="1" t="s">
        <v>2</v>
      </c>
      <c r="E207" s="59" t="s">
        <v>17</v>
      </c>
      <c r="F207" s="60">
        <v>3.2978333333333301</v>
      </c>
      <c r="G207" s="60">
        <v>0.67530756367417799</v>
      </c>
      <c r="H207" s="61">
        <v>3.53189189189189</v>
      </c>
      <c r="I207" s="63">
        <v>4.26</v>
      </c>
      <c r="J207" s="58">
        <v>0.72810810810810978</v>
      </c>
      <c r="K207" s="58">
        <v>20.615243342516131</v>
      </c>
      <c r="L207" s="1" t="s">
        <v>23</v>
      </c>
      <c r="M207" s="1">
        <v>3</v>
      </c>
    </row>
    <row r="208" spans="1:13" x14ac:dyDescent="0.3">
      <c r="A208">
        <v>16</v>
      </c>
      <c r="B208">
        <v>1</v>
      </c>
      <c r="C208" t="s">
        <v>79</v>
      </c>
      <c r="D208" s="1" t="s">
        <v>2</v>
      </c>
      <c r="E208" s="59" t="s">
        <v>18</v>
      </c>
      <c r="F208" s="60">
        <v>0.73150000000000004</v>
      </c>
      <c r="G208" s="60">
        <v>0.21639335325590101</v>
      </c>
      <c r="H208" s="61">
        <v>0.83750000000000002</v>
      </c>
      <c r="I208" s="63">
        <v>1.27</v>
      </c>
      <c r="J208" s="58">
        <v>0.4325</v>
      </c>
      <c r="K208" s="58">
        <v>51.64179104477612</v>
      </c>
      <c r="L208" s="1" t="s">
        <v>23</v>
      </c>
      <c r="M208" s="1">
        <v>3</v>
      </c>
    </row>
    <row r="209" spans="1:13" x14ac:dyDescent="0.3">
      <c r="A209">
        <v>16</v>
      </c>
      <c r="B209">
        <v>1</v>
      </c>
      <c r="C209" t="s">
        <v>79</v>
      </c>
      <c r="D209" s="1" t="s">
        <v>2</v>
      </c>
      <c r="E209" s="59" t="s">
        <v>19</v>
      </c>
      <c r="F209" s="60">
        <v>3.5904761904761902</v>
      </c>
      <c r="G209" s="60">
        <v>1.3769928456793601</v>
      </c>
      <c r="H209" s="61">
        <v>4.2273333333333296</v>
      </c>
      <c r="I209" s="63">
        <v>1.64</v>
      </c>
      <c r="J209" s="58">
        <v>-2.5873333333333299</v>
      </c>
      <c r="K209" s="58">
        <v>-61.204857278031831</v>
      </c>
      <c r="L209" s="1" t="s">
        <v>23</v>
      </c>
      <c r="M209" s="1">
        <v>3</v>
      </c>
    </row>
    <row r="210" spans="1:13" x14ac:dyDescent="0.3">
      <c r="A210">
        <v>16</v>
      </c>
      <c r="B210">
        <v>1</v>
      </c>
      <c r="C210" t="s">
        <v>79</v>
      </c>
      <c r="D210" s="1" t="s">
        <v>2</v>
      </c>
      <c r="E210" s="59" t="s">
        <v>12</v>
      </c>
      <c r="F210" s="60">
        <v>1.90699999999999</v>
      </c>
      <c r="G210" s="60">
        <v>0.27877888490103803</v>
      </c>
      <c r="H210" s="61">
        <v>1.89</v>
      </c>
      <c r="I210" s="63">
        <v>3.62</v>
      </c>
      <c r="J210" s="58">
        <v>1.7300000000000002</v>
      </c>
      <c r="K210" s="58">
        <v>91.534391534391546</v>
      </c>
      <c r="L210" s="1" t="s">
        <v>68</v>
      </c>
      <c r="M210" s="1">
        <v>3</v>
      </c>
    </row>
    <row r="211" spans="1:13" x14ac:dyDescent="0.3">
      <c r="A211">
        <v>16</v>
      </c>
      <c r="B211">
        <v>1</v>
      </c>
      <c r="C211" t="s">
        <v>79</v>
      </c>
      <c r="D211" s="1" t="s">
        <v>2</v>
      </c>
      <c r="E211" s="59" t="s">
        <v>13</v>
      </c>
      <c r="F211" s="60">
        <v>0.44749999999999901</v>
      </c>
      <c r="G211" s="60">
        <v>3.41869858279433E-2</v>
      </c>
      <c r="H211" s="61">
        <v>0.44999999999999901</v>
      </c>
      <c r="I211" s="63">
        <v>2.38</v>
      </c>
      <c r="J211" s="58">
        <v>1.9300000000000008</v>
      </c>
      <c r="K211" s="58">
        <v>428.88888888889005</v>
      </c>
      <c r="L211" s="1" t="s">
        <v>68</v>
      </c>
      <c r="M211" s="1">
        <v>3</v>
      </c>
    </row>
    <row r="212" spans="1:13" x14ac:dyDescent="0.3">
      <c r="A212">
        <v>16</v>
      </c>
      <c r="B212">
        <v>1</v>
      </c>
      <c r="C212" t="s">
        <v>79</v>
      </c>
      <c r="D212" s="1" t="s">
        <v>2</v>
      </c>
      <c r="E212" s="59" t="s">
        <v>14</v>
      </c>
      <c r="F212" s="60">
        <v>0.24533333333333299</v>
      </c>
      <c r="G212" s="60">
        <v>0.19302389028879799</v>
      </c>
      <c r="H212" s="61">
        <v>0.15448979591836701</v>
      </c>
      <c r="I212" s="63">
        <v>3.96</v>
      </c>
      <c r="J212" s="58">
        <v>3.8055102040816329</v>
      </c>
      <c r="K212" s="58">
        <v>2463.276089828275</v>
      </c>
      <c r="L212" s="1" t="s">
        <v>68</v>
      </c>
      <c r="M212" s="1">
        <v>3</v>
      </c>
    </row>
    <row r="213" spans="1:13" x14ac:dyDescent="0.3">
      <c r="A213">
        <v>16</v>
      </c>
      <c r="B213">
        <v>1</v>
      </c>
      <c r="C213" t="s">
        <v>79</v>
      </c>
      <c r="D213" s="1" t="s">
        <v>2</v>
      </c>
      <c r="E213" s="59" t="s">
        <v>15</v>
      </c>
      <c r="F213" s="60">
        <v>3.40491525423728</v>
      </c>
      <c r="G213" s="60">
        <v>0.74938024762467503</v>
      </c>
      <c r="H213" s="61">
        <v>3.3354545454545401</v>
      </c>
      <c r="I213" s="63">
        <v>3.68</v>
      </c>
      <c r="J213" s="58">
        <v>0.34454545454546004</v>
      </c>
      <c r="K213" s="58">
        <v>10.329790133551557</v>
      </c>
      <c r="L213" s="1" t="s">
        <v>68</v>
      </c>
      <c r="M213" s="1">
        <v>3</v>
      </c>
    </row>
    <row r="214" spans="1:13" x14ac:dyDescent="0.3">
      <c r="A214">
        <v>16</v>
      </c>
      <c r="B214">
        <v>1</v>
      </c>
      <c r="C214" t="s">
        <v>79</v>
      </c>
      <c r="D214" s="1" t="s">
        <v>2</v>
      </c>
      <c r="E214" s="59" t="s">
        <v>16</v>
      </c>
      <c r="F214" s="60">
        <v>8.0166666666666604</v>
      </c>
      <c r="G214" s="60">
        <v>0.71290173859297601</v>
      </c>
      <c r="H214" s="61">
        <v>7.8799999999999901</v>
      </c>
      <c r="I214" s="63">
        <v>2.14</v>
      </c>
      <c r="J214" s="58">
        <v>-5.7399999999999896</v>
      </c>
      <c r="K214" s="58">
        <v>-72.842639593908586</v>
      </c>
      <c r="L214" s="1" t="s">
        <v>68</v>
      </c>
      <c r="M214" s="1">
        <v>3</v>
      </c>
    </row>
    <row r="215" spans="1:13" x14ac:dyDescent="0.3">
      <c r="A215">
        <v>16</v>
      </c>
      <c r="B215">
        <v>1</v>
      </c>
      <c r="C215" t="s">
        <v>79</v>
      </c>
      <c r="D215" s="1" t="s">
        <v>2</v>
      </c>
      <c r="E215" s="59" t="s">
        <v>17</v>
      </c>
      <c r="F215" s="60">
        <v>3.2978333333333301</v>
      </c>
      <c r="G215" s="60">
        <v>0.67530756367417799</v>
      </c>
      <c r="H215" s="61">
        <v>3.53189189189189</v>
      </c>
      <c r="I215" s="63">
        <v>4.1100000000000003</v>
      </c>
      <c r="J215" s="58">
        <v>0.57810810810811031</v>
      </c>
      <c r="K215" s="58">
        <v>16.368227731864167</v>
      </c>
      <c r="L215" s="1" t="s">
        <v>68</v>
      </c>
      <c r="M215" s="1">
        <v>3</v>
      </c>
    </row>
    <row r="216" spans="1:13" x14ac:dyDescent="0.3">
      <c r="A216">
        <v>16</v>
      </c>
      <c r="B216">
        <v>1</v>
      </c>
      <c r="C216" t="s">
        <v>79</v>
      </c>
      <c r="D216" s="1" t="s">
        <v>2</v>
      </c>
      <c r="E216" s="59" t="s">
        <v>18</v>
      </c>
      <c r="F216" s="60">
        <v>0.73150000000000004</v>
      </c>
      <c r="G216" s="60">
        <v>0.21639335325590101</v>
      </c>
      <c r="H216" s="61">
        <v>0.83750000000000002</v>
      </c>
      <c r="I216" s="63">
        <v>1.1399999999999999</v>
      </c>
      <c r="J216" s="58">
        <v>0.30249999999999988</v>
      </c>
      <c r="K216" s="58">
        <v>36.119402985074615</v>
      </c>
      <c r="L216" s="1" t="s">
        <v>68</v>
      </c>
      <c r="M216" s="1">
        <v>3</v>
      </c>
    </row>
    <row r="217" spans="1:13" x14ac:dyDescent="0.3">
      <c r="A217">
        <v>16</v>
      </c>
      <c r="B217">
        <v>1</v>
      </c>
      <c r="C217" t="s">
        <v>79</v>
      </c>
      <c r="D217" s="1" t="s">
        <v>2</v>
      </c>
      <c r="E217" s="59" t="s">
        <v>19</v>
      </c>
      <c r="F217" s="60">
        <v>3.5904761904761902</v>
      </c>
      <c r="G217" s="60">
        <v>1.3769928456793601</v>
      </c>
      <c r="H217" s="61">
        <v>4.2273333333333296</v>
      </c>
      <c r="I217" s="63">
        <v>1.5</v>
      </c>
      <c r="J217" s="58">
        <v>-2.7273333333333296</v>
      </c>
      <c r="K217" s="58">
        <v>-64.516637754297406</v>
      </c>
      <c r="L217" s="1" t="s">
        <v>68</v>
      </c>
      <c r="M217" s="1">
        <v>3</v>
      </c>
    </row>
    <row r="218" spans="1:13" x14ac:dyDescent="0.3">
      <c r="A218">
        <v>16</v>
      </c>
      <c r="B218">
        <v>1</v>
      </c>
      <c r="C218" t="s">
        <v>79</v>
      </c>
      <c r="D218" s="1" t="s">
        <v>2</v>
      </c>
      <c r="E218" s="59" t="s">
        <v>12</v>
      </c>
      <c r="F218" s="60">
        <v>1.90699999999999</v>
      </c>
      <c r="G218" s="60">
        <v>0.27877888490103803</v>
      </c>
      <c r="H218" s="61">
        <v>1.89</v>
      </c>
      <c r="I218" s="63">
        <v>3.55</v>
      </c>
      <c r="J218" s="58">
        <v>1.66</v>
      </c>
      <c r="K218" s="58">
        <v>87.830687830687822</v>
      </c>
      <c r="L218" s="1" t="s">
        <v>69</v>
      </c>
      <c r="M218" s="1">
        <v>3</v>
      </c>
    </row>
    <row r="219" spans="1:13" x14ac:dyDescent="0.3">
      <c r="A219">
        <v>16</v>
      </c>
      <c r="B219">
        <v>1</v>
      </c>
      <c r="C219" t="s">
        <v>79</v>
      </c>
      <c r="D219" s="1" t="s">
        <v>2</v>
      </c>
      <c r="E219" s="59" t="s">
        <v>13</v>
      </c>
      <c r="F219" s="60">
        <v>0.44749999999999901</v>
      </c>
      <c r="G219" s="60">
        <v>3.41869858279433E-2</v>
      </c>
      <c r="H219" s="61">
        <v>0.44999999999999901</v>
      </c>
      <c r="I219" s="63">
        <v>2.44</v>
      </c>
      <c r="J219" s="58">
        <v>1.9900000000000009</v>
      </c>
      <c r="K219" s="58">
        <v>442.22222222222342</v>
      </c>
      <c r="L219" s="1" t="s">
        <v>69</v>
      </c>
      <c r="M219" s="1">
        <v>3</v>
      </c>
    </row>
    <row r="220" spans="1:13" x14ac:dyDescent="0.3">
      <c r="A220">
        <v>16</v>
      </c>
      <c r="B220">
        <v>1</v>
      </c>
      <c r="C220" t="s">
        <v>79</v>
      </c>
      <c r="D220" s="1" t="s">
        <v>2</v>
      </c>
      <c r="E220" s="59" t="s">
        <v>14</v>
      </c>
      <c r="F220" s="60">
        <v>0.24533333333333299</v>
      </c>
      <c r="G220" s="60">
        <v>0.19302389028879799</v>
      </c>
      <c r="H220" s="61">
        <v>0.15448979591836701</v>
      </c>
      <c r="I220" s="63">
        <v>3.99</v>
      </c>
      <c r="J220" s="58">
        <v>3.8355102040816331</v>
      </c>
      <c r="K220" s="58">
        <v>2482.6948480845504</v>
      </c>
      <c r="L220" s="1" t="s">
        <v>69</v>
      </c>
      <c r="M220" s="1">
        <v>3</v>
      </c>
    </row>
    <row r="221" spans="1:13" x14ac:dyDescent="0.3">
      <c r="A221">
        <v>16</v>
      </c>
      <c r="B221">
        <v>1</v>
      </c>
      <c r="C221" t="s">
        <v>79</v>
      </c>
      <c r="D221" s="1" t="s">
        <v>2</v>
      </c>
      <c r="E221" s="59" t="s">
        <v>15</v>
      </c>
      <c r="F221" s="60">
        <v>3.40491525423728</v>
      </c>
      <c r="G221" s="60">
        <v>0.74938024762467503</v>
      </c>
      <c r="H221" s="61">
        <v>3.3354545454545401</v>
      </c>
      <c r="I221" s="63">
        <v>3.75</v>
      </c>
      <c r="J221" s="58">
        <v>0.41454545454545988</v>
      </c>
      <c r="K221" s="58">
        <v>12.428454619787587</v>
      </c>
      <c r="L221" s="1" t="s">
        <v>69</v>
      </c>
      <c r="M221" s="1">
        <v>3</v>
      </c>
    </row>
    <row r="222" spans="1:13" x14ac:dyDescent="0.3">
      <c r="A222">
        <v>16</v>
      </c>
      <c r="B222">
        <v>1</v>
      </c>
      <c r="C222" t="s">
        <v>79</v>
      </c>
      <c r="D222" s="1" t="s">
        <v>2</v>
      </c>
      <c r="E222" s="59" t="s">
        <v>16</v>
      </c>
      <c r="F222" s="60">
        <v>8.0166666666666604</v>
      </c>
      <c r="G222" s="60">
        <v>0.71290173859297601</v>
      </c>
      <c r="H222" s="61">
        <v>7.8799999999999901</v>
      </c>
      <c r="I222" s="63">
        <v>2.2000000000000002</v>
      </c>
      <c r="J222" s="58">
        <v>-5.6799999999999899</v>
      </c>
      <c r="K222" s="58">
        <v>-72.081218274111635</v>
      </c>
      <c r="L222" s="1" t="s">
        <v>69</v>
      </c>
      <c r="M222" s="1">
        <v>3</v>
      </c>
    </row>
    <row r="223" spans="1:13" x14ac:dyDescent="0.3">
      <c r="A223">
        <v>16</v>
      </c>
      <c r="B223">
        <v>1</v>
      </c>
      <c r="C223" t="s">
        <v>79</v>
      </c>
      <c r="D223" s="1" t="s">
        <v>2</v>
      </c>
      <c r="E223" s="59" t="s">
        <v>17</v>
      </c>
      <c r="F223" s="60">
        <v>3.2978333333333301</v>
      </c>
      <c r="G223" s="60">
        <v>0.67530756367417799</v>
      </c>
      <c r="H223" s="61">
        <v>3.53189189189189</v>
      </c>
      <c r="I223" s="63">
        <v>4.25</v>
      </c>
      <c r="J223" s="58">
        <v>0.71810810810810999</v>
      </c>
      <c r="K223" s="58">
        <v>20.332108968472671</v>
      </c>
      <c r="L223" s="1" t="s">
        <v>69</v>
      </c>
      <c r="M223" s="1">
        <v>3</v>
      </c>
    </row>
    <row r="224" spans="1:13" x14ac:dyDescent="0.3">
      <c r="A224">
        <v>16</v>
      </c>
      <c r="B224">
        <v>1</v>
      </c>
      <c r="C224" t="s">
        <v>79</v>
      </c>
      <c r="D224" s="1" t="s">
        <v>2</v>
      </c>
      <c r="E224" s="59" t="s">
        <v>18</v>
      </c>
      <c r="F224" s="60">
        <v>0.73150000000000004</v>
      </c>
      <c r="G224" s="60">
        <v>0.21639335325590101</v>
      </c>
      <c r="H224" s="61">
        <v>0.83750000000000002</v>
      </c>
      <c r="I224" s="63">
        <v>1.1599999999999999</v>
      </c>
      <c r="J224" s="58">
        <v>0.3224999999999999</v>
      </c>
      <c r="K224" s="58">
        <v>38.507462686567152</v>
      </c>
      <c r="L224" s="1" t="s">
        <v>69</v>
      </c>
      <c r="M224" s="1">
        <v>3</v>
      </c>
    </row>
    <row r="225" spans="1:13" x14ac:dyDescent="0.3">
      <c r="A225">
        <v>16</v>
      </c>
      <c r="B225">
        <v>1</v>
      </c>
      <c r="C225" t="s">
        <v>79</v>
      </c>
      <c r="D225" s="1" t="s">
        <v>2</v>
      </c>
      <c r="E225" s="59" t="s">
        <v>19</v>
      </c>
      <c r="F225" s="60">
        <v>3.5904761904761902</v>
      </c>
      <c r="G225" s="60">
        <v>1.3769928456793601</v>
      </c>
      <c r="H225" s="61">
        <v>4.2273333333333296</v>
      </c>
      <c r="I225" s="63">
        <v>1.51</v>
      </c>
      <c r="J225" s="58">
        <v>-2.7173333333333298</v>
      </c>
      <c r="K225" s="58">
        <v>-64.280082005992725</v>
      </c>
      <c r="L225" s="1" t="s">
        <v>69</v>
      </c>
      <c r="M22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</vt:lpstr>
      <vt:lpstr>globalResultsH0</vt:lpstr>
      <vt:lpstr>globalResultsH150</vt:lpstr>
      <vt:lpstr>protocolCompareMqttH0</vt:lpstr>
      <vt:lpstr>protocolCompareMqttH150</vt:lpstr>
      <vt:lpstr>protocolCompareMatterH0</vt:lpstr>
      <vt:lpstr>protocolCompareMatterH150</vt:lpstr>
      <vt:lpstr>csvBucketingMQTTUWB</vt:lpstr>
      <vt:lpstr>csvBucketingMQTTUWB_GL</vt:lpstr>
      <vt:lpstr>csvBucketingMQTTUWB_TL</vt:lpstr>
      <vt:lpstr>csvBucketingMatterUWB</vt:lpstr>
      <vt:lpstr>csvBucketingMatterUWB_GL</vt:lpstr>
      <vt:lpstr>csvBucketingMatterUWB_TL</vt:lpstr>
      <vt:lpstr>csvBucketingMQTTBLE</vt:lpstr>
      <vt:lpstr>csvBucketingMQTTBLE_GL</vt:lpstr>
      <vt:lpstr>csvBucketingMQTTBLE_TL</vt:lpstr>
      <vt:lpstr>csvBucketingMatterBLE</vt:lpstr>
      <vt:lpstr>csvBucketingMatterBLE_GL</vt:lpstr>
      <vt:lpstr>csvBucketingMatterBLE_TL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2024-08-16T12:48:11Z</dcterms:created>
  <dcterms:modified xsi:type="dcterms:W3CDTF">2024-10-29T13:43:54Z</dcterms:modified>
  <cp:category/>
  <cp:contentStatus/>
</cp:coreProperties>
</file>