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/>
  <xr:revisionPtr revIDLastSave="325" documentId="11_9D5355BF84DCCE53631DEA188F31F45B3A7E0439" xr6:coauthVersionLast="47" xr6:coauthVersionMax="47" xr10:uidLastSave="{18473BD6-7824-45CA-9C7F-892D1BF97C39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29" i="1" l="1"/>
  <c r="Y172" i="1"/>
  <c r="Y115" i="1"/>
  <c r="Y58" i="1"/>
  <c r="R200" i="1"/>
  <c r="R143" i="1"/>
  <c r="R86" i="1"/>
  <c r="R29" i="1"/>
  <c r="N200" i="1"/>
  <c r="L200" i="1"/>
  <c r="I200" i="1"/>
  <c r="F200" i="1"/>
  <c r="P200" i="1" s="1"/>
  <c r="N143" i="1"/>
  <c r="L143" i="1"/>
  <c r="I143" i="1"/>
  <c r="F143" i="1"/>
  <c r="P143" i="1" s="1"/>
  <c r="N86" i="1"/>
  <c r="L86" i="1"/>
  <c r="I86" i="1"/>
  <c r="F86" i="1"/>
  <c r="P86" i="1" s="1"/>
  <c r="P29" i="1"/>
  <c r="L29" i="1"/>
  <c r="I29" i="1"/>
  <c r="F29" i="1"/>
  <c r="W204" i="1"/>
  <c r="W147" i="1"/>
  <c r="W228" i="1"/>
  <c r="P228" i="1"/>
  <c r="I228" i="1"/>
  <c r="W227" i="1"/>
  <c r="P227" i="1"/>
  <c r="I227" i="1"/>
  <c r="W226" i="1"/>
  <c r="P226" i="1"/>
  <c r="I226" i="1"/>
  <c r="W225" i="1"/>
  <c r="P225" i="1"/>
  <c r="I225" i="1"/>
  <c r="W224" i="1"/>
  <c r="P224" i="1"/>
  <c r="I224" i="1"/>
  <c r="W223" i="1"/>
  <c r="P223" i="1"/>
  <c r="I223" i="1"/>
  <c r="W222" i="1"/>
  <c r="P222" i="1"/>
  <c r="I222" i="1"/>
  <c r="W221" i="1"/>
  <c r="P221" i="1"/>
  <c r="I221" i="1"/>
  <c r="W220" i="1"/>
  <c r="P220" i="1"/>
  <c r="I220" i="1"/>
  <c r="W219" i="1"/>
  <c r="P219" i="1"/>
  <c r="I219" i="1"/>
  <c r="W218" i="1"/>
  <c r="P218" i="1"/>
  <c r="I218" i="1"/>
  <c r="W217" i="1"/>
  <c r="P217" i="1"/>
  <c r="I217" i="1"/>
  <c r="W216" i="1"/>
  <c r="P216" i="1"/>
  <c r="I216" i="1"/>
  <c r="W215" i="1"/>
  <c r="P215" i="1"/>
  <c r="I215" i="1"/>
  <c r="W214" i="1"/>
  <c r="P214" i="1"/>
  <c r="I214" i="1"/>
  <c r="W213" i="1"/>
  <c r="P213" i="1"/>
  <c r="I213" i="1"/>
  <c r="W212" i="1"/>
  <c r="P212" i="1"/>
  <c r="I212" i="1"/>
  <c r="W211" i="1"/>
  <c r="P211" i="1"/>
  <c r="I211" i="1"/>
  <c r="W210" i="1"/>
  <c r="P210" i="1"/>
  <c r="I210" i="1"/>
  <c r="W209" i="1"/>
  <c r="P209" i="1"/>
  <c r="I209" i="1"/>
  <c r="W208" i="1"/>
  <c r="P208" i="1"/>
  <c r="I208" i="1"/>
  <c r="W207" i="1"/>
  <c r="P207" i="1"/>
  <c r="I207" i="1"/>
  <c r="W206" i="1"/>
  <c r="P206" i="1"/>
  <c r="I206" i="1"/>
  <c r="W205" i="1"/>
  <c r="P205" i="1"/>
  <c r="I205" i="1"/>
  <c r="P204" i="1"/>
  <c r="I204" i="1"/>
  <c r="W171" i="1"/>
  <c r="P171" i="1"/>
  <c r="I171" i="1"/>
  <c r="W170" i="1"/>
  <c r="P170" i="1"/>
  <c r="I170" i="1"/>
  <c r="W169" i="1"/>
  <c r="P169" i="1"/>
  <c r="I169" i="1"/>
  <c r="W168" i="1"/>
  <c r="P168" i="1"/>
  <c r="I168" i="1"/>
  <c r="W167" i="1"/>
  <c r="P167" i="1"/>
  <c r="I167" i="1"/>
  <c r="W166" i="1"/>
  <c r="P166" i="1"/>
  <c r="I166" i="1"/>
  <c r="W165" i="1"/>
  <c r="P165" i="1"/>
  <c r="I165" i="1"/>
  <c r="W164" i="1"/>
  <c r="P164" i="1"/>
  <c r="I164" i="1"/>
  <c r="W163" i="1"/>
  <c r="P163" i="1"/>
  <c r="I163" i="1"/>
  <c r="W162" i="1"/>
  <c r="P162" i="1"/>
  <c r="I162" i="1"/>
  <c r="W161" i="1"/>
  <c r="P161" i="1"/>
  <c r="I161" i="1"/>
  <c r="W160" i="1"/>
  <c r="P160" i="1"/>
  <c r="I160" i="1"/>
  <c r="W159" i="1"/>
  <c r="P159" i="1"/>
  <c r="I159" i="1"/>
  <c r="W158" i="1"/>
  <c r="P158" i="1"/>
  <c r="I158" i="1"/>
  <c r="W157" i="1"/>
  <c r="P157" i="1"/>
  <c r="I157" i="1"/>
  <c r="W156" i="1"/>
  <c r="P156" i="1"/>
  <c r="I156" i="1"/>
  <c r="W155" i="1"/>
  <c r="P155" i="1"/>
  <c r="I155" i="1"/>
  <c r="W154" i="1"/>
  <c r="P154" i="1"/>
  <c r="I154" i="1"/>
  <c r="W153" i="1"/>
  <c r="P153" i="1"/>
  <c r="I153" i="1"/>
  <c r="W152" i="1"/>
  <c r="P152" i="1"/>
  <c r="I152" i="1"/>
  <c r="W151" i="1"/>
  <c r="P151" i="1"/>
  <c r="I151" i="1"/>
  <c r="W150" i="1"/>
  <c r="P150" i="1"/>
  <c r="I150" i="1"/>
  <c r="W149" i="1"/>
  <c r="P149" i="1"/>
  <c r="I149" i="1"/>
  <c r="W148" i="1"/>
  <c r="P148" i="1"/>
  <c r="I148" i="1"/>
  <c r="P147" i="1"/>
  <c r="I147" i="1"/>
  <c r="E172" i="1" s="1"/>
  <c r="W114" i="1"/>
  <c r="P114" i="1"/>
  <c r="I114" i="1"/>
  <c r="W113" i="1"/>
  <c r="P113" i="1"/>
  <c r="I113" i="1"/>
  <c r="W112" i="1"/>
  <c r="P112" i="1"/>
  <c r="I112" i="1"/>
  <c r="W111" i="1"/>
  <c r="P111" i="1"/>
  <c r="I111" i="1"/>
  <c r="W110" i="1"/>
  <c r="P110" i="1"/>
  <c r="I110" i="1"/>
  <c r="W109" i="1"/>
  <c r="P109" i="1"/>
  <c r="I109" i="1"/>
  <c r="W108" i="1"/>
  <c r="P108" i="1"/>
  <c r="I108" i="1"/>
  <c r="W107" i="1"/>
  <c r="P107" i="1"/>
  <c r="I107" i="1"/>
  <c r="W106" i="1"/>
  <c r="P106" i="1"/>
  <c r="I106" i="1"/>
  <c r="W105" i="1"/>
  <c r="P105" i="1"/>
  <c r="I105" i="1"/>
  <c r="W104" i="1"/>
  <c r="P104" i="1"/>
  <c r="I104" i="1"/>
  <c r="W103" i="1"/>
  <c r="P103" i="1"/>
  <c r="I103" i="1"/>
  <c r="W102" i="1"/>
  <c r="P102" i="1"/>
  <c r="I102" i="1"/>
  <c r="W101" i="1"/>
  <c r="P101" i="1"/>
  <c r="I101" i="1"/>
  <c r="W100" i="1"/>
  <c r="P100" i="1"/>
  <c r="I100" i="1"/>
  <c r="W99" i="1"/>
  <c r="P99" i="1"/>
  <c r="I99" i="1"/>
  <c r="W98" i="1"/>
  <c r="P98" i="1"/>
  <c r="I98" i="1"/>
  <c r="W97" i="1"/>
  <c r="P97" i="1"/>
  <c r="I97" i="1"/>
  <c r="W96" i="1"/>
  <c r="P96" i="1"/>
  <c r="I96" i="1"/>
  <c r="W95" i="1"/>
  <c r="P95" i="1"/>
  <c r="I95" i="1"/>
  <c r="W94" i="1"/>
  <c r="P94" i="1"/>
  <c r="I94" i="1"/>
  <c r="W93" i="1"/>
  <c r="P93" i="1"/>
  <c r="I93" i="1"/>
  <c r="W92" i="1"/>
  <c r="P92" i="1"/>
  <c r="I92" i="1"/>
  <c r="W91" i="1"/>
  <c r="P91" i="1"/>
  <c r="I91" i="1"/>
  <c r="W90" i="1"/>
  <c r="P90" i="1"/>
  <c r="I90" i="1"/>
  <c r="E115" i="1" s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33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N29" i="1"/>
  <c r="E58" i="1" l="1"/>
  <c r="E229" i="1"/>
</calcChain>
</file>

<file path=xl/sharedStrings.xml><?xml version="1.0" encoding="utf-8"?>
<sst xmlns="http://schemas.openxmlformats.org/spreadsheetml/2006/main" count="143" uniqueCount="13">
  <si>
    <t>RSSI Calibration</t>
  </si>
  <si>
    <t>Tracker Id</t>
  </si>
  <si>
    <t>Anchor Id</t>
  </si>
  <si>
    <t>Measurement</t>
  </si>
  <si>
    <t>Std Dev</t>
  </si>
  <si>
    <t>Mean</t>
  </si>
  <si>
    <t>Mean Std</t>
  </si>
  <si>
    <t>Total Std</t>
  </si>
  <si>
    <t>n Calibration</t>
  </si>
  <si>
    <t>Distance</t>
  </si>
  <si>
    <t>Tx Power</t>
  </si>
  <si>
    <t>calculated n</t>
  </si>
  <si>
    <t>Total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</si>
</sst>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Z229"/>
  <sheetViews>
    <sheetView tabSelected="1" topLeftCell="A103" workbookViewId="0">
      <selection activeCell="Y58" sqref="Y58"/>
    </sheetView>
  </sheetViews>
  <sheetFormatPr defaultRowHeight="15"/>
  <cols>
    <col min="1" max="3" width="9.140625" style="2"/>
    <col min="4" max="4" width="14" style="2" customWidth="1"/>
    <col min="5" max="5" width="9.140625" style="2"/>
    <col min="6" max="6" width="14.85546875" style="2" customWidth="1"/>
    <col min="7" max="7" width="14.7109375" style="2" customWidth="1"/>
    <col min="8" max="8" width="9.140625" style="2"/>
    <col min="9" max="9" width="15.85546875" style="2" customWidth="1"/>
    <col min="10" max="13" width="9.140625" style="2"/>
    <col min="14" max="14" width="13.7109375" style="2" customWidth="1"/>
    <col min="15" max="15" width="9.140625" style="2"/>
    <col min="16" max="16" width="14.85546875" style="2" customWidth="1"/>
    <col min="17" max="22" width="9.140625" style="2"/>
    <col min="23" max="23" width="13.85546875" style="2" customWidth="1"/>
    <col min="24" max="16384" width="9.140625" style="2"/>
  </cols>
  <sheetData>
    <row r="2" spans="3:19" ht="43.5">
      <c r="C2" s="5"/>
      <c r="D2" s="2" t="s">
        <v>0</v>
      </c>
    </row>
    <row r="3" spans="3:19" ht="29.25">
      <c r="C3" s="5"/>
      <c r="D3" s="1" t="s">
        <v>1</v>
      </c>
      <c r="E3" s="1" t="s">
        <v>2</v>
      </c>
      <c r="F3" s="1" t="s">
        <v>3</v>
      </c>
      <c r="G3" s="1" t="s">
        <v>4</v>
      </c>
      <c r="H3" s="1" t="s">
        <v>2</v>
      </c>
      <c r="I3" s="1" t="s">
        <v>3</v>
      </c>
      <c r="J3" s="1" t="s">
        <v>4</v>
      </c>
      <c r="K3" s="1" t="s">
        <v>2</v>
      </c>
      <c r="L3" s="1" t="s">
        <v>3</v>
      </c>
      <c r="M3" s="1" t="s">
        <v>4</v>
      </c>
      <c r="N3" s="1"/>
      <c r="O3" s="1"/>
      <c r="P3" s="1"/>
      <c r="Q3" s="1"/>
      <c r="R3" s="1"/>
      <c r="S3" s="1"/>
    </row>
    <row r="4" spans="3:19">
      <c r="C4" s="5"/>
      <c r="D4" s="2">
        <v>1</v>
      </c>
      <c r="E4" s="2">
        <v>1</v>
      </c>
      <c r="F4" s="2">
        <v>-35</v>
      </c>
      <c r="H4" s="2">
        <v>2</v>
      </c>
      <c r="I4" s="2">
        <v>-52</v>
      </c>
      <c r="K4" s="2">
        <v>3</v>
      </c>
      <c r="L4" s="2">
        <v>-40</v>
      </c>
    </row>
    <row r="5" spans="3:19">
      <c r="C5" s="5"/>
      <c r="D5" s="2">
        <v>1</v>
      </c>
      <c r="E5" s="2">
        <v>1</v>
      </c>
      <c r="F5" s="2">
        <v>-29</v>
      </c>
      <c r="H5" s="2">
        <v>2</v>
      </c>
      <c r="I5" s="2">
        <v>-41</v>
      </c>
      <c r="K5" s="2">
        <v>3</v>
      </c>
      <c r="L5" s="2">
        <v>-45</v>
      </c>
    </row>
    <row r="6" spans="3:19">
      <c r="C6" s="5"/>
      <c r="D6" s="2">
        <v>1</v>
      </c>
      <c r="E6" s="2">
        <v>1</v>
      </c>
      <c r="F6" s="2">
        <v>-29</v>
      </c>
      <c r="H6" s="2">
        <v>2</v>
      </c>
      <c r="I6" s="2">
        <v>-44</v>
      </c>
      <c r="K6" s="2">
        <v>3</v>
      </c>
      <c r="L6" s="2">
        <v>-47</v>
      </c>
    </row>
    <row r="7" spans="3:19">
      <c r="C7" s="5"/>
      <c r="D7" s="2">
        <v>1</v>
      </c>
      <c r="E7" s="2">
        <v>1</v>
      </c>
      <c r="F7" s="2">
        <v>-29</v>
      </c>
      <c r="H7" s="2">
        <v>2</v>
      </c>
      <c r="I7" s="2">
        <v>-45</v>
      </c>
      <c r="K7" s="2">
        <v>3</v>
      </c>
      <c r="L7" s="2">
        <v>-49</v>
      </c>
    </row>
    <row r="8" spans="3:19">
      <c r="C8" s="5"/>
      <c r="D8" s="2">
        <v>1</v>
      </c>
      <c r="E8" s="2">
        <v>1</v>
      </c>
      <c r="F8" s="2">
        <v>-37</v>
      </c>
      <c r="H8" s="2">
        <v>2</v>
      </c>
      <c r="I8" s="2">
        <v>-44</v>
      </c>
      <c r="K8" s="2">
        <v>3</v>
      </c>
      <c r="L8" s="2">
        <v>-50</v>
      </c>
    </row>
    <row r="9" spans="3:19">
      <c r="C9" s="5"/>
      <c r="D9" s="2">
        <v>1</v>
      </c>
      <c r="E9" s="2">
        <v>1</v>
      </c>
      <c r="F9" s="2">
        <v>-34</v>
      </c>
      <c r="H9" s="2">
        <v>2</v>
      </c>
      <c r="I9" s="2">
        <v>-44</v>
      </c>
      <c r="K9" s="2">
        <v>3</v>
      </c>
      <c r="L9" s="2">
        <v>-44</v>
      </c>
    </row>
    <row r="10" spans="3:19">
      <c r="C10" s="5"/>
      <c r="D10" s="2">
        <v>1</v>
      </c>
      <c r="E10" s="2">
        <v>1</v>
      </c>
      <c r="F10" s="2">
        <v>-27</v>
      </c>
      <c r="H10" s="2">
        <v>2</v>
      </c>
      <c r="I10" s="2">
        <v>-45</v>
      </c>
      <c r="K10" s="2">
        <v>3</v>
      </c>
      <c r="L10" s="2">
        <v>-40</v>
      </c>
    </row>
    <row r="11" spans="3:19">
      <c r="C11" s="5"/>
      <c r="D11" s="2">
        <v>1</v>
      </c>
      <c r="E11" s="2">
        <v>1</v>
      </c>
      <c r="F11" s="2">
        <v>-28</v>
      </c>
      <c r="H11" s="2">
        <v>2</v>
      </c>
      <c r="I11" s="2">
        <v>-38</v>
      </c>
      <c r="K11" s="2">
        <v>3</v>
      </c>
      <c r="L11" s="2">
        <v>-40</v>
      </c>
    </row>
    <row r="12" spans="3:19">
      <c r="C12" s="5"/>
      <c r="D12" s="2">
        <v>1</v>
      </c>
      <c r="E12" s="2">
        <v>1</v>
      </c>
      <c r="F12" s="2">
        <v>-31</v>
      </c>
      <c r="H12" s="2">
        <v>2</v>
      </c>
      <c r="I12" s="2">
        <v>-57</v>
      </c>
      <c r="K12" s="2">
        <v>3</v>
      </c>
      <c r="L12" s="2">
        <v>-40</v>
      </c>
    </row>
    <row r="13" spans="3:19">
      <c r="C13" s="5"/>
      <c r="D13" s="2">
        <v>1</v>
      </c>
      <c r="E13" s="2">
        <v>1</v>
      </c>
      <c r="F13" s="2">
        <v>-32</v>
      </c>
      <c r="H13" s="2">
        <v>2</v>
      </c>
      <c r="I13" s="2">
        <v>-54</v>
      </c>
      <c r="K13" s="2">
        <v>3</v>
      </c>
      <c r="L13" s="2">
        <v>-40</v>
      </c>
    </row>
    <row r="14" spans="3:19">
      <c r="C14" s="5"/>
      <c r="D14" s="2">
        <v>1</v>
      </c>
      <c r="E14" s="2">
        <v>1</v>
      </c>
      <c r="F14" s="2">
        <v>-38</v>
      </c>
      <c r="H14" s="2">
        <v>2</v>
      </c>
      <c r="I14" s="2">
        <v>-40</v>
      </c>
      <c r="K14" s="2">
        <v>3</v>
      </c>
      <c r="L14" s="2">
        <v>-43</v>
      </c>
    </row>
    <row r="15" spans="3:19">
      <c r="C15" s="5"/>
      <c r="D15" s="2">
        <v>1</v>
      </c>
      <c r="E15" s="2">
        <v>1</v>
      </c>
      <c r="F15" s="2">
        <v>-42</v>
      </c>
      <c r="H15" s="2">
        <v>2</v>
      </c>
      <c r="I15" s="2">
        <v>-41</v>
      </c>
      <c r="K15" s="2">
        <v>3</v>
      </c>
      <c r="L15" s="2">
        <v>-44</v>
      </c>
    </row>
    <row r="16" spans="3:19">
      <c r="C16" s="5"/>
      <c r="D16" s="2">
        <v>1</v>
      </c>
      <c r="E16" s="2">
        <v>1</v>
      </c>
      <c r="F16" s="2">
        <v>-42</v>
      </c>
      <c r="H16" s="2">
        <v>2</v>
      </c>
      <c r="I16" s="2">
        <v>-33</v>
      </c>
      <c r="K16" s="2">
        <v>3</v>
      </c>
      <c r="L16" s="2">
        <v>-50</v>
      </c>
    </row>
    <row r="17" spans="3:23">
      <c r="C17" s="5"/>
      <c r="D17" s="2">
        <v>1</v>
      </c>
      <c r="E17" s="2">
        <v>1</v>
      </c>
      <c r="F17" s="2">
        <v>-43</v>
      </c>
      <c r="H17" s="2">
        <v>2</v>
      </c>
      <c r="I17" s="2">
        <v>-33</v>
      </c>
      <c r="K17" s="2">
        <v>3</v>
      </c>
      <c r="L17" s="2">
        <v>-41</v>
      </c>
    </row>
    <row r="18" spans="3:23">
      <c r="C18" s="5"/>
      <c r="D18" s="2">
        <v>1</v>
      </c>
      <c r="E18" s="2">
        <v>1</v>
      </c>
      <c r="F18" s="2">
        <v>-44</v>
      </c>
      <c r="H18" s="2">
        <v>2</v>
      </c>
      <c r="I18" s="2">
        <v>-30</v>
      </c>
      <c r="K18" s="2">
        <v>3</v>
      </c>
      <c r="L18" s="2">
        <v>-34</v>
      </c>
    </row>
    <row r="19" spans="3:23">
      <c r="C19" s="5"/>
      <c r="D19" s="2">
        <v>1</v>
      </c>
      <c r="E19" s="2">
        <v>1</v>
      </c>
      <c r="F19" s="2">
        <v>-31</v>
      </c>
      <c r="H19" s="2">
        <v>2</v>
      </c>
      <c r="I19" s="2">
        <v>-33</v>
      </c>
      <c r="K19" s="2">
        <v>3</v>
      </c>
      <c r="L19" s="2">
        <v>-38</v>
      </c>
    </row>
    <row r="20" spans="3:23">
      <c r="C20" s="5"/>
      <c r="D20" s="2">
        <v>1</v>
      </c>
      <c r="E20" s="2">
        <v>1</v>
      </c>
      <c r="F20" s="2">
        <v>-30</v>
      </c>
      <c r="H20" s="2">
        <v>2</v>
      </c>
      <c r="I20" s="2">
        <v>-34</v>
      </c>
      <c r="K20" s="2">
        <v>3</v>
      </c>
      <c r="L20" s="2">
        <v>-39</v>
      </c>
    </row>
    <row r="21" spans="3:23">
      <c r="C21" s="5"/>
      <c r="D21" s="2">
        <v>1</v>
      </c>
      <c r="E21" s="2">
        <v>1</v>
      </c>
      <c r="F21" s="2">
        <v>-44</v>
      </c>
      <c r="H21" s="2">
        <v>2</v>
      </c>
      <c r="I21" s="2">
        <v>-30</v>
      </c>
      <c r="K21" s="2">
        <v>3</v>
      </c>
      <c r="L21" s="2">
        <v>-44</v>
      </c>
    </row>
    <row r="22" spans="3:23">
      <c r="C22" s="5"/>
      <c r="D22" s="2">
        <v>1</v>
      </c>
      <c r="E22" s="2">
        <v>1</v>
      </c>
      <c r="F22" s="2">
        <v>-38</v>
      </c>
      <c r="H22" s="2">
        <v>2</v>
      </c>
      <c r="I22" s="2">
        <v>-33</v>
      </c>
      <c r="K22" s="2">
        <v>3</v>
      </c>
      <c r="L22" s="2">
        <v>-45</v>
      </c>
    </row>
    <row r="23" spans="3:23">
      <c r="C23" s="5"/>
      <c r="D23" s="2">
        <v>1</v>
      </c>
      <c r="E23" s="2">
        <v>1</v>
      </c>
      <c r="F23" s="2">
        <v>-43</v>
      </c>
      <c r="H23" s="2">
        <v>2</v>
      </c>
      <c r="I23" s="2">
        <v>-33</v>
      </c>
      <c r="K23" s="2">
        <v>3</v>
      </c>
      <c r="L23" s="2">
        <v>-54</v>
      </c>
    </row>
    <row r="24" spans="3:23">
      <c r="C24" s="5"/>
      <c r="D24" s="2">
        <v>1</v>
      </c>
      <c r="E24" s="2">
        <v>1</v>
      </c>
      <c r="F24" s="2">
        <v>-43</v>
      </c>
      <c r="H24" s="2">
        <v>2</v>
      </c>
      <c r="I24" s="2">
        <v>-33</v>
      </c>
      <c r="K24" s="2">
        <v>3</v>
      </c>
      <c r="L24" s="2">
        <v>-48</v>
      </c>
    </row>
    <row r="25" spans="3:23">
      <c r="C25" s="5"/>
      <c r="D25" s="2">
        <v>1</v>
      </c>
      <c r="E25" s="2">
        <v>1</v>
      </c>
      <c r="F25" s="2">
        <v>-42</v>
      </c>
      <c r="H25" s="2">
        <v>2</v>
      </c>
      <c r="I25" s="2">
        <v>-40</v>
      </c>
      <c r="K25" s="2">
        <v>3</v>
      </c>
      <c r="L25" s="2">
        <v>-40</v>
      </c>
    </row>
    <row r="26" spans="3:23">
      <c r="C26" s="5"/>
      <c r="D26" s="2">
        <v>1</v>
      </c>
      <c r="E26" s="2">
        <v>1</v>
      </c>
      <c r="F26" s="2">
        <v>-41</v>
      </c>
      <c r="H26" s="2">
        <v>2</v>
      </c>
      <c r="I26" s="2">
        <v>-34</v>
      </c>
      <c r="K26" s="2">
        <v>3</v>
      </c>
      <c r="L26" s="2">
        <v>-40</v>
      </c>
    </row>
    <row r="27" spans="3:23">
      <c r="C27" s="5"/>
      <c r="D27" s="2">
        <v>1</v>
      </c>
      <c r="E27" s="2">
        <v>1</v>
      </c>
      <c r="F27" s="2">
        <v>-48</v>
      </c>
      <c r="H27" s="2">
        <v>2</v>
      </c>
      <c r="I27" s="2">
        <v>-34</v>
      </c>
      <c r="K27" s="2">
        <v>3</v>
      </c>
      <c r="L27" s="2">
        <v>-39</v>
      </c>
    </row>
    <row r="28" spans="3:23">
      <c r="C28" s="5"/>
      <c r="D28" s="2">
        <v>1</v>
      </c>
      <c r="E28" s="2">
        <v>1</v>
      </c>
      <c r="F28" s="2">
        <v>-42</v>
      </c>
      <c r="H28" s="2">
        <v>2</v>
      </c>
      <c r="I28" s="2">
        <v>-39</v>
      </c>
      <c r="K28" s="2">
        <v>3</v>
      </c>
      <c r="L28" s="2">
        <v>-38</v>
      </c>
    </row>
    <row r="29" spans="3:23">
      <c r="C29" s="5"/>
      <c r="D29" s="1"/>
      <c r="E29" s="1" t="s">
        <v>4</v>
      </c>
      <c r="F29" s="1">
        <f>STDEV(F4:F28)</f>
        <v>6.3791326474163634</v>
      </c>
      <c r="G29" s="1"/>
      <c r="H29" s="1" t="s">
        <v>4</v>
      </c>
      <c r="I29" s="1">
        <f>STDEV(I4:I28)</f>
        <v>7.4323616704248243</v>
      </c>
      <c r="J29" s="1"/>
      <c r="K29" s="1" t="s">
        <v>4</v>
      </c>
      <c r="L29" s="1">
        <f>STDEV(L4:L28)</f>
        <v>4.728636167014753</v>
      </c>
      <c r="M29" s="1" t="s">
        <v>5</v>
      </c>
      <c r="N29" s="4">
        <f>AVERAGE(F4:F28,I4:I28,L4:L28)</f>
        <v>-39.706666666666663</v>
      </c>
      <c r="O29" s="1" t="s">
        <v>6</v>
      </c>
      <c r="P29" s="1">
        <f>AVERAGE(F29,I29,L29)</f>
        <v>6.1800434949519802</v>
      </c>
      <c r="Q29" s="1" t="s">
        <v>7</v>
      </c>
      <c r="R29" s="1">
        <f>STDEV(L4:L28,I4:I28,F4:F28)</f>
        <v>6.6713857171795512</v>
      </c>
      <c r="S29" s="1"/>
    </row>
    <row r="30" spans="3:23">
      <c r="C30" s="5"/>
    </row>
    <row r="31" spans="3:23">
      <c r="C31" s="5"/>
      <c r="D31" s="2" t="s">
        <v>8</v>
      </c>
    </row>
    <row r="32" spans="3:23" ht="29.25">
      <c r="C32" s="5"/>
      <c r="D32" s="1" t="s">
        <v>1</v>
      </c>
      <c r="E32" s="1" t="s">
        <v>2</v>
      </c>
      <c r="F32" s="1" t="s">
        <v>9</v>
      </c>
      <c r="G32" s="1" t="s">
        <v>3</v>
      </c>
      <c r="H32" s="1" t="s">
        <v>10</v>
      </c>
      <c r="I32" s="1" t="s">
        <v>11</v>
      </c>
      <c r="J32" s="1"/>
      <c r="K32" s="1" t="s">
        <v>1</v>
      </c>
      <c r="L32" s="1" t="s">
        <v>2</v>
      </c>
      <c r="M32" s="1" t="s">
        <v>9</v>
      </c>
      <c r="N32" s="1" t="s">
        <v>3</v>
      </c>
      <c r="O32" s="1" t="s">
        <v>10</v>
      </c>
      <c r="P32" s="1" t="s">
        <v>11</v>
      </c>
      <c r="Q32" s="1"/>
      <c r="R32" s="1" t="s">
        <v>1</v>
      </c>
      <c r="S32" s="1" t="s">
        <v>2</v>
      </c>
      <c r="T32" s="1" t="s">
        <v>9</v>
      </c>
      <c r="U32" s="1" t="s">
        <v>3</v>
      </c>
      <c r="V32" s="1" t="s">
        <v>10</v>
      </c>
      <c r="W32" s="1" t="s">
        <v>11</v>
      </c>
    </row>
    <row r="33" spans="3:23">
      <c r="C33" s="5"/>
      <c r="D33" s="2">
        <v>1</v>
      </c>
      <c r="E33" s="2">
        <v>1</v>
      </c>
      <c r="F33" s="2">
        <v>3</v>
      </c>
      <c r="G33" s="2">
        <v>-54</v>
      </c>
      <c r="H33" s="2">
        <v>-40</v>
      </c>
      <c r="I33" s="2">
        <f>(H33-G33)/(10*LOG10(F33))</f>
        <v>2.9342645840051387</v>
      </c>
      <c r="K33" s="2">
        <v>1</v>
      </c>
      <c r="L33" s="2">
        <v>2</v>
      </c>
      <c r="M33" s="2">
        <v>3</v>
      </c>
      <c r="N33" s="2">
        <v>-48</v>
      </c>
      <c r="O33" s="2">
        <v>-40</v>
      </c>
      <c r="P33" s="2">
        <f>(O33-N33)/(10*LOG10(M33))</f>
        <v>1.6767226194315077</v>
      </c>
      <c r="R33" s="2">
        <v>1</v>
      </c>
      <c r="S33" s="2">
        <v>3</v>
      </c>
      <c r="T33" s="2">
        <v>3</v>
      </c>
      <c r="U33" s="2">
        <v>-64</v>
      </c>
      <c r="V33" s="2">
        <v>-40</v>
      </c>
      <c r="W33" s="2">
        <f>(V33-U33)/(10*LOG10(T33))</f>
        <v>5.0301678582945231</v>
      </c>
    </row>
    <row r="34" spans="3:23">
      <c r="C34" s="5"/>
      <c r="D34" s="2">
        <v>1</v>
      </c>
      <c r="E34" s="2">
        <v>1</v>
      </c>
      <c r="F34" s="2">
        <v>3</v>
      </c>
      <c r="G34" s="2">
        <v>-53</v>
      </c>
      <c r="H34" s="2">
        <v>-40</v>
      </c>
      <c r="I34" s="2">
        <f t="shared" ref="I34:I57" si="0">(H34-G34)/(10*LOG10(F34))</f>
        <v>2.7246742565762001</v>
      </c>
      <c r="K34" s="2">
        <v>1</v>
      </c>
      <c r="L34" s="2">
        <v>2</v>
      </c>
      <c r="M34" s="2">
        <v>3</v>
      </c>
      <c r="N34" s="2">
        <v>-61</v>
      </c>
      <c r="O34" s="2">
        <v>-40</v>
      </c>
      <c r="P34" s="2">
        <f t="shared" ref="P34:P57" si="1">(O34-N34)/(10*LOG10(M34))</f>
        <v>4.4013968760077073</v>
      </c>
      <c r="R34" s="2">
        <v>1</v>
      </c>
      <c r="S34" s="2">
        <v>3</v>
      </c>
      <c r="T34" s="2">
        <v>3</v>
      </c>
      <c r="U34" s="2">
        <v>-70</v>
      </c>
      <c r="V34" s="2">
        <v>-40</v>
      </c>
      <c r="W34" s="2">
        <f t="shared" ref="W34:W57" si="2">(V34-U34)/(10*LOG10(T34))</f>
        <v>6.2877098228681536</v>
      </c>
    </row>
    <row r="35" spans="3:23">
      <c r="C35" s="5"/>
      <c r="D35" s="2">
        <v>1</v>
      </c>
      <c r="E35" s="2">
        <v>1</v>
      </c>
      <c r="F35" s="2">
        <v>3</v>
      </c>
      <c r="G35" s="2">
        <v>-52</v>
      </c>
      <c r="H35" s="2">
        <v>-40</v>
      </c>
      <c r="I35" s="2">
        <f t="shared" si="0"/>
        <v>2.5150839291472615</v>
      </c>
      <c r="K35" s="2">
        <v>1</v>
      </c>
      <c r="L35" s="2">
        <v>2</v>
      </c>
      <c r="M35" s="2">
        <v>3</v>
      </c>
      <c r="N35" s="2">
        <v>-59</v>
      </c>
      <c r="O35" s="2">
        <v>-40</v>
      </c>
      <c r="P35" s="2">
        <f t="shared" si="1"/>
        <v>3.9822162211498306</v>
      </c>
      <c r="R35" s="2">
        <v>1</v>
      </c>
      <c r="S35" s="2">
        <v>3</v>
      </c>
      <c r="T35" s="2">
        <v>3</v>
      </c>
      <c r="U35" s="2">
        <v>-64</v>
      </c>
      <c r="V35" s="2">
        <v>-40</v>
      </c>
      <c r="W35" s="2">
        <f t="shared" si="2"/>
        <v>5.0301678582945231</v>
      </c>
    </row>
    <row r="36" spans="3:23">
      <c r="C36" s="5"/>
      <c r="D36" s="2">
        <v>1</v>
      </c>
      <c r="E36" s="2">
        <v>1</v>
      </c>
      <c r="F36" s="2">
        <v>3</v>
      </c>
      <c r="G36" s="2">
        <v>-52</v>
      </c>
      <c r="H36" s="2">
        <v>-40</v>
      </c>
      <c r="I36" s="2">
        <f t="shared" si="0"/>
        <v>2.5150839291472615</v>
      </c>
      <c r="K36" s="2">
        <v>1</v>
      </c>
      <c r="L36" s="2">
        <v>2</v>
      </c>
      <c r="M36" s="2">
        <v>3</v>
      </c>
      <c r="N36" s="2">
        <v>-61</v>
      </c>
      <c r="O36" s="2">
        <v>-40</v>
      </c>
      <c r="P36" s="2">
        <f t="shared" si="1"/>
        <v>4.4013968760077073</v>
      </c>
      <c r="R36" s="2">
        <v>1</v>
      </c>
      <c r="S36" s="2">
        <v>3</v>
      </c>
      <c r="T36" s="2">
        <v>3</v>
      </c>
      <c r="U36" s="2">
        <v>-61</v>
      </c>
      <c r="V36" s="2">
        <v>-40</v>
      </c>
      <c r="W36" s="2">
        <f t="shared" si="2"/>
        <v>4.4013968760077073</v>
      </c>
    </row>
    <row r="37" spans="3:23">
      <c r="C37" s="5"/>
      <c r="D37" s="2">
        <v>1</v>
      </c>
      <c r="E37" s="2">
        <v>1</v>
      </c>
      <c r="F37" s="2">
        <v>3</v>
      </c>
      <c r="G37" s="2">
        <v>-53</v>
      </c>
      <c r="H37" s="2">
        <v>-40</v>
      </c>
      <c r="I37" s="2">
        <f t="shared" si="0"/>
        <v>2.7246742565762001</v>
      </c>
      <c r="K37" s="2">
        <v>1</v>
      </c>
      <c r="L37" s="2">
        <v>2</v>
      </c>
      <c r="M37" s="2">
        <v>3</v>
      </c>
      <c r="N37" s="2">
        <v>-62</v>
      </c>
      <c r="O37" s="2">
        <v>-40</v>
      </c>
      <c r="P37" s="2">
        <f t="shared" si="1"/>
        <v>4.6109872034366459</v>
      </c>
      <c r="R37" s="2">
        <v>1</v>
      </c>
      <c r="S37" s="2">
        <v>3</v>
      </c>
      <c r="T37" s="2">
        <v>3</v>
      </c>
      <c r="U37" s="2">
        <v>-61</v>
      </c>
      <c r="V37" s="2">
        <v>-40</v>
      </c>
      <c r="W37" s="2">
        <f t="shared" si="2"/>
        <v>4.4013968760077073</v>
      </c>
    </row>
    <row r="38" spans="3:23">
      <c r="C38" s="5"/>
      <c r="D38" s="2">
        <v>1</v>
      </c>
      <c r="E38" s="2">
        <v>1</v>
      </c>
      <c r="F38" s="2">
        <v>3</v>
      </c>
      <c r="G38" s="2">
        <v>-54</v>
      </c>
      <c r="H38" s="2">
        <v>-40</v>
      </c>
      <c r="I38" s="2">
        <f t="shared" si="0"/>
        <v>2.9342645840051387</v>
      </c>
      <c r="K38" s="2">
        <v>1</v>
      </c>
      <c r="L38" s="2">
        <v>2</v>
      </c>
      <c r="M38" s="2">
        <v>3</v>
      </c>
      <c r="N38" s="2">
        <v>-61</v>
      </c>
      <c r="O38" s="2">
        <v>-40</v>
      </c>
      <c r="P38" s="2">
        <f t="shared" si="1"/>
        <v>4.4013968760077073</v>
      </c>
      <c r="R38" s="2">
        <v>1</v>
      </c>
      <c r="S38" s="2">
        <v>3</v>
      </c>
      <c r="T38" s="2">
        <v>3</v>
      </c>
      <c r="U38" s="2">
        <v>-55</v>
      </c>
      <c r="V38" s="2">
        <v>-40</v>
      </c>
      <c r="W38" s="2">
        <f t="shared" si="2"/>
        <v>3.1438549114340768</v>
      </c>
    </row>
    <row r="39" spans="3:23">
      <c r="C39" s="5"/>
      <c r="D39" s="2">
        <v>1</v>
      </c>
      <c r="E39" s="2">
        <v>1</v>
      </c>
      <c r="F39" s="2">
        <v>3</v>
      </c>
      <c r="G39" s="2">
        <v>-52</v>
      </c>
      <c r="H39" s="2">
        <v>-40</v>
      </c>
      <c r="I39" s="2">
        <f t="shared" si="0"/>
        <v>2.5150839291472615</v>
      </c>
      <c r="K39" s="2">
        <v>1</v>
      </c>
      <c r="L39" s="2">
        <v>2</v>
      </c>
      <c r="M39" s="2">
        <v>3</v>
      </c>
      <c r="N39" s="2">
        <v>-61</v>
      </c>
      <c r="O39" s="2">
        <v>-40</v>
      </c>
      <c r="P39" s="2">
        <f t="shared" si="1"/>
        <v>4.4013968760077073</v>
      </c>
      <c r="R39" s="2">
        <v>1</v>
      </c>
      <c r="S39" s="2">
        <v>3</v>
      </c>
      <c r="T39" s="2">
        <v>3</v>
      </c>
      <c r="U39" s="2">
        <v>-54</v>
      </c>
      <c r="V39" s="2">
        <v>-40</v>
      </c>
      <c r="W39" s="2">
        <f t="shared" si="2"/>
        <v>2.9342645840051387</v>
      </c>
    </row>
    <row r="40" spans="3:23">
      <c r="C40" s="5"/>
      <c r="D40" s="2">
        <v>1</v>
      </c>
      <c r="E40" s="2">
        <v>1</v>
      </c>
      <c r="F40" s="2">
        <v>3</v>
      </c>
      <c r="G40" s="2">
        <v>-51</v>
      </c>
      <c r="H40" s="2">
        <v>-40</v>
      </c>
      <c r="I40" s="2">
        <f t="shared" si="0"/>
        <v>2.305493601718323</v>
      </c>
      <c r="K40" s="2">
        <v>1</v>
      </c>
      <c r="L40" s="2">
        <v>2</v>
      </c>
      <c r="M40" s="2">
        <v>3</v>
      </c>
      <c r="N40" s="2">
        <v>-58</v>
      </c>
      <c r="O40" s="2">
        <v>-40</v>
      </c>
      <c r="P40" s="2">
        <f t="shared" si="1"/>
        <v>3.7726258937208925</v>
      </c>
      <c r="R40" s="2">
        <v>1</v>
      </c>
      <c r="S40" s="2">
        <v>3</v>
      </c>
      <c r="T40" s="2">
        <v>3</v>
      </c>
      <c r="U40" s="2">
        <v>-54</v>
      </c>
      <c r="V40" s="2">
        <v>-40</v>
      </c>
      <c r="W40" s="2">
        <f t="shared" si="2"/>
        <v>2.9342645840051387</v>
      </c>
    </row>
    <row r="41" spans="3:23">
      <c r="C41" s="5"/>
      <c r="D41" s="2">
        <v>1</v>
      </c>
      <c r="E41" s="2">
        <v>1</v>
      </c>
      <c r="F41" s="2">
        <v>3</v>
      </c>
      <c r="G41" s="2">
        <v>-51</v>
      </c>
      <c r="H41" s="2">
        <v>-40</v>
      </c>
      <c r="I41" s="2">
        <f t="shared" si="0"/>
        <v>2.305493601718323</v>
      </c>
      <c r="K41" s="2">
        <v>1</v>
      </c>
      <c r="L41" s="2">
        <v>2</v>
      </c>
      <c r="M41" s="2">
        <v>3</v>
      </c>
      <c r="N41" s="2">
        <v>-59</v>
      </c>
      <c r="O41" s="2">
        <v>-40</v>
      </c>
      <c r="P41" s="2">
        <f t="shared" si="1"/>
        <v>3.9822162211498306</v>
      </c>
      <c r="R41" s="2">
        <v>1</v>
      </c>
      <c r="S41" s="2">
        <v>3</v>
      </c>
      <c r="T41" s="2">
        <v>3</v>
      </c>
      <c r="U41" s="2">
        <v>-62</v>
      </c>
      <c r="V41" s="2">
        <v>-40</v>
      </c>
      <c r="W41" s="2">
        <f t="shared" si="2"/>
        <v>4.6109872034366459</v>
      </c>
    </row>
    <row r="42" spans="3:23">
      <c r="C42" s="5"/>
      <c r="D42" s="2">
        <v>1</v>
      </c>
      <c r="E42" s="2">
        <v>1</v>
      </c>
      <c r="F42" s="2">
        <v>3</v>
      </c>
      <c r="G42" s="2">
        <v>-51</v>
      </c>
      <c r="H42" s="2">
        <v>-40</v>
      </c>
      <c r="I42" s="2">
        <f t="shared" si="0"/>
        <v>2.305493601718323</v>
      </c>
      <c r="K42" s="2">
        <v>1</v>
      </c>
      <c r="L42" s="2">
        <v>2</v>
      </c>
      <c r="M42" s="2">
        <v>3</v>
      </c>
      <c r="N42" s="2">
        <v>-57</v>
      </c>
      <c r="O42" s="2">
        <v>-40</v>
      </c>
      <c r="P42" s="2">
        <f t="shared" si="1"/>
        <v>3.5630355662919539</v>
      </c>
      <c r="R42" s="2">
        <v>1</v>
      </c>
      <c r="S42" s="2">
        <v>3</v>
      </c>
      <c r="T42" s="2">
        <v>3</v>
      </c>
      <c r="U42" s="2">
        <v>-57</v>
      </c>
      <c r="V42" s="2">
        <v>-40</v>
      </c>
      <c r="W42" s="2">
        <f t="shared" si="2"/>
        <v>3.5630355662919539</v>
      </c>
    </row>
    <row r="43" spans="3:23">
      <c r="C43" s="5"/>
      <c r="D43" s="2">
        <v>1</v>
      </c>
      <c r="E43" s="2">
        <v>1</v>
      </c>
      <c r="F43" s="2">
        <v>3</v>
      </c>
      <c r="G43" s="2">
        <v>-50</v>
      </c>
      <c r="H43" s="2">
        <v>-40</v>
      </c>
      <c r="I43" s="2">
        <f t="shared" si="0"/>
        <v>2.0959032742893848</v>
      </c>
      <c r="K43" s="2">
        <v>1</v>
      </c>
      <c r="L43" s="2">
        <v>2</v>
      </c>
      <c r="M43" s="2">
        <v>3</v>
      </c>
      <c r="N43" s="2">
        <v>-58</v>
      </c>
      <c r="O43" s="2">
        <v>-40</v>
      </c>
      <c r="P43" s="2">
        <f t="shared" si="1"/>
        <v>3.7726258937208925</v>
      </c>
      <c r="R43" s="2">
        <v>1</v>
      </c>
      <c r="S43" s="2">
        <v>3</v>
      </c>
      <c r="T43" s="2">
        <v>3</v>
      </c>
      <c r="U43" s="2">
        <v>-68</v>
      </c>
      <c r="V43" s="2">
        <v>-40</v>
      </c>
      <c r="W43" s="2">
        <f t="shared" si="2"/>
        <v>5.8685291680102774</v>
      </c>
    </row>
    <row r="44" spans="3:23">
      <c r="C44" s="5"/>
      <c r="D44" s="2">
        <v>1</v>
      </c>
      <c r="E44" s="2">
        <v>1</v>
      </c>
      <c r="F44" s="2">
        <v>3</v>
      </c>
      <c r="G44" s="2">
        <v>-51</v>
      </c>
      <c r="H44" s="2">
        <v>-40</v>
      </c>
      <c r="I44" s="2">
        <f t="shared" si="0"/>
        <v>2.305493601718323</v>
      </c>
      <c r="K44" s="2">
        <v>1</v>
      </c>
      <c r="L44" s="2">
        <v>2</v>
      </c>
      <c r="M44" s="2">
        <v>3</v>
      </c>
      <c r="N44" s="2">
        <v>-56</v>
      </c>
      <c r="O44" s="2">
        <v>-40</v>
      </c>
      <c r="P44" s="2">
        <f t="shared" si="1"/>
        <v>3.3534452388630154</v>
      </c>
      <c r="R44" s="2">
        <v>1</v>
      </c>
      <c r="S44" s="2">
        <v>3</v>
      </c>
      <c r="T44" s="2">
        <v>3</v>
      </c>
      <c r="U44" s="2">
        <v>-66</v>
      </c>
      <c r="V44" s="2">
        <v>-40</v>
      </c>
      <c r="W44" s="2">
        <f t="shared" si="2"/>
        <v>5.4493485131524002</v>
      </c>
    </row>
    <row r="45" spans="3:23">
      <c r="C45" s="5"/>
      <c r="D45" s="2">
        <v>1</v>
      </c>
      <c r="E45" s="2">
        <v>1</v>
      </c>
      <c r="F45" s="2">
        <v>3</v>
      </c>
      <c r="G45" s="2">
        <v>-50</v>
      </c>
      <c r="H45" s="2">
        <v>-40</v>
      </c>
      <c r="I45" s="2">
        <f t="shared" si="0"/>
        <v>2.0959032742893848</v>
      </c>
      <c r="K45" s="2">
        <v>1</v>
      </c>
      <c r="L45" s="2">
        <v>2</v>
      </c>
      <c r="M45" s="2">
        <v>3</v>
      </c>
      <c r="N45" s="2">
        <v>-53</v>
      </c>
      <c r="O45" s="2">
        <v>-40</v>
      </c>
      <c r="P45" s="2">
        <f t="shared" si="1"/>
        <v>2.7246742565762001</v>
      </c>
      <c r="R45" s="2">
        <v>1</v>
      </c>
      <c r="S45" s="2">
        <v>3</v>
      </c>
      <c r="T45" s="2">
        <v>3</v>
      </c>
      <c r="U45" s="2">
        <v>-63</v>
      </c>
      <c r="V45" s="2">
        <v>-40</v>
      </c>
      <c r="W45" s="2">
        <f t="shared" si="2"/>
        <v>4.8205775308655845</v>
      </c>
    </row>
    <row r="46" spans="3:23">
      <c r="C46" s="5"/>
      <c r="D46" s="2">
        <v>1</v>
      </c>
      <c r="E46" s="2">
        <v>1</v>
      </c>
      <c r="F46" s="2">
        <v>3</v>
      </c>
      <c r="G46" s="2">
        <v>-50</v>
      </c>
      <c r="H46" s="2">
        <v>-40</v>
      </c>
      <c r="I46" s="2">
        <f t="shared" si="0"/>
        <v>2.0959032742893848</v>
      </c>
      <c r="K46" s="2">
        <v>1</v>
      </c>
      <c r="L46" s="2">
        <v>2</v>
      </c>
      <c r="M46" s="2">
        <v>3</v>
      </c>
      <c r="N46" s="2">
        <v>-57</v>
      </c>
      <c r="O46" s="2">
        <v>-40</v>
      </c>
      <c r="P46" s="2">
        <f t="shared" si="1"/>
        <v>3.5630355662919539</v>
      </c>
      <c r="R46" s="2">
        <v>1</v>
      </c>
      <c r="S46" s="2">
        <v>3</v>
      </c>
      <c r="T46" s="2">
        <v>3</v>
      </c>
      <c r="U46" s="2">
        <v>-63</v>
      </c>
      <c r="V46" s="2">
        <v>-40</v>
      </c>
      <c r="W46" s="2">
        <f t="shared" si="2"/>
        <v>4.8205775308655845</v>
      </c>
    </row>
    <row r="47" spans="3:23">
      <c r="C47" s="5"/>
      <c r="D47" s="2">
        <v>1</v>
      </c>
      <c r="E47" s="2">
        <v>1</v>
      </c>
      <c r="F47" s="2">
        <v>3</v>
      </c>
      <c r="G47" s="2">
        <v>-51</v>
      </c>
      <c r="H47" s="2">
        <v>-40</v>
      </c>
      <c r="I47" s="2">
        <f t="shared" si="0"/>
        <v>2.305493601718323</v>
      </c>
      <c r="K47" s="2">
        <v>1</v>
      </c>
      <c r="L47" s="2">
        <v>2</v>
      </c>
      <c r="M47" s="2">
        <v>3</v>
      </c>
      <c r="N47" s="2">
        <v>-53</v>
      </c>
      <c r="O47" s="2">
        <v>-40</v>
      </c>
      <c r="P47" s="2">
        <f t="shared" si="1"/>
        <v>2.7246742565762001</v>
      </c>
      <c r="R47" s="2">
        <v>1</v>
      </c>
      <c r="S47" s="2">
        <v>3</v>
      </c>
      <c r="T47" s="2">
        <v>3</v>
      </c>
      <c r="U47" s="2">
        <v>-62</v>
      </c>
      <c r="V47" s="2">
        <v>-40</v>
      </c>
      <c r="W47" s="2">
        <f t="shared" si="2"/>
        <v>4.6109872034366459</v>
      </c>
    </row>
    <row r="48" spans="3:23">
      <c r="C48" s="5"/>
      <c r="D48" s="2">
        <v>1</v>
      </c>
      <c r="E48" s="2">
        <v>1</v>
      </c>
      <c r="F48" s="2">
        <v>3</v>
      </c>
      <c r="G48" s="2">
        <v>-56</v>
      </c>
      <c r="H48" s="2">
        <v>-40</v>
      </c>
      <c r="I48" s="2">
        <f t="shared" si="0"/>
        <v>3.3534452388630154</v>
      </c>
      <c r="K48" s="2">
        <v>1</v>
      </c>
      <c r="L48" s="2">
        <v>2</v>
      </c>
      <c r="M48" s="2">
        <v>3</v>
      </c>
      <c r="N48" s="2">
        <v>-58</v>
      </c>
      <c r="O48" s="2">
        <v>-40</v>
      </c>
      <c r="P48" s="2">
        <f t="shared" si="1"/>
        <v>3.7726258937208925</v>
      </c>
      <c r="R48" s="2">
        <v>1</v>
      </c>
      <c r="S48" s="2">
        <v>3</v>
      </c>
      <c r="T48" s="2">
        <v>3</v>
      </c>
      <c r="U48" s="2">
        <v>-60</v>
      </c>
      <c r="V48" s="2">
        <v>-40</v>
      </c>
      <c r="W48" s="2">
        <f t="shared" si="2"/>
        <v>4.1918065485787697</v>
      </c>
    </row>
    <row r="49" spans="3:26">
      <c r="C49" s="5"/>
      <c r="D49" s="2">
        <v>1</v>
      </c>
      <c r="E49" s="2">
        <v>1</v>
      </c>
      <c r="F49" s="2">
        <v>3</v>
      </c>
      <c r="G49" s="2">
        <v>-53</v>
      </c>
      <c r="H49" s="2">
        <v>-40</v>
      </c>
      <c r="I49" s="2">
        <f t="shared" si="0"/>
        <v>2.7246742565762001</v>
      </c>
      <c r="K49" s="2">
        <v>1</v>
      </c>
      <c r="L49" s="2">
        <v>2</v>
      </c>
      <c r="M49" s="2">
        <v>3</v>
      </c>
      <c r="N49" s="2">
        <v>-59</v>
      </c>
      <c r="O49" s="2">
        <v>-40</v>
      </c>
      <c r="P49" s="2">
        <f t="shared" si="1"/>
        <v>3.9822162211498306</v>
      </c>
      <c r="R49" s="2">
        <v>1</v>
      </c>
      <c r="S49" s="2">
        <v>3</v>
      </c>
      <c r="T49" s="2">
        <v>3</v>
      </c>
      <c r="U49" s="2">
        <v>-55</v>
      </c>
      <c r="V49" s="2">
        <v>-40</v>
      </c>
      <c r="W49" s="2">
        <f t="shared" si="2"/>
        <v>3.1438549114340768</v>
      </c>
    </row>
    <row r="50" spans="3:26">
      <c r="C50" s="5"/>
      <c r="D50" s="2">
        <v>1</v>
      </c>
      <c r="E50" s="2">
        <v>1</v>
      </c>
      <c r="F50" s="2">
        <v>3</v>
      </c>
      <c r="G50" s="2">
        <v>-53</v>
      </c>
      <c r="H50" s="2">
        <v>-40</v>
      </c>
      <c r="I50" s="2">
        <f t="shared" si="0"/>
        <v>2.7246742565762001</v>
      </c>
      <c r="K50" s="2">
        <v>1</v>
      </c>
      <c r="L50" s="2">
        <v>2</v>
      </c>
      <c r="M50" s="2">
        <v>3</v>
      </c>
      <c r="N50" s="2">
        <v>-54</v>
      </c>
      <c r="O50" s="2">
        <v>-40</v>
      </c>
      <c r="P50" s="2">
        <f t="shared" si="1"/>
        <v>2.9342645840051387</v>
      </c>
      <c r="R50" s="2">
        <v>1</v>
      </c>
      <c r="S50" s="2">
        <v>3</v>
      </c>
      <c r="T50" s="2">
        <v>3</v>
      </c>
      <c r="U50" s="2">
        <v>-57</v>
      </c>
      <c r="V50" s="2">
        <v>-40</v>
      </c>
      <c r="W50" s="2">
        <f t="shared" si="2"/>
        <v>3.5630355662919539</v>
      </c>
    </row>
    <row r="51" spans="3:26">
      <c r="C51" s="5"/>
      <c r="D51" s="2">
        <v>1</v>
      </c>
      <c r="E51" s="2">
        <v>1</v>
      </c>
      <c r="F51" s="2">
        <v>3</v>
      </c>
      <c r="G51" s="2">
        <v>-53</v>
      </c>
      <c r="H51" s="2">
        <v>-40</v>
      </c>
      <c r="I51" s="2">
        <f t="shared" si="0"/>
        <v>2.7246742565762001</v>
      </c>
      <c r="K51" s="2">
        <v>1</v>
      </c>
      <c r="L51" s="2">
        <v>2</v>
      </c>
      <c r="M51" s="2">
        <v>3</v>
      </c>
      <c r="N51" s="2">
        <v>-54</v>
      </c>
      <c r="O51" s="2">
        <v>-40</v>
      </c>
      <c r="P51" s="2">
        <f t="shared" si="1"/>
        <v>2.9342645840051387</v>
      </c>
      <c r="R51" s="2">
        <v>1</v>
      </c>
      <c r="S51" s="2">
        <v>3</v>
      </c>
      <c r="T51" s="2">
        <v>3</v>
      </c>
      <c r="U51" s="2">
        <v>-60</v>
      </c>
      <c r="V51" s="2">
        <v>-40</v>
      </c>
      <c r="W51" s="2">
        <f t="shared" si="2"/>
        <v>4.1918065485787697</v>
      </c>
    </row>
    <row r="52" spans="3:26">
      <c r="C52" s="5"/>
      <c r="D52" s="2">
        <v>1</v>
      </c>
      <c r="E52" s="2">
        <v>1</v>
      </c>
      <c r="F52" s="2">
        <v>3</v>
      </c>
      <c r="G52" s="2">
        <v>-51</v>
      </c>
      <c r="H52" s="2">
        <v>-40</v>
      </c>
      <c r="I52" s="2">
        <f t="shared" si="0"/>
        <v>2.305493601718323</v>
      </c>
      <c r="K52" s="2">
        <v>1</v>
      </c>
      <c r="L52" s="2">
        <v>2</v>
      </c>
      <c r="M52" s="2">
        <v>3</v>
      </c>
      <c r="N52" s="2">
        <v>-52</v>
      </c>
      <c r="O52" s="2">
        <v>-40</v>
      </c>
      <c r="P52" s="2">
        <f t="shared" si="1"/>
        <v>2.5150839291472615</v>
      </c>
      <c r="R52" s="2">
        <v>1</v>
      </c>
      <c r="S52" s="2">
        <v>3</v>
      </c>
      <c r="T52" s="2">
        <v>3</v>
      </c>
      <c r="U52" s="2">
        <v>-55</v>
      </c>
      <c r="V52" s="2">
        <v>-40</v>
      </c>
      <c r="W52" s="2">
        <f t="shared" si="2"/>
        <v>3.1438549114340768</v>
      </c>
    </row>
    <row r="53" spans="3:26">
      <c r="C53" s="5"/>
      <c r="D53" s="2">
        <v>1</v>
      </c>
      <c r="E53" s="2">
        <v>1</v>
      </c>
      <c r="F53" s="2">
        <v>3</v>
      </c>
      <c r="G53" s="2">
        <v>-51</v>
      </c>
      <c r="H53" s="2">
        <v>-40</v>
      </c>
      <c r="I53" s="2">
        <f t="shared" si="0"/>
        <v>2.305493601718323</v>
      </c>
      <c r="K53" s="2">
        <v>1</v>
      </c>
      <c r="L53" s="2">
        <v>2</v>
      </c>
      <c r="M53" s="2">
        <v>3</v>
      </c>
      <c r="N53" s="2">
        <v>-54</v>
      </c>
      <c r="O53" s="2">
        <v>-40</v>
      </c>
      <c r="P53" s="2">
        <f t="shared" si="1"/>
        <v>2.9342645840051387</v>
      </c>
      <c r="R53" s="2">
        <v>1</v>
      </c>
      <c r="S53" s="2">
        <v>3</v>
      </c>
      <c r="T53" s="2">
        <v>3</v>
      </c>
      <c r="U53" s="2">
        <v>-59</v>
      </c>
      <c r="V53" s="2">
        <v>-40</v>
      </c>
      <c r="W53" s="2">
        <f t="shared" si="2"/>
        <v>3.9822162211498306</v>
      </c>
    </row>
    <row r="54" spans="3:26">
      <c r="C54" s="5"/>
      <c r="D54" s="2">
        <v>1</v>
      </c>
      <c r="E54" s="2">
        <v>1</v>
      </c>
      <c r="F54" s="2">
        <v>3</v>
      </c>
      <c r="G54" s="2">
        <v>-51</v>
      </c>
      <c r="H54" s="2">
        <v>-40</v>
      </c>
      <c r="I54" s="2">
        <f t="shared" si="0"/>
        <v>2.305493601718323</v>
      </c>
      <c r="K54" s="2">
        <v>1</v>
      </c>
      <c r="L54" s="2">
        <v>2</v>
      </c>
      <c r="M54" s="2">
        <v>3</v>
      </c>
      <c r="N54" s="2">
        <v>-55</v>
      </c>
      <c r="O54" s="2">
        <v>-40</v>
      </c>
      <c r="P54" s="2">
        <f t="shared" si="1"/>
        <v>3.1438549114340768</v>
      </c>
      <c r="R54" s="2">
        <v>1</v>
      </c>
      <c r="S54" s="2">
        <v>3</v>
      </c>
      <c r="T54" s="2">
        <v>3</v>
      </c>
      <c r="U54" s="2">
        <v>-59</v>
      </c>
      <c r="V54" s="2">
        <v>-40</v>
      </c>
      <c r="W54" s="2">
        <f t="shared" si="2"/>
        <v>3.9822162211498306</v>
      </c>
    </row>
    <row r="55" spans="3:26">
      <c r="C55" s="5"/>
      <c r="D55" s="2">
        <v>1</v>
      </c>
      <c r="E55" s="2">
        <v>1</v>
      </c>
      <c r="F55" s="2">
        <v>3</v>
      </c>
      <c r="G55" s="2">
        <v>-55</v>
      </c>
      <c r="H55" s="2">
        <v>-40</v>
      </c>
      <c r="I55" s="2">
        <f t="shared" si="0"/>
        <v>3.1438549114340768</v>
      </c>
      <c r="K55" s="2">
        <v>1</v>
      </c>
      <c r="L55" s="2">
        <v>2</v>
      </c>
      <c r="M55" s="2">
        <v>3</v>
      </c>
      <c r="N55" s="2">
        <v>-52</v>
      </c>
      <c r="O55" s="2">
        <v>-40</v>
      </c>
      <c r="P55" s="2">
        <f t="shared" si="1"/>
        <v>2.5150839291472615</v>
      </c>
      <c r="R55" s="2">
        <v>1</v>
      </c>
      <c r="S55" s="2">
        <v>3</v>
      </c>
      <c r="T55" s="2">
        <v>3</v>
      </c>
      <c r="U55" s="2">
        <v>-63</v>
      </c>
      <c r="V55" s="2">
        <v>-40</v>
      </c>
      <c r="W55" s="2">
        <f t="shared" si="2"/>
        <v>4.8205775308655845</v>
      </c>
    </row>
    <row r="56" spans="3:26">
      <c r="C56" s="5"/>
      <c r="D56" s="2">
        <v>1</v>
      </c>
      <c r="E56" s="2">
        <v>1</v>
      </c>
      <c r="F56" s="2">
        <v>3</v>
      </c>
      <c r="G56" s="2">
        <v>-55</v>
      </c>
      <c r="H56" s="2">
        <v>-40</v>
      </c>
      <c r="I56" s="2">
        <f t="shared" si="0"/>
        <v>3.1438549114340768</v>
      </c>
      <c r="K56" s="2">
        <v>1</v>
      </c>
      <c r="L56" s="2">
        <v>2</v>
      </c>
      <c r="M56" s="2">
        <v>3</v>
      </c>
      <c r="N56" s="2">
        <v>-53</v>
      </c>
      <c r="O56" s="2">
        <v>-40</v>
      </c>
      <c r="P56" s="2">
        <f t="shared" si="1"/>
        <v>2.7246742565762001</v>
      </c>
      <c r="R56" s="2">
        <v>1</v>
      </c>
      <c r="S56" s="2">
        <v>3</v>
      </c>
      <c r="T56" s="2">
        <v>3</v>
      </c>
      <c r="U56" s="2">
        <v>-57</v>
      </c>
      <c r="V56" s="2">
        <v>-40</v>
      </c>
      <c r="W56" s="2">
        <f t="shared" si="2"/>
        <v>3.5630355662919539</v>
      </c>
    </row>
    <row r="57" spans="3:26">
      <c r="C57" s="5"/>
      <c r="D57" s="2">
        <v>1</v>
      </c>
      <c r="E57" s="2">
        <v>1</v>
      </c>
      <c r="F57" s="2">
        <v>3</v>
      </c>
      <c r="G57" s="2">
        <v>-53</v>
      </c>
      <c r="H57" s="2">
        <v>-40</v>
      </c>
      <c r="I57" s="2">
        <f t="shared" si="0"/>
        <v>2.7246742565762001</v>
      </c>
      <c r="K57" s="2">
        <v>1</v>
      </c>
      <c r="L57" s="2">
        <v>2</v>
      </c>
      <c r="M57" s="2">
        <v>3</v>
      </c>
      <c r="N57" s="2">
        <v>-56</v>
      </c>
      <c r="O57" s="2">
        <v>-40</v>
      </c>
      <c r="P57" s="2">
        <f t="shared" si="1"/>
        <v>3.3534452388630154</v>
      </c>
      <c r="R57" s="2">
        <v>1</v>
      </c>
      <c r="S57" s="2">
        <v>3</v>
      </c>
      <c r="T57" s="2">
        <v>3</v>
      </c>
      <c r="U57" s="2">
        <v>-56</v>
      </c>
      <c r="V57" s="2">
        <v>-40</v>
      </c>
      <c r="W57" s="2">
        <f t="shared" si="2"/>
        <v>3.3534452388630154</v>
      </c>
    </row>
    <row r="58" spans="3:26">
      <c r="C58" s="5"/>
      <c r="D58" s="1" t="s">
        <v>5</v>
      </c>
      <c r="E58" s="3">
        <f>AVERAGE(I33:I57,P33:P57,W33:W57)</f>
        <v>3.4149250682421721</v>
      </c>
      <c r="F58" s="1"/>
      <c r="G58" s="1"/>
      <c r="H58" s="1"/>
      <c r="I58" s="1"/>
      <c r="J58" s="1"/>
      <c r="K58" s="1"/>
      <c r="L58" s="1"/>
      <c r="M58" s="1"/>
      <c r="N58" s="4"/>
      <c r="O58" s="1"/>
      <c r="P58" s="1"/>
      <c r="Q58" s="1"/>
      <c r="R58" s="1"/>
      <c r="S58" s="1"/>
      <c r="T58" s="1"/>
      <c r="U58" s="1"/>
      <c r="V58" s="1"/>
      <c r="W58" s="1"/>
      <c r="X58" s="1" t="s">
        <v>12</v>
      </c>
      <c r="Y58" s="1">
        <f>STDEV(I33:I57,P33:P57,W33:W57)</f>
        <v>0.98292889296482633</v>
      </c>
      <c r="Z58" s="1"/>
    </row>
    <row r="59" spans="3:26" ht="29.25">
      <c r="C59" s="6"/>
      <c r="D59" s="2" t="s">
        <v>0</v>
      </c>
    </row>
    <row r="60" spans="3:26" ht="29.25">
      <c r="C60" s="6"/>
      <c r="D60" s="1" t="s">
        <v>1</v>
      </c>
      <c r="E60" s="1" t="s">
        <v>2</v>
      </c>
      <c r="F60" s="1" t="s">
        <v>3</v>
      </c>
      <c r="G60" s="1"/>
      <c r="H60" s="1" t="s">
        <v>2</v>
      </c>
      <c r="I60" s="1" t="s">
        <v>3</v>
      </c>
      <c r="J60" s="1"/>
      <c r="K60" s="1" t="s">
        <v>2</v>
      </c>
      <c r="L60" s="1" t="s">
        <v>3</v>
      </c>
      <c r="M60" s="1"/>
      <c r="N60" s="1"/>
      <c r="O60" s="1"/>
      <c r="P60" s="1"/>
      <c r="Q60" s="1"/>
      <c r="R60" s="1"/>
      <c r="S60" s="1"/>
    </row>
    <row r="61" spans="3:26">
      <c r="C61" s="6"/>
      <c r="D61" s="2">
        <v>2</v>
      </c>
      <c r="E61" s="2">
        <v>1</v>
      </c>
      <c r="F61" s="2">
        <v>-48</v>
      </c>
      <c r="H61" s="2">
        <v>2</v>
      </c>
      <c r="I61" s="2">
        <v>-32</v>
      </c>
      <c r="K61" s="2">
        <v>3</v>
      </c>
      <c r="L61" s="2">
        <v>-28</v>
      </c>
    </row>
    <row r="62" spans="3:26">
      <c r="C62" s="6"/>
      <c r="D62" s="2">
        <v>2</v>
      </c>
      <c r="E62" s="2">
        <v>1</v>
      </c>
      <c r="F62" s="2">
        <v>-49</v>
      </c>
      <c r="H62" s="2">
        <v>2</v>
      </c>
      <c r="I62" s="2">
        <v>-34</v>
      </c>
      <c r="K62" s="2">
        <v>3</v>
      </c>
      <c r="L62" s="2">
        <v>-29</v>
      </c>
    </row>
    <row r="63" spans="3:26">
      <c r="C63" s="6"/>
      <c r="D63" s="2">
        <v>2</v>
      </c>
      <c r="E63" s="2">
        <v>1</v>
      </c>
      <c r="F63" s="2">
        <v>-46</v>
      </c>
      <c r="H63" s="2">
        <v>2</v>
      </c>
      <c r="I63" s="2">
        <v>-35</v>
      </c>
      <c r="K63" s="2">
        <v>3</v>
      </c>
      <c r="L63" s="2">
        <v>-32</v>
      </c>
    </row>
    <row r="64" spans="3:26">
      <c r="C64" s="6"/>
      <c r="D64" s="2">
        <v>2</v>
      </c>
      <c r="E64" s="2">
        <v>1</v>
      </c>
      <c r="F64" s="2">
        <v>-46</v>
      </c>
      <c r="H64" s="2">
        <v>2</v>
      </c>
      <c r="I64" s="2">
        <v>-35</v>
      </c>
      <c r="K64" s="2">
        <v>3</v>
      </c>
      <c r="L64" s="2">
        <v>-34</v>
      </c>
    </row>
    <row r="65" spans="3:12">
      <c r="C65" s="6"/>
      <c r="D65" s="2">
        <v>2</v>
      </c>
      <c r="E65" s="2">
        <v>1</v>
      </c>
      <c r="F65" s="2">
        <v>-46</v>
      </c>
      <c r="H65" s="2">
        <v>2</v>
      </c>
      <c r="I65" s="2">
        <v>-38</v>
      </c>
      <c r="K65" s="2">
        <v>3</v>
      </c>
      <c r="L65" s="2">
        <v>-34</v>
      </c>
    </row>
    <row r="66" spans="3:12">
      <c r="C66" s="6"/>
      <c r="D66" s="2">
        <v>2</v>
      </c>
      <c r="E66" s="2">
        <v>1</v>
      </c>
      <c r="F66" s="2">
        <v>-38</v>
      </c>
      <c r="H66" s="2">
        <v>2</v>
      </c>
      <c r="I66" s="2">
        <v>-41</v>
      </c>
      <c r="K66" s="2">
        <v>3</v>
      </c>
      <c r="L66" s="2">
        <v>-33</v>
      </c>
    </row>
    <row r="67" spans="3:12">
      <c r="C67" s="6"/>
      <c r="D67" s="2">
        <v>2</v>
      </c>
      <c r="E67" s="2">
        <v>1</v>
      </c>
      <c r="F67" s="2">
        <v>-38</v>
      </c>
      <c r="H67" s="2">
        <v>2</v>
      </c>
      <c r="I67" s="2">
        <v>-35</v>
      </c>
      <c r="K67" s="2">
        <v>3</v>
      </c>
      <c r="L67" s="2">
        <v>-32</v>
      </c>
    </row>
    <row r="68" spans="3:12">
      <c r="C68" s="6"/>
      <c r="D68" s="2">
        <v>2</v>
      </c>
      <c r="E68" s="2">
        <v>1</v>
      </c>
      <c r="F68" s="2">
        <v>-36</v>
      </c>
      <c r="H68" s="2">
        <v>2</v>
      </c>
      <c r="I68" s="2">
        <v>-31</v>
      </c>
      <c r="K68" s="2">
        <v>3</v>
      </c>
      <c r="L68" s="2">
        <v>-34</v>
      </c>
    </row>
    <row r="69" spans="3:12">
      <c r="C69" s="6"/>
      <c r="D69" s="2">
        <v>2</v>
      </c>
      <c r="E69" s="2">
        <v>1</v>
      </c>
      <c r="F69" s="2">
        <v>-36</v>
      </c>
      <c r="H69" s="2">
        <v>2</v>
      </c>
      <c r="I69" s="2">
        <v>-35</v>
      </c>
      <c r="K69" s="2">
        <v>3</v>
      </c>
      <c r="L69" s="2">
        <v>-34</v>
      </c>
    </row>
    <row r="70" spans="3:12">
      <c r="C70" s="6"/>
      <c r="D70" s="2">
        <v>2</v>
      </c>
      <c r="E70" s="2">
        <v>1</v>
      </c>
      <c r="F70" s="2">
        <v>-36</v>
      </c>
      <c r="H70" s="2">
        <v>2</v>
      </c>
      <c r="I70" s="2">
        <v>-37</v>
      </c>
      <c r="K70" s="2">
        <v>3</v>
      </c>
      <c r="L70" s="2">
        <v>-31</v>
      </c>
    </row>
    <row r="71" spans="3:12">
      <c r="C71" s="6"/>
      <c r="D71" s="2">
        <v>2</v>
      </c>
      <c r="E71" s="2">
        <v>1</v>
      </c>
      <c r="F71" s="2">
        <v>-42</v>
      </c>
      <c r="H71" s="2">
        <v>2</v>
      </c>
      <c r="I71" s="2">
        <v>-37</v>
      </c>
      <c r="K71" s="2">
        <v>3</v>
      </c>
      <c r="L71" s="2">
        <v>-33</v>
      </c>
    </row>
    <row r="72" spans="3:12">
      <c r="C72" s="6"/>
      <c r="D72" s="2">
        <v>2</v>
      </c>
      <c r="E72" s="2">
        <v>1</v>
      </c>
      <c r="F72" s="2">
        <v>-44</v>
      </c>
      <c r="H72" s="2">
        <v>2</v>
      </c>
      <c r="I72" s="2">
        <v>-37</v>
      </c>
      <c r="K72" s="2">
        <v>3</v>
      </c>
      <c r="L72" s="2">
        <v>-34</v>
      </c>
    </row>
    <row r="73" spans="3:12">
      <c r="C73" s="6"/>
      <c r="D73" s="2">
        <v>2</v>
      </c>
      <c r="E73" s="2">
        <v>1</v>
      </c>
      <c r="F73" s="2">
        <v>-39</v>
      </c>
      <c r="H73" s="2">
        <v>2</v>
      </c>
      <c r="I73" s="2">
        <v>-37</v>
      </c>
      <c r="K73" s="2">
        <v>3</v>
      </c>
      <c r="L73" s="2">
        <v>-34</v>
      </c>
    </row>
    <row r="74" spans="3:12">
      <c r="C74" s="6"/>
      <c r="D74" s="2">
        <v>2</v>
      </c>
      <c r="E74" s="2">
        <v>1</v>
      </c>
      <c r="F74" s="2">
        <v>-35</v>
      </c>
      <c r="H74" s="2">
        <v>2</v>
      </c>
      <c r="I74" s="2">
        <v>-37</v>
      </c>
      <c r="K74" s="2">
        <v>3</v>
      </c>
      <c r="L74" s="2">
        <v>-32</v>
      </c>
    </row>
    <row r="75" spans="3:12">
      <c r="C75" s="6"/>
      <c r="D75" s="2">
        <v>2</v>
      </c>
      <c r="E75" s="2">
        <v>1</v>
      </c>
      <c r="F75" s="2">
        <v>-44</v>
      </c>
      <c r="H75" s="2">
        <v>2</v>
      </c>
      <c r="I75" s="2">
        <v>-36</v>
      </c>
      <c r="K75" s="2">
        <v>3</v>
      </c>
      <c r="L75" s="2">
        <v>-33</v>
      </c>
    </row>
    <row r="76" spans="3:12">
      <c r="C76" s="6"/>
      <c r="D76" s="2">
        <v>2</v>
      </c>
      <c r="E76" s="2">
        <v>1</v>
      </c>
      <c r="F76" s="2">
        <v>-40</v>
      </c>
      <c r="H76" s="2">
        <v>2</v>
      </c>
      <c r="I76" s="2">
        <v>-34</v>
      </c>
      <c r="K76" s="2">
        <v>3</v>
      </c>
      <c r="L76" s="2">
        <v>-34</v>
      </c>
    </row>
    <row r="77" spans="3:12">
      <c r="C77" s="6"/>
      <c r="D77" s="2">
        <v>2</v>
      </c>
      <c r="E77" s="2">
        <v>1</v>
      </c>
      <c r="F77" s="2">
        <v>-46</v>
      </c>
      <c r="H77" s="2">
        <v>2</v>
      </c>
      <c r="I77" s="2">
        <v>-31</v>
      </c>
      <c r="K77" s="2">
        <v>3</v>
      </c>
      <c r="L77" s="2">
        <v>-33</v>
      </c>
    </row>
    <row r="78" spans="3:12">
      <c r="C78" s="6"/>
      <c r="D78" s="2">
        <v>2</v>
      </c>
      <c r="E78" s="2">
        <v>1</v>
      </c>
      <c r="F78" s="2">
        <v>-46</v>
      </c>
      <c r="H78" s="2">
        <v>2</v>
      </c>
      <c r="I78" s="2">
        <v>-32</v>
      </c>
      <c r="K78" s="2">
        <v>3</v>
      </c>
      <c r="L78" s="2">
        <v>-30</v>
      </c>
    </row>
    <row r="79" spans="3:12">
      <c r="C79" s="6"/>
      <c r="D79" s="2">
        <v>2</v>
      </c>
      <c r="E79" s="2">
        <v>1</v>
      </c>
      <c r="F79" s="2">
        <v>-54</v>
      </c>
      <c r="H79" s="2">
        <v>2</v>
      </c>
      <c r="I79" s="2">
        <v>-33</v>
      </c>
      <c r="K79" s="2">
        <v>3</v>
      </c>
      <c r="L79" s="2">
        <v>-29</v>
      </c>
    </row>
    <row r="80" spans="3:12">
      <c r="C80" s="6"/>
      <c r="D80" s="2">
        <v>2</v>
      </c>
      <c r="E80" s="2">
        <v>1</v>
      </c>
      <c r="F80" s="2">
        <v>-59</v>
      </c>
      <c r="H80" s="2">
        <v>2</v>
      </c>
      <c r="I80" s="2">
        <v>-31</v>
      </c>
      <c r="K80" s="2">
        <v>3</v>
      </c>
      <c r="L80" s="2">
        <v>-31</v>
      </c>
    </row>
    <row r="81" spans="3:23">
      <c r="C81" s="6"/>
      <c r="D81" s="2">
        <v>2</v>
      </c>
      <c r="E81" s="2">
        <v>1</v>
      </c>
      <c r="F81" s="2">
        <v>-58</v>
      </c>
      <c r="H81" s="2">
        <v>2</v>
      </c>
      <c r="I81" s="2">
        <v>-30</v>
      </c>
      <c r="K81" s="2">
        <v>3</v>
      </c>
      <c r="L81" s="2">
        <v>-30</v>
      </c>
    </row>
    <row r="82" spans="3:23">
      <c r="C82" s="6"/>
      <c r="D82" s="2">
        <v>2</v>
      </c>
      <c r="E82" s="2">
        <v>1</v>
      </c>
      <c r="F82" s="2">
        <v>-58</v>
      </c>
      <c r="H82" s="2">
        <v>2</v>
      </c>
      <c r="I82" s="2">
        <v>-31</v>
      </c>
      <c r="K82" s="2">
        <v>3</v>
      </c>
      <c r="L82" s="2">
        <v>-30</v>
      </c>
    </row>
    <row r="83" spans="3:23">
      <c r="C83" s="6"/>
      <c r="D83" s="2">
        <v>2</v>
      </c>
      <c r="E83" s="2">
        <v>1</v>
      </c>
      <c r="F83" s="2">
        <v>-54</v>
      </c>
      <c r="H83" s="2">
        <v>2</v>
      </c>
      <c r="I83" s="2">
        <v>-33</v>
      </c>
      <c r="K83" s="2">
        <v>3</v>
      </c>
      <c r="L83" s="2">
        <v>-31</v>
      </c>
    </row>
    <row r="84" spans="3:23">
      <c r="C84" s="6"/>
      <c r="D84" s="2">
        <v>2</v>
      </c>
      <c r="E84" s="2">
        <v>1</v>
      </c>
      <c r="F84" s="2">
        <v>-52</v>
      </c>
      <c r="H84" s="2">
        <v>2</v>
      </c>
      <c r="I84" s="2">
        <v>-30</v>
      </c>
      <c r="K84" s="2">
        <v>3</v>
      </c>
      <c r="L84" s="2">
        <v>-31</v>
      </c>
    </row>
    <row r="85" spans="3:23">
      <c r="C85" s="6"/>
      <c r="D85" s="2">
        <v>2</v>
      </c>
      <c r="E85" s="2">
        <v>1</v>
      </c>
      <c r="F85" s="2">
        <v>-46</v>
      </c>
      <c r="H85" s="2">
        <v>2</v>
      </c>
      <c r="I85" s="2">
        <v>-30</v>
      </c>
      <c r="K85" s="2">
        <v>3</v>
      </c>
      <c r="L85" s="2">
        <v>-30</v>
      </c>
    </row>
    <row r="86" spans="3:23">
      <c r="C86" s="6"/>
      <c r="D86" s="1"/>
      <c r="E86" s="1" t="s">
        <v>4</v>
      </c>
      <c r="F86" s="1">
        <f>STDEV(F61:F85)</f>
        <v>7.3148251289191331</v>
      </c>
      <c r="G86" s="1"/>
      <c r="H86" s="1" t="s">
        <v>4</v>
      </c>
      <c r="I86" s="1">
        <f>STDEV(I61:I85)</f>
        <v>2.9709706606876254</v>
      </c>
      <c r="J86" s="1"/>
      <c r="K86" s="1" t="s">
        <v>4</v>
      </c>
      <c r="L86" s="1">
        <f>STDEV(L61:L85)</f>
        <v>1.8859126879754178</v>
      </c>
      <c r="M86" s="1" t="s">
        <v>5</v>
      </c>
      <c r="N86" s="4">
        <f>AVERAGE(F61:F85,I61:I85,L61:L85)</f>
        <v>-37.119999999999997</v>
      </c>
      <c r="O86" s="1" t="s">
        <v>6</v>
      </c>
      <c r="P86" s="1">
        <f>AVERAGE(F86,I86,L86)</f>
        <v>4.0572361591940593</v>
      </c>
      <c r="Q86" s="1" t="s">
        <v>7</v>
      </c>
      <c r="R86" s="1">
        <f>STDEV(L61:L85,I61:I85,F61:F85)</f>
        <v>7.5694264126297046</v>
      </c>
      <c r="S86" s="1"/>
    </row>
    <row r="87" spans="3:23">
      <c r="C87" s="6"/>
    </row>
    <row r="88" spans="3:23">
      <c r="C88" s="6"/>
      <c r="D88" s="2" t="s">
        <v>8</v>
      </c>
    </row>
    <row r="89" spans="3:23" ht="29.25">
      <c r="C89" s="6"/>
      <c r="D89" s="1" t="s">
        <v>1</v>
      </c>
      <c r="E89" s="1" t="s">
        <v>2</v>
      </c>
      <c r="F89" s="1" t="s">
        <v>9</v>
      </c>
      <c r="G89" s="1" t="s">
        <v>3</v>
      </c>
      <c r="H89" s="1" t="s">
        <v>10</v>
      </c>
      <c r="I89" s="1" t="s">
        <v>11</v>
      </c>
      <c r="J89" s="1"/>
      <c r="K89" s="1" t="s">
        <v>1</v>
      </c>
      <c r="L89" s="1" t="s">
        <v>2</v>
      </c>
      <c r="M89" s="1" t="s">
        <v>9</v>
      </c>
      <c r="N89" s="1" t="s">
        <v>3</v>
      </c>
      <c r="O89" s="1" t="s">
        <v>10</v>
      </c>
      <c r="P89" s="1" t="s">
        <v>11</v>
      </c>
      <c r="Q89" s="1"/>
      <c r="R89" s="1" t="s">
        <v>1</v>
      </c>
      <c r="S89" s="1" t="s">
        <v>2</v>
      </c>
      <c r="T89" s="1" t="s">
        <v>9</v>
      </c>
      <c r="U89" s="1" t="s">
        <v>3</v>
      </c>
      <c r="V89" s="1" t="s">
        <v>10</v>
      </c>
      <c r="W89" s="1" t="s">
        <v>11</v>
      </c>
    </row>
    <row r="90" spans="3:23">
      <c r="C90" s="6"/>
      <c r="D90" s="2">
        <v>2</v>
      </c>
      <c r="E90" s="2">
        <v>1</v>
      </c>
      <c r="F90" s="2">
        <v>3</v>
      </c>
      <c r="G90" s="2">
        <v>-65</v>
      </c>
      <c r="H90" s="2">
        <v>-37</v>
      </c>
      <c r="I90" s="2">
        <f>(H90-G90)/(10*LOG10(F90))</f>
        <v>5.8685291680102774</v>
      </c>
      <c r="K90" s="2">
        <v>2</v>
      </c>
      <c r="L90" s="2">
        <v>2</v>
      </c>
      <c r="M90" s="2">
        <v>3</v>
      </c>
      <c r="N90" s="2">
        <v>-57</v>
      </c>
      <c r="O90" s="2">
        <v>-37</v>
      </c>
      <c r="P90" s="2">
        <f>(O90-N90)/(10*LOG10(M90))</f>
        <v>4.1918065485787697</v>
      </c>
      <c r="R90" s="2">
        <v>2</v>
      </c>
      <c r="S90" s="2">
        <v>3</v>
      </c>
      <c r="T90" s="2">
        <v>3</v>
      </c>
      <c r="U90" s="2">
        <v>-48</v>
      </c>
      <c r="V90" s="2">
        <v>-37</v>
      </c>
      <c r="W90" s="2">
        <f>(V90-U90)/(10*LOG10(T90))</f>
        <v>2.305493601718323</v>
      </c>
    </row>
    <row r="91" spans="3:23">
      <c r="C91" s="6"/>
      <c r="D91" s="2">
        <v>2</v>
      </c>
      <c r="E91" s="2">
        <v>1</v>
      </c>
      <c r="F91" s="2">
        <v>3</v>
      </c>
      <c r="G91" s="2">
        <v>-57</v>
      </c>
      <c r="H91" s="2">
        <v>-37</v>
      </c>
      <c r="I91" s="2">
        <f t="shared" ref="I91:I114" si="3">(H91-G91)/(10*LOG10(F91))</f>
        <v>4.1918065485787697</v>
      </c>
      <c r="K91" s="2">
        <v>2</v>
      </c>
      <c r="L91" s="2">
        <v>2</v>
      </c>
      <c r="M91" s="2">
        <v>3</v>
      </c>
      <c r="N91" s="2">
        <v>-53</v>
      </c>
      <c r="O91" s="2">
        <v>-37</v>
      </c>
      <c r="P91" s="2">
        <f t="shared" ref="P91:P114" si="4">(O91-N91)/(10*LOG10(M91))</f>
        <v>3.3534452388630154</v>
      </c>
      <c r="R91" s="2">
        <v>2</v>
      </c>
      <c r="S91" s="2">
        <v>3</v>
      </c>
      <c r="T91" s="2">
        <v>3</v>
      </c>
      <c r="U91" s="2">
        <v>-43</v>
      </c>
      <c r="V91" s="2">
        <v>-37</v>
      </c>
      <c r="W91" s="2">
        <f t="shared" ref="W91:W114" si="5">(V91-U91)/(10*LOG10(T91))</f>
        <v>1.2575419645736308</v>
      </c>
    </row>
    <row r="92" spans="3:23">
      <c r="C92" s="6"/>
      <c r="D92" s="2">
        <v>2</v>
      </c>
      <c r="E92" s="2">
        <v>1</v>
      </c>
      <c r="F92" s="2">
        <v>3</v>
      </c>
      <c r="G92" s="2">
        <v>-59</v>
      </c>
      <c r="H92" s="2">
        <v>-37</v>
      </c>
      <c r="I92" s="2">
        <f t="shared" si="3"/>
        <v>4.6109872034366459</v>
      </c>
      <c r="K92" s="2">
        <v>2</v>
      </c>
      <c r="L92" s="2">
        <v>2</v>
      </c>
      <c r="M92" s="2">
        <v>3</v>
      </c>
      <c r="N92" s="2">
        <v>-52</v>
      </c>
      <c r="O92" s="2">
        <v>-37</v>
      </c>
      <c r="P92" s="2">
        <f t="shared" si="4"/>
        <v>3.1438549114340768</v>
      </c>
      <c r="R92" s="2">
        <v>2</v>
      </c>
      <c r="S92" s="2">
        <v>3</v>
      </c>
      <c r="T92" s="2">
        <v>3</v>
      </c>
      <c r="U92" s="2">
        <v>-48</v>
      </c>
      <c r="V92" s="2">
        <v>-37</v>
      </c>
      <c r="W92" s="2">
        <f t="shared" si="5"/>
        <v>2.305493601718323</v>
      </c>
    </row>
    <row r="93" spans="3:23">
      <c r="C93" s="6"/>
      <c r="D93" s="2">
        <v>2</v>
      </c>
      <c r="E93" s="2">
        <v>1</v>
      </c>
      <c r="F93" s="2">
        <v>3</v>
      </c>
      <c r="G93" s="2">
        <v>-59</v>
      </c>
      <c r="H93" s="2">
        <v>-37</v>
      </c>
      <c r="I93" s="2">
        <f t="shared" si="3"/>
        <v>4.6109872034366459</v>
      </c>
      <c r="K93" s="2">
        <v>2</v>
      </c>
      <c r="L93" s="2">
        <v>2</v>
      </c>
      <c r="M93" s="2">
        <v>3</v>
      </c>
      <c r="N93" s="2">
        <v>-61</v>
      </c>
      <c r="O93" s="2">
        <v>-37</v>
      </c>
      <c r="P93" s="2">
        <f t="shared" si="4"/>
        <v>5.0301678582945231</v>
      </c>
      <c r="R93" s="2">
        <v>2</v>
      </c>
      <c r="S93" s="2">
        <v>3</v>
      </c>
      <c r="T93" s="2">
        <v>3</v>
      </c>
      <c r="U93" s="2">
        <v>-49</v>
      </c>
      <c r="V93" s="2">
        <v>-37</v>
      </c>
      <c r="W93" s="2">
        <f t="shared" si="5"/>
        <v>2.5150839291472615</v>
      </c>
    </row>
    <row r="94" spans="3:23">
      <c r="C94" s="6"/>
      <c r="D94" s="2">
        <v>2</v>
      </c>
      <c r="E94" s="2">
        <v>1</v>
      </c>
      <c r="F94" s="2">
        <v>3</v>
      </c>
      <c r="G94" s="2">
        <v>-63</v>
      </c>
      <c r="H94" s="2">
        <v>-37</v>
      </c>
      <c r="I94" s="2">
        <f t="shared" si="3"/>
        <v>5.4493485131524002</v>
      </c>
      <c r="K94" s="2">
        <v>2</v>
      </c>
      <c r="L94" s="2">
        <v>2</v>
      </c>
      <c r="M94" s="2">
        <v>3</v>
      </c>
      <c r="N94" s="2">
        <v>-61</v>
      </c>
      <c r="O94" s="2">
        <v>-37</v>
      </c>
      <c r="P94" s="2">
        <f t="shared" si="4"/>
        <v>5.0301678582945231</v>
      </c>
      <c r="R94" s="2">
        <v>2</v>
      </c>
      <c r="S94" s="2">
        <v>3</v>
      </c>
      <c r="T94" s="2">
        <v>3</v>
      </c>
      <c r="U94" s="2">
        <v>-51</v>
      </c>
      <c r="V94" s="2">
        <v>-37</v>
      </c>
      <c r="W94" s="2">
        <f t="shared" si="5"/>
        <v>2.9342645840051387</v>
      </c>
    </row>
    <row r="95" spans="3:23">
      <c r="C95" s="6"/>
      <c r="D95" s="2">
        <v>2</v>
      </c>
      <c r="E95" s="2">
        <v>1</v>
      </c>
      <c r="F95" s="2">
        <v>3</v>
      </c>
      <c r="G95" s="2">
        <v>-59</v>
      </c>
      <c r="H95" s="2">
        <v>-37</v>
      </c>
      <c r="I95" s="2">
        <f t="shared" si="3"/>
        <v>4.6109872034366459</v>
      </c>
      <c r="K95" s="2">
        <v>2</v>
      </c>
      <c r="L95" s="2">
        <v>2</v>
      </c>
      <c r="M95" s="2">
        <v>3</v>
      </c>
      <c r="N95" s="2">
        <v>-59</v>
      </c>
      <c r="O95" s="2">
        <v>-37</v>
      </c>
      <c r="P95" s="2">
        <f t="shared" si="4"/>
        <v>4.6109872034366459</v>
      </c>
      <c r="R95" s="2">
        <v>2</v>
      </c>
      <c r="S95" s="2">
        <v>3</v>
      </c>
      <c r="T95" s="2">
        <v>3</v>
      </c>
      <c r="U95" s="2">
        <v>-54</v>
      </c>
      <c r="V95" s="2">
        <v>-37</v>
      </c>
      <c r="W95" s="2">
        <f t="shared" si="5"/>
        <v>3.5630355662919539</v>
      </c>
    </row>
    <row r="96" spans="3:23">
      <c r="C96" s="6"/>
      <c r="D96" s="2">
        <v>2</v>
      </c>
      <c r="E96" s="2">
        <v>1</v>
      </c>
      <c r="F96" s="2">
        <v>3</v>
      </c>
      <c r="G96" s="2">
        <v>-62</v>
      </c>
      <c r="H96" s="2">
        <v>-37</v>
      </c>
      <c r="I96" s="2">
        <f t="shared" si="3"/>
        <v>5.2397581857234616</v>
      </c>
      <c r="K96" s="2">
        <v>2</v>
      </c>
      <c r="L96" s="2">
        <v>2</v>
      </c>
      <c r="M96" s="2">
        <v>3</v>
      </c>
      <c r="N96" s="2">
        <v>-66</v>
      </c>
      <c r="O96" s="2">
        <v>-37</v>
      </c>
      <c r="P96" s="2">
        <f t="shared" si="4"/>
        <v>6.0781194954392159</v>
      </c>
      <c r="R96" s="2">
        <v>2</v>
      </c>
      <c r="S96" s="2">
        <v>3</v>
      </c>
      <c r="T96" s="2">
        <v>3</v>
      </c>
      <c r="U96" s="2">
        <v>-49</v>
      </c>
      <c r="V96" s="2">
        <v>-37</v>
      </c>
      <c r="W96" s="2">
        <f t="shared" si="5"/>
        <v>2.5150839291472615</v>
      </c>
    </row>
    <row r="97" spans="3:23">
      <c r="C97" s="6"/>
      <c r="D97" s="2">
        <v>2</v>
      </c>
      <c r="E97" s="2">
        <v>1</v>
      </c>
      <c r="F97" s="2">
        <v>3</v>
      </c>
      <c r="G97" s="2">
        <v>-59</v>
      </c>
      <c r="H97" s="2">
        <v>-37</v>
      </c>
      <c r="I97" s="2">
        <f t="shared" si="3"/>
        <v>4.6109872034366459</v>
      </c>
      <c r="K97" s="2">
        <v>2</v>
      </c>
      <c r="L97" s="2">
        <v>2</v>
      </c>
      <c r="M97" s="2">
        <v>3</v>
      </c>
      <c r="N97" s="2">
        <v>-58</v>
      </c>
      <c r="O97" s="2">
        <v>-37</v>
      </c>
      <c r="P97" s="2">
        <f t="shared" si="4"/>
        <v>4.4013968760077073</v>
      </c>
      <c r="R97" s="2">
        <v>2</v>
      </c>
      <c r="S97" s="2">
        <v>3</v>
      </c>
      <c r="T97" s="2">
        <v>3</v>
      </c>
      <c r="U97" s="2">
        <v>-49</v>
      </c>
      <c r="V97" s="2">
        <v>-37</v>
      </c>
      <c r="W97" s="2">
        <f t="shared" si="5"/>
        <v>2.5150839291472615</v>
      </c>
    </row>
    <row r="98" spans="3:23">
      <c r="C98" s="6"/>
      <c r="D98" s="2">
        <v>2</v>
      </c>
      <c r="E98" s="2">
        <v>1</v>
      </c>
      <c r="F98" s="2">
        <v>3</v>
      </c>
      <c r="G98" s="2">
        <v>-64</v>
      </c>
      <c r="H98" s="2">
        <v>-37</v>
      </c>
      <c r="I98" s="2">
        <f t="shared" si="3"/>
        <v>5.6589388405813388</v>
      </c>
      <c r="K98" s="2">
        <v>2</v>
      </c>
      <c r="L98" s="2">
        <v>2</v>
      </c>
      <c r="M98" s="2">
        <v>3</v>
      </c>
      <c r="N98" s="2">
        <v>-57</v>
      </c>
      <c r="O98" s="2">
        <v>-37</v>
      </c>
      <c r="P98" s="2">
        <f t="shared" si="4"/>
        <v>4.1918065485787697</v>
      </c>
      <c r="R98" s="2">
        <v>2</v>
      </c>
      <c r="S98" s="2">
        <v>3</v>
      </c>
      <c r="T98" s="2">
        <v>3</v>
      </c>
      <c r="U98" s="2">
        <v>-41</v>
      </c>
      <c r="V98" s="2">
        <v>-37</v>
      </c>
      <c r="W98" s="2">
        <f t="shared" si="5"/>
        <v>0.83836130971575384</v>
      </c>
    </row>
    <row r="99" spans="3:23">
      <c r="C99" s="6"/>
      <c r="D99" s="2">
        <v>2</v>
      </c>
      <c r="E99" s="2">
        <v>1</v>
      </c>
      <c r="F99" s="2">
        <v>3</v>
      </c>
      <c r="G99" s="2">
        <v>-65</v>
      </c>
      <c r="H99" s="2">
        <v>-37</v>
      </c>
      <c r="I99" s="2">
        <f t="shared" si="3"/>
        <v>5.8685291680102774</v>
      </c>
      <c r="K99" s="2">
        <v>2</v>
      </c>
      <c r="L99" s="2">
        <v>2</v>
      </c>
      <c r="M99" s="2">
        <v>3</v>
      </c>
      <c r="N99" s="2">
        <v>-56</v>
      </c>
      <c r="O99" s="2">
        <v>-37</v>
      </c>
      <c r="P99" s="2">
        <f t="shared" si="4"/>
        <v>3.9822162211498306</v>
      </c>
      <c r="R99" s="2">
        <v>2</v>
      </c>
      <c r="S99" s="2">
        <v>3</v>
      </c>
      <c r="T99" s="2">
        <v>3</v>
      </c>
      <c r="U99" s="2">
        <v>-49</v>
      </c>
      <c r="V99" s="2">
        <v>-37</v>
      </c>
      <c r="W99" s="2">
        <f t="shared" si="5"/>
        <v>2.5150839291472615</v>
      </c>
    </row>
    <row r="100" spans="3:23">
      <c r="C100" s="6"/>
      <c r="D100" s="2">
        <v>2</v>
      </c>
      <c r="E100" s="2">
        <v>1</v>
      </c>
      <c r="F100" s="2">
        <v>3</v>
      </c>
      <c r="G100" s="2">
        <v>-64</v>
      </c>
      <c r="H100" s="2">
        <v>-37</v>
      </c>
      <c r="I100" s="2">
        <f t="shared" si="3"/>
        <v>5.6589388405813388</v>
      </c>
      <c r="K100" s="2">
        <v>2</v>
      </c>
      <c r="L100" s="2">
        <v>2</v>
      </c>
      <c r="M100" s="2">
        <v>3</v>
      </c>
      <c r="N100" s="2">
        <v>-71</v>
      </c>
      <c r="O100" s="2">
        <v>-37</v>
      </c>
      <c r="P100" s="2">
        <f t="shared" si="4"/>
        <v>7.1260711325839079</v>
      </c>
      <c r="R100" s="2">
        <v>2</v>
      </c>
      <c r="S100" s="2">
        <v>3</v>
      </c>
      <c r="T100" s="2">
        <v>3</v>
      </c>
      <c r="U100" s="2">
        <v>-42</v>
      </c>
      <c r="V100" s="2">
        <v>-37</v>
      </c>
      <c r="W100" s="2">
        <f t="shared" si="5"/>
        <v>1.0479516371446924</v>
      </c>
    </row>
    <row r="101" spans="3:23">
      <c r="C101" s="6"/>
      <c r="D101" s="2">
        <v>2</v>
      </c>
      <c r="E101" s="2">
        <v>1</v>
      </c>
      <c r="F101" s="2">
        <v>3</v>
      </c>
      <c r="G101" s="2">
        <v>-62</v>
      </c>
      <c r="H101" s="2">
        <v>-37</v>
      </c>
      <c r="I101" s="2">
        <f t="shared" si="3"/>
        <v>5.2397581857234616</v>
      </c>
      <c r="K101" s="2">
        <v>2</v>
      </c>
      <c r="L101" s="2">
        <v>2</v>
      </c>
      <c r="M101" s="2">
        <v>3</v>
      </c>
      <c r="N101" s="2">
        <v>-81</v>
      </c>
      <c r="O101" s="2">
        <v>-37</v>
      </c>
      <c r="P101" s="2">
        <f t="shared" si="4"/>
        <v>9.2219744068732918</v>
      </c>
      <c r="R101" s="2">
        <v>2</v>
      </c>
      <c r="S101" s="2">
        <v>3</v>
      </c>
      <c r="T101" s="2">
        <v>3</v>
      </c>
      <c r="U101" s="2">
        <v>-49</v>
      </c>
      <c r="V101" s="2">
        <v>-37</v>
      </c>
      <c r="W101" s="2">
        <f t="shared" si="5"/>
        <v>2.5150839291472615</v>
      </c>
    </row>
    <row r="102" spans="3:23">
      <c r="C102" s="6"/>
      <c r="D102" s="2">
        <v>2</v>
      </c>
      <c r="E102" s="2">
        <v>1</v>
      </c>
      <c r="F102" s="2">
        <v>3</v>
      </c>
      <c r="G102" s="2">
        <v>-63</v>
      </c>
      <c r="H102" s="2">
        <v>-37</v>
      </c>
      <c r="I102" s="2">
        <f t="shared" si="3"/>
        <v>5.4493485131524002</v>
      </c>
      <c r="K102" s="2">
        <v>2</v>
      </c>
      <c r="L102" s="2">
        <v>2</v>
      </c>
      <c r="M102" s="2">
        <v>3</v>
      </c>
      <c r="N102" s="2">
        <v>-73</v>
      </c>
      <c r="O102" s="2">
        <v>-37</v>
      </c>
      <c r="P102" s="2">
        <f t="shared" si="4"/>
        <v>7.545251787441785</v>
      </c>
      <c r="R102" s="2">
        <v>2</v>
      </c>
      <c r="S102" s="2">
        <v>3</v>
      </c>
      <c r="T102" s="2">
        <v>3</v>
      </c>
      <c r="U102" s="2">
        <v>-49</v>
      </c>
      <c r="V102" s="2">
        <v>-37</v>
      </c>
      <c r="W102" s="2">
        <f t="shared" si="5"/>
        <v>2.5150839291472615</v>
      </c>
    </row>
    <row r="103" spans="3:23">
      <c r="C103" s="6"/>
      <c r="D103" s="2">
        <v>2</v>
      </c>
      <c r="E103" s="2">
        <v>1</v>
      </c>
      <c r="F103" s="2">
        <v>3</v>
      </c>
      <c r="G103" s="2">
        <v>-68</v>
      </c>
      <c r="H103" s="2">
        <v>-37</v>
      </c>
      <c r="I103" s="2">
        <f t="shared" si="3"/>
        <v>6.4973001502970922</v>
      </c>
      <c r="K103" s="2">
        <v>2</v>
      </c>
      <c r="L103" s="2">
        <v>2</v>
      </c>
      <c r="M103" s="2">
        <v>3</v>
      </c>
      <c r="N103" s="2">
        <v>-52</v>
      </c>
      <c r="O103" s="2">
        <v>-37</v>
      </c>
      <c r="P103" s="2">
        <f t="shared" si="4"/>
        <v>3.1438549114340768</v>
      </c>
      <c r="R103" s="2">
        <v>2</v>
      </c>
      <c r="S103" s="2">
        <v>3</v>
      </c>
      <c r="T103" s="2">
        <v>3</v>
      </c>
      <c r="U103" s="2">
        <v>-41</v>
      </c>
      <c r="V103" s="2">
        <v>-37</v>
      </c>
      <c r="W103" s="2">
        <f t="shared" si="5"/>
        <v>0.83836130971575384</v>
      </c>
    </row>
    <row r="104" spans="3:23">
      <c r="C104" s="6"/>
      <c r="D104" s="2">
        <v>2</v>
      </c>
      <c r="E104" s="2">
        <v>1</v>
      </c>
      <c r="F104" s="2">
        <v>3</v>
      </c>
      <c r="G104" s="2">
        <v>-62</v>
      </c>
      <c r="H104" s="2">
        <v>-37</v>
      </c>
      <c r="I104" s="2">
        <f t="shared" si="3"/>
        <v>5.2397581857234616</v>
      </c>
      <c r="K104" s="2">
        <v>2</v>
      </c>
      <c r="L104" s="2">
        <v>2</v>
      </c>
      <c r="M104" s="2">
        <v>3</v>
      </c>
      <c r="N104" s="2">
        <v>-79</v>
      </c>
      <c r="O104" s="2">
        <v>-37</v>
      </c>
      <c r="P104" s="2">
        <f t="shared" si="4"/>
        <v>8.8027937520154147</v>
      </c>
      <c r="R104" s="2">
        <v>2</v>
      </c>
      <c r="S104" s="2">
        <v>3</v>
      </c>
      <c r="T104" s="2">
        <v>3</v>
      </c>
      <c r="U104" s="2">
        <v>-42</v>
      </c>
      <c r="V104" s="2">
        <v>-37</v>
      </c>
      <c r="W104" s="2">
        <f t="shared" si="5"/>
        <v>1.0479516371446924</v>
      </c>
    </row>
    <row r="105" spans="3:23">
      <c r="C105" s="6"/>
      <c r="D105" s="2">
        <v>2</v>
      </c>
      <c r="E105" s="2">
        <v>1</v>
      </c>
      <c r="F105" s="2">
        <v>3</v>
      </c>
      <c r="G105" s="2">
        <v>-70</v>
      </c>
      <c r="H105" s="2">
        <v>-37</v>
      </c>
      <c r="I105" s="2">
        <f t="shared" si="3"/>
        <v>6.9164808051549693</v>
      </c>
      <c r="K105" s="2">
        <v>2</v>
      </c>
      <c r="L105" s="2">
        <v>2</v>
      </c>
      <c r="M105" s="2">
        <v>3</v>
      </c>
      <c r="N105" s="2">
        <v>-75</v>
      </c>
      <c r="O105" s="2">
        <v>-37</v>
      </c>
      <c r="P105" s="2">
        <f t="shared" si="4"/>
        <v>7.9644324422996613</v>
      </c>
      <c r="R105" s="2">
        <v>2</v>
      </c>
      <c r="S105" s="2">
        <v>3</v>
      </c>
      <c r="T105" s="2">
        <v>3</v>
      </c>
      <c r="U105" s="2">
        <v>-41</v>
      </c>
      <c r="V105" s="2">
        <v>-37</v>
      </c>
      <c r="W105" s="2">
        <f t="shared" si="5"/>
        <v>0.83836130971575384</v>
      </c>
    </row>
    <row r="106" spans="3:23">
      <c r="C106" s="6"/>
      <c r="D106" s="2">
        <v>2</v>
      </c>
      <c r="E106" s="2">
        <v>1</v>
      </c>
      <c r="F106" s="2">
        <v>3</v>
      </c>
      <c r="G106" s="2">
        <v>-59</v>
      </c>
      <c r="H106" s="2">
        <v>-37</v>
      </c>
      <c r="I106" s="2">
        <f t="shared" si="3"/>
        <v>4.6109872034366459</v>
      </c>
      <c r="K106" s="2">
        <v>2</v>
      </c>
      <c r="L106" s="2">
        <v>2</v>
      </c>
      <c r="M106" s="2">
        <v>3</v>
      </c>
      <c r="N106" s="2">
        <v>-52</v>
      </c>
      <c r="O106" s="2">
        <v>-37</v>
      </c>
      <c r="P106" s="2">
        <f t="shared" si="4"/>
        <v>3.1438549114340768</v>
      </c>
      <c r="R106" s="2">
        <v>2</v>
      </c>
      <c r="S106" s="2">
        <v>3</v>
      </c>
      <c r="T106" s="2">
        <v>3</v>
      </c>
      <c r="U106" s="2">
        <v>-41</v>
      </c>
      <c r="V106" s="2">
        <v>-37</v>
      </c>
      <c r="W106" s="2">
        <f t="shared" si="5"/>
        <v>0.83836130971575384</v>
      </c>
    </row>
    <row r="107" spans="3:23">
      <c r="C107" s="6"/>
      <c r="D107" s="2">
        <v>2</v>
      </c>
      <c r="E107" s="2">
        <v>1</v>
      </c>
      <c r="F107" s="2">
        <v>3</v>
      </c>
      <c r="G107" s="2">
        <v>-62</v>
      </c>
      <c r="H107" s="2">
        <v>-37</v>
      </c>
      <c r="I107" s="2">
        <f t="shared" si="3"/>
        <v>5.2397581857234616</v>
      </c>
      <c r="K107" s="2">
        <v>2</v>
      </c>
      <c r="L107" s="2">
        <v>2</v>
      </c>
      <c r="M107" s="2">
        <v>3</v>
      </c>
      <c r="N107" s="2">
        <v>-69</v>
      </c>
      <c r="O107" s="2">
        <v>-37</v>
      </c>
      <c r="P107" s="2">
        <f t="shared" si="4"/>
        <v>6.7068904777260308</v>
      </c>
      <c r="R107" s="2">
        <v>2</v>
      </c>
      <c r="S107" s="2">
        <v>3</v>
      </c>
      <c r="T107" s="2">
        <v>3</v>
      </c>
      <c r="U107" s="2">
        <v>-41</v>
      </c>
      <c r="V107" s="2">
        <v>-37</v>
      </c>
      <c r="W107" s="2">
        <f t="shared" si="5"/>
        <v>0.83836130971575384</v>
      </c>
    </row>
    <row r="108" spans="3:23">
      <c r="C108" s="6"/>
      <c r="D108" s="2">
        <v>2</v>
      </c>
      <c r="E108" s="2">
        <v>1</v>
      </c>
      <c r="F108" s="2">
        <v>3</v>
      </c>
      <c r="G108" s="2">
        <v>-62</v>
      </c>
      <c r="H108" s="2">
        <v>-37</v>
      </c>
      <c r="I108" s="2">
        <f t="shared" si="3"/>
        <v>5.2397581857234616</v>
      </c>
      <c r="K108" s="2">
        <v>2</v>
      </c>
      <c r="L108" s="2">
        <v>2</v>
      </c>
      <c r="M108" s="2">
        <v>3</v>
      </c>
      <c r="N108" s="2">
        <v>-52</v>
      </c>
      <c r="O108" s="2">
        <v>-37</v>
      </c>
      <c r="P108" s="2">
        <f t="shared" si="4"/>
        <v>3.1438549114340768</v>
      </c>
      <c r="R108" s="2">
        <v>2</v>
      </c>
      <c r="S108" s="2">
        <v>3</v>
      </c>
      <c r="T108" s="2">
        <v>3</v>
      </c>
      <c r="U108" s="2">
        <v>-42</v>
      </c>
      <c r="V108" s="2">
        <v>-37</v>
      </c>
      <c r="W108" s="2">
        <f t="shared" si="5"/>
        <v>1.0479516371446924</v>
      </c>
    </row>
    <row r="109" spans="3:23">
      <c r="C109" s="6"/>
      <c r="D109" s="2">
        <v>2</v>
      </c>
      <c r="E109" s="2">
        <v>1</v>
      </c>
      <c r="F109" s="2">
        <v>3</v>
      </c>
      <c r="G109" s="2">
        <v>-63</v>
      </c>
      <c r="H109" s="2">
        <v>-37</v>
      </c>
      <c r="I109" s="2">
        <f t="shared" si="3"/>
        <v>5.4493485131524002</v>
      </c>
      <c r="K109" s="2">
        <v>2</v>
      </c>
      <c r="L109" s="2">
        <v>2</v>
      </c>
      <c r="M109" s="2">
        <v>3</v>
      </c>
      <c r="N109" s="2">
        <v>-51</v>
      </c>
      <c r="O109" s="2">
        <v>-37</v>
      </c>
      <c r="P109" s="2">
        <f t="shared" si="4"/>
        <v>2.9342645840051387</v>
      </c>
      <c r="R109" s="2">
        <v>2</v>
      </c>
      <c r="S109" s="2">
        <v>3</v>
      </c>
      <c r="T109" s="2">
        <v>3</v>
      </c>
      <c r="U109" s="2">
        <v>-43</v>
      </c>
      <c r="V109" s="2">
        <v>-37</v>
      </c>
      <c r="W109" s="2">
        <f t="shared" si="5"/>
        <v>1.2575419645736308</v>
      </c>
    </row>
    <row r="110" spans="3:23">
      <c r="C110" s="6"/>
      <c r="D110" s="2">
        <v>2</v>
      </c>
      <c r="E110" s="2">
        <v>1</v>
      </c>
      <c r="F110" s="2">
        <v>3</v>
      </c>
      <c r="G110" s="2">
        <v>-63</v>
      </c>
      <c r="H110" s="2">
        <v>-37</v>
      </c>
      <c r="I110" s="2">
        <f t="shared" si="3"/>
        <v>5.4493485131524002</v>
      </c>
      <c r="K110" s="2">
        <v>2</v>
      </c>
      <c r="L110" s="2">
        <v>2</v>
      </c>
      <c r="M110" s="2">
        <v>3</v>
      </c>
      <c r="N110" s="2">
        <v>-65</v>
      </c>
      <c r="O110" s="2">
        <v>-37</v>
      </c>
      <c r="P110" s="2">
        <f t="shared" si="4"/>
        <v>5.8685291680102774</v>
      </c>
      <c r="R110" s="2">
        <v>2</v>
      </c>
      <c r="S110" s="2">
        <v>3</v>
      </c>
      <c r="T110" s="2">
        <v>3</v>
      </c>
      <c r="U110" s="2">
        <v>-57</v>
      </c>
      <c r="V110" s="2">
        <v>-37</v>
      </c>
      <c r="W110" s="2">
        <f t="shared" si="5"/>
        <v>4.1918065485787697</v>
      </c>
    </row>
    <row r="111" spans="3:23">
      <c r="C111" s="6"/>
      <c r="D111" s="2">
        <v>2</v>
      </c>
      <c r="E111" s="2">
        <v>1</v>
      </c>
      <c r="F111" s="2">
        <v>3</v>
      </c>
      <c r="G111" s="2">
        <v>-66</v>
      </c>
      <c r="H111" s="2">
        <v>-37</v>
      </c>
      <c r="I111" s="2">
        <f t="shared" si="3"/>
        <v>6.0781194954392159</v>
      </c>
      <c r="K111" s="2">
        <v>2</v>
      </c>
      <c r="L111" s="2">
        <v>2</v>
      </c>
      <c r="M111" s="2">
        <v>3</v>
      </c>
      <c r="N111" s="2">
        <v>-82</v>
      </c>
      <c r="O111" s="2">
        <v>-37</v>
      </c>
      <c r="P111" s="2">
        <f t="shared" si="4"/>
        <v>9.4315647343022313</v>
      </c>
      <c r="R111" s="2">
        <v>2</v>
      </c>
      <c r="S111" s="2">
        <v>3</v>
      </c>
      <c r="T111" s="2">
        <v>3</v>
      </c>
      <c r="U111" s="2">
        <v>-44</v>
      </c>
      <c r="V111" s="2">
        <v>-37</v>
      </c>
      <c r="W111" s="2">
        <f t="shared" si="5"/>
        <v>1.4671322920025693</v>
      </c>
    </row>
    <row r="112" spans="3:23">
      <c r="C112" s="6"/>
      <c r="D112" s="2">
        <v>2</v>
      </c>
      <c r="E112" s="2">
        <v>1</v>
      </c>
      <c r="F112" s="2">
        <v>3</v>
      </c>
      <c r="G112" s="2">
        <v>-65</v>
      </c>
      <c r="H112" s="2">
        <v>-37</v>
      </c>
      <c r="I112" s="2">
        <f t="shared" si="3"/>
        <v>5.8685291680102774</v>
      </c>
      <c r="K112" s="2">
        <v>2</v>
      </c>
      <c r="L112" s="2">
        <v>2</v>
      </c>
      <c r="M112" s="2">
        <v>3</v>
      </c>
      <c r="N112" s="2">
        <v>-62</v>
      </c>
      <c r="O112" s="2">
        <v>-37</v>
      </c>
      <c r="P112" s="2">
        <f t="shared" si="4"/>
        <v>5.2397581857234616</v>
      </c>
      <c r="R112" s="2">
        <v>2</v>
      </c>
      <c r="S112" s="2">
        <v>3</v>
      </c>
      <c r="T112" s="2">
        <v>3</v>
      </c>
      <c r="U112" s="2">
        <v>-43</v>
      </c>
      <c r="V112" s="2">
        <v>-37</v>
      </c>
      <c r="W112" s="2">
        <f t="shared" si="5"/>
        <v>1.2575419645736308</v>
      </c>
    </row>
    <row r="113" spans="3:26">
      <c r="C113" s="6"/>
      <c r="D113" s="2">
        <v>2</v>
      </c>
      <c r="E113" s="2">
        <v>1</v>
      </c>
      <c r="F113" s="2">
        <v>3</v>
      </c>
      <c r="G113" s="2">
        <v>-62</v>
      </c>
      <c r="H113" s="2">
        <v>-37</v>
      </c>
      <c r="I113" s="2">
        <f t="shared" si="3"/>
        <v>5.2397581857234616</v>
      </c>
      <c r="K113" s="2">
        <v>2</v>
      </c>
      <c r="L113" s="2">
        <v>2</v>
      </c>
      <c r="M113" s="2">
        <v>3</v>
      </c>
      <c r="N113" s="2">
        <v>-61</v>
      </c>
      <c r="O113" s="2">
        <v>-37</v>
      </c>
      <c r="P113" s="2">
        <f t="shared" si="4"/>
        <v>5.0301678582945231</v>
      </c>
      <c r="R113" s="2">
        <v>2</v>
      </c>
      <c r="S113" s="2">
        <v>3</v>
      </c>
      <c r="T113" s="2">
        <v>3</v>
      </c>
      <c r="U113" s="2">
        <v>-43</v>
      </c>
      <c r="V113" s="2">
        <v>-37</v>
      </c>
      <c r="W113" s="2">
        <f t="shared" si="5"/>
        <v>1.2575419645736308</v>
      </c>
    </row>
    <row r="114" spans="3:26">
      <c r="C114" s="6"/>
      <c r="D114" s="2">
        <v>2</v>
      </c>
      <c r="E114" s="2">
        <v>1</v>
      </c>
      <c r="F114" s="2">
        <v>3</v>
      </c>
      <c r="G114" s="2">
        <v>-60</v>
      </c>
      <c r="H114" s="2">
        <v>-37</v>
      </c>
      <c r="I114" s="2">
        <f t="shared" si="3"/>
        <v>4.8205775308655845</v>
      </c>
      <c r="K114" s="2">
        <v>2</v>
      </c>
      <c r="L114" s="2">
        <v>2</v>
      </c>
      <c r="M114" s="2">
        <v>3</v>
      </c>
      <c r="N114" s="2">
        <v>-63</v>
      </c>
      <c r="O114" s="2">
        <v>-37</v>
      </c>
      <c r="P114" s="2">
        <f t="shared" si="4"/>
        <v>5.4493485131524002</v>
      </c>
      <c r="R114" s="2">
        <v>2</v>
      </c>
      <c r="S114" s="2">
        <v>3</v>
      </c>
      <c r="T114" s="2">
        <v>3</v>
      </c>
      <c r="U114" s="2">
        <v>-52</v>
      </c>
      <c r="V114" s="2">
        <v>-37</v>
      </c>
      <c r="W114" s="2">
        <f t="shared" si="5"/>
        <v>3.1438549114340768</v>
      </c>
    </row>
    <row r="115" spans="3:26">
      <c r="C115" s="6"/>
      <c r="D115" s="1" t="s">
        <v>5</v>
      </c>
      <c r="E115" s="3">
        <f>AVERAGE(I90:I114,P90:P114,W90:W114)</f>
        <v>4.2113683124721382</v>
      </c>
      <c r="F115" s="1"/>
      <c r="G115" s="1"/>
      <c r="H115" s="1"/>
      <c r="I115" s="1"/>
      <c r="J115" s="1"/>
      <c r="K115" s="1"/>
      <c r="L115" s="1"/>
      <c r="M115" s="1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 t="s">
        <v>12</v>
      </c>
      <c r="Y115" s="1">
        <f>STDEV(I90:I114,P90:P114,W90:W114)</f>
        <v>2.1134392780763283</v>
      </c>
      <c r="Z115" s="1"/>
    </row>
    <row r="116" spans="3:26" ht="29.25">
      <c r="C116" s="7"/>
      <c r="D116" s="2" t="s">
        <v>0</v>
      </c>
    </row>
    <row r="117" spans="3:26" ht="29.25">
      <c r="C117" s="7"/>
      <c r="D117" s="1" t="s">
        <v>1</v>
      </c>
      <c r="E117" s="1" t="s">
        <v>2</v>
      </c>
      <c r="F117" s="1" t="s">
        <v>3</v>
      </c>
      <c r="G117" s="1"/>
      <c r="H117" s="1" t="s">
        <v>2</v>
      </c>
      <c r="I117" s="1" t="s">
        <v>3</v>
      </c>
      <c r="J117" s="1"/>
      <c r="K117" s="1" t="s">
        <v>2</v>
      </c>
      <c r="L117" s="1" t="s">
        <v>3</v>
      </c>
      <c r="M117" s="1"/>
      <c r="N117" s="1"/>
      <c r="O117" s="1"/>
      <c r="P117" s="1"/>
      <c r="Q117" s="1"/>
      <c r="R117" s="1"/>
      <c r="S117" s="1"/>
    </row>
    <row r="118" spans="3:26">
      <c r="C118" s="7"/>
      <c r="D118" s="2">
        <v>3</v>
      </c>
      <c r="E118" s="2">
        <v>1</v>
      </c>
      <c r="F118" s="2">
        <v>-57</v>
      </c>
      <c r="H118" s="2">
        <v>2</v>
      </c>
      <c r="I118" s="2">
        <v>-42</v>
      </c>
      <c r="K118" s="2">
        <v>3</v>
      </c>
      <c r="L118" s="2">
        <v>-42</v>
      </c>
    </row>
    <row r="119" spans="3:26">
      <c r="C119" s="7"/>
      <c r="D119" s="2">
        <v>3</v>
      </c>
      <c r="E119" s="2">
        <v>1</v>
      </c>
      <c r="F119" s="2">
        <v>-43</v>
      </c>
      <c r="H119" s="2">
        <v>2</v>
      </c>
      <c r="I119" s="2">
        <v>-48</v>
      </c>
      <c r="K119" s="2">
        <v>3</v>
      </c>
      <c r="L119" s="2">
        <v>-39</v>
      </c>
    </row>
    <row r="120" spans="3:26">
      <c r="C120" s="7"/>
      <c r="D120" s="2">
        <v>3</v>
      </c>
      <c r="E120" s="2">
        <v>1</v>
      </c>
      <c r="F120" s="2">
        <v>-50</v>
      </c>
      <c r="H120" s="2">
        <v>2</v>
      </c>
      <c r="I120" s="2">
        <v>-48</v>
      </c>
      <c r="K120" s="2">
        <v>3</v>
      </c>
      <c r="L120" s="2">
        <v>-37</v>
      </c>
    </row>
    <row r="121" spans="3:26">
      <c r="C121" s="7"/>
      <c r="D121" s="2">
        <v>3</v>
      </c>
      <c r="E121" s="2">
        <v>1</v>
      </c>
      <c r="F121" s="2">
        <v>-45</v>
      </c>
      <c r="H121" s="2">
        <v>2</v>
      </c>
      <c r="I121" s="2">
        <v>-48</v>
      </c>
      <c r="K121" s="2">
        <v>3</v>
      </c>
      <c r="L121" s="2">
        <v>-40</v>
      </c>
    </row>
    <row r="122" spans="3:26">
      <c r="C122" s="7"/>
      <c r="D122" s="2">
        <v>3</v>
      </c>
      <c r="E122" s="2">
        <v>1</v>
      </c>
      <c r="F122" s="2">
        <v>-42</v>
      </c>
      <c r="H122" s="2">
        <v>2</v>
      </c>
      <c r="I122" s="2">
        <v>-49</v>
      </c>
      <c r="K122" s="2">
        <v>3</v>
      </c>
      <c r="L122" s="2">
        <v>-39</v>
      </c>
    </row>
    <row r="123" spans="3:26">
      <c r="C123" s="7"/>
      <c r="D123" s="2">
        <v>3</v>
      </c>
      <c r="E123" s="2">
        <v>1</v>
      </c>
      <c r="F123" s="2">
        <v>-43</v>
      </c>
      <c r="H123" s="2">
        <v>2</v>
      </c>
      <c r="I123" s="2">
        <v>-41</v>
      </c>
      <c r="K123" s="2">
        <v>3</v>
      </c>
      <c r="L123" s="2">
        <v>-39</v>
      </c>
    </row>
    <row r="124" spans="3:26">
      <c r="C124" s="7"/>
      <c r="D124" s="2">
        <v>3</v>
      </c>
      <c r="E124" s="2">
        <v>1</v>
      </c>
      <c r="F124" s="2">
        <v>-45</v>
      </c>
      <c r="H124" s="2">
        <v>2</v>
      </c>
      <c r="I124" s="2">
        <v>-45</v>
      </c>
      <c r="K124" s="2">
        <v>3</v>
      </c>
      <c r="L124" s="2">
        <v>-41</v>
      </c>
    </row>
    <row r="125" spans="3:26">
      <c r="C125" s="7"/>
      <c r="D125" s="2">
        <v>3</v>
      </c>
      <c r="E125" s="2">
        <v>1</v>
      </c>
      <c r="F125" s="2">
        <v>-44</v>
      </c>
      <c r="H125" s="2">
        <v>2</v>
      </c>
      <c r="I125" s="2">
        <v>-44</v>
      </c>
      <c r="K125" s="2">
        <v>3</v>
      </c>
      <c r="L125" s="2">
        <v>-43</v>
      </c>
    </row>
    <row r="126" spans="3:26">
      <c r="C126" s="7"/>
      <c r="D126" s="2">
        <v>3</v>
      </c>
      <c r="E126" s="2">
        <v>1</v>
      </c>
      <c r="F126" s="2">
        <v>-44</v>
      </c>
      <c r="H126" s="2">
        <v>2</v>
      </c>
      <c r="I126" s="2">
        <v>-45</v>
      </c>
      <c r="K126" s="2">
        <v>3</v>
      </c>
      <c r="L126" s="2">
        <v>-51</v>
      </c>
    </row>
    <row r="127" spans="3:26">
      <c r="C127" s="7"/>
      <c r="D127" s="2">
        <v>3</v>
      </c>
      <c r="E127" s="2">
        <v>1</v>
      </c>
      <c r="F127" s="2">
        <v>-57</v>
      </c>
      <c r="H127" s="2">
        <v>2</v>
      </c>
      <c r="I127" s="2">
        <v>-43</v>
      </c>
      <c r="K127" s="2">
        <v>3</v>
      </c>
      <c r="L127" s="2">
        <v>-43</v>
      </c>
    </row>
    <row r="128" spans="3:26">
      <c r="C128" s="7"/>
      <c r="D128" s="2">
        <v>3</v>
      </c>
      <c r="E128" s="2">
        <v>1</v>
      </c>
      <c r="F128" s="2">
        <v>-62</v>
      </c>
      <c r="H128" s="2">
        <v>2</v>
      </c>
      <c r="I128" s="2">
        <v>-43</v>
      </c>
      <c r="K128" s="2">
        <v>3</v>
      </c>
      <c r="L128" s="2">
        <v>-45</v>
      </c>
    </row>
    <row r="129" spans="3:19">
      <c r="C129" s="7"/>
      <c r="D129" s="2">
        <v>3</v>
      </c>
      <c r="E129" s="2">
        <v>1</v>
      </c>
      <c r="F129" s="2">
        <v>-42</v>
      </c>
      <c r="H129" s="2">
        <v>2</v>
      </c>
      <c r="I129" s="2">
        <v>-41</v>
      </c>
      <c r="K129" s="2">
        <v>3</v>
      </c>
      <c r="L129" s="2">
        <v>-45</v>
      </c>
    </row>
    <row r="130" spans="3:19">
      <c r="C130" s="7"/>
      <c r="D130" s="2">
        <v>3</v>
      </c>
      <c r="E130" s="2">
        <v>1</v>
      </c>
      <c r="F130" s="2">
        <v>-42</v>
      </c>
      <c r="H130" s="2">
        <v>2</v>
      </c>
      <c r="I130" s="2">
        <v>-41</v>
      </c>
      <c r="K130" s="2">
        <v>3</v>
      </c>
      <c r="L130" s="2">
        <v>-43</v>
      </c>
    </row>
    <row r="131" spans="3:19">
      <c r="C131" s="7"/>
      <c r="D131" s="2">
        <v>3</v>
      </c>
      <c r="E131" s="2">
        <v>1</v>
      </c>
      <c r="F131" s="2">
        <v>-42</v>
      </c>
      <c r="H131" s="2">
        <v>2</v>
      </c>
      <c r="I131" s="2">
        <v>-44</v>
      </c>
      <c r="K131" s="2">
        <v>3</v>
      </c>
      <c r="L131" s="2">
        <v>-43</v>
      </c>
    </row>
    <row r="132" spans="3:19">
      <c r="C132" s="7"/>
      <c r="D132" s="2">
        <v>3</v>
      </c>
      <c r="E132" s="2">
        <v>1</v>
      </c>
      <c r="F132" s="2">
        <v>-52</v>
      </c>
      <c r="H132" s="2">
        <v>2</v>
      </c>
      <c r="I132" s="2">
        <v>-44</v>
      </c>
      <c r="K132" s="2">
        <v>3</v>
      </c>
      <c r="L132" s="2">
        <v>-64</v>
      </c>
    </row>
    <row r="133" spans="3:19">
      <c r="C133" s="7"/>
      <c r="D133" s="2">
        <v>3</v>
      </c>
      <c r="E133" s="2">
        <v>1</v>
      </c>
      <c r="F133" s="2">
        <v>-52</v>
      </c>
      <c r="H133" s="2">
        <v>2</v>
      </c>
      <c r="I133" s="2">
        <v>-46</v>
      </c>
      <c r="K133" s="2">
        <v>3</v>
      </c>
      <c r="L133" s="2">
        <v>-44</v>
      </c>
    </row>
    <row r="134" spans="3:19">
      <c r="C134" s="7"/>
      <c r="D134" s="2">
        <v>3</v>
      </c>
      <c r="E134" s="2">
        <v>1</v>
      </c>
      <c r="F134" s="2">
        <v>-42</v>
      </c>
      <c r="H134" s="2">
        <v>2</v>
      </c>
      <c r="I134" s="2">
        <v>-51</v>
      </c>
      <c r="K134" s="2">
        <v>3</v>
      </c>
      <c r="L134" s="2">
        <v>-45</v>
      </c>
    </row>
    <row r="135" spans="3:19">
      <c r="C135" s="7"/>
      <c r="D135" s="2">
        <v>3</v>
      </c>
      <c r="E135" s="2">
        <v>1</v>
      </c>
      <c r="F135" s="2">
        <v>-49</v>
      </c>
      <c r="H135" s="2">
        <v>2</v>
      </c>
      <c r="I135" s="2">
        <v>-51</v>
      </c>
      <c r="K135" s="2">
        <v>3</v>
      </c>
      <c r="L135" s="2">
        <v>-45</v>
      </c>
    </row>
    <row r="136" spans="3:19">
      <c r="C136" s="7"/>
      <c r="D136" s="2">
        <v>3</v>
      </c>
      <c r="E136" s="2">
        <v>1</v>
      </c>
      <c r="F136" s="2">
        <v>-42</v>
      </c>
      <c r="H136" s="2">
        <v>2</v>
      </c>
      <c r="I136" s="2">
        <v>-51</v>
      </c>
      <c r="K136" s="2">
        <v>3</v>
      </c>
      <c r="L136" s="2">
        <v>-40</v>
      </c>
    </row>
    <row r="137" spans="3:19">
      <c r="C137" s="7"/>
      <c r="D137" s="2">
        <v>3</v>
      </c>
      <c r="E137" s="2">
        <v>1</v>
      </c>
      <c r="F137" s="2">
        <v>-48</v>
      </c>
      <c r="H137" s="2">
        <v>2</v>
      </c>
      <c r="I137" s="2">
        <v>-50</v>
      </c>
      <c r="K137" s="2">
        <v>3</v>
      </c>
      <c r="L137" s="2">
        <v>-39</v>
      </c>
    </row>
    <row r="138" spans="3:19">
      <c r="C138" s="7"/>
      <c r="D138" s="2">
        <v>3</v>
      </c>
      <c r="E138" s="2">
        <v>1</v>
      </c>
      <c r="F138" s="2">
        <v>-45</v>
      </c>
      <c r="H138" s="2">
        <v>2</v>
      </c>
      <c r="I138" s="2">
        <v>-47</v>
      </c>
      <c r="K138" s="2">
        <v>3</v>
      </c>
      <c r="L138" s="2">
        <v>-39</v>
      </c>
    </row>
    <row r="139" spans="3:19">
      <c r="C139" s="7"/>
      <c r="D139" s="2">
        <v>3</v>
      </c>
      <c r="E139" s="2">
        <v>1</v>
      </c>
      <c r="F139" s="2">
        <v>-48</v>
      </c>
      <c r="H139" s="2">
        <v>2</v>
      </c>
      <c r="I139" s="2">
        <v>-50</v>
      </c>
      <c r="K139" s="2">
        <v>3</v>
      </c>
      <c r="L139" s="2">
        <v>-48</v>
      </c>
    </row>
    <row r="140" spans="3:19">
      <c r="C140" s="7"/>
      <c r="D140" s="2">
        <v>3</v>
      </c>
      <c r="E140" s="2">
        <v>1</v>
      </c>
      <c r="F140" s="2">
        <v>-42</v>
      </c>
      <c r="H140" s="2">
        <v>2</v>
      </c>
      <c r="I140" s="2">
        <v>-52</v>
      </c>
      <c r="K140" s="2">
        <v>3</v>
      </c>
      <c r="L140" s="2">
        <v>-39</v>
      </c>
    </row>
    <row r="141" spans="3:19">
      <c r="C141" s="7"/>
      <c r="D141" s="2">
        <v>3</v>
      </c>
      <c r="E141" s="2">
        <v>1</v>
      </c>
      <c r="F141" s="2">
        <v>-46</v>
      </c>
      <c r="H141" s="2">
        <v>2</v>
      </c>
      <c r="I141" s="2">
        <v>-51</v>
      </c>
      <c r="K141" s="2">
        <v>3</v>
      </c>
      <c r="L141" s="2">
        <v>-40</v>
      </c>
    </row>
    <row r="142" spans="3:19">
      <c r="C142" s="7"/>
      <c r="D142" s="2">
        <v>3</v>
      </c>
      <c r="E142" s="2">
        <v>1</v>
      </c>
      <c r="F142" s="2">
        <v>-49</v>
      </c>
      <c r="H142" s="2">
        <v>2</v>
      </c>
      <c r="I142" s="2">
        <v>-52</v>
      </c>
      <c r="K142" s="2">
        <v>3</v>
      </c>
      <c r="L142" s="2">
        <v>-39</v>
      </c>
    </row>
    <row r="143" spans="3:19">
      <c r="C143" s="7"/>
      <c r="D143" s="1"/>
      <c r="E143" s="1" t="s">
        <v>4</v>
      </c>
      <c r="F143" s="1">
        <f>STDEV(F118:F142)</f>
        <v>5.5220769039676716</v>
      </c>
      <c r="G143" s="1"/>
      <c r="H143" s="1" t="s">
        <v>4</v>
      </c>
      <c r="I143" s="1">
        <f>STDEV(I118:I142)</f>
        <v>3.7496666518505344</v>
      </c>
      <c r="J143" s="1"/>
      <c r="K143" s="1" t="s">
        <v>4</v>
      </c>
      <c r="L143" s="1">
        <f>STDEV(L118:L142)</f>
        <v>5.5024237083912979</v>
      </c>
      <c r="M143" s="1" t="s">
        <v>5</v>
      </c>
      <c r="N143" s="4">
        <f>AVERAGE(F118:F142,I118:I142,L118:L142)</f>
        <v>-45.493333333333332</v>
      </c>
      <c r="O143" s="1" t="s">
        <v>6</v>
      </c>
      <c r="P143" s="1">
        <f>AVERAGE(F143,I143,L143)</f>
        <v>4.9247224214031684</v>
      </c>
      <c r="Q143" s="1" t="s">
        <v>7</v>
      </c>
      <c r="R143" s="1">
        <f>STDEV(L118:L142,I118:I142,F118:F142)</f>
        <v>5.2668605278495759</v>
      </c>
      <c r="S143" s="1"/>
    </row>
    <row r="144" spans="3:19">
      <c r="C144" s="7"/>
    </row>
    <row r="145" spans="3:23">
      <c r="C145" s="7"/>
      <c r="D145" s="2" t="s">
        <v>8</v>
      </c>
    </row>
    <row r="146" spans="3:23" ht="29.25">
      <c r="C146" s="7"/>
      <c r="D146" s="1" t="s">
        <v>1</v>
      </c>
      <c r="E146" s="1" t="s">
        <v>2</v>
      </c>
      <c r="F146" s="1" t="s">
        <v>9</v>
      </c>
      <c r="G146" s="1" t="s">
        <v>3</v>
      </c>
      <c r="H146" s="1" t="s">
        <v>10</v>
      </c>
      <c r="I146" s="1" t="s">
        <v>11</v>
      </c>
      <c r="J146" s="1"/>
      <c r="K146" s="1" t="s">
        <v>1</v>
      </c>
      <c r="L146" s="1" t="s">
        <v>2</v>
      </c>
      <c r="M146" s="1" t="s">
        <v>9</v>
      </c>
      <c r="N146" s="1" t="s">
        <v>3</v>
      </c>
      <c r="O146" s="1" t="s">
        <v>10</v>
      </c>
      <c r="P146" s="1" t="s">
        <v>11</v>
      </c>
      <c r="Q146" s="1"/>
      <c r="R146" s="1" t="s">
        <v>1</v>
      </c>
      <c r="S146" s="1" t="s">
        <v>2</v>
      </c>
      <c r="T146" s="1" t="s">
        <v>9</v>
      </c>
      <c r="U146" s="1" t="s">
        <v>3</v>
      </c>
      <c r="V146" s="1" t="s">
        <v>10</v>
      </c>
      <c r="W146" s="1" t="s">
        <v>11</v>
      </c>
    </row>
    <row r="147" spans="3:23">
      <c r="C147" s="7"/>
      <c r="D147" s="2">
        <v>3</v>
      </c>
      <c r="E147" s="2">
        <v>1</v>
      </c>
      <c r="F147" s="2">
        <v>3</v>
      </c>
      <c r="G147" s="2">
        <v>-49</v>
      </c>
      <c r="H147" s="2">
        <v>-45</v>
      </c>
      <c r="I147" s="2">
        <f>(H147-G147)/(10*LOG10(F147))</f>
        <v>0.83836130971575384</v>
      </c>
      <c r="K147" s="2">
        <v>3</v>
      </c>
      <c r="L147" s="2">
        <v>2</v>
      </c>
      <c r="M147" s="2">
        <v>3</v>
      </c>
      <c r="N147" s="2">
        <v>-52</v>
      </c>
      <c r="O147" s="2">
        <v>-45</v>
      </c>
      <c r="P147" s="2">
        <f>(O147-N147)/(10*LOG10(M147))</f>
        <v>1.4671322920025693</v>
      </c>
      <c r="R147" s="2">
        <v>3</v>
      </c>
      <c r="S147" s="2">
        <v>3</v>
      </c>
      <c r="T147" s="2">
        <v>3</v>
      </c>
      <c r="U147" s="2">
        <v>-52</v>
      </c>
      <c r="V147" s="2">
        <v>-45</v>
      </c>
      <c r="W147" s="2">
        <f>(V147-U147)/(10*LOG10(T147))</f>
        <v>1.4671322920025693</v>
      </c>
    </row>
    <row r="148" spans="3:23">
      <c r="C148" s="7"/>
      <c r="D148" s="2">
        <v>3</v>
      </c>
      <c r="E148" s="2">
        <v>1</v>
      </c>
      <c r="F148" s="2">
        <v>3</v>
      </c>
      <c r="G148" s="2">
        <v>-56</v>
      </c>
      <c r="H148" s="2">
        <v>-45</v>
      </c>
      <c r="I148" s="2">
        <f t="shared" ref="I148:I171" si="6">(H148-G148)/(10*LOG10(F148))</f>
        <v>2.305493601718323</v>
      </c>
      <c r="K148" s="2">
        <v>3</v>
      </c>
      <c r="L148" s="2">
        <v>2</v>
      </c>
      <c r="M148" s="2">
        <v>3</v>
      </c>
      <c r="N148" s="2">
        <v>-52</v>
      </c>
      <c r="O148" s="2">
        <v>-45</v>
      </c>
      <c r="P148" s="2">
        <f t="shared" ref="P148:P171" si="7">(O148-N148)/(10*LOG10(M148))</f>
        <v>1.4671322920025693</v>
      </c>
      <c r="R148" s="2">
        <v>3</v>
      </c>
      <c r="S148" s="2">
        <v>3</v>
      </c>
      <c r="T148" s="2">
        <v>3</v>
      </c>
      <c r="U148" s="2">
        <v>-48</v>
      </c>
      <c r="V148" s="2">
        <v>-45</v>
      </c>
      <c r="W148" s="2">
        <f t="shared" ref="W148:W171" si="8">(V148-U148)/(10*LOG10(T148))</f>
        <v>0.62877098228681538</v>
      </c>
    </row>
    <row r="149" spans="3:23">
      <c r="C149" s="7"/>
      <c r="D149" s="2">
        <v>3</v>
      </c>
      <c r="E149" s="2">
        <v>1</v>
      </c>
      <c r="F149" s="2">
        <v>3</v>
      </c>
      <c r="G149" s="2">
        <v>-50</v>
      </c>
      <c r="H149" s="2">
        <v>-45</v>
      </c>
      <c r="I149" s="2">
        <f t="shared" si="6"/>
        <v>1.0479516371446924</v>
      </c>
      <c r="K149" s="2">
        <v>3</v>
      </c>
      <c r="L149" s="2">
        <v>2</v>
      </c>
      <c r="M149" s="2">
        <v>3</v>
      </c>
      <c r="N149" s="2">
        <v>-52</v>
      </c>
      <c r="O149" s="2">
        <v>-45</v>
      </c>
      <c r="P149" s="2">
        <f t="shared" si="7"/>
        <v>1.4671322920025693</v>
      </c>
      <c r="R149" s="2">
        <v>3</v>
      </c>
      <c r="S149" s="2">
        <v>3</v>
      </c>
      <c r="T149" s="2">
        <v>3</v>
      </c>
      <c r="U149" s="2">
        <v>-49</v>
      </c>
      <c r="V149" s="2">
        <v>-45</v>
      </c>
      <c r="W149" s="2">
        <f t="shared" si="8"/>
        <v>0.83836130971575384</v>
      </c>
    </row>
    <row r="150" spans="3:23">
      <c r="C150" s="7"/>
      <c r="D150" s="2">
        <v>3</v>
      </c>
      <c r="E150" s="2">
        <v>1</v>
      </c>
      <c r="F150" s="2">
        <v>3</v>
      </c>
      <c r="G150" s="2">
        <v>-45</v>
      </c>
      <c r="H150" s="2">
        <v>-45</v>
      </c>
      <c r="I150" s="2">
        <f t="shared" si="6"/>
        <v>0</v>
      </c>
      <c r="K150" s="2">
        <v>3</v>
      </c>
      <c r="L150" s="2">
        <v>2</v>
      </c>
      <c r="M150" s="2">
        <v>3</v>
      </c>
      <c r="N150" s="2">
        <v>-53</v>
      </c>
      <c r="O150" s="2">
        <v>-45</v>
      </c>
      <c r="P150" s="2">
        <f t="shared" si="7"/>
        <v>1.6767226194315077</v>
      </c>
      <c r="R150" s="2">
        <v>3</v>
      </c>
      <c r="S150" s="2">
        <v>3</v>
      </c>
      <c r="T150" s="2">
        <v>3</v>
      </c>
      <c r="U150" s="2">
        <v>-50</v>
      </c>
      <c r="V150" s="2">
        <v>-45</v>
      </c>
      <c r="W150" s="2">
        <f t="shared" si="8"/>
        <v>1.0479516371446924</v>
      </c>
    </row>
    <row r="151" spans="3:23">
      <c r="C151" s="7"/>
      <c r="D151" s="2">
        <v>3</v>
      </c>
      <c r="E151" s="2">
        <v>1</v>
      </c>
      <c r="F151" s="2">
        <v>3</v>
      </c>
      <c r="G151" s="2">
        <v>-44</v>
      </c>
      <c r="H151" s="2">
        <v>-45</v>
      </c>
      <c r="I151" s="2">
        <f t="shared" si="6"/>
        <v>-0.20959032742893846</v>
      </c>
      <c r="K151" s="2">
        <v>3</v>
      </c>
      <c r="L151" s="2">
        <v>2</v>
      </c>
      <c r="M151" s="2">
        <v>3</v>
      </c>
      <c r="N151" s="2">
        <v>-52</v>
      </c>
      <c r="O151" s="2">
        <v>-45</v>
      </c>
      <c r="P151" s="2">
        <f t="shared" si="7"/>
        <v>1.4671322920025693</v>
      </c>
      <c r="R151" s="2">
        <v>3</v>
      </c>
      <c r="S151" s="2">
        <v>3</v>
      </c>
      <c r="T151" s="2">
        <v>3</v>
      </c>
      <c r="U151" s="2">
        <v>-48</v>
      </c>
      <c r="V151" s="2">
        <v>-45</v>
      </c>
      <c r="W151" s="2">
        <f t="shared" si="8"/>
        <v>0.62877098228681538</v>
      </c>
    </row>
    <row r="152" spans="3:23">
      <c r="C152" s="7"/>
      <c r="D152" s="2">
        <v>3</v>
      </c>
      <c r="E152" s="2">
        <v>1</v>
      </c>
      <c r="F152" s="2">
        <v>3</v>
      </c>
      <c r="G152" s="2">
        <v>-44</v>
      </c>
      <c r="H152" s="2">
        <v>-45</v>
      </c>
      <c r="I152" s="2">
        <f t="shared" si="6"/>
        <v>-0.20959032742893846</v>
      </c>
      <c r="K152" s="2">
        <v>3</v>
      </c>
      <c r="L152" s="2">
        <v>2</v>
      </c>
      <c r="M152" s="2">
        <v>3</v>
      </c>
      <c r="N152" s="2">
        <v>-61</v>
      </c>
      <c r="O152" s="2">
        <v>-45</v>
      </c>
      <c r="P152" s="2">
        <f t="shared" si="7"/>
        <v>3.3534452388630154</v>
      </c>
      <c r="R152" s="2">
        <v>3</v>
      </c>
      <c r="S152" s="2">
        <v>3</v>
      </c>
      <c r="T152" s="2">
        <v>3</v>
      </c>
      <c r="U152" s="2">
        <v>-49</v>
      </c>
      <c r="V152" s="2">
        <v>-45</v>
      </c>
      <c r="W152" s="2">
        <f t="shared" si="8"/>
        <v>0.83836130971575384</v>
      </c>
    </row>
    <row r="153" spans="3:23">
      <c r="C153" s="7"/>
      <c r="D153" s="2">
        <v>3</v>
      </c>
      <c r="E153" s="2">
        <v>1</v>
      </c>
      <c r="F153" s="2">
        <v>3</v>
      </c>
      <c r="G153" s="2">
        <v>-45</v>
      </c>
      <c r="H153" s="2">
        <v>-45</v>
      </c>
      <c r="I153" s="2">
        <f t="shared" si="6"/>
        <v>0</v>
      </c>
      <c r="K153" s="2">
        <v>3</v>
      </c>
      <c r="L153" s="2">
        <v>2</v>
      </c>
      <c r="M153" s="2">
        <v>3</v>
      </c>
      <c r="N153" s="2">
        <v>-62</v>
      </c>
      <c r="O153" s="2">
        <v>-45</v>
      </c>
      <c r="P153" s="2">
        <f t="shared" si="7"/>
        <v>3.5630355662919539</v>
      </c>
      <c r="R153" s="2">
        <v>3</v>
      </c>
      <c r="S153" s="2">
        <v>3</v>
      </c>
      <c r="T153" s="2">
        <v>3</v>
      </c>
      <c r="U153" s="2">
        <v>-50</v>
      </c>
      <c r="V153" s="2">
        <v>-45</v>
      </c>
      <c r="W153" s="2">
        <f t="shared" si="8"/>
        <v>1.0479516371446924</v>
      </c>
    </row>
    <row r="154" spans="3:23">
      <c r="C154" s="7"/>
      <c r="D154" s="2">
        <v>3</v>
      </c>
      <c r="E154" s="2">
        <v>1</v>
      </c>
      <c r="F154" s="2">
        <v>3</v>
      </c>
      <c r="G154" s="2">
        <v>-49</v>
      </c>
      <c r="H154" s="2">
        <v>-45</v>
      </c>
      <c r="I154" s="2">
        <f t="shared" si="6"/>
        <v>0.83836130971575384</v>
      </c>
      <c r="K154" s="2">
        <v>3</v>
      </c>
      <c r="L154" s="2">
        <v>2</v>
      </c>
      <c r="M154" s="2">
        <v>3</v>
      </c>
      <c r="N154" s="2">
        <v>-52</v>
      </c>
      <c r="O154" s="2">
        <v>-45</v>
      </c>
      <c r="P154" s="2">
        <f t="shared" si="7"/>
        <v>1.4671322920025693</v>
      </c>
      <c r="R154" s="2">
        <v>3</v>
      </c>
      <c r="S154" s="2">
        <v>3</v>
      </c>
      <c r="T154" s="2">
        <v>3</v>
      </c>
      <c r="U154" s="2">
        <v>-50</v>
      </c>
      <c r="V154" s="2">
        <v>-45</v>
      </c>
      <c r="W154" s="2">
        <f t="shared" si="8"/>
        <v>1.0479516371446924</v>
      </c>
    </row>
    <row r="155" spans="3:23">
      <c r="C155" s="7"/>
      <c r="D155" s="2">
        <v>3</v>
      </c>
      <c r="E155" s="2">
        <v>1</v>
      </c>
      <c r="F155" s="2">
        <v>3</v>
      </c>
      <c r="G155" s="2">
        <v>-51</v>
      </c>
      <c r="H155" s="2">
        <v>-45</v>
      </c>
      <c r="I155" s="2">
        <f t="shared" si="6"/>
        <v>1.2575419645736308</v>
      </c>
      <c r="K155" s="2">
        <v>3</v>
      </c>
      <c r="L155" s="2">
        <v>2</v>
      </c>
      <c r="M155" s="2">
        <v>3</v>
      </c>
      <c r="N155" s="2">
        <v>-59</v>
      </c>
      <c r="O155" s="2">
        <v>-45</v>
      </c>
      <c r="P155" s="2">
        <f t="shared" si="7"/>
        <v>2.9342645840051387</v>
      </c>
      <c r="R155" s="2">
        <v>3</v>
      </c>
      <c r="S155" s="2">
        <v>3</v>
      </c>
      <c r="T155" s="2">
        <v>3</v>
      </c>
      <c r="U155" s="2">
        <v>-50</v>
      </c>
      <c r="V155" s="2">
        <v>-45</v>
      </c>
      <c r="W155" s="2">
        <f t="shared" si="8"/>
        <v>1.0479516371446924</v>
      </c>
    </row>
    <row r="156" spans="3:23">
      <c r="C156" s="7"/>
      <c r="D156" s="2">
        <v>3</v>
      </c>
      <c r="E156" s="2">
        <v>1</v>
      </c>
      <c r="F156" s="2">
        <v>3</v>
      </c>
      <c r="G156" s="2">
        <v>-44</v>
      </c>
      <c r="H156" s="2">
        <v>-45</v>
      </c>
      <c r="I156" s="2">
        <f t="shared" si="6"/>
        <v>-0.20959032742893846</v>
      </c>
      <c r="K156" s="2">
        <v>3</v>
      </c>
      <c r="L156" s="2">
        <v>2</v>
      </c>
      <c r="M156" s="2">
        <v>3</v>
      </c>
      <c r="N156" s="2">
        <v>-51</v>
      </c>
      <c r="O156" s="2">
        <v>-45</v>
      </c>
      <c r="P156" s="2">
        <f t="shared" si="7"/>
        <v>1.2575419645736308</v>
      </c>
      <c r="R156" s="2">
        <v>3</v>
      </c>
      <c r="S156" s="2">
        <v>3</v>
      </c>
      <c r="T156" s="2">
        <v>3</v>
      </c>
      <c r="U156" s="2">
        <v>-51</v>
      </c>
      <c r="V156" s="2">
        <v>-45</v>
      </c>
      <c r="W156" s="2">
        <f t="shared" si="8"/>
        <v>1.2575419645736308</v>
      </c>
    </row>
    <row r="157" spans="3:23">
      <c r="C157" s="7"/>
      <c r="D157" s="2">
        <v>3</v>
      </c>
      <c r="E157" s="2">
        <v>1</v>
      </c>
      <c r="F157" s="2">
        <v>3</v>
      </c>
      <c r="G157" s="2">
        <v>-44</v>
      </c>
      <c r="H157" s="2">
        <v>-45</v>
      </c>
      <c r="I157" s="2">
        <f t="shared" si="6"/>
        <v>-0.20959032742893846</v>
      </c>
      <c r="K157" s="2">
        <v>3</v>
      </c>
      <c r="L157" s="2">
        <v>2</v>
      </c>
      <c r="M157" s="2">
        <v>3</v>
      </c>
      <c r="N157" s="2">
        <v>-52</v>
      </c>
      <c r="O157" s="2">
        <v>-45</v>
      </c>
      <c r="P157" s="2">
        <f t="shared" si="7"/>
        <v>1.4671322920025693</v>
      </c>
      <c r="R157" s="2">
        <v>3</v>
      </c>
      <c r="S157" s="2">
        <v>3</v>
      </c>
      <c r="T157" s="2">
        <v>3</v>
      </c>
      <c r="U157" s="2">
        <v>-50</v>
      </c>
      <c r="V157" s="2">
        <v>-45</v>
      </c>
      <c r="W157" s="2">
        <f t="shared" si="8"/>
        <v>1.0479516371446924</v>
      </c>
    </row>
    <row r="158" spans="3:23">
      <c r="C158" s="7"/>
      <c r="D158" s="2">
        <v>3</v>
      </c>
      <c r="E158" s="2">
        <v>1</v>
      </c>
      <c r="F158" s="2">
        <v>3</v>
      </c>
      <c r="G158" s="2">
        <v>-45</v>
      </c>
      <c r="H158" s="2">
        <v>-45</v>
      </c>
      <c r="I158" s="2">
        <f t="shared" si="6"/>
        <v>0</v>
      </c>
      <c r="K158" s="2">
        <v>3</v>
      </c>
      <c r="L158" s="2">
        <v>2</v>
      </c>
      <c r="M158" s="2">
        <v>3</v>
      </c>
      <c r="N158" s="2">
        <v>-53</v>
      </c>
      <c r="O158" s="2">
        <v>-45</v>
      </c>
      <c r="P158" s="2">
        <f t="shared" si="7"/>
        <v>1.6767226194315077</v>
      </c>
      <c r="R158" s="2">
        <v>3</v>
      </c>
      <c r="S158" s="2">
        <v>3</v>
      </c>
      <c r="T158" s="2">
        <v>3</v>
      </c>
      <c r="U158" s="2">
        <v>-48</v>
      </c>
      <c r="V158" s="2">
        <v>-45</v>
      </c>
      <c r="W158" s="2">
        <f t="shared" si="8"/>
        <v>0.62877098228681538</v>
      </c>
    </row>
    <row r="159" spans="3:23">
      <c r="C159" s="7"/>
      <c r="D159" s="2">
        <v>3</v>
      </c>
      <c r="E159" s="2">
        <v>1</v>
      </c>
      <c r="F159" s="2">
        <v>3</v>
      </c>
      <c r="G159" s="2">
        <v>-44</v>
      </c>
      <c r="H159" s="2">
        <v>-45</v>
      </c>
      <c r="I159" s="2">
        <f t="shared" si="6"/>
        <v>-0.20959032742893846</v>
      </c>
      <c r="K159" s="2">
        <v>3</v>
      </c>
      <c r="L159" s="2">
        <v>2</v>
      </c>
      <c r="M159" s="2">
        <v>3</v>
      </c>
      <c r="N159" s="2">
        <v>-54</v>
      </c>
      <c r="O159" s="2">
        <v>-45</v>
      </c>
      <c r="P159" s="2">
        <f t="shared" si="7"/>
        <v>1.8863129468604463</v>
      </c>
      <c r="R159" s="2">
        <v>3</v>
      </c>
      <c r="S159" s="2">
        <v>3</v>
      </c>
      <c r="T159" s="2">
        <v>3</v>
      </c>
      <c r="U159" s="2">
        <v>-49</v>
      </c>
      <c r="V159" s="2">
        <v>-45</v>
      </c>
      <c r="W159" s="2">
        <f t="shared" si="8"/>
        <v>0.83836130971575384</v>
      </c>
    </row>
    <row r="160" spans="3:23">
      <c r="C160" s="7"/>
      <c r="D160" s="2">
        <v>3</v>
      </c>
      <c r="E160" s="2">
        <v>1</v>
      </c>
      <c r="F160" s="2">
        <v>3</v>
      </c>
      <c r="G160" s="2">
        <v>-45</v>
      </c>
      <c r="H160" s="2">
        <v>-45</v>
      </c>
      <c r="I160" s="2">
        <f t="shared" si="6"/>
        <v>0</v>
      </c>
      <c r="K160" s="2">
        <v>3</v>
      </c>
      <c r="L160" s="2">
        <v>2</v>
      </c>
      <c r="M160" s="2">
        <v>3</v>
      </c>
      <c r="N160" s="2">
        <v>-50</v>
      </c>
      <c r="O160" s="2">
        <v>-45</v>
      </c>
      <c r="P160" s="2">
        <f t="shared" si="7"/>
        <v>1.0479516371446924</v>
      </c>
      <c r="R160" s="2">
        <v>3</v>
      </c>
      <c r="S160" s="2">
        <v>3</v>
      </c>
      <c r="T160" s="2">
        <v>3</v>
      </c>
      <c r="U160" s="2">
        <v>-51</v>
      </c>
      <c r="V160" s="2">
        <v>-45</v>
      </c>
      <c r="W160" s="2">
        <f t="shared" si="8"/>
        <v>1.2575419645736308</v>
      </c>
    </row>
    <row r="161" spans="3:26">
      <c r="C161" s="7"/>
      <c r="D161" s="2">
        <v>3</v>
      </c>
      <c r="E161" s="2">
        <v>1</v>
      </c>
      <c r="F161" s="2">
        <v>3</v>
      </c>
      <c r="G161" s="2">
        <v>-52</v>
      </c>
      <c r="H161" s="2">
        <v>-45</v>
      </c>
      <c r="I161" s="2">
        <f t="shared" si="6"/>
        <v>1.4671322920025693</v>
      </c>
      <c r="K161" s="2">
        <v>3</v>
      </c>
      <c r="L161" s="2">
        <v>2</v>
      </c>
      <c r="M161" s="2">
        <v>3</v>
      </c>
      <c r="N161" s="2">
        <v>-50</v>
      </c>
      <c r="O161" s="2">
        <v>-45</v>
      </c>
      <c r="P161" s="2">
        <f t="shared" si="7"/>
        <v>1.0479516371446924</v>
      </c>
      <c r="R161" s="2">
        <v>3</v>
      </c>
      <c r="S161" s="2">
        <v>3</v>
      </c>
      <c r="T161" s="2">
        <v>3</v>
      </c>
      <c r="U161" s="2">
        <v>-54</v>
      </c>
      <c r="V161" s="2">
        <v>-45</v>
      </c>
      <c r="W161" s="2">
        <f t="shared" si="8"/>
        <v>1.8863129468604463</v>
      </c>
    </row>
    <row r="162" spans="3:26">
      <c r="C162" s="7"/>
      <c r="D162" s="2">
        <v>3</v>
      </c>
      <c r="E162" s="2">
        <v>1</v>
      </c>
      <c r="F162" s="2">
        <v>3</v>
      </c>
      <c r="G162" s="2">
        <v>-50</v>
      </c>
      <c r="H162" s="2">
        <v>-45</v>
      </c>
      <c r="I162" s="2">
        <f t="shared" si="6"/>
        <v>1.0479516371446924</v>
      </c>
      <c r="K162" s="2">
        <v>3</v>
      </c>
      <c r="L162" s="2">
        <v>2</v>
      </c>
      <c r="M162" s="2">
        <v>3</v>
      </c>
      <c r="N162" s="2">
        <v>-50</v>
      </c>
      <c r="O162" s="2">
        <v>-45</v>
      </c>
      <c r="P162" s="2">
        <f t="shared" si="7"/>
        <v>1.0479516371446924</v>
      </c>
      <c r="R162" s="2">
        <v>3</v>
      </c>
      <c r="S162" s="2">
        <v>3</v>
      </c>
      <c r="T162" s="2">
        <v>3</v>
      </c>
      <c r="U162" s="2">
        <v>-50</v>
      </c>
      <c r="V162" s="2">
        <v>-45</v>
      </c>
      <c r="W162" s="2">
        <f t="shared" si="8"/>
        <v>1.0479516371446924</v>
      </c>
    </row>
    <row r="163" spans="3:26">
      <c r="C163" s="7"/>
      <c r="D163" s="2">
        <v>3</v>
      </c>
      <c r="E163" s="2">
        <v>1</v>
      </c>
      <c r="F163" s="2">
        <v>3</v>
      </c>
      <c r="G163" s="2">
        <v>-54</v>
      </c>
      <c r="H163" s="2">
        <v>-45</v>
      </c>
      <c r="I163" s="2">
        <f t="shared" si="6"/>
        <v>1.8863129468604463</v>
      </c>
      <c r="K163" s="2">
        <v>3</v>
      </c>
      <c r="L163" s="2">
        <v>2</v>
      </c>
      <c r="M163" s="2">
        <v>3</v>
      </c>
      <c r="N163" s="2">
        <v>-50</v>
      </c>
      <c r="O163" s="2">
        <v>-45</v>
      </c>
      <c r="P163" s="2">
        <f t="shared" si="7"/>
        <v>1.0479516371446924</v>
      </c>
      <c r="R163" s="2">
        <v>3</v>
      </c>
      <c r="S163" s="2">
        <v>3</v>
      </c>
      <c r="T163" s="2">
        <v>3</v>
      </c>
      <c r="U163" s="2">
        <v>-56</v>
      </c>
      <c r="V163" s="2">
        <v>-45</v>
      </c>
      <c r="W163" s="2">
        <f t="shared" si="8"/>
        <v>2.305493601718323</v>
      </c>
    </row>
    <row r="164" spans="3:26">
      <c r="C164" s="7"/>
      <c r="D164" s="2">
        <v>3</v>
      </c>
      <c r="E164" s="2">
        <v>1</v>
      </c>
      <c r="F164" s="2">
        <v>3</v>
      </c>
      <c r="G164" s="2">
        <v>-44</v>
      </c>
      <c r="H164" s="2">
        <v>-45</v>
      </c>
      <c r="I164" s="2">
        <f t="shared" si="6"/>
        <v>-0.20959032742893846</v>
      </c>
      <c r="K164" s="2">
        <v>3</v>
      </c>
      <c r="L164" s="2">
        <v>2</v>
      </c>
      <c r="M164" s="2">
        <v>3</v>
      </c>
      <c r="N164" s="2">
        <v>-50</v>
      </c>
      <c r="O164" s="2">
        <v>-45</v>
      </c>
      <c r="P164" s="2">
        <f t="shared" si="7"/>
        <v>1.0479516371446924</v>
      </c>
      <c r="R164" s="2">
        <v>3</v>
      </c>
      <c r="S164" s="2">
        <v>3</v>
      </c>
      <c r="T164" s="2">
        <v>3</v>
      </c>
      <c r="U164" s="2">
        <v>-52</v>
      </c>
      <c r="V164" s="2">
        <v>-45</v>
      </c>
      <c r="W164" s="2">
        <f t="shared" si="8"/>
        <v>1.4671322920025693</v>
      </c>
    </row>
    <row r="165" spans="3:26">
      <c r="C165" s="7"/>
      <c r="D165" s="2">
        <v>3</v>
      </c>
      <c r="E165" s="2">
        <v>1</v>
      </c>
      <c r="F165" s="2">
        <v>3</v>
      </c>
      <c r="G165" s="2">
        <v>-44</v>
      </c>
      <c r="H165" s="2">
        <v>-45</v>
      </c>
      <c r="I165" s="2">
        <f t="shared" si="6"/>
        <v>-0.20959032742893846</v>
      </c>
      <c r="K165" s="2">
        <v>3</v>
      </c>
      <c r="L165" s="2">
        <v>2</v>
      </c>
      <c r="M165" s="2">
        <v>3</v>
      </c>
      <c r="N165" s="2">
        <v>-49</v>
      </c>
      <c r="O165" s="2">
        <v>-45</v>
      </c>
      <c r="P165" s="2">
        <f t="shared" si="7"/>
        <v>0.83836130971575384</v>
      </c>
      <c r="R165" s="2">
        <v>3</v>
      </c>
      <c r="S165" s="2">
        <v>3</v>
      </c>
      <c r="T165" s="2">
        <v>3</v>
      </c>
      <c r="U165" s="2">
        <v>-57</v>
      </c>
      <c r="V165" s="2">
        <v>-45</v>
      </c>
      <c r="W165" s="2">
        <f t="shared" si="8"/>
        <v>2.5150839291472615</v>
      </c>
    </row>
    <row r="166" spans="3:26">
      <c r="C166" s="7"/>
      <c r="D166" s="2">
        <v>3</v>
      </c>
      <c r="E166" s="2">
        <v>1</v>
      </c>
      <c r="F166" s="2">
        <v>3</v>
      </c>
      <c r="G166" s="2">
        <v>-51</v>
      </c>
      <c r="H166" s="2">
        <v>-45</v>
      </c>
      <c r="I166" s="2">
        <f t="shared" si="6"/>
        <v>1.2575419645736308</v>
      </c>
      <c r="K166" s="2">
        <v>3</v>
      </c>
      <c r="L166" s="2">
        <v>2</v>
      </c>
      <c r="M166" s="2">
        <v>3</v>
      </c>
      <c r="N166" s="2">
        <v>-53</v>
      </c>
      <c r="O166" s="2">
        <v>-45</v>
      </c>
      <c r="P166" s="2">
        <f t="shared" si="7"/>
        <v>1.6767226194315077</v>
      </c>
      <c r="R166" s="2">
        <v>3</v>
      </c>
      <c r="S166" s="2">
        <v>3</v>
      </c>
      <c r="T166" s="2">
        <v>3</v>
      </c>
      <c r="U166" s="2">
        <v>-58</v>
      </c>
      <c r="V166" s="2">
        <v>-45</v>
      </c>
      <c r="W166" s="2">
        <f t="shared" si="8"/>
        <v>2.7246742565762001</v>
      </c>
    </row>
    <row r="167" spans="3:26">
      <c r="C167" s="7"/>
      <c r="D167" s="2">
        <v>3</v>
      </c>
      <c r="E167" s="2">
        <v>1</v>
      </c>
      <c r="F167" s="2">
        <v>3</v>
      </c>
      <c r="G167" s="2">
        <v>-46</v>
      </c>
      <c r="H167" s="2">
        <v>-45</v>
      </c>
      <c r="I167" s="2">
        <f t="shared" si="6"/>
        <v>0.20959032742893846</v>
      </c>
      <c r="K167" s="2">
        <v>3</v>
      </c>
      <c r="L167" s="2">
        <v>2</v>
      </c>
      <c r="M167" s="2">
        <v>3</v>
      </c>
      <c r="N167" s="2">
        <v>-47</v>
      </c>
      <c r="O167" s="2">
        <v>-45</v>
      </c>
      <c r="P167" s="2">
        <f t="shared" si="7"/>
        <v>0.41918065485787692</v>
      </c>
      <c r="R167" s="2">
        <v>3</v>
      </c>
      <c r="S167" s="2">
        <v>3</v>
      </c>
      <c r="T167" s="2">
        <v>3</v>
      </c>
      <c r="U167" s="2">
        <v>-58</v>
      </c>
      <c r="V167" s="2">
        <v>-45</v>
      </c>
      <c r="W167" s="2">
        <f t="shared" si="8"/>
        <v>2.7246742565762001</v>
      </c>
    </row>
    <row r="168" spans="3:26">
      <c r="C168" s="7"/>
      <c r="D168" s="2">
        <v>3</v>
      </c>
      <c r="E168" s="2">
        <v>1</v>
      </c>
      <c r="F168" s="2">
        <v>3</v>
      </c>
      <c r="G168" s="2">
        <v>-48</v>
      </c>
      <c r="H168" s="2">
        <v>-45</v>
      </c>
      <c r="I168" s="2">
        <f t="shared" si="6"/>
        <v>0.62877098228681538</v>
      </c>
      <c r="K168" s="2">
        <v>3</v>
      </c>
      <c r="L168" s="2">
        <v>2</v>
      </c>
      <c r="M168" s="2">
        <v>3</v>
      </c>
      <c r="N168" s="2">
        <v>-45</v>
      </c>
      <c r="O168" s="2">
        <v>-45</v>
      </c>
      <c r="P168" s="2">
        <f t="shared" si="7"/>
        <v>0</v>
      </c>
      <c r="R168" s="2">
        <v>3</v>
      </c>
      <c r="S168" s="2">
        <v>3</v>
      </c>
      <c r="T168" s="2">
        <v>3</v>
      </c>
      <c r="U168" s="2">
        <v>-51</v>
      </c>
      <c r="V168" s="2">
        <v>-45</v>
      </c>
      <c r="W168" s="2">
        <f t="shared" si="8"/>
        <v>1.2575419645736308</v>
      </c>
    </row>
    <row r="169" spans="3:26">
      <c r="C169" s="7"/>
      <c r="D169" s="2">
        <v>3</v>
      </c>
      <c r="E169" s="2">
        <v>1</v>
      </c>
      <c r="F169" s="2">
        <v>3</v>
      </c>
      <c r="G169" s="2">
        <v>-51</v>
      </c>
      <c r="H169" s="2">
        <v>-45</v>
      </c>
      <c r="I169" s="2">
        <f t="shared" si="6"/>
        <v>1.2575419645736308</v>
      </c>
      <c r="K169" s="2">
        <v>3</v>
      </c>
      <c r="L169" s="2">
        <v>2</v>
      </c>
      <c r="M169" s="2">
        <v>3</v>
      </c>
      <c r="N169" s="2">
        <v>-45</v>
      </c>
      <c r="O169" s="2">
        <v>-45</v>
      </c>
      <c r="P169" s="2">
        <f t="shared" si="7"/>
        <v>0</v>
      </c>
      <c r="R169" s="2">
        <v>3</v>
      </c>
      <c r="S169" s="2">
        <v>3</v>
      </c>
      <c r="T169" s="2">
        <v>3</v>
      </c>
      <c r="U169" s="2">
        <v>-55</v>
      </c>
      <c r="V169" s="2">
        <v>-45</v>
      </c>
      <c r="W169" s="2">
        <f t="shared" si="8"/>
        <v>2.0959032742893848</v>
      </c>
    </row>
    <row r="170" spans="3:26">
      <c r="C170" s="7"/>
      <c r="D170" s="2">
        <v>3</v>
      </c>
      <c r="E170" s="2">
        <v>1</v>
      </c>
      <c r="F170" s="2">
        <v>3</v>
      </c>
      <c r="G170" s="2">
        <v>-52</v>
      </c>
      <c r="H170" s="2">
        <v>-45</v>
      </c>
      <c r="I170" s="2">
        <f t="shared" si="6"/>
        <v>1.4671322920025693</v>
      </c>
      <c r="K170" s="2">
        <v>3</v>
      </c>
      <c r="L170" s="2">
        <v>2</v>
      </c>
      <c r="M170" s="2">
        <v>3</v>
      </c>
      <c r="N170" s="2">
        <v>-50</v>
      </c>
      <c r="O170" s="2">
        <v>-45</v>
      </c>
      <c r="P170" s="2">
        <f t="shared" si="7"/>
        <v>1.0479516371446924</v>
      </c>
      <c r="R170" s="2">
        <v>3</v>
      </c>
      <c r="S170" s="2">
        <v>3</v>
      </c>
      <c r="T170" s="2">
        <v>3</v>
      </c>
      <c r="U170" s="2">
        <v>-52</v>
      </c>
      <c r="V170" s="2">
        <v>-45</v>
      </c>
      <c r="W170" s="2">
        <f t="shared" si="8"/>
        <v>1.4671322920025693</v>
      </c>
    </row>
    <row r="171" spans="3:26">
      <c r="C171" s="7"/>
      <c r="D171" s="2">
        <v>3</v>
      </c>
      <c r="E171" s="2">
        <v>1</v>
      </c>
      <c r="F171" s="2">
        <v>3</v>
      </c>
      <c r="G171" s="2">
        <v>-48</v>
      </c>
      <c r="H171" s="2">
        <v>-45</v>
      </c>
      <c r="I171" s="2">
        <f t="shared" si="6"/>
        <v>0.62877098228681538</v>
      </c>
      <c r="K171" s="2">
        <v>3</v>
      </c>
      <c r="L171" s="2">
        <v>2</v>
      </c>
      <c r="M171" s="2">
        <v>3</v>
      </c>
      <c r="N171" s="2">
        <v>-52</v>
      </c>
      <c r="O171" s="2">
        <v>-45</v>
      </c>
      <c r="P171" s="2">
        <f t="shared" si="7"/>
        <v>1.4671322920025693</v>
      </c>
      <c r="R171" s="2">
        <v>3</v>
      </c>
      <c r="S171" s="2">
        <v>3</v>
      </c>
      <c r="T171" s="2">
        <v>3</v>
      </c>
      <c r="U171" s="2">
        <v>-60</v>
      </c>
      <c r="V171" s="2">
        <v>-45</v>
      </c>
      <c r="W171" s="2">
        <f t="shared" si="8"/>
        <v>3.1438549114340768</v>
      </c>
    </row>
    <row r="172" spans="3:26">
      <c r="C172" s="7"/>
      <c r="D172" s="1" t="s">
        <v>5</v>
      </c>
      <c r="E172" s="3">
        <f>AVERAGE(I147:I171,P147:P171,W147:W171)</f>
        <v>1.1569386074077403</v>
      </c>
      <c r="F172" s="1"/>
      <c r="G172" s="1"/>
      <c r="H172" s="1"/>
      <c r="I172" s="1"/>
      <c r="J172" s="1"/>
      <c r="K172" s="1"/>
      <c r="L172" s="1"/>
      <c r="M172" s="1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 t="s">
        <v>12</v>
      </c>
      <c r="Y172" s="1">
        <f>STDEV(I147:I171,P147:P171,W147:W171)</f>
        <v>0.87261225791284669</v>
      </c>
      <c r="Z172" s="1"/>
    </row>
    <row r="173" spans="3:26" ht="29.25">
      <c r="C173" s="8"/>
      <c r="D173" s="2" t="s">
        <v>0</v>
      </c>
    </row>
    <row r="174" spans="3:26" ht="29.25">
      <c r="C174" s="8"/>
      <c r="D174" s="1" t="s">
        <v>1</v>
      </c>
      <c r="E174" s="1" t="s">
        <v>2</v>
      </c>
      <c r="F174" s="1" t="s">
        <v>3</v>
      </c>
      <c r="G174" s="1"/>
      <c r="H174" s="1" t="s">
        <v>2</v>
      </c>
      <c r="I174" s="1" t="s">
        <v>3</v>
      </c>
      <c r="J174" s="1"/>
      <c r="K174" s="1" t="s">
        <v>2</v>
      </c>
      <c r="L174" s="1" t="s">
        <v>3</v>
      </c>
      <c r="M174" s="1"/>
      <c r="N174" s="1"/>
      <c r="O174" s="1"/>
      <c r="P174" s="1"/>
      <c r="Q174" s="1"/>
      <c r="R174" s="1"/>
      <c r="S174" s="1"/>
    </row>
    <row r="175" spans="3:26">
      <c r="C175" s="8"/>
      <c r="D175" s="2">
        <v>4</v>
      </c>
      <c r="E175" s="2">
        <v>1</v>
      </c>
      <c r="F175" s="2">
        <v>-58</v>
      </c>
      <c r="H175" s="2">
        <v>2</v>
      </c>
      <c r="I175" s="2">
        <v>-45</v>
      </c>
      <c r="K175" s="2">
        <v>3</v>
      </c>
      <c r="L175" s="2">
        <v>-48</v>
      </c>
    </row>
    <row r="176" spans="3:26">
      <c r="C176" s="8"/>
      <c r="D176" s="2">
        <v>4</v>
      </c>
      <c r="E176" s="2">
        <v>1</v>
      </c>
      <c r="F176" s="2">
        <v>-54</v>
      </c>
      <c r="H176" s="2">
        <v>2</v>
      </c>
      <c r="I176" s="2">
        <v>-47</v>
      </c>
      <c r="K176" s="2">
        <v>3</v>
      </c>
      <c r="L176" s="2">
        <v>-49</v>
      </c>
    </row>
    <row r="177" spans="3:12">
      <c r="C177" s="8"/>
      <c r="D177" s="2">
        <v>4</v>
      </c>
      <c r="E177" s="2">
        <v>1</v>
      </c>
      <c r="F177" s="2">
        <v>-46</v>
      </c>
      <c r="H177" s="2">
        <v>2</v>
      </c>
      <c r="I177" s="2">
        <v>-52</v>
      </c>
      <c r="K177" s="2">
        <v>3</v>
      </c>
      <c r="L177" s="2">
        <v>-49</v>
      </c>
    </row>
    <row r="178" spans="3:12">
      <c r="C178" s="8"/>
      <c r="D178" s="2">
        <v>4</v>
      </c>
      <c r="E178" s="2">
        <v>1</v>
      </c>
      <c r="F178" s="2">
        <v>-46</v>
      </c>
      <c r="H178" s="2">
        <v>2</v>
      </c>
      <c r="I178" s="2">
        <v>-44</v>
      </c>
      <c r="K178" s="2">
        <v>3</v>
      </c>
      <c r="L178" s="2">
        <v>-49</v>
      </c>
    </row>
    <row r="179" spans="3:12">
      <c r="C179" s="8"/>
      <c r="D179" s="2">
        <v>4</v>
      </c>
      <c r="E179" s="2">
        <v>1</v>
      </c>
      <c r="F179" s="2">
        <v>-47</v>
      </c>
      <c r="H179" s="2">
        <v>2</v>
      </c>
      <c r="I179" s="2">
        <v>-46</v>
      </c>
      <c r="K179" s="2">
        <v>3</v>
      </c>
      <c r="L179" s="2">
        <v>-49</v>
      </c>
    </row>
    <row r="180" spans="3:12">
      <c r="C180" s="8"/>
      <c r="D180" s="2">
        <v>4</v>
      </c>
      <c r="E180" s="2">
        <v>1</v>
      </c>
      <c r="F180" s="2">
        <v>-54</v>
      </c>
      <c r="H180" s="2">
        <v>2</v>
      </c>
      <c r="I180" s="2">
        <v>-41</v>
      </c>
      <c r="K180" s="2">
        <v>3</v>
      </c>
      <c r="L180" s="2">
        <v>-50</v>
      </c>
    </row>
    <row r="181" spans="3:12">
      <c r="C181" s="8"/>
      <c r="D181" s="2">
        <v>4</v>
      </c>
      <c r="E181" s="2">
        <v>1</v>
      </c>
      <c r="F181" s="2">
        <v>-46</v>
      </c>
      <c r="H181" s="2">
        <v>2</v>
      </c>
      <c r="I181" s="2">
        <v>-45</v>
      </c>
      <c r="K181" s="2">
        <v>3</v>
      </c>
      <c r="L181" s="2">
        <v>-49</v>
      </c>
    </row>
    <row r="182" spans="3:12">
      <c r="C182" s="8"/>
      <c r="D182" s="2">
        <v>4</v>
      </c>
      <c r="E182" s="2">
        <v>1</v>
      </c>
      <c r="F182" s="2">
        <v>-56</v>
      </c>
      <c r="H182" s="2">
        <v>2</v>
      </c>
      <c r="I182" s="2">
        <v>-56</v>
      </c>
      <c r="K182" s="2">
        <v>3</v>
      </c>
      <c r="L182" s="2">
        <v>-49</v>
      </c>
    </row>
    <row r="183" spans="3:12">
      <c r="C183" s="8"/>
      <c r="D183" s="2">
        <v>4</v>
      </c>
      <c r="E183" s="2">
        <v>1</v>
      </c>
      <c r="F183" s="2">
        <v>-57</v>
      </c>
      <c r="H183" s="2">
        <v>2</v>
      </c>
      <c r="I183" s="2">
        <v>-54</v>
      </c>
      <c r="K183" s="2">
        <v>3</v>
      </c>
      <c r="L183" s="2">
        <v>-48</v>
      </c>
    </row>
    <row r="184" spans="3:12">
      <c r="C184" s="8"/>
      <c r="D184" s="2">
        <v>4</v>
      </c>
      <c r="E184" s="2">
        <v>1</v>
      </c>
      <c r="F184" s="2">
        <v>-54</v>
      </c>
      <c r="H184" s="2">
        <v>2</v>
      </c>
      <c r="I184" s="2">
        <v>-62</v>
      </c>
      <c r="K184" s="2">
        <v>3</v>
      </c>
      <c r="L184" s="2">
        <v>-49</v>
      </c>
    </row>
    <row r="185" spans="3:12">
      <c r="C185" s="8"/>
      <c r="D185" s="2">
        <v>4</v>
      </c>
      <c r="E185" s="2">
        <v>1</v>
      </c>
      <c r="F185" s="2">
        <v>-52</v>
      </c>
      <c r="H185" s="2">
        <v>2</v>
      </c>
      <c r="I185" s="2">
        <v>-45</v>
      </c>
      <c r="K185" s="2">
        <v>3</v>
      </c>
      <c r="L185" s="2">
        <v>-47</v>
      </c>
    </row>
    <row r="186" spans="3:12">
      <c r="C186" s="8"/>
      <c r="D186" s="2">
        <v>4</v>
      </c>
      <c r="E186" s="2">
        <v>1</v>
      </c>
      <c r="F186" s="2">
        <v>-45</v>
      </c>
      <c r="H186" s="2">
        <v>2</v>
      </c>
      <c r="I186" s="2">
        <v>-65</v>
      </c>
      <c r="K186" s="2">
        <v>3</v>
      </c>
      <c r="L186" s="2">
        <v>-48</v>
      </c>
    </row>
    <row r="187" spans="3:12">
      <c r="C187" s="8"/>
      <c r="D187" s="2">
        <v>4</v>
      </c>
      <c r="E187" s="2">
        <v>1</v>
      </c>
      <c r="F187" s="2">
        <v>-53</v>
      </c>
      <c r="H187" s="2">
        <v>2</v>
      </c>
      <c r="I187" s="2">
        <v>-69</v>
      </c>
      <c r="K187" s="2">
        <v>3</v>
      </c>
      <c r="L187" s="2">
        <v>-49</v>
      </c>
    </row>
    <row r="188" spans="3:12">
      <c r="C188" s="8"/>
      <c r="D188" s="2">
        <v>4</v>
      </c>
      <c r="E188" s="2">
        <v>1</v>
      </c>
      <c r="F188" s="2">
        <v>-51</v>
      </c>
      <c r="H188" s="2">
        <v>2</v>
      </c>
      <c r="I188" s="2">
        <v>-44</v>
      </c>
      <c r="K188" s="2">
        <v>3</v>
      </c>
      <c r="L188" s="2">
        <v>-48</v>
      </c>
    </row>
    <row r="189" spans="3:12">
      <c r="C189" s="8"/>
      <c r="D189" s="2">
        <v>4</v>
      </c>
      <c r="E189" s="2">
        <v>1</v>
      </c>
      <c r="F189" s="2">
        <v>-46</v>
      </c>
      <c r="H189" s="2">
        <v>2</v>
      </c>
      <c r="I189" s="2">
        <v>-44</v>
      </c>
      <c r="K189" s="2">
        <v>3</v>
      </c>
      <c r="L189" s="2">
        <v>-48</v>
      </c>
    </row>
    <row r="190" spans="3:12">
      <c r="C190" s="8"/>
      <c r="D190" s="2">
        <v>4</v>
      </c>
      <c r="E190" s="2">
        <v>1</v>
      </c>
      <c r="F190" s="2">
        <v>-47</v>
      </c>
      <c r="H190" s="2">
        <v>2</v>
      </c>
      <c r="I190" s="2">
        <v>-63</v>
      </c>
      <c r="K190" s="2">
        <v>3</v>
      </c>
      <c r="L190" s="2">
        <v>-47</v>
      </c>
    </row>
    <row r="191" spans="3:12">
      <c r="C191" s="8"/>
      <c r="D191" s="2">
        <v>4</v>
      </c>
      <c r="E191" s="2">
        <v>1</v>
      </c>
      <c r="F191" s="2">
        <v>-48</v>
      </c>
      <c r="H191" s="2">
        <v>2</v>
      </c>
      <c r="I191" s="2">
        <v>-61</v>
      </c>
      <c r="K191" s="2">
        <v>3</v>
      </c>
      <c r="L191" s="2">
        <v>-47</v>
      </c>
    </row>
    <row r="192" spans="3:12">
      <c r="C192" s="8"/>
      <c r="D192" s="2">
        <v>4</v>
      </c>
      <c r="E192" s="2">
        <v>1</v>
      </c>
      <c r="F192" s="2">
        <v>-47</v>
      </c>
      <c r="H192" s="2">
        <v>2</v>
      </c>
      <c r="I192" s="2">
        <v>-45</v>
      </c>
      <c r="K192" s="2">
        <v>3</v>
      </c>
      <c r="L192" s="2">
        <v>-51</v>
      </c>
    </row>
    <row r="193" spans="3:23">
      <c r="C193" s="8"/>
      <c r="D193" s="2">
        <v>4</v>
      </c>
      <c r="E193" s="2">
        <v>1</v>
      </c>
      <c r="F193" s="2">
        <v>-47</v>
      </c>
      <c r="H193" s="2">
        <v>2</v>
      </c>
      <c r="I193" s="2">
        <v>-54</v>
      </c>
      <c r="K193" s="2">
        <v>3</v>
      </c>
      <c r="L193" s="2">
        <v>-48</v>
      </c>
    </row>
    <row r="194" spans="3:23">
      <c r="C194" s="8"/>
      <c r="D194" s="2">
        <v>4</v>
      </c>
      <c r="E194" s="2">
        <v>1</v>
      </c>
      <c r="F194" s="2">
        <v>-51</v>
      </c>
      <c r="H194" s="2">
        <v>2</v>
      </c>
      <c r="I194" s="2">
        <v>-45</v>
      </c>
      <c r="K194" s="2">
        <v>3</v>
      </c>
      <c r="L194" s="2">
        <v>-48</v>
      </c>
    </row>
    <row r="195" spans="3:23">
      <c r="C195" s="8"/>
      <c r="D195" s="2">
        <v>4</v>
      </c>
      <c r="E195" s="2">
        <v>1</v>
      </c>
      <c r="F195" s="2">
        <v>-54</v>
      </c>
      <c r="H195" s="2">
        <v>2</v>
      </c>
      <c r="I195" s="2">
        <v>-53</v>
      </c>
      <c r="K195" s="2">
        <v>3</v>
      </c>
      <c r="L195" s="2">
        <v>-61</v>
      </c>
    </row>
    <row r="196" spans="3:23">
      <c r="C196" s="8"/>
      <c r="D196" s="2">
        <v>4</v>
      </c>
      <c r="E196" s="2">
        <v>1</v>
      </c>
      <c r="F196" s="2">
        <v>-53</v>
      </c>
      <c r="H196" s="2">
        <v>2</v>
      </c>
      <c r="I196" s="2">
        <v>-60</v>
      </c>
      <c r="K196" s="2">
        <v>3</v>
      </c>
      <c r="L196" s="2">
        <v>-59</v>
      </c>
    </row>
    <row r="197" spans="3:23">
      <c r="C197" s="8"/>
      <c r="D197" s="2">
        <v>4</v>
      </c>
      <c r="E197" s="2">
        <v>1</v>
      </c>
      <c r="F197" s="2">
        <v>-57</v>
      </c>
      <c r="H197" s="2">
        <v>2</v>
      </c>
      <c r="I197" s="2">
        <v>-45</v>
      </c>
      <c r="K197" s="2">
        <v>3</v>
      </c>
      <c r="L197" s="2">
        <v>-47</v>
      </c>
    </row>
    <row r="198" spans="3:23">
      <c r="C198" s="8"/>
      <c r="D198" s="2">
        <v>4</v>
      </c>
      <c r="E198" s="2">
        <v>1</v>
      </c>
      <c r="F198" s="2">
        <v>-54</v>
      </c>
      <c r="H198" s="2">
        <v>2</v>
      </c>
      <c r="I198" s="2">
        <v>-63</v>
      </c>
      <c r="K198" s="2">
        <v>3</v>
      </c>
      <c r="L198" s="2">
        <v>-63</v>
      </c>
    </row>
    <row r="199" spans="3:23">
      <c r="C199" s="8"/>
      <c r="D199" s="2">
        <v>4</v>
      </c>
      <c r="E199" s="2">
        <v>1</v>
      </c>
      <c r="F199" s="2">
        <v>-46</v>
      </c>
      <c r="H199" s="2">
        <v>2</v>
      </c>
      <c r="I199" s="2">
        <v>-45</v>
      </c>
      <c r="K199" s="2">
        <v>3</v>
      </c>
      <c r="L199" s="2">
        <v>-65</v>
      </c>
    </row>
    <row r="200" spans="3:23">
      <c r="C200" s="8"/>
      <c r="D200" s="1"/>
      <c r="E200" s="1" t="s">
        <v>4</v>
      </c>
      <c r="F200" s="1">
        <f>STDEV(F175:F199)</f>
        <v>4.2453896562427964</v>
      </c>
      <c r="G200" s="1"/>
      <c r="H200" s="1" t="s">
        <v>4</v>
      </c>
      <c r="I200" s="1">
        <f>STDEV(I175:I199)</f>
        <v>8.3791407674056728</v>
      </c>
      <c r="J200" s="1"/>
      <c r="K200" s="1" t="s">
        <v>4</v>
      </c>
      <c r="L200" s="1">
        <f>STDEV(L175:L199)</f>
        <v>5.2440442408507577</v>
      </c>
      <c r="M200" s="1" t="s">
        <v>5</v>
      </c>
      <c r="N200" s="4">
        <f>AVERAGE(F175:F199,I175:I199,L175:L199)</f>
        <v>-51.026666666666664</v>
      </c>
      <c r="O200" s="1" t="s">
        <v>6</v>
      </c>
      <c r="P200" s="1">
        <f>AVERAGE(F200,I200,L200)</f>
        <v>5.9561915548330759</v>
      </c>
      <c r="Q200" s="1" t="s">
        <v>7</v>
      </c>
      <c r="R200" s="1">
        <f>STDEV(L175:L199,I175:I199,F175:F199)</f>
        <v>6.1467929087502959</v>
      </c>
      <c r="S200" s="1"/>
    </row>
    <row r="201" spans="3:23">
      <c r="C201" s="8"/>
    </row>
    <row r="202" spans="3:23">
      <c r="C202" s="8"/>
      <c r="D202" s="2" t="s">
        <v>8</v>
      </c>
    </row>
    <row r="203" spans="3:23" ht="29.25">
      <c r="C203" s="8"/>
      <c r="D203" s="1" t="s">
        <v>1</v>
      </c>
      <c r="E203" s="1" t="s">
        <v>2</v>
      </c>
      <c r="F203" s="1" t="s">
        <v>9</v>
      </c>
      <c r="G203" s="1" t="s">
        <v>3</v>
      </c>
      <c r="H203" s="1" t="s">
        <v>10</v>
      </c>
      <c r="I203" s="1" t="s">
        <v>11</v>
      </c>
      <c r="J203" s="1"/>
      <c r="K203" s="1" t="s">
        <v>1</v>
      </c>
      <c r="L203" s="1" t="s">
        <v>2</v>
      </c>
      <c r="M203" s="1" t="s">
        <v>9</v>
      </c>
      <c r="N203" s="1" t="s">
        <v>3</v>
      </c>
      <c r="O203" s="1" t="s">
        <v>10</v>
      </c>
      <c r="P203" s="1" t="s">
        <v>11</v>
      </c>
      <c r="Q203" s="1"/>
      <c r="R203" s="1" t="s">
        <v>1</v>
      </c>
      <c r="S203" s="1" t="s">
        <v>2</v>
      </c>
      <c r="T203" s="1" t="s">
        <v>9</v>
      </c>
      <c r="U203" s="1" t="s">
        <v>3</v>
      </c>
      <c r="V203" s="1" t="s">
        <v>10</v>
      </c>
      <c r="W203" s="1" t="s">
        <v>11</v>
      </c>
    </row>
    <row r="204" spans="3:23">
      <c r="C204" s="8"/>
      <c r="D204" s="2">
        <v>4</v>
      </c>
      <c r="E204" s="2">
        <v>1</v>
      </c>
      <c r="F204" s="2">
        <v>3</v>
      </c>
      <c r="G204" s="2">
        <v>-58</v>
      </c>
      <c r="H204" s="2">
        <v>-51</v>
      </c>
      <c r="I204" s="2">
        <f>(H204-G204)/(10*LOG10(F204))</f>
        <v>1.4671322920025693</v>
      </c>
      <c r="K204" s="2">
        <v>4</v>
      </c>
      <c r="L204" s="2">
        <v>2</v>
      </c>
      <c r="M204" s="2">
        <v>3</v>
      </c>
      <c r="N204" s="2">
        <v>-58</v>
      </c>
      <c r="O204" s="2">
        <v>-51</v>
      </c>
      <c r="P204" s="2">
        <f>(O204-N204)/(10*LOG10(M204))</f>
        <v>1.4671322920025693</v>
      </c>
      <c r="R204" s="2">
        <v>4</v>
      </c>
      <c r="S204" s="2">
        <v>3</v>
      </c>
      <c r="T204" s="2">
        <v>3</v>
      </c>
      <c r="U204" s="2">
        <v>-57</v>
      </c>
      <c r="V204" s="2">
        <v>-51</v>
      </c>
      <c r="W204" s="2">
        <f>(V204-U204)/(10*LOG10(T204))</f>
        <v>1.2575419645736308</v>
      </c>
    </row>
    <row r="205" spans="3:23">
      <c r="C205" s="8"/>
      <c r="D205" s="2">
        <v>4</v>
      </c>
      <c r="E205" s="2">
        <v>1</v>
      </c>
      <c r="F205" s="2">
        <v>3</v>
      </c>
      <c r="G205" s="2">
        <v>-56</v>
      </c>
      <c r="H205" s="2">
        <v>-51</v>
      </c>
      <c r="I205" s="2">
        <f t="shared" ref="I205:I228" si="9">(H205-G205)/(10*LOG10(F205))</f>
        <v>1.0479516371446924</v>
      </c>
      <c r="K205" s="2">
        <v>4</v>
      </c>
      <c r="L205" s="2">
        <v>2</v>
      </c>
      <c r="M205" s="2">
        <v>3</v>
      </c>
      <c r="N205" s="2">
        <v>-53</v>
      </c>
      <c r="O205" s="2">
        <v>-51</v>
      </c>
      <c r="P205" s="2">
        <f t="shared" ref="P205:P228" si="10">(O205-N205)/(10*LOG10(M205))</f>
        <v>0.41918065485787692</v>
      </c>
      <c r="R205" s="2">
        <v>4</v>
      </c>
      <c r="S205" s="2">
        <v>3</v>
      </c>
      <c r="T205" s="2">
        <v>3</v>
      </c>
      <c r="U205" s="2">
        <v>-61</v>
      </c>
      <c r="V205" s="2">
        <v>-51</v>
      </c>
      <c r="W205" s="2">
        <f t="shared" ref="W205:W228" si="11">(V205-U205)/(10*LOG10(T205))</f>
        <v>2.0959032742893848</v>
      </c>
    </row>
    <row r="206" spans="3:23">
      <c r="C206" s="8"/>
      <c r="D206" s="2">
        <v>4</v>
      </c>
      <c r="E206" s="2">
        <v>1</v>
      </c>
      <c r="F206" s="2">
        <v>3</v>
      </c>
      <c r="G206" s="2">
        <v>-59</v>
      </c>
      <c r="H206" s="2">
        <v>-51</v>
      </c>
      <c r="I206" s="2">
        <f t="shared" si="9"/>
        <v>1.6767226194315077</v>
      </c>
      <c r="K206" s="2">
        <v>4</v>
      </c>
      <c r="L206" s="2">
        <v>2</v>
      </c>
      <c r="M206" s="2">
        <v>3</v>
      </c>
      <c r="N206" s="2">
        <v>-57</v>
      </c>
      <c r="O206" s="2">
        <v>-51</v>
      </c>
      <c r="P206" s="2">
        <f t="shared" si="10"/>
        <v>1.2575419645736308</v>
      </c>
      <c r="R206" s="2">
        <v>4</v>
      </c>
      <c r="S206" s="2">
        <v>3</v>
      </c>
      <c r="T206" s="2">
        <v>3</v>
      </c>
      <c r="U206" s="2">
        <v>-63</v>
      </c>
      <c r="V206" s="2">
        <v>-51</v>
      </c>
      <c r="W206" s="2">
        <f t="shared" si="11"/>
        <v>2.5150839291472615</v>
      </c>
    </row>
    <row r="207" spans="3:23">
      <c r="C207" s="8"/>
      <c r="D207" s="2">
        <v>4</v>
      </c>
      <c r="E207" s="2">
        <v>1</v>
      </c>
      <c r="F207" s="2">
        <v>3</v>
      </c>
      <c r="G207" s="2">
        <v>-55</v>
      </c>
      <c r="H207" s="2">
        <v>-51</v>
      </c>
      <c r="I207" s="2">
        <f t="shared" si="9"/>
        <v>0.83836130971575384</v>
      </c>
      <c r="K207" s="2">
        <v>4</v>
      </c>
      <c r="L207" s="2">
        <v>2</v>
      </c>
      <c r="M207" s="2">
        <v>3</v>
      </c>
      <c r="N207" s="2">
        <v>-56</v>
      </c>
      <c r="O207" s="2">
        <v>-51</v>
      </c>
      <c r="P207" s="2">
        <f t="shared" si="10"/>
        <v>1.0479516371446924</v>
      </c>
      <c r="R207" s="2">
        <v>4</v>
      </c>
      <c r="S207" s="2">
        <v>3</v>
      </c>
      <c r="T207" s="2">
        <v>3</v>
      </c>
      <c r="U207" s="2">
        <v>-54</v>
      </c>
      <c r="V207" s="2">
        <v>-51</v>
      </c>
      <c r="W207" s="2">
        <f t="shared" si="11"/>
        <v>0.62877098228681538</v>
      </c>
    </row>
    <row r="208" spans="3:23">
      <c r="C208" s="8"/>
      <c r="D208" s="2">
        <v>4</v>
      </c>
      <c r="E208" s="2">
        <v>1</v>
      </c>
      <c r="F208" s="2">
        <v>3</v>
      </c>
      <c r="G208" s="2">
        <v>-55</v>
      </c>
      <c r="H208" s="2">
        <v>-51</v>
      </c>
      <c r="I208" s="2">
        <f t="shared" si="9"/>
        <v>0.83836130971575384</v>
      </c>
      <c r="K208" s="2">
        <v>4</v>
      </c>
      <c r="L208" s="2">
        <v>2</v>
      </c>
      <c r="M208" s="2">
        <v>3</v>
      </c>
      <c r="N208" s="2">
        <v>-57</v>
      </c>
      <c r="O208" s="2">
        <v>-51</v>
      </c>
      <c r="P208" s="2">
        <f t="shared" si="10"/>
        <v>1.2575419645736308</v>
      </c>
      <c r="R208" s="2">
        <v>4</v>
      </c>
      <c r="S208" s="2">
        <v>3</v>
      </c>
      <c r="T208" s="2">
        <v>3</v>
      </c>
      <c r="U208" s="2">
        <v>-63</v>
      </c>
      <c r="V208" s="2">
        <v>-51</v>
      </c>
      <c r="W208" s="2">
        <f t="shared" si="11"/>
        <v>2.5150839291472615</v>
      </c>
    </row>
    <row r="209" spans="3:23">
      <c r="C209" s="8"/>
      <c r="D209" s="2">
        <v>4</v>
      </c>
      <c r="E209" s="2">
        <v>1</v>
      </c>
      <c r="F209" s="2">
        <v>3</v>
      </c>
      <c r="G209" s="2">
        <v>-62</v>
      </c>
      <c r="H209" s="2">
        <v>-51</v>
      </c>
      <c r="I209" s="2">
        <f t="shared" si="9"/>
        <v>2.305493601718323</v>
      </c>
      <c r="K209" s="2">
        <v>4</v>
      </c>
      <c r="L209" s="2">
        <v>2</v>
      </c>
      <c r="M209" s="2">
        <v>3</v>
      </c>
      <c r="N209" s="2">
        <v>-53</v>
      </c>
      <c r="O209" s="2">
        <v>-51</v>
      </c>
      <c r="P209" s="2">
        <f t="shared" si="10"/>
        <v>0.41918065485787692</v>
      </c>
      <c r="R209" s="2">
        <v>4</v>
      </c>
      <c r="S209" s="2">
        <v>3</v>
      </c>
      <c r="T209" s="2">
        <v>3</v>
      </c>
      <c r="U209" s="2">
        <v>-63</v>
      </c>
      <c r="V209" s="2">
        <v>-51</v>
      </c>
      <c r="W209" s="2">
        <f t="shared" si="11"/>
        <v>2.5150839291472615</v>
      </c>
    </row>
    <row r="210" spans="3:23">
      <c r="C210" s="8"/>
      <c r="D210" s="2">
        <v>4</v>
      </c>
      <c r="E210" s="2">
        <v>1</v>
      </c>
      <c r="F210" s="2">
        <v>3</v>
      </c>
      <c r="G210" s="2">
        <v>-55</v>
      </c>
      <c r="H210" s="2">
        <v>-51</v>
      </c>
      <c r="I210" s="2">
        <f t="shared" si="9"/>
        <v>0.83836130971575384</v>
      </c>
      <c r="K210" s="2">
        <v>4</v>
      </c>
      <c r="L210" s="2">
        <v>2</v>
      </c>
      <c r="M210" s="2">
        <v>3</v>
      </c>
      <c r="N210" s="2">
        <v>-57</v>
      </c>
      <c r="O210" s="2">
        <v>-51</v>
      </c>
      <c r="P210" s="2">
        <f t="shared" si="10"/>
        <v>1.2575419645736308</v>
      </c>
      <c r="R210" s="2">
        <v>4</v>
      </c>
      <c r="S210" s="2">
        <v>3</v>
      </c>
      <c r="T210" s="2">
        <v>3</v>
      </c>
      <c r="U210" s="2">
        <v>-63</v>
      </c>
      <c r="V210" s="2">
        <v>-51</v>
      </c>
      <c r="W210" s="2">
        <f t="shared" si="11"/>
        <v>2.5150839291472615</v>
      </c>
    </row>
    <row r="211" spans="3:23">
      <c r="C211" s="8"/>
      <c r="D211" s="2">
        <v>4</v>
      </c>
      <c r="E211" s="2">
        <v>1</v>
      </c>
      <c r="F211" s="2">
        <v>3</v>
      </c>
      <c r="G211" s="2">
        <v>-60</v>
      </c>
      <c r="H211" s="2">
        <v>-51</v>
      </c>
      <c r="I211" s="2">
        <f t="shared" si="9"/>
        <v>1.8863129468604463</v>
      </c>
      <c r="K211" s="2">
        <v>4</v>
      </c>
      <c r="L211" s="2">
        <v>2</v>
      </c>
      <c r="M211" s="2">
        <v>3</v>
      </c>
      <c r="N211" s="2">
        <v>-58</v>
      </c>
      <c r="O211" s="2">
        <v>-51</v>
      </c>
      <c r="P211" s="2">
        <f t="shared" si="10"/>
        <v>1.4671322920025693</v>
      </c>
      <c r="R211" s="2">
        <v>4</v>
      </c>
      <c r="S211" s="2">
        <v>3</v>
      </c>
      <c r="T211" s="2">
        <v>3</v>
      </c>
      <c r="U211" s="2">
        <v>-62</v>
      </c>
      <c r="V211" s="2">
        <v>-51</v>
      </c>
      <c r="W211" s="2">
        <f t="shared" si="11"/>
        <v>2.305493601718323</v>
      </c>
    </row>
    <row r="212" spans="3:23">
      <c r="C212" s="8"/>
      <c r="D212" s="2">
        <v>4</v>
      </c>
      <c r="E212" s="2">
        <v>1</v>
      </c>
      <c r="F212" s="2">
        <v>3</v>
      </c>
      <c r="G212" s="2">
        <v>-62</v>
      </c>
      <c r="H212" s="2">
        <v>-51</v>
      </c>
      <c r="I212" s="2">
        <f t="shared" si="9"/>
        <v>2.305493601718323</v>
      </c>
      <c r="K212" s="2">
        <v>4</v>
      </c>
      <c r="L212" s="2">
        <v>2</v>
      </c>
      <c r="M212" s="2">
        <v>3</v>
      </c>
      <c r="N212" s="2">
        <v>-54</v>
      </c>
      <c r="O212" s="2">
        <v>-51</v>
      </c>
      <c r="P212" s="2">
        <f t="shared" si="10"/>
        <v>0.62877098228681538</v>
      </c>
      <c r="R212" s="2">
        <v>4</v>
      </c>
      <c r="S212" s="2">
        <v>3</v>
      </c>
      <c r="T212" s="2">
        <v>3</v>
      </c>
      <c r="U212" s="2">
        <v>-63</v>
      </c>
      <c r="V212" s="2">
        <v>-51</v>
      </c>
      <c r="W212" s="2">
        <f t="shared" si="11"/>
        <v>2.5150839291472615</v>
      </c>
    </row>
    <row r="213" spans="3:23">
      <c r="C213" s="8"/>
      <c r="D213" s="2">
        <v>4</v>
      </c>
      <c r="E213" s="2">
        <v>1</v>
      </c>
      <c r="F213" s="2">
        <v>3</v>
      </c>
      <c r="G213" s="2">
        <v>-56</v>
      </c>
      <c r="H213" s="2">
        <v>-51</v>
      </c>
      <c r="I213" s="2">
        <f t="shared" si="9"/>
        <v>1.0479516371446924</v>
      </c>
      <c r="K213" s="2">
        <v>4</v>
      </c>
      <c r="L213" s="2">
        <v>2</v>
      </c>
      <c r="M213" s="2">
        <v>3</v>
      </c>
      <c r="N213" s="2">
        <v>-58</v>
      </c>
      <c r="O213" s="2">
        <v>-51</v>
      </c>
      <c r="P213" s="2">
        <f t="shared" si="10"/>
        <v>1.4671322920025693</v>
      </c>
      <c r="R213" s="2">
        <v>4</v>
      </c>
      <c r="S213" s="2">
        <v>3</v>
      </c>
      <c r="T213" s="2">
        <v>3</v>
      </c>
      <c r="U213" s="2">
        <v>-62</v>
      </c>
      <c r="V213" s="2">
        <v>-51</v>
      </c>
      <c r="W213" s="2">
        <f t="shared" si="11"/>
        <v>2.305493601718323</v>
      </c>
    </row>
    <row r="214" spans="3:23">
      <c r="C214" s="8"/>
      <c r="D214" s="2">
        <v>4</v>
      </c>
      <c r="E214" s="2">
        <v>1</v>
      </c>
      <c r="F214" s="2">
        <v>3</v>
      </c>
      <c r="G214" s="2">
        <v>-56</v>
      </c>
      <c r="H214" s="2">
        <v>-51</v>
      </c>
      <c r="I214" s="2">
        <f t="shared" si="9"/>
        <v>1.0479516371446924</v>
      </c>
      <c r="K214" s="2">
        <v>4</v>
      </c>
      <c r="L214" s="2">
        <v>2</v>
      </c>
      <c r="M214" s="2">
        <v>3</v>
      </c>
      <c r="N214" s="2">
        <v>-54</v>
      </c>
      <c r="O214" s="2">
        <v>-51</v>
      </c>
      <c r="P214" s="2">
        <f t="shared" si="10"/>
        <v>0.62877098228681538</v>
      </c>
      <c r="R214" s="2">
        <v>4</v>
      </c>
      <c r="S214" s="2">
        <v>3</v>
      </c>
      <c r="T214" s="2">
        <v>3</v>
      </c>
      <c r="U214" s="2">
        <v>-55</v>
      </c>
      <c r="V214" s="2">
        <v>-51</v>
      </c>
      <c r="W214" s="2">
        <f t="shared" si="11"/>
        <v>0.83836130971575384</v>
      </c>
    </row>
    <row r="215" spans="3:23">
      <c r="C215" s="8"/>
      <c r="D215" s="2">
        <v>4</v>
      </c>
      <c r="E215" s="2">
        <v>1</v>
      </c>
      <c r="F215" s="2">
        <v>3</v>
      </c>
      <c r="G215" s="2">
        <v>-56</v>
      </c>
      <c r="H215" s="2">
        <v>-51</v>
      </c>
      <c r="I215" s="2">
        <f t="shared" si="9"/>
        <v>1.0479516371446924</v>
      </c>
      <c r="K215" s="2">
        <v>4</v>
      </c>
      <c r="L215" s="2">
        <v>2</v>
      </c>
      <c r="M215" s="2">
        <v>3</v>
      </c>
      <c r="N215" s="2">
        <v>-55</v>
      </c>
      <c r="O215" s="2">
        <v>-51</v>
      </c>
      <c r="P215" s="2">
        <f t="shared" si="10"/>
        <v>0.83836130971575384</v>
      </c>
      <c r="R215" s="2">
        <v>4</v>
      </c>
      <c r="S215" s="2">
        <v>3</v>
      </c>
      <c r="T215" s="2">
        <v>3</v>
      </c>
      <c r="U215" s="2">
        <v>-54</v>
      </c>
      <c r="V215" s="2">
        <v>-51</v>
      </c>
      <c r="W215" s="2">
        <f t="shared" si="11"/>
        <v>0.62877098228681538</v>
      </c>
    </row>
    <row r="216" spans="3:23">
      <c r="C216" s="8"/>
      <c r="D216" s="2">
        <v>4</v>
      </c>
      <c r="E216" s="2">
        <v>1</v>
      </c>
      <c r="F216" s="2">
        <v>3</v>
      </c>
      <c r="G216" s="2">
        <v>-57</v>
      </c>
      <c r="H216" s="2">
        <v>-51</v>
      </c>
      <c r="I216" s="2">
        <f t="shared" si="9"/>
        <v>1.2575419645736308</v>
      </c>
      <c r="K216" s="2">
        <v>4</v>
      </c>
      <c r="L216" s="2">
        <v>2</v>
      </c>
      <c r="M216" s="2">
        <v>3</v>
      </c>
      <c r="N216" s="2">
        <v>-54</v>
      </c>
      <c r="O216" s="2">
        <v>-51</v>
      </c>
      <c r="P216" s="2">
        <f t="shared" si="10"/>
        <v>0.62877098228681538</v>
      </c>
      <c r="R216" s="2">
        <v>4</v>
      </c>
      <c r="S216" s="2">
        <v>3</v>
      </c>
      <c r="T216" s="2">
        <v>3</v>
      </c>
      <c r="U216" s="2">
        <v>-63</v>
      </c>
      <c r="V216" s="2">
        <v>-51</v>
      </c>
      <c r="W216" s="2">
        <f t="shared" si="11"/>
        <v>2.5150839291472615</v>
      </c>
    </row>
    <row r="217" spans="3:23">
      <c r="C217" s="8"/>
      <c r="D217" s="2">
        <v>4</v>
      </c>
      <c r="E217" s="2">
        <v>1</v>
      </c>
      <c r="F217" s="2">
        <v>3</v>
      </c>
      <c r="G217" s="2">
        <v>-56</v>
      </c>
      <c r="H217" s="2">
        <v>-51</v>
      </c>
      <c r="I217" s="2">
        <f t="shared" si="9"/>
        <v>1.0479516371446924</v>
      </c>
      <c r="K217" s="2">
        <v>4</v>
      </c>
      <c r="L217" s="2">
        <v>2</v>
      </c>
      <c r="M217" s="2">
        <v>3</v>
      </c>
      <c r="N217" s="2">
        <v>-58</v>
      </c>
      <c r="O217" s="2">
        <v>-51</v>
      </c>
      <c r="P217" s="2">
        <f t="shared" si="10"/>
        <v>1.4671322920025693</v>
      </c>
      <c r="R217" s="2">
        <v>4</v>
      </c>
      <c r="S217" s="2">
        <v>3</v>
      </c>
      <c r="T217" s="2">
        <v>3</v>
      </c>
      <c r="U217" s="2">
        <v>-63</v>
      </c>
      <c r="V217" s="2">
        <v>-51</v>
      </c>
      <c r="W217" s="2">
        <f t="shared" si="11"/>
        <v>2.5150839291472615</v>
      </c>
    </row>
    <row r="218" spans="3:23">
      <c r="C218" s="8"/>
      <c r="D218" s="2">
        <v>4</v>
      </c>
      <c r="E218" s="2">
        <v>1</v>
      </c>
      <c r="F218" s="2">
        <v>3</v>
      </c>
      <c r="G218" s="2">
        <v>-60</v>
      </c>
      <c r="H218" s="2">
        <v>-51</v>
      </c>
      <c r="I218" s="2">
        <f t="shared" si="9"/>
        <v>1.8863129468604463</v>
      </c>
      <c r="K218" s="2">
        <v>4</v>
      </c>
      <c r="L218" s="2">
        <v>2</v>
      </c>
      <c r="M218" s="2">
        <v>3</v>
      </c>
      <c r="N218" s="2">
        <v>-57</v>
      </c>
      <c r="O218" s="2">
        <v>-51</v>
      </c>
      <c r="P218" s="2">
        <f t="shared" si="10"/>
        <v>1.2575419645736308</v>
      </c>
      <c r="R218" s="2">
        <v>4</v>
      </c>
      <c r="S218" s="2">
        <v>3</v>
      </c>
      <c r="T218" s="2">
        <v>3</v>
      </c>
      <c r="U218" s="2">
        <v>-62</v>
      </c>
      <c r="V218" s="2">
        <v>-51</v>
      </c>
      <c r="W218" s="2">
        <f t="shared" si="11"/>
        <v>2.305493601718323</v>
      </c>
    </row>
    <row r="219" spans="3:23">
      <c r="C219" s="8"/>
      <c r="D219" s="2">
        <v>4</v>
      </c>
      <c r="E219" s="2">
        <v>1</v>
      </c>
      <c r="F219" s="2">
        <v>3</v>
      </c>
      <c r="G219" s="2">
        <v>-61</v>
      </c>
      <c r="H219" s="2">
        <v>-51</v>
      </c>
      <c r="I219" s="2">
        <f t="shared" si="9"/>
        <v>2.0959032742893848</v>
      </c>
      <c r="K219" s="2">
        <v>4</v>
      </c>
      <c r="L219" s="2">
        <v>2</v>
      </c>
      <c r="M219" s="2">
        <v>3</v>
      </c>
      <c r="N219" s="2">
        <v>-53</v>
      </c>
      <c r="O219" s="2">
        <v>-51</v>
      </c>
      <c r="P219" s="2">
        <f t="shared" si="10"/>
        <v>0.41918065485787692</v>
      </c>
      <c r="R219" s="2">
        <v>4</v>
      </c>
      <c r="S219" s="2">
        <v>3</v>
      </c>
      <c r="T219" s="2">
        <v>3</v>
      </c>
      <c r="U219" s="2">
        <v>-62</v>
      </c>
      <c r="V219" s="2">
        <v>-51</v>
      </c>
      <c r="W219" s="2">
        <f t="shared" si="11"/>
        <v>2.305493601718323</v>
      </c>
    </row>
    <row r="220" spans="3:23">
      <c r="C220" s="8"/>
      <c r="D220" s="2">
        <v>4</v>
      </c>
      <c r="E220" s="2">
        <v>1</v>
      </c>
      <c r="F220" s="2">
        <v>3</v>
      </c>
      <c r="G220" s="2">
        <v>-56</v>
      </c>
      <c r="H220" s="2">
        <v>-51</v>
      </c>
      <c r="I220" s="2">
        <f t="shared" si="9"/>
        <v>1.0479516371446924</v>
      </c>
      <c r="K220" s="2">
        <v>4</v>
      </c>
      <c r="L220" s="2">
        <v>2</v>
      </c>
      <c r="M220" s="2">
        <v>3</v>
      </c>
      <c r="N220" s="2">
        <v>-58</v>
      </c>
      <c r="O220" s="2">
        <v>-51</v>
      </c>
      <c r="P220" s="2">
        <f t="shared" si="10"/>
        <v>1.4671322920025693</v>
      </c>
      <c r="R220" s="2">
        <v>4</v>
      </c>
      <c r="S220" s="2">
        <v>3</v>
      </c>
      <c r="T220" s="2">
        <v>3</v>
      </c>
      <c r="U220" s="2">
        <v>-58</v>
      </c>
      <c r="V220" s="2">
        <v>-51</v>
      </c>
      <c r="W220" s="2">
        <f t="shared" si="11"/>
        <v>1.4671322920025693</v>
      </c>
    </row>
    <row r="221" spans="3:23">
      <c r="C221" s="8"/>
      <c r="D221" s="2">
        <v>4</v>
      </c>
      <c r="E221" s="2">
        <v>1</v>
      </c>
      <c r="F221" s="2">
        <v>3</v>
      </c>
      <c r="G221" s="2">
        <v>-55</v>
      </c>
      <c r="H221" s="2">
        <v>-51</v>
      </c>
      <c r="I221" s="2">
        <f t="shared" si="9"/>
        <v>0.83836130971575384</v>
      </c>
      <c r="K221" s="2">
        <v>4</v>
      </c>
      <c r="L221" s="2">
        <v>2</v>
      </c>
      <c r="M221" s="2">
        <v>3</v>
      </c>
      <c r="N221" s="2">
        <v>-53</v>
      </c>
      <c r="O221" s="2">
        <v>-51</v>
      </c>
      <c r="P221" s="2">
        <f t="shared" si="10"/>
        <v>0.41918065485787692</v>
      </c>
      <c r="R221" s="2">
        <v>4</v>
      </c>
      <c r="S221" s="2">
        <v>3</v>
      </c>
      <c r="T221" s="2">
        <v>3</v>
      </c>
      <c r="U221" s="2">
        <v>-56</v>
      </c>
      <c r="V221" s="2">
        <v>-51</v>
      </c>
      <c r="W221" s="2">
        <f t="shared" si="11"/>
        <v>1.0479516371446924</v>
      </c>
    </row>
    <row r="222" spans="3:23">
      <c r="C222" s="8"/>
      <c r="D222" s="2">
        <v>4</v>
      </c>
      <c r="E222" s="2">
        <v>1</v>
      </c>
      <c r="F222" s="2">
        <v>3</v>
      </c>
      <c r="G222" s="2">
        <v>-54</v>
      </c>
      <c r="H222" s="2">
        <v>-51</v>
      </c>
      <c r="I222" s="2">
        <f t="shared" si="9"/>
        <v>0.62877098228681538</v>
      </c>
      <c r="K222" s="2">
        <v>4</v>
      </c>
      <c r="L222" s="2">
        <v>2</v>
      </c>
      <c r="M222" s="2">
        <v>3</v>
      </c>
      <c r="N222" s="2">
        <v>-58</v>
      </c>
      <c r="O222" s="2">
        <v>-51</v>
      </c>
      <c r="P222" s="2">
        <f t="shared" si="10"/>
        <v>1.4671322920025693</v>
      </c>
      <c r="R222" s="2">
        <v>4</v>
      </c>
      <c r="S222" s="2">
        <v>3</v>
      </c>
      <c r="T222" s="2">
        <v>3</v>
      </c>
      <c r="U222" s="2">
        <v>-60</v>
      </c>
      <c r="V222" s="2">
        <v>-51</v>
      </c>
      <c r="W222" s="2">
        <f t="shared" si="11"/>
        <v>1.8863129468604463</v>
      </c>
    </row>
    <row r="223" spans="3:23">
      <c r="C223" s="8"/>
      <c r="D223" s="2">
        <v>4</v>
      </c>
      <c r="E223" s="2">
        <v>1</v>
      </c>
      <c r="F223" s="2">
        <v>3</v>
      </c>
      <c r="G223" s="2">
        <v>-61</v>
      </c>
      <c r="H223" s="2">
        <v>-51</v>
      </c>
      <c r="I223" s="2">
        <f t="shared" si="9"/>
        <v>2.0959032742893848</v>
      </c>
      <c r="K223" s="2">
        <v>4</v>
      </c>
      <c r="L223" s="2">
        <v>2</v>
      </c>
      <c r="M223" s="2">
        <v>3</v>
      </c>
      <c r="N223" s="2">
        <v>-57</v>
      </c>
      <c r="O223" s="2">
        <v>-51</v>
      </c>
      <c r="P223" s="2">
        <f t="shared" si="10"/>
        <v>1.2575419645736308</v>
      </c>
      <c r="R223" s="2">
        <v>4</v>
      </c>
      <c r="S223" s="2">
        <v>3</v>
      </c>
      <c r="T223" s="2">
        <v>3</v>
      </c>
      <c r="U223" s="2">
        <v>-55</v>
      </c>
      <c r="V223" s="2">
        <v>-51</v>
      </c>
      <c r="W223" s="2">
        <f t="shared" si="11"/>
        <v>0.83836130971575384</v>
      </c>
    </row>
    <row r="224" spans="3:23">
      <c r="C224" s="8"/>
      <c r="D224" s="2">
        <v>4</v>
      </c>
      <c r="E224" s="2">
        <v>1</v>
      </c>
      <c r="F224" s="2">
        <v>3</v>
      </c>
      <c r="G224" s="2">
        <v>-64</v>
      </c>
      <c r="H224" s="2">
        <v>-51</v>
      </c>
      <c r="I224" s="2">
        <f t="shared" si="9"/>
        <v>2.7246742565762001</v>
      </c>
      <c r="K224" s="2">
        <v>4</v>
      </c>
      <c r="L224" s="2">
        <v>2</v>
      </c>
      <c r="M224" s="2">
        <v>3</v>
      </c>
      <c r="N224" s="2">
        <v>-59</v>
      </c>
      <c r="O224" s="2">
        <v>-51</v>
      </c>
      <c r="P224" s="2">
        <f t="shared" si="10"/>
        <v>1.6767226194315077</v>
      </c>
      <c r="R224" s="2">
        <v>4</v>
      </c>
      <c r="S224" s="2">
        <v>3</v>
      </c>
      <c r="T224" s="2">
        <v>3</v>
      </c>
      <c r="U224" s="2">
        <v>-61</v>
      </c>
      <c r="V224" s="2">
        <v>-51</v>
      </c>
      <c r="W224" s="2">
        <f t="shared" si="11"/>
        <v>2.0959032742893848</v>
      </c>
    </row>
    <row r="225" spans="3:26">
      <c r="C225" s="8"/>
      <c r="D225" s="2">
        <v>4</v>
      </c>
      <c r="E225" s="2">
        <v>1</v>
      </c>
      <c r="F225" s="2">
        <v>3</v>
      </c>
      <c r="G225" s="2">
        <v>-54</v>
      </c>
      <c r="H225" s="2">
        <v>-51</v>
      </c>
      <c r="I225" s="2">
        <f t="shared" si="9"/>
        <v>0.62877098228681538</v>
      </c>
      <c r="K225" s="2">
        <v>4</v>
      </c>
      <c r="L225" s="2">
        <v>2</v>
      </c>
      <c r="M225" s="2">
        <v>3</v>
      </c>
      <c r="N225" s="2">
        <v>-56</v>
      </c>
      <c r="O225" s="2">
        <v>-51</v>
      </c>
      <c r="P225" s="2">
        <f t="shared" si="10"/>
        <v>1.0479516371446924</v>
      </c>
      <c r="R225" s="2">
        <v>4</v>
      </c>
      <c r="S225" s="2">
        <v>3</v>
      </c>
      <c r="T225" s="2">
        <v>3</v>
      </c>
      <c r="U225" s="2">
        <v>-56</v>
      </c>
      <c r="V225" s="2">
        <v>-51</v>
      </c>
      <c r="W225" s="2">
        <f t="shared" si="11"/>
        <v>1.0479516371446924</v>
      </c>
    </row>
    <row r="226" spans="3:26">
      <c r="C226" s="8"/>
      <c r="D226" s="2">
        <v>4</v>
      </c>
      <c r="E226" s="2">
        <v>1</v>
      </c>
      <c r="F226" s="2">
        <v>3</v>
      </c>
      <c r="G226" s="2">
        <v>-62</v>
      </c>
      <c r="H226" s="2">
        <v>-51</v>
      </c>
      <c r="I226" s="2">
        <f t="shared" si="9"/>
        <v>2.305493601718323</v>
      </c>
      <c r="K226" s="2">
        <v>4</v>
      </c>
      <c r="L226" s="2">
        <v>2</v>
      </c>
      <c r="M226" s="2">
        <v>3</v>
      </c>
      <c r="N226" s="2">
        <v>-56</v>
      </c>
      <c r="O226" s="2">
        <v>-51</v>
      </c>
      <c r="P226" s="2">
        <f t="shared" si="10"/>
        <v>1.0479516371446924</v>
      </c>
      <c r="R226" s="2">
        <v>4</v>
      </c>
      <c r="S226" s="2">
        <v>3</v>
      </c>
      <c r="T226" s="2">
        <v>3</v>
      </c>
      <c r="U226" s="2">
        <v>-61</v>
      </c>
      <c r="V226" s="2">
        <v>-51</v>
      </c>
      <c r="W226" s="2">
        <f t="shared" si="11"/>
        <v>2.0959032742893848</v>
      </c>
    </row>
    <row r="227" spans="3:26">
      <c r="C227" s="8"/>
      <c r="D227" s="2">
        <v>4</v>
      </c>
      <c r="E227" s="2">
        <v>1</v>
      </c>
      <c r="F227" s="2">
        <v>3</v>
      </c>
      <c r="G227" s="2">
        <v>-55</v>
      </c>
      <c r="H227" s="2">
        <v>-51</v>
      </c>
      <c r="I227" s="2">
        <f t="shared" si="9"/>
        <v>0.83836130971575384</v>
      </c>
      <c r="K227" s="2">
        <v>4</v>
      </c>
      <c r="L227" s="2">
        <v>2</v>
      </c>
      <c r="M227" s="2">
        <v>3</v>
      </c>
      <c r="N227" s="2">
        <v>-56</v>
      </c>
      <c r="O227" s="2">
        <v>-51</v>
      </c>
      <c r="P227" s="2">
        <f t="shared" si="10"/>
        <v>1.0479516371446924</v>
      </c>
      <c r="R227" s="2">
        <v>4</v>
      </c>
      <c r="S227" s="2">
        <v>3</v>
      </c>
      <c r="T227" s="2">
        <v>3</v>
      </c>
      <c r="U227" s="2">
        <v>-61</v>
      </c>
      <c r="V227" s="2">
        <v>-51</v>
      </c>
      <c r="W227" s="2">
        <f t="shared" si="11"/>
        <v>2.0959032742893848</v>
      </c>
    </row>
    <row r="228" spans="3:26">
      <c r="C228" s="8"/>
      <c r="D228" s="2">
        <v>4</v>
      </c>
      <c r="E228" s="2">
        <v>1</v>
      </c>
      <c r="F228" s="2">
        <v>3</v>
      </c>
      <c r="G228" s="2">
        <v>-61</v>
      </c>
      <c r="H228" s="2">
        <v>-51</v>
      </c>
      <c r="I228" s="2">
        <f t="shared" si="9"/>
        <v>2.0959032742893848</v>
      </c>
      <c r="K228" s="2">
        <v>4</v>
      </c>
      <c r="L228" s="2">
        <v>2</v>
      </c>
      <c r="M228" s="2">
        <v>3</v>
      </c>
      <c r="N228" s="2">
        <v>-54</v>
      </c>
      <c r="O228" s="2">
        <v>-51</v>
      </c>
      <c r="P228" s="2">
        <f t="shared" si="10"/>
        <v>0.62877098228681538</v>
      </c>
      <c r="R228" s="2">
        <v>4</v>
      </c>
      <c r="S228" s="2">
        <v>3</v>
      </c>
      <c r="T228" s="2">
        <v>3</v>
      </c>
      <c r="U228" s="2">
        <v>-62</v>
      </c>
      <c r="V228" s="2">
        <v>-51</v>
      </c>
      <c r="W228" s="2">
        <f t="shared" si="11"/>
        <v>2.305493601718323</v>
      </c>
    </row>
    <row r="229" spans="3:26">
      <c r="C229" s="8"/>
      <c r="D229" s="1" t="s">
        <v>5</v>
      </c>
      <c r="E229" s="3">
        <f>AVERAGE(I204:I228,P204:P228,W204:W228)</f>
        <v>1.4531596035073069</v>
      </c>
      <c r="F229" s="1"/>
      <c r="G229" s="1"/>
      <c r="H229" s="1"/>
      <c r="I229" s="1"/>
      <c r="J229" s="1"/>
      <c r="K229" s="1"/>
      <c r="L229" s="1"/>
      <c r="M229" s="1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 t="s">
        <v>12</v>
      </c>
      <c r="Y229" s="1">
        <f>STDEV(I204:I228,P204:P228,W204:W228)</f>
        <v>0.67637673937930809</v>
      </c>
      <c r="Z2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2024-06-25T11:12:12Z</dcterms:created>
  <dcterms:modified xsi:type="dcterms:W3CDTF">2024-10-08T12:08:06Z</dcterms:modified>
  <cp:category/>
  <cp:contentStatus/>
</cp:coreProperties>
</file>