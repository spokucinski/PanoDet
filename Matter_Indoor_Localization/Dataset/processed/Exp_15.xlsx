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07252b09e3988ab8/Doktorat/Radiówka/MCIL/Test Case 1/"/>
    </mc:Choice>
  </mc:AlternateContent>
  <xr:revisionPtr revIDLastSave="115" documentId="11_9D5355BF84DCCE53631DEA188F31F45B3A7E0439" xr6:coauthVersionLast="47" xr6:coauthVersionMax="47" xr10:uidLastSave="{3AD5D905-33B5-4D8F-A0AB-948CDFA237BB}"/>
  <bookViews>
    <workbookView xWindow="-120" yWindow="-120" windowWidth="51840" windowHeight="21120" activeTab="5" xr2:uid="{00000000-000D-0000-FFFF-FFFF00000000}"/>
  </bookViews>
  <sheets>
    <sheet name="vol 1, MQTT" sheetId="2" r:id="rId1"/>
    <sheet name="vol 1, Matter" sheetId="3" r:id="rId2"/>
    <sheet name="vol 2, MQTT" sheetId="4" r:id="rId3"/>
    <sheet name="vol 2, Matter" sheetId="5" r:id="rId4"/>
    <sheet name="vol 3, MQTT" sheetId="6" r:id="rId5"/>
    <sheet name="vol 3, Matter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79" i="7" l="1"/>
  <c r="AX80" i="7" s="1"/>
  <c r="AW79" i="7"/>
  <c r="AW80" i="7" s="1"/>
  <c r="AV79" i="7"/>
  <c r="AV80" i="7" s="1"/>
  <c r="AU79" i="7"/>
  <c r="AU80" i="7" s="1"/>
  <c r="AT79" i="7"/>
  <c r="AT80" i="7" s="1"/>
  <c r="AS79" i="7"/>
  <c r="AS80" i="7" s="1"/>
  <c r="AR79" i="7"/>
  <c r="AR80" i="7" s="1"/>
  <c r="AQ79" i="7"/>
  <c r="AQ80" i="7" s="1"/>
  <c r="AX78" i="6"/>
  <c r="AX79" i="6" s="1"/>
  <c r="AW78" i="6"/>
  <c r="AW79" i="6" s="1"/>
  <c r="AV78" i="6"/>
  <c r="AV79" i="6" s="1"/>
  <c r="AU78" i="6"/>
  <c r="AU79" i="6" s="1"/>
  <c r="AT78" i="6"/>
  <c r="AT79" i="6" s="1"/>
  <c r="AS78" i="6"/>
  <c r="AS79" i="6" s="1"/>
  <c r="AR78" i="6"/>
  <c r="AR79" i="6" s="1"/>
  <c r="AQ78" i="6"/>
  <c r="AQ79" i="6" s="1"/>
  <c r="AX44" i="5"/>
  <c r="AX45" i="5" s="1"/>
  <c r="AW44" i="5"/>
  <c r="AW45" i="5" s="1"/>
  <c r="AV44" i="5"/>
  <c r="AV45" i="5" s="1"/>
  <c r="AU44" i="5"/>
  <c r="AU45" i="5" s="1"/>
  <c r="AT44" i="5"/>
  <c r="AT45" i="5" s="1"/>
  <c r="AS44" i="5"/>
  <c r="AS45" i="5" s="1"/>
  <c r="AR44" i="5"/>
  <c r="AR45" i="5" s="1"/>
  <c r="AQ44" i="5"/>
  <c r="AQ45" i="5" s="1"/>
  <c r="AX78" i="4"/>
  <c r="AX79" i="4" s="1"/>
  <c r="AW78" i="4"/>
  <c r="AW79" i="4" s="1"/>
  <c r="AV78" i="4"/>
  <c r="AV79" i="4" s="1"/>
  <c r="AU78" i="4"/>
  <c r="AU79" i="4" s="1"/>
  <c r="AT78" i="4"/>
  <c r="AT79" i="4" s="1"/>
  <c r="AS78" i="4"/>
  <c r="AS79" i="4" s="1"/>
  <c r="AR78" i="4"/>
  <c r="AR79" i="4" s="1"/>
  <c r="AQ78" i="4"/>
  <c r="AQ79" i="4" s="1"/>
  <c r="AX79" i="3"/>
  <c r="AX80" i="3" s="1"/>
  <c r="AW79" i="3"/>
  <c r="AW80" i="3" s="1"/>
  <c r="AV79" i="3"/>
  <c r="AV80" i="3" s="1"/>
  <c r="AU79" i="3"/>
  <c r="AU80" i="3" s="1"/>
  <c r="AT79" i="3"/>
  <c r="AT80" i="3" s="1"/>
  <c r="AS79" i="3"/>
  <c r="AS80" i="3" s="1"/>
  <c r="AR79" i="3"/>
  <c r="AR80" i="3" s="1"/>
  <c r="AQ79" i="3"/>
  <c r="AQ80" i="3" s="1"/>
  <c r="AX78" i="2"/>
  <c r="AX79" i="2" s="1"/>
  <c r="AW78" i="2"/>
  <c r="AW79" i="2" s="1"/>
  <c r="AV78" i="2"/>
  <c r="AV79" i="2" s="1"/>
  <c r="AU78" i="2"/>
  <c r="AU79" i="2" s="1"/>
  <c r="AT78" i="2"/>
  <c r="AT79" i="2" s="1"/>
  <c r="AS78" i="2"/>
  <c r="AS79" i="2" s="1"/>
  <c r="AR78" i="2"/>
  <c r="AR79" i="2" s="1"/>
  <c r="AQ78" i="2"/>
  <c r="AQ79" i="2" s="1"/>
  <c r="AX75" i="7"/>
  <c r="AX76" i="7" s="1"/>
  <c r="AW75" i="7"/>
  <c r="AW76" i="7" s="1"/>
  <c r="AV75" i="7"/>
  <c r="AV76" i="7" s="1"/>
  <c r="AU75" i="7"/>
  <c r="AU76" i="7" s="1"/>
  <c r="AT75" i="7"/>
  <c r="AT76" i="7" s="1"/>
  <c r="AS75" i="7"/>
  <c r="AS76" i="7" s="1"/>
  <c r="AR75" i="7"/>
  <c r="AR76" i="7" s="1"/>
  <c r="AQ75" i="7"/>
  <c r="AQ76" i="7" s="1"/>
  <c r="AX72" i="7"/>
  <c r="AW72" i="7"/>
  <c r="AV72" i="7"/>
  <c r="AU72" i="7"/>
  <c r="AT72" i="7"/>
  <c r="AS72" i="7"/>
  <c r="AR72" i="7"/>
  <c r="AQ72" i="7"/>
  <c r="AX71" i="7"/>
  <c r="AW71" i="7"/>
  <c r="AV71" i="7"/>
  <c r="AU71" i="7"/>
  <c r="AT71" i="7"/>
  <c r="AS71" i="7"/>
  <c r="AR71" i="7"/>
  <c r="AQ71" i="7"/>
  <c r="AX74" i="6"/>
  <c r="AX75" i="6" s="1"/>
  <c r="AW74" i="6"/>
  <c r="AW75" i="6" s="1"/>
  <c r="AV74" i="6"/>
  <c r="AV75" i="6" s="1"/>
  <c r="AU74" i="6"/>
  <c r="AU75" i="6" s="1"/>
  <c r="AT74" i="6"/>
  <c r="AT75" i="6" s="1"/>
  <c r="AS74" i="6"/>
  <c r="AS75" i="6" s="1"/>
  <c r="AR74" i="6"/>
  <c r="AR75" i="6" s="1"/>
  <c r="AQ74" i="6"/>
  <c r="AQ75" i="6" s="1"/>
  <c r="AX71" i="6"/>
  <c r="AW71" i="6"/>
  <c r="AV71" i="6"/>
  <c r="AU71" i="6"/>
  <c r="AT71" i="6"/>
  <c r="AS71" i="6"/>
  <c r="AR71" i="6"/>
  <c r="AQ71" i="6"/>
  <c r="AX70" i="6"/>
  <c r="AW70" i="6"/>
  <c r="AV70" i="6"/>
  <c r="AU70" i="6"/>
  <c r="AT70" i="6"/>
  <c r="AS70" i="6"/>
  <c r="AR70" i="6"/>
  <c r="AQ70" i="6"/>
  <c r="AX40" i="5"/>
  <c r="AX41" i="5" s="1"/>
  <c r="AW40" i="5"/>
  <c r="AW41" i="5" s="1"/>
  <c r="AV40" i="5"/>
  <c r="AV41" i="5" s="1"/>
  <c r="AU40" i="5"/>
  <c r="AU41" i="5" s="1"/>
  <c r="AT40" i="5"/>
  <c r="AT41" i="5" s="1"/>
  <c r="AS40" i="5"/>
  <c r="AS41" i="5" s="1"/>
  <c r="AR40" i="5"/>
  <c r="AR41" i="5" s="1"/>
  <c r="AQ40" i="5"/>
  <c r="AQ41" i="5" s="1"/>
  <c r="AX37" i="5"/>
  <c r="AW37" i="5"/>
  <c r="AV37" i="5"/>
  <c r="AU37" i="5"/>
  <c r="AT37" i="5"/>
  <c r="AS37" i="5"/>
  <c r="AR37" i="5"/>
  <c r="AQ37" i="5"/>
  <c r="AX36" i="5"/>
  <c r="AW36" i="5"/>
  <c r="AV36" i="5"/>
  <c r="AU36" i="5"/>
  <c r="AT36" i="5"/>
  <c r="AS36" i="5"/>
  <c r="AR36" i="5"/>
  <c r="AQ36" i="5"/>
  <c r="AX74" i="4"/>
  <c r="AX75" i="4" s="1"/>
  <c r="AW74" i="4"/>
  <c r="AW75" i="4" s="1"/>
  <c r="AV74" i="4"/>
  <c r="AV75" i="4" s="1"/>
  <c r="AU74" i="4"/>
  <c r="AU75" i="4" s="1"/>
  <c r="AT74" i="4"/>
  <c r="AT75" i="4" s="1"/>
  <c r="AS74" i="4"/>
  <c r="AS75" i="4" s="1"/>
  <c r="AR74" i="4"/>
  <c r="AR75" i="4" s="1"/>
  <c r="AQ74" i="4"/>
  <c r="AQ75" i="4" s="1"/>
  <c r="AX71" i="4"/>
  <c r="AW71" i="4"/>
  <c r="AV71" i="4"/>
  <c r="AU71" i="4"/>
  <c r="AT71" i="4"/>
  <c r="AS71" i="4"/>
  <c r="AR71" i="4"/>
  <c r="AQ71" i="4"/>
  <c r="AX70" i="4"/>
  <c r="AW70" i="4"/>
  <c r="AV70" i="4"/>
  <c r="AU70" i="4"/>
  <c r="AT70" i="4"/>
  <c r="AS70" i="4"/>
  <c r="AR70" i="4"/>
  <c r="AQ70" i="4"/>
  <c r="AX75" i="3"/>
  <c r="AX76" i="3" s="1"/>
  <c r="AW75" i="3"/>
  <c r="AW76" i="3" s="1"/>
  <c r="AV75" i="3"/>
  <c r="AV76" i="3" s="1"/>
  <c r="AU75" i="3"/>
  <c r="AU76" i="3" s="1"/>
  <c r="AT75" i="3"/>
  <c r="AT76" i="3" s="1"/>
  <c r="AS75" i="3"/>
  <c r="AS76" i="3" s="1"/>
  <c r="AR75" i="3"/>
  <c r="AR76" i="3" s="1"/>
  <c r="AQ75" i="3"/>
  <c r="AQ76" i="3" s="1"/>
  <c r="AX72" i="3"/>
  <c r="AW72" i="3"/>
  <c r="AV72" i="3"/>
  <c r="AU72" i="3"/>
  <c r="AT72" i="3"/>
  <c r="AS72" i="3"/>
  <c r="AR72" i="3"/>
  <c r="AQ72" i="3"/>
  <c r="AX71" i="3"/>
  <c r="AW71" i="3"/>
  <c r="AV71" i="3"/>
  <c r="AU71" i="3"/>
  <c r="AT71" i="3"/>
  <c r="AS71" i="3"/>
  <c r="AR71" i="3"/>
  <c r="AQ71" i="3"/>
  <c r="AX74" i="2"/>
  <c r="AX75" i="2" s="1"/>
  <c r="AW74" i="2"/>
  <c r="AW75" i="2" s="1"/>
  <c r="AV74" i="2"/>
  <c r="AV75" i="2" s="1"/>
  <c r="AU74" i="2"/>
  <c r="AU75" i="2" s="1"/>
  <c r="AT74" i="2"/>
  <c r="AT75" i="2" s="1"/>
  <c r="AS74" i="2"/>
  <c r="AS75" i="2" s="1"/>
  <c r="AR74" i="2"/>
  <c r="AR75" i="2" s="1"/>
  <c r="AQ74" i="2"/>
  <c r="AQ75" i="2" s="1"/>
  <c r="AX71" i="2"/>
  <c r="AW71" i="2"/>
  <c r="AV71" i="2"/>
  <c r="AU71" i="2"/>
  <c r="AT71" i="2"/>
  <c r="AS71" i="2"/>
  <c r="AR71" i="2"/>
  <c r="AQ71" i="2"/>
  <c r="AX70" i="2"/>
  <c r="AW70" i="2"/>
  <c r="AV70" i="2"/>
  <c r="AU70" i="2"/>
  <c r="AT70" i="2"/>
  <c r="AS70" i="2"/>
  <c r="AR70" i="2"/>
  <c r="AQ70" i="2"/>
</calcChain>
</file>

<file path=xl/sharedStrings.xml><?xml version="1.0" encoding="utf-8"?>
<sst xmlns="http://schemas.openxmlformats.org/spreadsheetml/2006/main" count="886" uniqueCount="233">
  <si>
    <t>Tracker 1 - UWB_Tracker_1</t>
  </si>
  <si>
    <t>Tracker 1 - UWB_Tracker_2</t>
  </si>
  <si>
    <t>Tracker 1 - UWB_Tracker_3</t>
  </si>
  <si>
    <t>Tracker 1 - UWB_Tracker_4</t>
  </si>
  <si>
    <t>Tracker 5 - BLE_Tracker_1</t>
  </si>
  <si>
    <t>Tracker 6 - BLE_Tracker_2</t>
  </si>
  <si>
    <t>Tracker 7 - BLE_Tracker_3</t>
  </si>
  <si>
    <t>Tracker 8 - BLE_Tracker_4</t>
  </si>
  <si>
    <t>Timestamp</t>
  </si>
  <si>
    <t>A1</t>
  </si>
  <si>
    <t>A2</t>
  </si>
  <si>
    <t>A3</t>
  </si>
  <si>
    <t>A4</t>
  </si>
  <si>
    <t>A5</t>
  </si>
  <si>
    <t>A6</t>
  </si>
  <si>
    <t>A7</t>
  </si>
  <si>
    <t>A8</t>
  </si>
  <si>
    <t>2024-07-20T12:26:37.914272</t>
  </si>
  <si>
    <t>2024-07-20T12:26:38.926283</t>
  </si>
  <si>
    <t>2024-07-20T12:26:39.947795</t>
  </si>
  <si>
    <t>2024-07-20T12:26:40.968651</t>
  </si>
  <si>
    <t>2024-07-20T12:26:41.997584</t>
  </si>
  <si>
    <t>2024-07-20T12:26:43.019604</t>
  </si>
  <si>
    <t>2024-07-20T12:26:44.040651</t>
  </si>
  <si>
    <t>2024-07-20T12:26:45.006315</t>
  </si>
  <si>
    <t>2024-07-20T12:26:46.016769</t>
  </si>
  <si>
    <t>2024-07-20T12:26:47.111067</t>
  </si>
  <si>
    <t>2024-07-20T12:26:48.043735</t>
  </si>
  <si>
    <t>2024-07-20T12:26:49.060314</t>
  </si>
  <si>
    <t>2024-07-20T12:26:50.078614</t>
  </si>
  <si>
    <t>2024-07-20T12:26:51.099063</t>
  </si>
  <si>
    <t>2024-07-20T12:26:52.125754</t>
  </si>
  <si>
    <t>2024-07-20T12:26:53.148191</t>
  </si>
  <si>
    <t>2024-07-20T12:26:54.173641</t>
  </si>
  <si>
    <t>2024-07-20T12:26:55.195695</t>
  </si>
  <si>
    <t>2024-07-20T12:26:56.155102</t>
  </si>
  <si>
    <t>2024-07-20T12:26:57.171273</t>
  </si>
  <si>
    <t>2024-07-20T12:26:58.183069</t>
  </si>
  <si>
    <t>2024-07-20T12:26:59.196181</t>
  </si>
  <si>
    <t>2024-07-20T12:27:00.212498</t>
  </si>
  <si>
    <t>2024-07-20T12:27:01.230310</t>
  </si>
  <si>
    <t>2024-07-20T12:27:02.256449</t>
  </si>
  <si>
    <t>2024-07-20T12:27:03.277633</t>
  </si>
  <si>
    <t>2024-07-20T12:27:04.303964</t>
  </si>
  <si>
    <t>2024-07-20T12:27:05.327628</t>
  </si>
  <si>
    <t>2024-07-20T12:27:06.350472</t>
  </si>
  <si>
    <t>2024-07-20T12:27:07.308690</t>
  </si>
  <si>
    <t>2024-07-20T12:27:08.317114</t>
  </si>
  <si>
    <t>2024-07-20T12:27:09.337572</t>
  </si>
  <si>
    <t>2024-07-20T12:27:10.349726</t>
  </si>
  <si>
    <t>2024-07-20T12:27:11.372482</t>
  </si>
  <si>
    <t>2024-07-20T12:27:12.384458</t>
  </si>
  <si>
    <t>2024-07-20T12:27:13.415770</t>
  </si>
  <si>
    <t>2024-07-20T12:27:14.434599</t>
  </si>
  <si>
    <t>2024-07-20T12:27:15.459659</t>
  </si>
  <si>
    <t>2024-07-20T12:27:16.484177</t>
  </si>
  <si>
    <t>2024-07-20T12:27:17.447940</t>
  </si>
  <si>
    <t>2024-07-20T12:27:18.456819</t>
  </si>
  <si>
    <t>2024-07-20T12:27:19.474383</t>
  </si>
  <si>
    <t>2024-07-20T12:27:20.488382</t>
  </si>
  <si>
    <t>2024-07-20T12:27:21.504682</t>
  </si>
  <si>
    <t>2024-07-20T12:27:22.520378</t>
  </si>
  <si>
    <t>2024-07-20T12:27:23.541970</t>
  </si>
  <si>
    <t>2024-07-20T12:27:24.563601</t>
  </si>
  <si>
    <t>2024-07-20T12:27:25.587596</t>
  </si>
  <si>
    <t>2024-07-20T12:27:26.612458</t>
  </si>
  <si>
    <t>2024-07-20T12:27:27.635245</t>
  </si>
  <si>
    <t>2024-07-20T12:27:28.597133</t>
  </si>
  <si>
    <t>2024-07-20T12:27:29.612622</t>
  </si>
  <si>
    <t>2024-07-20T12:27:30.624375</t>
  </si>
  <si>
    <t>2024-07-20T12:27:31.640493</t>
  </si>
  <si>
    <t>2024-07-20T12:27:32.652206</t>
  </si>
  <si>
    <t>2024-07-20T12:27:33.669460</t>
  </si>
  <si>
    <t>2024-07-20T12:27:34.696586</t>
  </si>
  <si>
    <t>2024-07-20T12:27:35.717798</t>
  </si>
  <si>
    <t>2024-07-20T12:27:36.739672</t>
  </si>
  <si>
    <t>2024-07-20T12:27:57.004886</t>
  </si>
  <si>
    <t>2024-07-20T12:27:58.030473</t>
  </si>
  <si>
    <t>2024-07-20T12:27:59.051009</t>
  </si>
  <si>
    <t>2024-07-20T12:28:00.074514</t>
  </si>
  <si>
    <t>2024-07-20T12:28:01.040665</t>
  </si>
  <si>
    <t>2024-07-20T12:28:02.053654</t>
  </si>
  <si>
    <t>2024-07-20T12:28:03.068128</t>
  </si>
  <si>
    <t>2024-07-20T12:28:04.083557</t>
  </si>
  <si>
    <t>2024-07-20T12:28:05.096239</t>
  </si>
  <si>
    <t>2024-07-20T12:28:06.113575</t>
  </si>
  <si>
    <t>2024-07-20T12:28:07.130788</t>
  </si>
  <si>
    <t>2024-07-20T12:28:08.158913</t>
  </si>
  <si>
    <t>2024-07-20T12:28:09.182846</t>
  </si>
  <si>
    <t>2024-07-20T12:28:10.210377</t>
  </si>
  <si>
    <t>2024-07-20T12:28:11.231321</t>
  </si>
  <si>
    <t>2024-07-20T12:28:12.192469</t>
  </si>
  <si>
    <t>2024-07-20T12:28:13.205677</t>
  </si>
  <si>
    <t>2024-07-20T12:28:14.222984</t>
  </si>
  <si>
    <t>2024-07-20T12:28:15.238062</t>
  </si>
  <si>
    <t>2024-07-20T12:28:16.252502</t>
  </si>
  <si>
    <t>2024-07-20T12:28:17.269887</t>
  </si>
  <si>
    <t>2024-07-20T12:28:18.292226</t>
  </si>
  <si>
    <t>2024-07-20T12:28:19.316446</t>
  </si>
  <si>
    <t>2024-07-20T12:28:20.338518</t>
  </si>
  <si>
    <t>2024-07-20T12:28:21.356694</t>
  </si>
  <si>
    <t>2024-07-20T12:28:22.380936</t>
  </si>
  <si>
    <t>2024-07-20T12:28:23.342023</t>
  </si>
  <si>
    <t>2024-07-20T12:28:24.360314</t>
  </si>
  <si>
    <t>2024-07-20T12:28:25.371518</t>
  </si>
  <si>
    <t>2024-07-20T12:28:26.390179</t>
  </si>
  <si>
    <t>2024-07-20T12:28:27.399009</t>
  </si>
  <si>
    <t>2024-07-20T12:28:28.421865</t>
  </si>
  <si>
    <t>2024-07-20T12:28:29.445853</t>
  </si>
  <si>
    <t>2024-07-20T12:28:30.468492</t>
  </si>
  <si>
    <t>2024-07-20T12:28:31.501207</t>
  </si>
  <si>
    <t>2024-07-20T12:28:32.514899</t>
  </si>
  <si>
    <t>2024-07-20T12:28:33.474054</t>
  </si>
  <si>
    <t>2024-07-20T12:28:34.492172</t>
  </si>
  <si>
    <t>2024-07-20T12:28:35.506928</t>
  </si>
  <si>
    <t>2024-07-20T12:28:36.545650</t>
  </si>
  <si>
    <t>2024-07-20T12:28:37.531931</t>
  </si>
  <si>
    <t>2024-07-20T12:28:38.555753</t>
  </si>
  <si>
    <t>2024-07-20T12:28:39.572126</t>
  </si>
  <si>
    <t>2024-07-20T12:28:40.595835</t>
  </si>
  <si>
    <t>2024-07-20T12:28:41.622318</t>
  </si>
  <si>
    <t>2024-07-20T12:28:42.645293</t>
  </si>
  <si>
    <t>2024-07-20T12:28:43.668349</t>
  </si>
  <si>
    <t>2024-07-20T12:28:44.628111</t>
  </si>
  <si>
    <t>2024-07-20T12:28:45.640147</t>
  </si>
  <si>
    <t>2024-07-20T12:28:46.662753</t>
  </si>
  <si>
    <t>2024-07-20T12:28:47.670852</t>
  </si>
  <si>
    <t>2024-07-20T12:28:48.684990</t>
  </si>
  <si>
    <t>2024-07-20T12:28:49.702638</t>
  </si>
  <si>
    <t>2024-07-20T12:28:50.726286</t>
  </si>
  <si>
    <t>2024-07-20T12:28:51.747994</t>
  </si>
  <si>
    <t>2024-07-20T12:28:52.773097</t>
  </si>
  <si>
    <t>2024-07-20T12:28:53.799228</t>
  </si>
  <si>
    <t>2024-07-20T12:28:54.767240</t>
  </si>
  <si>
    <t>2024-07-20T12:28:55.777957</t>
  </si>
  <si>
    <t>2024-07-20T12:29:14.059796</t>
  </si>
  <si>
    <t>2024-07-20T12:29:15.087685</t>
  </si>
  <si>
    <t>2024-07-20T12:29:16.108116</t>
  </si>
  <si>
    <t>2024-07-20T12:29:17.064611</t>
  </si>
  <si>
    <t>2024-07-20T12:29:18.082787</t>
  </si>
  <si>
    <t>2024-07-20T12:29:19.097127</t>
  </si>
  <si>
    <t>2024-07-20T12:29:20.109637</t>
  </si>
  <si>
    <t>2024-07-20T12:29:21.127003</t>
  </si>
  <si>
    <t>2024-07-20T12:29:22.136588</t>
  </si>
  <si>
    <t>2024-07-20T12:29:23.166010</t>
  </si>
  <si>
    <t>2024-07-20T12:29:24.193061</t>
  </si>
  <si>
    <t>2024-07-20T12:29:25.216241</t>
  </si>
  <si>
    <t>2024-07-20T12:29:26.232979</t>
  </si>
  <si>
    <t>2024-07-20T12:29:27.200600</t>
  </si>
  <si>
    <t>2024-07-20T12:29:28.217241</t>
  </si>
  <si>
    <t>2024-07-20T12:29:29.233599</t>
  </si>
  <si>
    <t>2024-07-20T12:29:30.247512</t>
  </si>
  <si>
    <t>2024-07-20T12:29:31.262644</t>
  </si>
  <si>
    <t>2024-07-20T12:29:32.276949</t>
  </si>
  <si>
    <t>2024-07-20T12:29:33.299797</t>
  </si>
  <si>
    <t>2024-07-20T12:29:34.324064</t>
  </si>
  <si>
    <t>2024-07-20T12:29:35.346518</t>
  </si>
  <si>
    <t>2024-07-20T12:29:36.369995</t>
  </si>
  <si>
    <t>2024-07-20T12:29:37.387427</t>
  </si>
  <si>
    <t>2024-07-20T12:29:38.354977</t>
  </si>
  <si>
    <t>2024-07-20T12:29:39.366417</t>
  </si>
  <si>
    <t>2024-07-20T12:29:40.378999</t>
  </si>
  <si>
    <t>2024-07-20T12:29:41.395662</t>
  </si>
  <si>
    <t>2024-07-20T12:29:42.406491</t>
  </si>
  <si>
    <t>2024-07-20T12:29:43.431133</t>
  </si>
  <si>
    <t>2024-07-20T12:29:44.457954</t>
  </si>
  <si>
    <t>2024-07-20T12:29:45.477861</t>
  </si>
  <si>
    <t>2024-07-20T12:29:46.495264</t>
  </si>
  <si>
    <t>2024-07-20T12:29:47.521668</t>
  </si>
  <si>
    <t>2024-07-20T12:29:48.488052</t>
  </si>
  <si>
    <t>2024-07-20T12:29:49.500287</t>
  </si>
  <si>
    <t>2024-07-20T12:29:50.511927</t>
  </si>
  <si>
    <t>2024-07-20T12:29:51.524337</t>
  </si>
  <si>
    <t>2024-07-20T12:29:52.539140</t>
  </si>
  <si>
    <t>2024-07-20T12:29:53.556288</t>
  </si>
  <si>
    <t>2024-07-20T12:29:54.576162</t>
  </si>
  <si>
    <t>2024-07-20T12:29:55.609050</t>
  </si>
  <si>
    <t>2024-07-20T12:29:56.626166</t>
  </si>
  <si>
    <t>2024-07-20T12:29:57.652720</t>
  </si>
  <si>
    <t>2024-07-20T12:29:58.620948</t>
  </si>
  <si>
    <t>2024-07-20T12:29:59.633973</t>
  </si>
  <si>
    <t>2024-07-20T12:30:00.650415</t>
  </si>
  <si>
    <t>2024-07-20T12:30:01.665030</t>
  </si>
  <si>
    <t>2024-07-20T12:30:02.676485</t>
  </si>
  <si>
    <t>2024-07-20T12:30:03.702342</t>
  </si>
  <si>
    <t>2024-07-20T12:30:04.714225</t>
  </si>
  <si>
    <t>2024-07-20T12:30:05.738305</t>
  </si>
  <si>
    <t>2024-07-20T12:30:06.763235</t>
  </si>
  <si>
    <t>2024-07-20T12:30:07.777130</t>
  </si>
  <si>
    <t>2024-07-20T12:30:08.811017</t>
  </si>
  <si>
    <t>2024-07-20T12:30:09.829827</t>
  </si>
  <si>
    <t>2024-07-20T12:30:10.790199</t>
  </si>
  <si>
    <t>2024-07-20T12:30:11.804230</t>
  </si>
  <si>
    <t>2024-07-20T12:30:12.812549</t>
  </si>
  <si>
    <t>2024-07-20_14-26-41</t>
  </si>
  <si>
    <t>2024-07-20_14-26-46</t>
  </si>
  <si>
    <t>2024-07-20_14-26-51</t>
  </si>
  <si>
    <t>2024-07-20_14-26-56</t>
  </si>
  <si>
    <t>2024-07-20_14-27-01</t>
  </si>
  <si>
    <t>2024-07-20_14-27-06</t>
  </si>
  <si>
    <t>2024-07-20_14-27-11</t>
  </si>
  <si>
    <t>2024-07-20_14-27-16</t>
  </si>
  <si>
    <t>2024-07-20_14-27-21</t>
  </si>
  <si>
    <t>2024-07-20_14-27-26</t>
  </si>
  <si>
    <t>2024-07-20_14-27-31</t>
  </si>
  <si>
    <t>2024-07-20_14-27-36</t>
  </si>
  <si>
    <t>2024-07-20_14-27-59</t>
  </si>
  <si>
    <t>2024-07-20_14-28-04</t>
  </si>
  <si>
    <t>2024-07-20_14-28-09</t>
  </si>
  <si>
    <t>2024-07-20_14-28-14</t>
  </si>
  <si>
    <t>2024-07-20_14-28-19</t>
  </si>
  <si>
    <t>2024-07-20_14-29-17</t>
  </si>
  <si>
    <t>2024-07-20_14-29-22</t>
  </si>
  <si>
    <t>2024-07-20_14-29-27</t>
  </si>
  <si>
    <t>2024-07-20_14-29-32</t>
  </si>
  <si>
    <t>2024-07-20_14-29-37</t>
  </si>
  <si>
    <t>2024-07-20_14-29-42</t>
  </si>
  <si>
    <t>2024-07-20_14-29-47</t>
  </si>
  <si>
    <t>2024-07-20_14-29-52</t>
  </si>
  <si>
    <t>2024-07-20_14-29-57</t>
  </si>
  <si>
    <t>2024-07-20_14-30-02</t>
  </si>
  <si>
    <t>2024-07-20_14-30-07</t>
  </si>
  <si>
    <t>2024-07-20_14-30-12</t>
  </si>
  <si>
    <t>Mean unfiltered</t>
  </si>
  <si>
    <t>Standard Deviation</t>
  </si>
  <si>
    <t>Upper boundary</t>
  </si>
  <si>
    <t>Lower boundary</t>
  </si>
  <si>
    <t>Mean filtered</t>
  </si>
  <si>
    <t>Ground Truth - Laser manual  measurement</t>
  </si>
  <si>
    <t>Error</t>
  </si>
  <si>
    <t>Error %</t>
  </si>
  <si>
    <t>Ground Truth - 3D walk measurement</t>
  </si>
  <si>
    <t>Ground Truth - 3D model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</si>
</sst>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164" fontId="0" fillId="0" borderId="0" xfId="1" applyNumberFormat="1" applyFont="1"/>
    <xf numFmtId="0" fontId="0" fillId="4" borderId="0" xfId="0" applyFill="1"/>
    <xf numFmtId="0" fontId="0" fillId="0" borderId="0" xfId="0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/>
    </xf>
    <xf numFmtId="164" fontId="0" fillId="2" borderId="6" xfId="1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0" fontId="0" fillId="4" borderId="7" xfId="0" applyFill="1" applyBorder="1"/>
    <xf numFmtId="0" fontId="0" fillId="4" borderId="8" xfId="0" applyFill="1" applyBorder="1"/>
    <xf numFmtId="0" fontId="0" fillId="4" borderId="7" xfId="0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4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3" borderId="2" xfId="1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C783-60D9-4FE7-9E36-CDBAEFC0C508}">
  <dimension ref="B1:CB925"/>
  <sheetViews>
    <sheetView topLeftCell="AA36" workbookViewId="0">
      <selection activeCell="AP77" sqref="AP77:AX79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5.7109375" style="3" bestFit="1" customWidth="1"/>
    <col min="43" max="45" width="6.5703125" style="3" bestFit="1" customWidth="1"/>
    <col min="46" max="46" width="6.28515625" style="3" bestFit="1" customWidth="1"/>
    <col min="47" max="50" width="6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17</v>
      </c>
      <c r="AQ4" s="11">
        <v>0</v>
      </c>
      <c r="AR4" s="12">
        <v>0.39</v>
      </c>
      <c r="AS4" s="12">
        <v>0.39</v>
      </c>
      <c r="AT4" s="12">
        <v>4.8899999999999997</v>
      </c>
      <c r="AU4" s="12">
        <v>0.39</v>
      </c>
      <c r="AV4" s="12">
        <v>0.45</v>
      </c>
      <c r="AW4" s="12">
        <v>0.62</v>
      </c>
      <c r="AX4" s="13">
        <v>0.33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18</v>
      </c>
      <c r="AQ5" s="17">
        <v>0</v>
      </c>
      <c r="AR5" s="18">
        <v>0.39</v>
      </c>
      <c r="AS5" s="18">
        <v>0.39</v>
      </c>
      <c r="AT5" s="18">
        <v>4.8899999999999997</v>
      </c>
      <c r="AU5" s="18">
        <v>0.45</v>
      </c>
      <c r="AV5" s="18">
        <v>0.39</v>
      </c>
      <c r="AW5" s="18">
        <v>0.62</v>
      </c>
      <c r="AX5" s="19">
        <v>0.33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19</v>
      </c>
      <c r="AQ6" s="17">
        <v>0</v>
      </c>
      <c r="AR6" s="18">
        <v>0.45</v>
      </c>
      <c r="AS6" s="18">
        <v>0.39</v>
      </c>
      <c r="AT6" s="18">
        <v>1.89</v>
      </c>
      <c r="AU6" s="18">
        <v>0.39</v>
      </c>
      <c r="AV6" s="18">
        <v>0.39</v>
      </c>
      <c r="AW6" s="18">
        <v>0.62</v>
      </c>
      <c r="AX6" s="19">
        <v>0.33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20</v>
      </c>
      <c r="AQ7" s="17">
        <v>0.85</v>
      </c>
      <c r="AR7" s="18">
        <v>1.37</v>
      </c>
      <c r="AS7" s="18">
        <v>0.33</v>
      </c>
      <c r="AT7" s="18">
        <v>0.39</v>
      </c>
      <c r="AU7" s="18">
        <v>0.53</v>
      </c>
      <c r="AV7" s="18">
        <v>0.24</v>
      </c>
      <c r="AW7" s="18">
        <v>2.21</v>
      </c>
      <c r="AX7" s="19">
        <v>0.28000000000000003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21</v>
      </c>
      <c r="AQ8" s="17">
        <v>0</v>
      </c>
      <c r="AR8" s="18">
        <v>0.39</v>
      </c>
      <c r="AS8" s="18">
        <v>0.39</v>
      </c>
      <c r="AT8" s="18">
        <v>4.8899999999999997</v>
      </c>
      <c r="AU8" s="18">
        <v>0.53</v>
      </c>
      <c r="AV8" s="18">
        <v>0.45</v>
      </c>
      <c r="AW8" s="18">
        <v>0.62</v>
      </c>
      <c r="AX8" s="19">
        <v>0.33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22</v>
      </c>
      <c r="AQ9" s="17">
        <v>0</v>
      </c>
      <c r="AR9" s="18">
        <v>0.39</v>
      </c>
      <c r="AS9" s="18">
        <v>0.39</v>
      </c>
      <c r="AT9" s="18">
        <v>1.89</v>
      </c>
      <c r="AU9" s="18">
        <v>0.39</v>
      </c>
      <c r="AV9" s="18">
        <v>0.45</v>
      </c>
      <c r="AW9" s="18">
        <v>0.62</v>
      </c>
      <c r="AX9" s="19">
        <v>0.28000000000000003</v>
      </c>
    </row>
    <row r="10" spans="2:80" x14ac:dyDescent="0.25">
      <c r="AP10" s="16" t="s">
        <v>23</v>
      </c>
      <c r="AQ10" s="17">
        <v>0</v>
      </c>
      <c r="AR10" s="18">
        <v>0.39</v>
      </c>
      <c r="AS10" s="18">
        <v>0.33</v>
      </c>
      <c r="AT10" s="18">
        <v>4.8899999999999997</v>
      </c>
      <c r="AU10" s="18">
        <v>0.45</v>
      </c>
      <c r="AV10" s="18">
        <v>0.45</v>
      </c>
      <c r="AW10" s="18">
        <v>0.62</v>
      </c>
      <c r="AX10" s="19">
        <v>0.33</v>
      </c>
    </row>
    <row r="11" spans="2:80" x14ac:dyDescent="0.25">
      <c r="AP11" s="16" t="s">
        <v>24</v>
      </c>
      <c r="AQ11" s="17">
        <v>0.85</v>
      </c>
      <c r="AR11" s="18">
        <v>1.61</v>
      </c>
      <c r="AS11" s="18">
        <v>0.39</v>
      </c>
      <c r="AT11" s="18">
        <v>4.18</v>
      </c>
      <c r="AU11" s="18">
        <v>0.45</v>
      </c>
      <c r="AV11" s="18">
        <v>0.39</v>
      </c>
      <c r="AW11" s="18">
        <v>0.62</v>
      </c>
      <c r="AX11" s="19">
        <v>0.33</v>
      </c>
    </row>
    <row r="12" spans="2:80" x14ac:dyDescent="0.25">
      <c r="AP12" s="16" t="s">
        <v>25</v>
      </c>
      <c r="AQ12" s="17">
        <v>0</v>
      </c>
      <c r="AR12" s="18">
        <v>0.39</v>
      </c>
      <c r="AS12" s="18">
        <v>0.39</v>
      </c>
      <c r="AT12" s="18">
        <v>4.8899999999999997</v>
      </c>
      <c r="AU12" s="18">
        <v>0.53</v>
      </c>
      <c r="AV12" s="18">
        <v>0.45</v>
      </c>
      <c r="AW12" s="18">
        <v>1.17</v>
      </c>
      <c r="AX12" s="19">
        <v>0.33</v>
      </c>
    </row>
    <row r="13" spans="2:80" x14ac:dyDescent="0.25">
      <c r="AP13" s="16" t="s">
        <v>26</v>
      </c>
      <c r="AQ13" s="17">
        <v>0</v>
      </c>
      <c r="AR13" s="18">
        <v>1.89</v>
      </c>
      <c r="AS13" s="18">
        <v>0.39</v>
      </c>
      <c r="AT13" s="18">
        <v>1.89</v>
      </c>
      <c r="AU13" s="18">
        <v>0.53</v>
      </c>
      <c r="AV13" s="18">
        <v>0.2</v>
      </c>
      <c r="AW13" s="18">
        <v>0.62</v>
      </c>
      <c r="AX13" s="19">
        <v>0.28000000000000003</v>
      </c>
    </row>
    <row r="14" spans="2:80" x14ac:dyDescent="0.25">
      <c r="AP14" s="16" t="s">
        <v>27</v>
      </c>
      <c r="AQ14" s="17">
        <v>0.85</v>
      </c>
      <c r="AR14" s="18">
        <v>0.39</v>
      </c>
      <c r="AS14" s="18">
        <v>0.28000000000000003</v>
      </c>
      <c r="AT14" s="18">
        <v>1.61</v>
      </c>
      <c r="AU14" s="18">
        <v>0.45</v>
      </c>
      <c r="AV14" s="18">
        <v>0.45</v>
      </c>
      <c r="AW14" s="18">
        <v>0.62</v>
      </c>
      <c r="AX14" s="19">
        <v>0.33</v>
      </c>
    </row>
    <row r="15" spans="2:80" x14ac:dyDescent="0.25">
      <c r="AP15" s="16" t="s">
        <v>28</v>
      </c>
      <c r="AQ15" s="17">
        <v>0</v>
      </c>
      <c r="AR15" s="18">
        <v>0.39</v>
      </c>
      <c r="AS15" s="18">
        <v>0.39</v>
      </c>
      <c r="AT15" s="18">
        <v>4.8899999999999997</v>
      </c>
      <c r="AU15" s="18">
        <v>0.39</v>
      </c>
      <c r="AV15" s="18">
        <v>0.39</v>
      </c>
      <c r="AW15" s="18">
        <v>0.73</v>
      </c>
      <c r="AX15" s="19">
        <v>0.33</v>
      </c>
    </row>
    <row r="16" spans="2:80" x14ac:dyDescent="0.25">
      <c r="AP16" s="16" t="s">
        <v>29</v>
      </c>
      <c r="AQ16" s="17">
        <v>0</v>
      </c>
      <c r="AR16" s="18">
        <v>0.39</v>
      </c>
      <c r="AS16" s="18">
        <v>0.39</v>
      </c>
      <c r="AT16" s="18">
        <v>4.8899999999999997</v>
      </c>
      <c r="AU16" s="18">
        <v>0.39</v>
      </c>
      <c r="AV16" s="18">
        <v>0.39</v>
      </c>
      <c r="AW16" s="18">
        <v>0.62</v>
      </c>
      <c r="AX16" s="19">
        <v>2.21</v>
      </c>
    </row>
    <row r="17" spans="42:50" x14ac:dyDescent="0.25">
      <c r="AP17" s="16" t="s">
        <v>30</v>
      </c>
      <c r="AQ17" s="17">
        <v>0.85</v>
      </c>
      <c r="AR17" s="18">
        <v>1.61</v>
      </c>
      <c r="AS17" s="18">
        <v>0.33</v>
      </c>
      <c r="AT17" s="18">
        <v>1.89</v>
      </c>
      <c r="AU17" s="18">
        <v>0.45</v>
      </c>
      <c r="AV17" s="18">
        <v>0.2</v>
      </c>
      <c r="AW17" s="18">
        <v>1.17</v>
      </c>
      <c r="AX17" s="19">
        <v>0.33</v>
      </c>
    </row>
    <row r="18" spans="42:50" x14ac:dyDescent="0.25">
      <c r="AP18" s="16" t="s">
        <v>31</v>
      </c>
      <c r="AQ18" s="17">
        <v>0</v>
      </c>
      <c r="AR18" s="18">
        <v>0.39</v>
      </c>
      <c r="AS18" s="18">
        <v>0.39</v>
      </c>
      <c r="AT18" s="18">
        <v>4.18</v>
      </c>
      <c r="AU18" s="18">
        <v>0.39</v>
      </c>
      <c r="AV18" s="18">
        <v>0.39</v>
      </c>
      <c r="AW18" s="18">
        <v>1.17</v>
      </c>
      <c r="AX18" s="19">
        <v>0.33</v>
      </c>
    </row>
    <row r="19" spans="42:50" x14ac:dyDescent="0.25">
      <c r="AP19" s="16" t="s">
        <v>32</v>
      </c>
      <c r="AQ19" s="17">
        <v>0</v>
      </c>
      <c r="AR19" s="18">
        <v>0.39</v>
      </c>
      <c r="AS19" s="18">
        <v>1.37</v>
      </c>
      <c r="AT19" s="18">
        <v>4.18</v>
      </c>
      <c r="AU19" s="18">
        <v>0.45</v>
      </c>
      <c r="AV19" s="18">
        <v>0.2</v>
      </c>
      <c r="AW19" s="18">
        <v>0.62</v>
      </c>
      <c r="AX19" s="19">
        <v>0.33</v>
      </c>
    </row>
    <row r="20" spans="42:50" x14ac:dyDescent="0.25">
      <c r="AP20" s="16" t="s">
        <v>33</v>
      </c>
      <c r="AQ20" s="17">
        <v>0</v>
      </c>
      <c r="AR20" s="18">
        <v>0.39</v>
      </c>
      <c r="AS20" s="18">
        <v>0.39</v>
      </c>
      <c r="AT20" s="18">
        <v>4.18</v>
      </c>
      <c r="AU20" s="18">
        <v>0.39</v>
      </c>
      <c r="AV20" s="18">
        <v>0.45</v>
      </c>
      <c r="AW20" s="18">
        <v>0.62</v>
      </c>
      <c r="AX20" s="19">
        <v>0.33</v>
      </c>
    </row>
    <row r="21" spans="42:50" x14ac:dyDescent="0.25">
      <c r="AP21" s="16" t="s">
        <v>34</v>
      </c>
      <c r="AQ21" s="17">
        <v>0.85</v>
      </c>
      <c r="AR21" s="18">
        <v>1.61</v>
      </c>
      <c r="AS21" s="18">
        <v>0.39</v>
      </c>
      <c r="AT21" s="18">
        <v>4.18</v>
      </c>
      <c r="AU21" s="18">
        <v>0.39</v>
      </c>
      <c r="AV21" s="18">
        <v>0.45</v>
      </c>
      <c r="AW21" s="18">
        <v>0.62</v>
      </c>
      <c r="AX21" s="19">
        <v>0.33</v>
      </c>
    </row>
    <row r="22" spans="42:50" x14ac:dyDescent="0.25">
      <c r="AP22" s="16" t="s">
        <v>35</v>
      </c>
      <c r="AQ22" s="17">
        <v>4.18</v>
      </c>
      <c r="AR22" s="18">
        <v>0.39</v>
      </c>
      <c r="AS22" s="18">
        <v>0.39</v>
      </c>
      <c r="AT22" s="18">
        <v>4.18</v>
      </c>
      <c r="AU22" s="18">
        <v>0.39</v>
      </c>
      <c r="AV22" s="18">
        <v>0.28000000000000003</v>
      </c>
      <c r="AW22" s="18">
        <v>0.73</v>
      </c>
      <c r="AX22" s="19">
        <v>2.21</v>
      </c>
    </row>
    <row r="23" spans="42:50" x14ac:dyDescent="0.25">
      <c r="AP23" s="16" t="s">
        <v>36</v>
      </c>
      <c r="AQ23" s="17">
        <v>0</v>
      </c>
      <c r="AR23" s="18">
        <v>0.39</v>
      </c>
      <c r="AS23" s="18">
        <v>0.39</v>
      </c>
      <c r="AT23" s="18">
        <v>1.89</v>
      </c>
      <c r="AU23" s="18">
        <v>0.45</v>
      </c>
      <c r="AV23" s="18">
        <v>0.24</v>
      </c>
      <c r="AW23" s="18">
        <v>0.62</v>
      </c>
      <c r="AX23" s="19">
        <v>0.28000000000000003</v>
      </c>
    </row>
    <row r="24" spans="42:50" x14ac:dyDescent="0.25">
      <c r="AP24" s="16" t="s">
        <v>37</v>
      </c>
      <c r="AQ24" s="17">
        <v>0</v>
      </c>
      <c r="AR24" s="18">
        <v>0.39</v>
      </c>
      <c r="AS24" s="18">
        <v>0.33</v>
      </c>
      <c r="AT24" s="18">
        <v>1.61</v>
      </c>
      <c r="AU24" s="18">
        <v>0.39</v>
      </c>
      <c r="AV24" s="18">
        <v>0.39</v>
      </c>
      <c r="AW24" s="18">
        <v>0.62</v>
      </c>
      <c r="AX24" s="19">
        <v>0.33</v>
      </c>
    </row>
    <row r="25" spans="42:50" x14ac:dyDescent="0.25">
      <c r="AP25" s="16" t="s">
        <v>38</v>
      </c>
      <c r="AQ25" s="17">
        <v>0</v>
      </c>
      <c r="AR25" s="18">
        <v>0.39</v>
      </c>
      <c r="AS25" s="18">
        <v>0.39</v>
      </c>
      <c r="AT25" s="18">
        <v>4.18</v>
      </c>
      <c r="AU25" s="18">
        <v>0.39</v>
      </c>
      <c r="AV25" s="18">
        <v>0.45</v>
      </c>
      <c r="AW25" s="18">
        <v>0.62</v>
      </c>
      <c r="AX25" s="19">
        <v>0.39</v>
      </c>
    </row>
    <row r="26" spans="42:50" x14ac:dyDescent="0.25">
      <c r="AP26" s="16" t="s">
        <v>39</v>
      </c>
      <c r="AQ26" s="17">
        <v>0</v>
      </c>
      <c r="AR26" s="18">
        <v>1.61</v>
      </c>
      <c r="AS26" s="18">
        <v>0.39</v>
      </c>
      <c r="AT26" s="18">
        <v>4.18</v>
      </c>
      <c r="AU26" s="18">
        <v>0.53</v>
      </c>
      <c r="AV26" s="18">
        <v>0.53</v>
      </c>
      <c r="AW26" s="18">
        <v>0.62</v>
      </c>
      <c r="AX26" s="19">
        <v>0.28000000000000003</v>
      </c>
    </row>
    <row r="27" spans="42:50" x14ac:dyDescent="0.25">
      <c r="AP27" s="16" t="s">
        <v>40</v>
      </c>
      <c r="AQ27" s="17">
        <v>0.85</v>
      </c>
      <c r="AR27" s="18">
        <v>0.39</v>
      </c>
      <c r="AS27" s="18">
        <v>0.33</v>
      </c>
      <c r="AT27" s="18">
        <v>4.18</v>
      </c>
      <c r="AU27" s="18">
        <v>0.39</v>
      </c>
      <c r="AV27" s="18">
        <v>0.39</v>
      </c>
      <c r="AW27" s="18">
        <v>0.62</v>
      </c>
      <c r="AX27" s="19">
        <v>0.33</v>
      </c>
    </row>
    <row r="28" spans="42:50" x14ac:dyDescent="0.25">
      <c r="AP28" s="16" t="s">
        <v>41</v>
      </c>
      <c r="AQ28" s="17">
        <v>0.85</v>
      </c>
      <c r="AR28" s="18">
        <v>4.18</v>
      </c>
      <c r="AS28" s="18">
        <v>0.39</v>
      </c>
      <c r="AT28" s="18">
        <v>1.61</v>
      </c>
      <c r="AU28" s="18">
        <v>0.53</v>
      </c>
      <c r="AV28" s="18">
        <v>0.24</v>
      </c>
      <c r="AW28" s="18">
        <v>1.17</v>
      </c>
      <c r="AX28" s="19">
        <v>0.33</v>
      </c>
    </row>
    <row r="29" spans="42:50" x14ac:dyDescent="0.25">
      <c r="AP29" s="16" t="s">
        <v>42</v>
      </c>
      <c r="AQ29" s="17">
        <v>0.85</v>
      </c>
      <c r="AR29" s="18">
        <v>0.39</v>
      </c>
      <c r="AS29" s="18">
        <v>0.39</v>
      </c>
      <c r="AT29" s="18">
        <v>4.18</v>
      </c>
      <c r="AU29" s="18">
        <v>0.39</v>
      </c>
      <c r="AV29" s="18">
        <v>0.39</v>
      </c>
      <c r="AW29" s="18">
        <v>0.73</v>
      </c>
      <c r="AX29" s="19">
        <v>0.33</v>
      </c>
    </row>
    <row r="30" spans="42:50" x14ac:dyDescent="0.25">
      <c r="AP30" s="16" t="s">
        <v>43</v>
      </c>
      <c r="AQ30" s="17">
        <v>0</v>
      </c>
      <c r="AR30" s="18">
        <v>0.39</v>
      </c>
      <c r="AS30" s="18">
        <v>0.39</v>
      </c>
      <c r="AT30" s="18">
        <v>4.18</v>
      </c>
      <c r="AU30" s="18">
        <v>0.45</v>
      </c>
      <c r="AV30" s="18">
        <v>0.39</v>
      </c>
      <c r="AW30" s="18">
        <v>0.62</v>
      </c>
      <c r="AX30" s="19">
        <v>0.33</v>
      </c>
    </row>
    <row r="31" spans="42:50" x14ac:dyDescent="0.25">
      <c r="AP31" s="16" t="s">
        <v>44</v>
      </c>
      <c r="AQ31" s="17">
        <v>0</v>
      </c>
      <c r="AR31" s="18">
        <v>0.39</v>
      </c>
      <c r="AS31" s="18">
        <v>0.39</v>
      </c>
      <c r="AT31" s="18">
        <v>4.18</v>
      </c>
      <c r="AU31" s="18">
        <v>0.45</v>
      </c>
      <c r="AV31" s="18">
        <v>0.45</v>
      </c>
      <c r="AW31" s="18">
        <v>0.62</v>
      </c>
      <c r="AX31" s="19">
        <v>0.33</v>
      </c>
    </row>
    <row r="32" spans="42:50" x14ac:dyDescent="0.25">
      <c r="AP32" s="16" t="s">
        <v>45</v>
      </c>
      <c r="AQ32" s="17">
        <v>0</v>
      </c>
      <c r="AR32" s="18">
        <v>0.39</v>
      </c>
      <c r="AS32" s="18">
        <v>0.33</v>
      </c>
      <c r="AT32" s="18">
        <v>4.8899999999999997</v>
      </c>
      <c r="AU32" s="18">
        <v>0.45</v>
      </c>
      <c r="AV32" s="18">
        <v>0.2</v>
      </c>
      <c r="AW32" s="18">
        <v>0.73</v>
      </c>
      <c r="AX32" s="19">
        <v>2.21</v>
      </c>
    </row>
    <row r="33" spans="42:50" x14ac:dyDescent="0.25">
      <c r="AP33" s="16" t="s">
        <v>46</v>
      </c>
      <c r="AQ33" s="17">
        <v>0</v>
      </c>
      <c r="AR33" s="18">
        <v>0.39</v>
      </c>
      <c r="AS33" s="18">
        <v>0.39</v>
      </c>
      <c r="AT33" s="18">
        <v>4.18</v>
      </c>
      <c r="AU33" s="18">
        <v>0.45</v>
      </c>
      <c r="AV33" s="18">
        <v>0.24</v>
      </c>
      <c r="AW33" s="18">
        <v>0.73</v>
      </c>
      <c r="AX33" s="19">
        <v>0.28000000000000003</v>
      </c>
    </row>
    <row r="34" spans="42:50" x14ac:dyDescent="0.25">
      <c r="AP34" s="16" t="s">
        <v>47</v>
      </c>
      <c r="AQ34" s="17">
        <v>0</v>
      </c>
      <c r="AR34" s="18">
        <v>0.39</v>
      </c>
      <c r="AS34" s="18">
        <v>0.39</v>
      </c>
      <c r="AT34" s="18">
        <v>4.18</v>
      </c>
      <c r="AU34" s="18">
        <v>0.39</v>
      </c>
      <c r="AV34" s="18">
        <v>0.39</v>
      </c>
      <c r="AW34" s="18">
        <v>0.62</v>
      </c>
      <c r="AX34" s="19">
        <v>0.28000000000000003</v>
      </c>
    </row>
    <row r="35" spans="42:50" x14ac:dyDescent="0.25">
      <c r="AP35" s="16" t="s">
        <v>48</v>
      </c>
      <c r="AQ35" s="17">
        <v>0</v>
      </c>
      <c r="AR35" s="18">
        <v>0.39</v>
      </c>
      <c r="AS35" s="18">
        <v>0.39</v>
      </c>
      <c r="AT35" s="18">
        <v>1.61</v>
      </c>
      <c r="AU35" s="18">
        <v>0.39</v>
      </c>
      <c r="AV35" s="18">
        <v>0.39</v>
      </c>
      <c r="AW35" s="18">
        <v>0.62</v>
      </c>
      <c r="AX35" s="19">
        <v>0.28000000000000003</v>
      </c>
    </row>
    <row r="36" spans="42:50" x14ac:dyDescent="0.25">
      <c r="AP36" s="16" t="s">
        <v>49</v>
      </c>
      <c r="AQ36" s="17">
        <v>0</v>
      </c>
      <c r="AR36" s="18">
        <v>0.39</v>
      </c>
      <c r="AS36" s="18">
        <v>0.39</v>
      </c>
      <c r="AT36" s="18">
        <v>4.18</v>
      </c>
      <c r="AU36" s="18">
        <v>0.39</v>
      </c>
      <c r="AV36" s="18">
        <v>0.39</v>
      </c>
      <c r="AW36" s="18">
        <v>0.62</v>
      </c>
      <c r="AX36" s="19">
        <v>0.33</v>
      </c>
    </row>
    <row r="37" spans="42:50" x14ac:dyDescent="0.25">
      <c r="AP37" s="16" t="s">
        <v>50</v>
      </c>
      <c r="AQ37" s="17">
        <v>0</v>
      </c>
      <c r="AR37" s="18">
        <v>0.39</v>
      </c>
      <c r="AS37" s="18">
        <v>0.33</v>
      </c>
      <c r="AT37" s="18">
        <v>4.8899999999999997</v>
      </c>
      <c r="AU37" s="18">
        <v>0.39</v>
      </c>
      <c r="AV37" s="18">
        <v>0.45</v>
      </c>
      <c r="AW37" s="18">
        <v>0.73</v>
      </c>
      <c r="AX37" s="19">
        <v>0.28000000000000003</v>
      </c>
    </row>
    <row r="38" spans="42:50" x14ac:dyDescent="0.25">
      <c r="AP38" s="16" t="s">
        <v>51</v>
      </c>
      <c r="AQ38" s="17">
        <v>0.85</v>
      </c>
      <c r="AR38" s="18">
        <v>0.39</v>
      </c>
      <c r="AS38" s="18">
        <v>0.39</v>
      </c>
      <c r="AT38" s="18">
        <v>4.18</v>
      </c>
      <c r="AU38" s="18">
        <v>0.45</v>
      </c>
      <c r="AV38" s="18">
        <v>0.45</v>
      </c>
      <c r="AW38" s="18">
        <v>0.73</v>
      </c>
      <c r="AX38" s="19">
        <v>0.33</v>
      </c>
    </row>
    <row r="39" spans="42:50" x14ac:dyDescent="0.25">
      <c r="AP39" s="16" t="s">
        <v>52</v>
      </c>
      <c r="AQ39" s="17">
        <v>0.85</v>
      </c>
      <c r="AR39" s="18">
        <v>1.89</v>
      </c>
      <c r="AS39" s="18">
        <v>0.33</v>
      </c>
      <c r="AT39" s="18">
        <v>0.45</v>
      </c>
      <c r="AU39" s="18">
        <v>0.53</v>
      </c>
      <c r="AV39" s="18">
        <v>0.2</v>
      </c>
      <c r="AW39" s="18">
        <v>2.59</v>
      </c>
      <c r="AX39" s="19">
        <v>0.33</v>
      </c>
    </row>
    <row r="40" spans="42:50" x14ac:dyDescent="0.25">
      <c r="AP40" s="16" t="s">
        <v>53</v>
      </c>
      <c r="AQ40" s="17">
        <v>0</v>
      </c>
      <c r="AR40" s="18">
        <v>0.39</v>
      </c>
      <c r="AS40" s="18">
        <v>0.39</v>
      </c>
      <c r="AT40" s="18">
        <v>1.89</v>
      </c>
      <c r="AU40" s="18">
        <v>2.21</v>
      </c>
      <c r="AV40" s="18">
        <v>0.62</v>
      </c>
      <c r="AW40" s="18">
        <v>0.62</v>
      </c>
      <c r="AX40" s="19">
        <v>0.28000000000000003</v>
      </c>
    </row>
    <row r="41" spans="42:50" x14ac:dyDescent="0.25">
      <c r="AP41" s="16" t="s">
        <v>54</v>
      </c>
      <c r="AQ41" s="17">
        <v>0</v>
      </c>
      <c r="AR41" s="18">
        <v>0.39</v>
      </c>
      <c r="AS41" s="18">
        <v>0.39</v>
      </c>
      <c r="AT41" s="18">
        <v>1.61</v>
      </c>
      <c r="AU41" s="18">
        <v>0.39</v>
      </c>
      <c r="AV41" s="18">
        <v>0.24</v>
      </c>
      <c r="AW41" s="18">
        <v>1.37</v>
      </c>
      <c r="AX41" s="19">
        <v>0.33</v>
      </c>
    </row>
    <row r="42" spans="42:50" x14ac:dyDescent="0.25">
      <c r="AP42" s="16" t="s">
        <v>55</v>
      </c>
      <c r="AQ42" s="17">
        <v>0</v>
      </c>
      <c r="AR42" s="18">
        <v>4.18</v>
      </c>
      <c r="AS42" s="18">
        <v>0.39</v>
      </c>
      <c r="AT42" s="18">
        <v>4.18</v>
      </c>
      <c r="AU42" s="18">
        <v>0.39</v>
      </c>
      <c r="AV42" s="18">
        <v>0.2</v>
      </c>
      <c r="AW42" s="18">
        <v>0.62</v>
      </c>
      <c r="AX42" s="19">
        <v>0.33</v>
      </c>
    </row>
    <row r="43" spans="42:50" x14ac:dyDescent="0.25">
      <c r="AP43" s="16" t="s">
        <v>56</v>
      </c>
      <c r="AQ43" s="17">
        <v>0</v>
      </c>
      <c r="AR43" s="18">
        <v>0.39</v>
      </c>
      <c r="AS43" s="18">
        <v>0.39</v>
      </c>
      <c r="AT43" s="18">
        <v>4.18</v>
      </c>
      <c r="AU43" s="18">
        <v>0.39</v>
      </c>
      <c r="AV43" s="18">
        <v>0.39</v>
      </c>
      <c r="AW43" s="18">
        <v>0.62</v>
      </c>
      <c r="AX43" s="19">
        <v>0.28000000000000003</v>
      </c>
    </row>
    <row r="44" spans="42:50" x14ac:dyDescent="0.25">
      <c r="AP44" s="16" t="s">
        <v>57</v>
      </c>
      <c r="AQ44" s="17">
        <v>0</v>
      </c>
      <c r="AR44" s="18">
        <v>0.39</v>
      </c>
      <c r="AS44" s="18">
        <v>0.39</v>
      </c>
      <c r="AT44" s="18">
        <v>1.89</v>
      </c>
      <c r="AU44" s="18">
        <v>0.45</v>
      </c>
      <c r="AV44" s="18">
        <v>0.45</v>
      </c>
      <c r="AW44" s="18">
        <v>0.62</v>
      </c>
      <c r="AX44" s="19">
        <v>0.39</v>
      </c>
    </row>
    <row r="45" spans="42:50" x14ac:dyDescent="0.25">
      <c r="AP45" s="16" t="s">
        <v>58</v>
      </c>
      <c r="AQ45" s="17">
        <v>0</v>
      </c>
      <c r="AR45" s="18">
        <v>0.39</v>
      </c>
      <c r="AS45" s="18">
        <v>0.39</v>
      </c>
      <c r="AT45" s="18">
        <v>4.18</v>
      </c>
      <c r="AU45" s="18">
        <v>0.39</v>
      </c>
      <c r="AV45" s="18">
        <v>0.39</v>
      </c>
      <c r="AW45" s="18">
        <v>0.62</v>
      </c>
      <c r="AX45" s="19">
        <v>0.33</v>
      </c>
    </row>
    <row r="46" spans="42:50" x14ac:dyDescent="0.25">
      <c r="AP46" s="16" t="s">
        <v>59</v>
      </c>
      <c r="AQ46" s="17">
        <v>0</v>
      </c>
      <c r="AR46" s="18">
        <v>0.39</v>
      </c>
      <c r="AS46" s="18">
        <v>0.39</v>
      </c>
      <c r="AT46" s="18">
        <v>4.18</v>
      </c>
      <c r="AU46" s="18">
        <v>0.39</v>
      </c>
      <c r="AV46" s="18">
        <v>0.39</v>
      </c>
      <c r="AW46" s="18">
        <v>1.17</v>
      </c>
      <c r="AX46" s="19">
        <v>0.33</v>
      </c>
    </row>
    <row r="47" spans="42:50" x14ac:dyDescent="0.25">
      <c r="AP47" s="16" t="s">
        <v>60</v>
      </c>
      <c r="AQ47" s="17">
        <v>0</v>
      </c>
      <c r="AR47" s="18">
        <v>0.39</v>
      </c>
      <c r="AS47" s="18">
        <v>0.39</v>
      </c>
      <c r="AT47" s="18">
        <v>4.18</v>
      </c>
      <c r="AU47" s="18">
        <v>0.39</v>
      </c>
      <c r="AV47" s="18">
        <v>0.39</v>
      </c>
      <c r="AW47" s="18">
        <v>0.73</v>
      </c>
      <c r="AX47" s="19">
        <v>0.33</v>
      </c>
    </row>
    <row r="48" spans="42:50" x14ac:dyDescent="0.25">
      <c r="AP48" s="16" t="s">
        <v>61</v>
      </c>
      <c r="AQ48" s="17">
        <v>0.85</v>
      </c>
      <c r="AR48" s="18">
        <v>0.39</v>
      </c>
      <c r="AS48" s="18">
        <v>0.28000000000000003</v>
      </c>
      <c r="AT48" s="18">
        <v>1.89</v>
      </c>
      <c r="AU48" s="18">
        <v>0.45</v>
      </c>
      <c r="AV48" s="18">
        <v>0.45</v>
      </c>
      <c r="AW48" s="18">
        <v>2.59</v>
      </c>
      <c r="AX48" s="19">
        <v>0.33</v>
      </c>
    </row>
    <row r="49" spans="42:50" x14ac:dyDescent="0.25">
      <c r="AP49" s="16" t="s">
        <v>62</v>
      </c>
      <c r="AQ49" s="17">
        <v>4.8899999999999997</v>
      </c>
      <c r="AR49" s="18">
        <v>4.8899999999999997</v>
      </c>
      <c r="AS49" s="18">
        <v>0.39</v>
      </c>
      <c r="AT49" s="18">
        <v>1.89</v>
      </c>
      <c r="AU49" s="18">
        <v>0.45</v>
      </c>
      <c r="AV49" s="18">
        <v>0.2</v>
      </c>
      <c r="AW49" s="18">
        <v>1.37</v>
      </c>
      <c r="AX49" s="19">
        <v>0.33</v>
      </c>
    </row>
    <row r="50" spans="42:50" x14ac:dyDescent="0.25">
      <c r="AP50" s="16" t="s">
        <v>63</v>
      </c>
      <c r="AQ50" s="17">
        <v>0.73</v>
      </c>
      <c r="AR50" s="18">
        <v>0.39</v>
      </c>
      <c r="AS50" s="18">
        <v>0.33</v>
      </c>
      <c r="AT50" s="18">
        <v>1.61</v>
      </c>
      <c r="AU50" s="18">
        <v>0.45</v>
      </c>
      <c r="AV50" s="18">
        <v>0.45</v>
      </c>
      <c r="AW50" s="18">
        <v>0.73</v>
      </c>
      <c r="AX50" s="19">
        <v>0.33</v>
      </c>
    </row>
    <row r="51" spans="42:50" x14ac:dyDescent="0.25">
      <c r="AP51" s="16" t="s">
        <v>64</v>
      </c>
      <c r="AQ51" s="17">
        <v>0</v>
      </c>
      <c r="AR51" s="18">
        <v>0.39</v>
      </c>
      <c r="AS51" s="18">
        <v>0.39</v>
      </c>
      <c r="AT51" s="18">
        <v>4.18</v>
      </c>
      <c r="AU51" s="18">
        <v>0.45</v>
      </c>
      <c r="AV51" s="18">
        <v>0.53</v>
      </c>
      <c r="AW51" s="18">
        <v>0.62</v>
      </c>
      <c r="AX51" s="19">
        <v>0.28000000000000003</v>
      </c>
    </row>
    <row r="52" spans="42:50" x14ac:dyDescent="0.25">
      <c r="AP52" s="16" t="s">
        <v>65</v>
      </c>
      <c r="AQ52" s="17">
        <v>0</v>
      </c>
      <c r="AR52" s="18">
        <v>0.39</v>
      </c>
      <c r="AS52" s="18">
        <v>0.39</v>
      </c>
      <c r="AT52" s="18">
        <v>1.61</v>
      </c>
      <c r="AU52" s="18">
        <v>0.45</v>
      </c>
      <c r="AV52" s="18">
        <v>0.39</v>
      </c>
      <c r="AW52" s="18">
        <v>2.21</v>
      </c>
      <c r="AX52" s="19">
        <v>0.33</v>
      </c>
    </row>
    <row r="53" spans="42:50" x14ac:dyDescent="0.25">
      <c r="AP53" s="16" t="s">
        <v>66</v>
      </c>
      <c r="AQ53" s="17">
        <v>0</v>
      </c>
      <c r="AR53" s="18">
        <v>0.39</v>
      </c>
      <c r="AS53" s="18">
        <v>1.37</v>
      </c>
      <c r="AT53" s="18">
        <v>4.18</v>
      </c>
      <c r="AU53" s="18">
        <v>0.39</v>
      </c>
      <c r="AV53" s="18">
        <v>0.39</v>
      </c>
      <c r="AW53" s="18">
        <v>0.73</v>
      </c>
      <c r="AX53" s="19">
        <v>0.33</v>
      </c>
    </row>
    <row r="54" spans="42:50" x14ac:dyDescent="0.25">
      <c r="AP54" s="16" t="s">
        <v>67</v>
      </c>
      <c r="AQ54" s="17">
        <v>0</v>
      </c>
      <c r="AR54" s="18">
        <v>0.39</v>
      </c>
      <c r="AS54" s="18">
        <v>0.39</v>
      </c>
      <c r="AT54" s="18">
        <v>0.45</v>
      </c>
      <c r="AU54" s="18">
        <v>0.39</v>
      </c>
      <c r="AV54" s="18">
        <v>0.39</v>
      </c>
      <c r="AW54" s="18">
        <v>0.73</v>
      </c>
      <c r="AX54" s="19">
        <v>0.28000000000000003</v>
      </c>
    </row>
    <row r="55" spans="42:50" x14ac:dyDescent="0.25">
      <c r="AP55" s="16" t="s">
        <v>68</v>
      </c>
      <c r="AQ55" s="17">
        <v>0</v>
      </c>
      <c r="AR55" s="18">
        <v>0.39</v>
      </c>
      <c r="AS55" s="18">
        <v>0.39</v>
      </c>
      <c r="AT55" s="18">
        <v>4.18</v>
      </c>
      <c r="AU55" s="18">
        <v>0.53</v>
      </c>
      <c r="AV55" s="18">
        <v>0.45</v>
      </c>
      <c r="AW55" s="18">
        <v>0.85</v>
      </c>
      <c r="AX55" s="19">
        <v>0.28000000000000003</v>
      </c>
    </row>
    <row r="56" spans="42:50" x14ac:dyDescent="0.25">
      <c r="AP56" s="16" t="s">
        <v>69</v>
      </c>
      <c r="AQ56" s="17">
        <v>4.18</v>
      </c>
      <c r="AR56" s="18">
        <v>0.33</v>
      </c>
      <c r="AS56" s="18">
        <v>0.33</v>
      </c>
      <c r="AT56" s="18">
        <v>4.8899999999999997</v>
      </c>
      <c r="AU56" s="18">
        <v>0.39</v>
      </c>
      <c r="AV56" s="18">
        <v>0.45</v>
      </c>
      <c r="AW56" s="18">
        <v>0.73</v>
      </c>
      <c r="AX56" s="19">
        <v>0.33</v>
      </c>
    </row>
    <row r="57" spans="42:50" x14ac:dyDescent="0.25">
      <c r="AP57" s="16" t="s">
        <v>70</v>
      </c>
      <c r="AQ57" s="17">
        <v>4.8899999999999997</v>
      </c>
      <c r="AR57" s="18">
        <v>0.39</v>
      </c>
      <c r="AS57" s="18">
        <v>0.39</v>
      </c>
      <c r="AT57" s="18">
        <v>4.18</v>
      </c>
      <c r="AU57" s="18">
        <v>0.39</v>
      </c>
      <c r="AV57" s="18">
        <v>0.45</v>
      </c>
      <c r="AW57" s="18">
        <v>0.62</v>
      </c>
      <c r="AX57" s="19">
        <v>0.33</v>
      </c>
    </row>
    <row r="58" spans="42:50" x14ac:dyDescent="0.25">
      <c r="AP58" s="16" t="s">
        <v>71</v>
      </c>
      <c r="AQ58" s="17">
        <v>0</v>
      </c>
      <c r="AR58" s="18">
        <v>4.8899999999999997</v>
      </c>
      <c r="AS58" s="18">
        <v>0.39</v>
      </c>
      <c r="AT58" s="18">
        <v>4.18</v>
      </c>
      <c r="AU58" s="18">
        <v>0.53</v>
      </c>
      <c r="AV58" s="18">
        <v>0.39</v>
      </c>
      <c r="AW58" s="18">
        <v>0.62</v>
      </c>
      <c r="AX58" s="19">
        <v>0.33</v>
      </c>
    </row>
    <row r="59" spans="42:50" x14ac:dyDescent="0.25">
      <c r="AP59" s="16" t="s">
        <v>72</v>
      </c>
      <c r="AQ59" s="17">
        <v>0</v>
      </c>
      <c r="AR59" s="18">
        <v>0.39</v>
      </c>
      <c r="AS59" s="18">
        <v>0.39</v>
      </c>
      <c r="AT59" s="18">
        <v>4.18</v>
      </c>
      <c r="AU59" s="18">
        <v>0.45</v>
      </c>
      <c r="AV59" s="18">
        <v>0.39</v>
      </c>
      <c r="AW59" s="18">
        <v>0.62</v>
      </c>
      <c r="AX59" s="19">
        <v>0.33</v>
      </c>
    </row>
    <row r="60" spans="42:50" x14ac:dyDescent="0.25">
      <c r="AP60" s="16" t="s">
        <v>73</v>
      </c>
      <c r="AQ60" s="17">
        <v>0.85</v>
      </c>
      <c r="AR60" s="18">
        <v>1.37</v>
      </c>
      <c r="AS60" s="18">
        <v>1.37</v>
      </c>
      <c r="AT60" s="18">
        <v>1.89</v>
      </c>
      <c r="AU60" s="18">
        <v>0.53</v>
      </c>
      <c r="AV60" s="18">
        <v>0.45</v>
      </c>
      <c r="AW60" s="18">
        <v>1.17</v>
      </c>
      <c r="AX60" s="19">
        <v>0.39</v>
      </c>
    </row>
    <row r="61" spans="42:50" x14ac:dyDescent="0.25">
      <c r="AP61" s="16" t="s">
        <v>74</v>
      </c>
      <c r="AQ61" s="17">
        <v>0</v>
      </c>
      <c r="AR61" s="18">
        <v>0.39</v>
      </c>
      <c r="AS61" s="18">
        <v>1.61</v>
      </c>
      <c r="AT61" s="18">
        <v>1.61</v>
      </c>
      <c r="AU61" s="18">
        <v>0.45</v>
      </c>
      <c r="AV61" s="18">
        <v>0.2</v>
      </c>
      <c r="AW61" s="18">
        <v>0.73</v>
      </c>
      <c r="AX61" s="19">
        <v>0.28000000000000003</v>
      </c>
    </row>
    <row r="62" spans="42:50" ht="15.75" thickBot="1" x14ac:dyDescent="0.3">
      <c r="AP62" s="16" t="s">
        <v>75</v>
      </c>
      <c r="AQ62" s="17">
        <v>0</v>
      </c>
      <c r="AR62" s="18">
        <v>0.39</v>
      </c>
      <c r="AS62" s="18">
        <v>0.39</v>
      </c>
      <c r="AT62" s="18">
        <v>4.18</v>
      </c>
      <c r="AU62" s="18">
        <v>0.45</v>
      </c>
      <c r="AV62" s="18">
        <v>0.2</v>
      </c>
      <c r="AW62" s="18">
        <v>0.62</v>
      </c>
      <c r="AX62" s="19">
        <v>0.33</v>
      </c>
    </row>
    <row r="63" spans="42:50" x14ac:dyDescent="0.25">
      <c r="AP63" s="10" t="s">
        <v>223</v>
      </c>
      <c r="AQ63" s="11">
        <v>1.71</v>
      </c>
      <c r="AR63" s="12">
        <v>0.83779661016949103</v>
      </c>
      <c r="AS63" s="12">
        <v>0.44661016949152499</v>
      </c>
      <c r="AT63" s="12">
        <v>3.3730508474576202</v>
      </c>
      <c r="AU63" s="12">
        <v>0.46593220338982999</v>
      </c>
      <c r="AV63" s="12">
        <v>0.37440677966101599</v>
      </c>
      <c r="AW63" s="12">
        <v>0.85016949152542298</v>
      </c>
      <c r="AX63" s="13">
        <v>0.41593220338983</v>
      </c>
    </row>
    <row r="64" spans="42:50" x14ac:dyDescent="0.25">
      <c r="AP64" s="16" t="s">
        <v>224</v>
      </c>
      <c r="AQ64" s="17">
        <v>1.57670915666329</v>
      </c>
      <c r="AR64" s="18">
        <v>1.0875178826452701</v>
      </c>
      <c r="AS64" s="18">
        <v>0.26809819962533099</v>
      </c>
      <c r="AT64" s="18">
        <v>1.3905994978843501</v>
      </c>
      <c r="AU64" s="18">
        <v>0.234478278738628</v>
      </c>
      <c r="AV64" s="18">
        <v>0.100478030087713</v>
      </c>
      <c r="AW64" s="18">
        <v>0.46655060046906599</v>
      </c>
      <c r="AX64" s="19">
        <v>0.41611243039069801</v>
      </c>
    </row>
    <row r="65" spans="42:50" x14ac:dyDescent="0.25">
      <c r="AP65" s="16" t="s">
        <v>225</v>
      </c>
      <c r="AQ65" s="17">
        <v>3.28670915666329</v>
      </c>
      <c r="AR65" s="18">
        <v>1.9253144928147601</v>
      </c>
      <c r="AS65" s="18">
        <v>0.71470836911685698</v>
      </c>
      <c r="AT65" s="18">
        <v>4.7636503453419801</v>
      </c>
      <c r="AU65" s="18">
        <v>0.70041048212845802</v>
      </c>
      <c r="AV65" s="18">
        <v>0.47488480974872999</v>
      </c>
      <c r="AW65" s="18">
        <v>1.3167200919944899</v>
      </c>
      <c r="AX65" s="19">
        <v>0.83204463378052795</v>
      </c>
    </row>
    <row r="66" spans="42:50" x14ac:dyDescent="0.25">
      <c r="AP66" s="16" t="s">
        <v>226</v>
      </c>
      <c r="AQ66" s="17">
        <v>0.13329084333670299</v>
      </c>
      <c r="AR66" s="18">
        <v>-0.24972127247577899</v>
      </c>
      <c r="AS66" s="18">
        <v>0.178511969866194</v>
      </c>
      <c r="AT66" s="18">
        <v>1.9824513495732601</v>
      </c>
      <c r="AU66" s="18">
        <v>0.23145392465120199</v>
      </c>
      <c r="AV66" s="18">
        <v>0.27392874957330299</v>
      </c>
      <c r="AW66" s="18">
        <v>0.38361889105635599</v>
      </c>
      <c r="AX66" s="19">
        <v>-1.8022700086828199E-4</v>
      </c>
    </row>
    <row r="67" spans="42:50" ht="15.75" thickBot="1" x14ac:dyDescent="0.3">
      <c r="AP67" s="23" t="s">
        <v>227</v>
      </c>
      <c r="AQ67" s="24">
        <v>0.84076923076923005</v>
      </c>
      <c r="AR67" s="25">
        <v>0.56890909090909103</v>
      </c>
      <c r="AS67" s="25">
        <v>0.37509090909090897</v>
      </c>
      <c r="AT67" s="25">
        <v>4.18</v>
      </c>
      <c r="AU67" s="25">
        <v>0.43586206896551699</v>
      </c>
      <c r="AV67" s="25">
        <v>0.41452380952380902</v>
      </c>
      <c r="AW67" s="25">
        <v>0.71358490566037702</v>
      </c>
      <c r="AX67" s="26">
        <v>0.31982142857142798</v>
      </c>
    </row>
    <row r="68" spans="42:50" ht="15.75" thickBot="1" x14ac:dyDescent="0.3">
      <c r="AQ68" s="27"/>
      <c r="AR68" s="27"/>
      <c r="AS68" s="27"/>
      <c r="AT68" s="27"/>
      <c r="AU68" s="27"/>
      <c r="AV68" s="27"/>
      <c r="AW68" s="27"/>
      <c r="AX68" s="27"/>
    </row>
    <row r="69" spans="42:50" ht="30" x14ac:dyDescent="0.25">
      <c r="AP69" s="28" t="s">
        <v>228</v>
      </c>
      <c r="AQ69" s="29">
        <v>5.33</v>
      </c>
      <c r="AR69" s="29">
        <v>3.38</v>
      </c>
      <c r="AS69" s="29">
        <v>2.97</v>
      </c>
      <c r="AT69" s="29">
        <v>2.06</v>
      </c>
      <c r="AU69" s="29">
        <v>1.91</v>
      </c>
      <c r="AV69" s="29">
        <v>3.95</v>
      </c>
      <c r="AW69" s="29">
        <v>2.75</v>
      </c>
      <c r="AX69" s="30">
        <v>1.78</v>
      </c>
    </row>
    <row r="70" spans="42:50" x14ac:dyDescent="0.25">
      <c r="AP70" s="31" t="s">
        <v>229</v>
      </c>
      <c r="AQ70" s="32">
        <f t="shared" ref="AQ70:AX70" si="0">AQ69-AQ67</f>
        <v>4.4892307692307698</v>
      </c>
      <c r="AR70" s="32">
        <f t="shared" si="0"/>
        <v>2.8110909090909089</v>
      </c>
      <c r="AS70" s="32">
        <f t="shared" si="0"/>
        <v>2.5949090909090913</v>
      </c>
      <c r="AT70" s="32">
        <f t="shared" si="0"/>
        <v>-2.1199999999999997</v>
      </c>
      <c r="AU70" s="32">
        <f t="shared" si="0"/>
        <v>1.4741379310344829</v>
      </c>
      <c r="AV70" s="32">
        <f t="shared" si="0"/>
        <v>3.5354761904761913</v>
      </c>
      <c r="AW70" s="32">
        <f t="shared" si="0"/>
        <v>2.0364150943396231</v>
      </c>
      <c r="AX70" s="33">
        <f t="shared" si="0"/>
        <v>1.460178571428572</v>
      </c>
    </row>
    <row r="71" spans="42:50" ht="15.75" thickBot="1" x14ac:dyDescent="0.3">
      <c r="AP71" s="34" t="s">
        <v>230</v>
      </c>
      <c r="AQ71" s="35">
        <f t="shared" ref="AQ71:AX71" si="1">(AQ70/AQ67)*100</f>
        <v>533.94327538883863</v>
      </c>
      <c r="AR71" s="35">
        <f t="shared" si="1"/>
        <v>494.11952700543287</v>
      </c>
      <c r="AS71" s="35">
        <f t="shared" si="1"/>
        <v>691.80804653417385</v>
      </c>
      <c r="AT71" s="35">
        <f t="shared" si="1"/>
        <v>-50.717703349282296</v>
      </c>
      <c r="AU71" s="35">
        <f t="shared" si="1"/>
        <v>338.21202531645594</v>
      </c>
      <c r="AV71" s="35">
        <f t="shared" si="1"/>
        <v>852.90063182079393</v>
      </c>
      <c r="AW71" s="35">
        <f t="shared" si="1"/>
        <v>285.37810682178758</v>
      </c>
      <c r="AX71" s="36">
        <f t="shared" si="1"/>
        <v>456.56058068118472</v>
      </c>
    </row>
    <row r="72" spans="42:50" ht="15.75" thickBot="1" x14ac:dyDescent="0.3">
      <c r="AP72" s="37"/>
      <c r="AQ72" s="32"/>
      <c r="AR72" s="32"/>
      <c r="AS72" s="32"/>
      <c r="AT72" s="32"/>
      <c r="AU72" s="32"/>
      <c r="AV72" s="32"/>
      <c r="AW72" s="32"/>
      <c r="AX72" s="32"/>
    </row>
    <row r="73" spans="42:50" ht="30" x14ac:dyDescent="0.25">
      <c r="AP73" s="28" t="s">
        <v>231</v>
      </c>
      <c r="AQ73" s="29">
        <v>5.21</v>
      </c>
      <c r="AR73" s="29">
        <v>3.2</v>
      </c>
      <c r="AS73" s="29">
        <v>2.89</v>
      </c>
      <c r="AT73" s="29">
        <v>1.87</v>
      </c>
      <c r="AU73" s="29">
        <v>1.75</v>
      </c>
      <c r="AV73" s="29">
        <v>3.89</v>
      </c>
      <c r="AW73" s="29">
        <v>2.65</v>
      </c>
      <c r="AX73" s="30">
        <v>1.68</v>
      </c>
    </row>
    <row r="74" spans="42:50" x14ac:dyDescent="0.25">
      <c r="AP74" s="31" t="s">
        <v>229</v>
      </c>
      <c r="AQ74" s="32">
        <f t="shared" ref="AQ74:AX74" si="2">AQ73-AQ67</f>
        <v>4.3692307692307697</v>
      </c>
      <c r="AR74" s="32">
        <f t="shared" si="2"/>
        <v>2.6310909090909091</v>
      </c>
      <c r="AS74" s="32">
        <f t="shared" si="2"/>
        <v>2.5149090909090912</v>
      </c>
      <c r="AT74" s="32">
        <f t="shared" si="2"/>
        <v>-2.3099999999999996</v>
      </c>
      <c r="AU74" s="32">
        <f t="shared" si="2"/>
        <v>1.314137931034483</v>
      </c>
      <c r="AV74" s="32">
        <f t="shared" si="2"/>
        <v>3.4754761904761913</v>
      </c>
      <c r="AW74" s="32">
        <f t="shared" si="2"/>
        <v>1.936415094339623</v>
      </c>
      <c r="AX74" s="33">
        <f t="shared" si="2"/>
        <v>1.3601785714285719</v>
      </c>
    </row>
    <row r="75" spans="42:50" ht="15.75" thickBot="1" x14ac:dyDescent="0.3">
      <c r="AP75" s="34" t="s">
        <v>230</v>
      </c>
      <c r="AQ75" s="35">
        <f>(AQ74/AQ67)*100</f>
        <v>519.67063129002793</v>
      </c>
      <c r="AR75" s="35">
        <f t="shared" ref="AR75:AX75" si="3">(AR74/AR67)*100</f>
        <v>462.48002556727374</v>
      </c>
      <c r="AS75" s="35">
        <f t="shared" si="3"/>
        <v>670.47988366456639</v>
      </c>
      <c r="AT75" s="35">
        <f t="shared" si="3"/>
        <v>-55.263157894736835</v>
      </c>
      <c r="AU75" s="35">
        <f t="shared" si="3"/>
        <v>301.50316455696225</v>
      </c>
      <c r="AV75" s="35">
        <f t="shared" si="3"/>
        <v>838.42619184376929</v>
      </c>
      <c r="AW75" s="35">
        <f t="shared" si="3"/>
        <v>271.36435748281349</v>
      </c>
      <c r="AX75" s="36">
        <f t="shared" si="3"/>
        <v>425.29313232830913</v>
      </c>
    </row>
    <row r="76" spans="42:50" ht="15.75" thickBot="1" x14ac:dyDescent="0.3">
      <c r="AQ76" s="27"/>
      <c r="AR76" s="27"/>
      <c r="AS76" s="27"/>
      <c r="AT76" s="27"/>
      <c r="AU76" s="27"/>
      <c r="AV76" s="27"/>
      <c r="AW76" s="27"/>
      <c r="AX76" s="27"/>
    </row>
    <row r="77" spans="42:50" ht="30" x14ac:dyDescent="0.25">
      <c r="AP77" s="28" t="s">
        <v>232</v>
      </c>
      <c r="AQ77" s="41">
        <v>5.14</v>
      </c>
      <c r="AR77" s="29">
        <v>3.27</v>
      </c>
      <c r="AS77" s="29">
        <v>2.9</v>
      </c>
      <c r="AT77" s="29">
        <v>1.94</v>
      </c>
      <c r="AU77" s="29">
        <v>1.81</v>
      </c>
      <c r="AV77" s="29">
        <v>3.93</v>
      </c>
      <c r="AW77" s="29">
        <v>2.65</v>
      </c>
      <c r="AX77" s="30">
        <v>1.66</v>
      </c>
    </row>
    <row r="78" spans="42:50" x14ac:dyDescent="0.25">
      <c r="AP78" s="31" t="s">
        <v>229</v>
      </c>
      <c r="AQ78" s="42">
        <f>AQ77-AQ67</f>
        <v>4.2992307692307694</v>
      </c>
      <c r="AR78" s="32">
        <f t="shared" ref="AR78:AX78" si="4">AR77-AR67</f>
        <v>2.701090909090909</v>
      </c>
      <c r="AS78" s="32">
        <f t="shared" si="4"/>
        <v>2.524909090909091</v>
      </c>
      <c r="AT78" s="32">
        <f t="shared" si="4"/>
        <v>-2.2399999999999998</v>
      </c>
      <c r="AU78" s="32">
        <f t="shared" si="4"/>
        <v>1.374137931034483</v>
      </c>
      <c r="AV78" s="32">
        <f t="shared" si="4"/>
        <v>3.5154761904761913</v>
      </c>
      <c r="AW78" s="32">
        <f t="shared" si="4"/>
        <v>1.936415094339623</v>
      </c>
      <c r="AX78" s="33">
        <f t="shared" si="4"/>
        <v>1.3401785714285719</v>
      </c>
    </row>
    <row r="79" spans="42:50" ht="15.75" thickBot="1" x14ac:dyDescent="0.3">
      <c r="AP79" s="34" t="s">
        <v>230</v>
      </c>
      <c r="AQ79" s="43">
        <f>(AQ78/AQ67)*100</f>
        <v>511.3449222323884</v>
      </c>
      <c r="AR79" s="35">
        <f t="shared" ref="AR79:AX79" si="5">(AR78/AR67)*100</f>
        <v>474.78427612655787</v>
      </c>
      <c r="AS79" s="35">
        <f>(AS78/AS67)*100</f>
        <v>673.14590402326735</v>
      </c>
      <c r="AT79" s="35">
        <f t="shared" si="5"/>
        <v>-53.588516746411486</v>
      </c>
      <c r="AU79" s="35">
        <f t="shared" si="5"/>
        <v>315.2689873417724</v>
      </c>
      <c r="AV79" s="35">
        <f>(AV78/AV67)*100</f>
        <v>848.07581849511905</v>
      </c>
      <c r="AW79" s="35">
        <f t="shared" si="5"/>
        <v>271.36435748281349</v>
      </c>
      <c r="AX79" s="36">
        <f t="shared" si="5"/>
        <v>419.03964265773402</v>
      </c>
    </row>
    <row r="80" spans="42:50" x14ac:dyDescent="0.25">
      <c r="AQ80" s="27"/>
      <c r="AR80" s="27"/>
      <c r="AS80" s="27"/>
      <c r="AT80" s="27"/>
      <c r="AU80" s="27"/>
      <c r="AV80" s="27"/>
      <c r="AW80" s="27"/>
      <c r="AX80" s="27"/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083-E643-4980-BFF4-67EB48D8A0C5}">
  <dimension ref="B1:CB925"/>
  <sheetViews>
    <sheetView topLeftCell="AG34" workbookViewId="0">
      <selection activeCell="AP78" sqref="AP78:AX80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1.42578125" style="3" bestFit="1" customWidth="1"/>
    <col min="43" max="45" width="6.5703125" style="3" bestFit="1" customWidth="1"/>
    <col min="46" max="46" width="6.28515625" style="3" bestFit="1" customWidth="1"/>
    <col min="47" max="50" width="6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194</v>
      </c>
      <c r="AQ4" s="11">
        <v>0</v>
      </c>
      <c r="AR4" s="12">
        <v>0.39</v>
      </c>
      <c r="AS4" s="12">
        <v>0.33</v>
      </c>
      <c r="AT4" s="12">
        <v>4.8899999999999997</v>
      </c>
      <c r="AU4" s="12">
        <v>0.39</v>
      </c>
      <c r="AV4" s="12">
        <v>0.39</v>
      </c>
      <c r="AW4" s="12">
        <v>0.62</v>
      </c>
      <c r="AX4" s="13">
        <v>0.33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194</v>
      </c>
      <c r="AQ5" s="17">
        <v>0.85</v>
      </c>
      <c r="AR5" s="18">
        <v>0.39</v>
      </c>
      <c r="AS5" s="18">
        <v>0.39</v>
      </c>
      <c r="AT5" s="18">
        <v>4.18</v>
      </c>
      <c r="AU5" s="18">
        <v>0.45</v>
      </c>
      <c r="AV5" s="18">
        <v>0.39</v>
      </c>
      <c r="AW5" s="18">
        <v>0.62</v>
      </c>
      <c r="AX5" s="19">
        <v>0.33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194</v>
      </c>
      <c r="AQ6" s="17">
        <v>0</v>
      </c>
      <c r="AR6" s="18">
        <v>0.39</v>
      </c>
      <c r="AS6" s="18">
        <v>0.39</v>
      </c>
      <c r="AT6" s="18">
        <v>4.8899999999999997</v>
      </c>
      <c r="AU6" s="18">
        <v>0.39</v>
      </c>
      <c r="AV6" s="18">
        <v>0.45</v>
      </c>
      <c r="AW6" s="18">
        <v>0.62</v>
      </c>
      <c r="AX6" s="19">
        <v>0.33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194</v>
      </c>
      <c r="AQ7" s="17">
        <v>0</v>
      </c>
      <c r="AR7" s="18">
        <v>1.61</v>
      </c>
      <c r="AS7" s="18">
        <v>0.39</v>
      </c>
      <c r="AT7" s="18">
        <v>1.61</v>
      </c>
      <c r="AU7" s="18">
        <v>0.53</v>
      </c>
      <c r="AV7" s="18">
        <v>0.45</v>
      </c>
      <c r="AW7" s="18">
        <v>0.62</v>
      </c>
      <c r="AX7" s="19">
        <v>0.33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194</v>
      </c>
      <c r="AQ8" s="17">
        <v>0</v>
      </c>
      <c r="AR8" s="18">
        <v>1.89</v>
      </c>
      <c r="AS8" s="18">
        <v>0.33</v>
      </c>
      <c r="AT8" s="18">
        <v>4.8899999999999997</v>
      </c>
      <c r="AU8" s="18">
        <v>0.39</v>
      </c>
      <c r="AV8" s="18">
        <v>0.53</v>
      </c>
      <c r="AW8" s="18">
        <v>0.62</v>
      </c>
      <c r="AX8" s="19">
        <v>0.28000000000000003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195</v>
      </c>
      <c r="AQ9" s="17">
        <v>0.85</v>
      </c>
      <c r="AR9" s="18">
        <v>1.37</v>
      </c>
      <c r="AS9" s="18">
        <v>0.33</v>
      </c>
      <c r="AT9" s="18">
        <v>0.39</v>
      </c>
      <c r="AU9" s="18">
        <v>0.53</v>
      </c>
      <c r="AV9" s="18">
        <v>0.24</v>
      </c>
      <c r="AW9" s="18">
        <v>2.21</v>
      </c>
      <c r="AX9" s="19">
        <v>0.28000000000000003</v>
      </c>
    </row>
    <row r="10" spans="2:80" x14ac:dyDescent="0.25">
      <c r="AP10" s="16" t="s">
        <v>195</v>
      </c>
      <c r="AQ10" s="17">
        <v>0</v>
      </c>
      <c r="AR10" s="18">
        <v>0.39</v>
      </c>
      <c r="AS10" s="18">
        <v>0.39</v>
      </c>
      <c r="AT10" s="18">
        <v>4.8899999999999997</v>
      </c>
      <c r="AU10" s="18">
        <v>0.53</v>
      </c>
      <c r="AV10" s="18">
        <v>0.45</v>
      </c>
      <c r="AW10" s="18">
        <v>0.62</v>
      </c>
      <c r="AX10" s="19">
        <v>0.33</v>
      </c>
    </row>
    <row r="11" spans="2:80" x14ac:dyDescent="0.25">
      <c r="AP11" s="16" t="s">
        <v>195</v>
      </c>
      <c r="AQ11" s="17">
        <v>0</v>
      </c>
      <c r="AR11" s="18">
        <v>0.39</v>
      </c>
      <c r="AS11" s="18">
        <v>0.39</v>
      </c>
      <c r="AT11" s="18">
        <v>1.89</v>
      </c>
      <c r="AU11" s="18">
        <v>0.39</v>
      </c>
      <c r="AV11" s="18">
        <v>0.45</v>
      </c>
      <c r="AW11" s="18">
        <v>0.62</v>
      </c>
      <c r="AX11" s="19">
        <v>0.28000000000000003</v>
      </c>
    </row>
    <row r="12" spans="2:80" x14ac:dyDescent="0.25">
      <c r="AP12" s="16" t="s">
        <v>195</v>
      </c>
      <c r="AQ12" s="17">
        <v>0</v>
      </c>
      <c r="AR12" s="18">
        <v>0.39</v>
      </c>
      <c r="AS12" s="18">
        <v>0.39</v>
      </c>
      <c r="AT12" s="18">
        <v>4.8899999999999997</v>
      </c>
      <c r="AU12" s="18">
        <v>0.45</v>
      </c>
      <c r="AV12" s="18">
        <v>0.39</v>
      </c>
      <c r="AW12" s="18">
        <v>0.62</v>
      </c>
      <c r="AX12" s="19">
        <v>0.33</v>
      </c>
    </row>
    <row r="13" spans="2:80" x14ac:dyDescent="0.25">
      <c r="AP13" s="16" t="s">
        <v>195</v>
      </c>
      <c r="AQ13" s="17">
        <v>0</v>
      </c>
      <c r="AR13" s="18">
        <v>0.45</v>
      </c>
      <c r="AS13" s="18">
        <v>0.39</v>
      </c>
      <c r="AT13" s="18">
        <v>1.89</v>
      </c>
      <c r="AU13" s="18">
        <v>0.39</v>
      </c>
      <c r="AV13" s="18">
        <v>0.39</v>
      </c>
      <c r="AW13" s="18">
        <v>0.62</v>
      </c>
      <c r="AX13" s="19">
        <v>0.33</v>
      </c>
    </row>
    <row r="14" spans="2:80" x14ac:dyDescent="0.25">
      <c r="AP14" s="16" t="s">
        <v>196</v>
      </c>
      <c r="AQ14" s="17">
        <v>0</v>
      </c>
      <c r="AR14" s="18">
        <v>0.39</v>
      </c>
      <c r="AS14" s="18">
        <v>0.39</v>
      </c>
      <c r="AT14" s="18">
        <v>4.8899999999999997</v>
      </c>
      <c r="AU14" s="18">
        <v>0.53</v>
      </c>
      <c r="AV14" s="18">
        <v>0.45</v>
      </c>
      <c r="AW14" s="18">
        <v>1.17</v>
      </c>
      <c r="AX14" s="19">
        <v>0.33</v>
      </c>
    </row>
    <row r="15" spans="2:80" x14ac:dyDescent="0.25">
      <c r="AP15" s="16" t="s">
        <v>196</v>
      </c>
      <c r="AQ15" s="17">
        <v>0</v>
      </c>
      <c r="AR15" s="18">
        <v>1.89</v>
      </c>
      <c r="AS15" s="18">
        <v>0.39</v>
      </c>
      <c r="AT15" s="18">
        <v>1.89</v>
      </c>
      <c r="AU15" s="18">
        <v>0.53</v>
      </c>
      <c r="AV15" s="18">
        <v>0.2</v>
      </c>
      <c r="AW15" s="18">
        <v>0.62</v>
      </c>
      <c r="AX15" s="19">
        <v>0.28000000000000003</v>
      </c>
    </row>
    <row r="16" spans="2:80" x14ac:dyDescent="0.25">
      <c r="AP16" s="16" t="s">
        <v>196</v>
      </c>
      <c r="AQ16" s="17">
        <v>0.85</v>
      </c>
      <c r="AR16" s="18">
        <v>0.39</v>
      </c>
      <c r="AS16" s="18">
        <v>0.28000000000000003</v>
      </c>
      <c r="AT16" s="18">
        <v>1.61</v>
      </c>
      <c r="AU16" s="18">
        <v>0.45</v>
      </c>
      <c r="AV16" s="18">
        <v>0.45</v>
      </c>
      <c r="AW16" s="18">
        <v>0.62</v>
      </c>
      <c r="AX16" s="19">
        <v>0.33</v>
      </c>
    </row>
    <row r="17" spans="42:50" x14ac:dyDescent="0.25">
      <c r="AP17" s="16" t="s">
        <v>196</v>
      </c>
      <c r="AQ17" s="17">
        <v>0</v>
      </c>
      <c r="AR17" s="18">
        <v>0.39</v>
      </c>
      <c r="AS17" s="18">
        <v>0.33</v>
      </c>
      <c r="AT17" s="18">
        <v>4.8899999999999997</v>
      </c>
      <c r="AU17" s="18">
        <v>0.45</v>
      </c>
      <c r="AV17" s="18">
        <v>0.45</v>
      </c>
      <c r="AW17" s="18">
        <v>0.62</v>
      </c>
      <c r="AX17" s="19">
        <v>0.33</v>
      </c>
    </row>
    <row r="18" spans="42:50" x14ac:dyDescent="0.25">
      <c r="AP18" s="16" t="s">
        <v>196</v>
      </c>
      <c r="AQ18" s="17">
        <v>0.85</v>
      </c>
      <c r="AR18" s="18">
        <v>1.61</v>
      </c>
      <c r="AS18" s="18">
        <v>0.39</v>
      </c>
      <c r="AT18" s="18">
        <v>4.18</v>
      </c>
      <c r="AU18" s="18">
        <v>0.45</v>
      </c>
      <c r="AV18" s="18">
        <v>0.39</v>
      </c>
      <c r="AW18" s="18">
        <v>0.62</v>
      </c>
      <c r="AX18" s="19">
        <v>0.33</v>
      </c>
    </row>
    <row r="19" spans="42:50" x14ac:dyDescent="0.25">
      <c r="AP19" s="16" t="s">
        <v>197</v>
      </c>
      <c r="AQ19" s="17">
        <v>0.85</v>
      </c>
      <c r="AR19" s="18">
        <v>1.61</v>
      </c>
      <c r="AS19" s="18">
        <v>0.33</v>
      </c>
      <c r="AT19" s="18">
        <v>1.89</v>
      </c>
      <c r="AU19" s="18">
        <v>0.45</v>
      </c>
      <c r="AV19" s="18">
        <v>0.2</v>
      </c>
      <c r="AW19" s="18">
        <v>1.17</v>
      </c>
      <c r="AX19" s="19">
        <v>0.33</v>
      </c>
    </row>
    <row r="20" spans="42:50" x14ac:dyDescent="0.25">
      <c r="AP20" s="16" t="s">
        <v>197</v>
      </c>
      <c r="AQ20" s="17">
        <v>0</v>
      </c>
      <c r="AR20" s="18">
        <v>0.39</v>
      </c>
      <c r="AS20" s="18">
        <v>0.39</v>
      </c>
      <c r="AT20" s="18">
        <v>4.18</v>
      </c>
      <c r="AU20" s="18">
        <v>0.39</v>
      </c>
      <c r="AV20" s="18">
        <v>0.39</v>
      </c>
      <c r="AW20" s="18">
        <v>1.17</v>
      </c>
      <c r="AX20" s="19">
        <v>0.33</v>
      </c>
    </row>
    <row r="21" spans="42:50" x14ac:dyDescent="0.25">
      <c r="AP21" s="16" t="s">
        <v>197</v>
      </c>
      <c r="AQ21" s="17">
        <v>0</v>
      </c>
      <c r="AR21" s="18">
        <v>0.39</v>
      </c>
      <c r="AS21" s="18">
        <v>1.37</v>
      </c>
      <c r="AT21" s="18">
        <v>4.18</v>
      </c>
      <c r="AU21" s="18">
        <v>0.45</v>
      </c>
      <c r="AV21" s="18">
        <v>0.2</v>
      </c>
      <c r="AW21" s="18">
        <v>0.62</v>
      </c>
      <c r="AX21" s="19">
        <v>0.33</v>
      </c>
    </row>
    <row r="22" spans="42:50" x14ac:dyDescent="0.25">
      <c r="AP22" s="16" t="s">
        <v>197</v>
      </c>
      <c r="AQ22" s="17">
        <v>0</v>
      </c>
      <c r="AR22" s="18">
        <v>0.39</v>
      </c>
      <c r="AS22" s="18">
        <v>0.39</v>
      </c>
      <c r="AT22" s="18">
        <v>4.8899999999999997</v>
      </c>
      <c r="AU22" s="18">
        <v>0.39</v>
      </c>
      <c r="AV22" s="18">
        <v>0.39</v>
      </c>
      <c r="AW22" s="18">
        <v>0.73</v>
      </c>
      <c r="AX22" s="19">
        <v>0.33</v>
      </c>
    </row>
    <row r="23" spans="42:50" x14ac:dyDescent="0.25">
      <c r="AP23" s="16" t="s">
        <v>197</v>
      </c>
      <c r="AQ23" s="17">
        <v>0</v>
      </c>
      <c r="AR23" s="18">
        <v>0.39</v>
      </c>
      <c r="AS23" s="18">
        <v>0.39</v>
      </c>
      <c r="AT23" s="18">
        <v>4.8899999999999997</v>
      </c>
      <c r="AU23" s="18">
        <v>0.39</v>
      </c>
      <c r="AV23" s="18">
        <v>0.39</v>
      </c>
      <c r="AW23" s="18">
        <v>0.62</v>
      </c>
      <c r="AX23" s="19">
        <v>2.21</v>
      </c>
    </row>
    <row r="24" spans="42:50" x14ac:dyDescent="0.25">
      <c r="AP24" s="16" t="s">
        <v>198</v>
      </c>
      <c r="AQ24" s="17">
        <v>4.18</v>
      </c>
      <c r="AR24" s="18">
        <v>0.39</v>
      </c>
      <c r="AS24" s="18">
        <v>0.39</v>
      </c>
      <c r="AT24" s="18">
        <v>4.18</v>
      </c>
      <c r="AU24" s="18">
        <v>0.39</v>
      </c>
      <c r="AV24" s="18">
        <v>0.28000000000000003</v>
      </c>
      <c r="AW24" s="18">
        <v>0.73</v>
      </c>
      <c r="AX24" s="19">
        <v>2.21</v>
      </c>
    </row>
    <row r="25" spans="42:50" x14ac:dyDescent="0.25">
      <c r="AP25" s="16" t="s">
        <v>198</v>
      </c>
      <c r="AQ25" s="17">
        <v>0</v>
      </c>
      <c r="AR25" s="18">
        <v>0.39</v>
      </c>
      <c r="AS25" s="18">
        <v>0.39</v>
      </c>
      <c r="AT25" s="18">
        <v>1.89</v>
      </c>
      <c r="AU25" s="18">
        <v>0.45</v>
      </c>
      <c r="AV25" s="18">
        <v>0.24</v>
      </c>
      <c r="AW25" s="18">
        <v>0.62</v>
      </c>
      <c r="AX25" s="19">
        <v>0.28000000000000003</v>
      </c>
    </row>
    <row r="26" spans="42:50" x14ac:dyDescent="0.25">
      <c r="AP26" s="16" t="s">
        <v>198</v>
      </c>
      <c r="AQ26" s="17">
        <v>0</v>
      </c>
      <c r="AR26" s="18">
        <v>0.39</v>
      </c>
      <c r="AS26" s="18">
        <v>0.33</v>
      </c>
      <c r="AT26" s="18">
        <v>1.61</v>
      </c>
      <c r="AU26" s="18">
        <v>0.39</v>
      </c>
      <c r="AV26" s="18">
        <v>0.39</v>
      </c>
      <c r="AW26" s="18">
        <v>0.62</v>
      </c>
      <c r="AX26" s="19">
        <v>0.33</v>
      </c>
    </row>
    <row r="27" spans="42:50" x14ac:dyDescent="0.25">
      <c r="AP27" s="16" t="s">
        <v>198</v>
      </c>
      <c r="AQ27" s="17">
        <v>0</v>
      </c>
      <c r="AR27" s="18">
        <v>0.39</v>
      </c>
      <c r="AS27" s="18">
        <v>0.39</v>
      </c>
      <c r="AT27" s="18">
        <v>4.18</v>
      </c>
      <c r="AU27" s="18">
        <v>0.39</v>
      </c>
      <c r="AV27" s="18">
        <v>0.45</v>
      </c>
      <c r="AW27" s="18">
        <v>0.62</v>
      </c>
      <c r="AX27" s="19">
        <v>0.33</v>
      </c>
    </row>
    <row r="28" spans="42:50" x14ac:dyDescent="0.25">
      <c r="AP28" s="16" t="s">
        <v>198</v>
      </c>
      <c r="AQ28" s="17">
        <v>0.85</v>
      </c>
      <c r="AR28" s="18">
        <v>1.61</v>
      </c>
      <c r="AS28" s="18">
        <v>0.39</v>
      </c>
      <c r="AT28" s="18">
        <v>4.18</v>
      </c>
      <c r="AU28" s="18">
        <v>0.39</v>
      </c>
      <c r="AV28" s="18">
        <v>0.45</v>
      </c>
      <c r="AW28" s="18">
        <v>0.62</v>
      </c>
      <c r="AX28" s="19">
        <v>0.33</v>
      </c>
    </row>
    <row r="29" spans="42:50" x14ac:dyDescent="0.25">
      <c r="AP29" s="16" t="s">
        <v>199</v>
      </c>
      <c r="AQ29" s="17">
        <v>0.85</v>
      </c>
      <c r="AR29" s="18">
        <v>0.39</v>
      </c>
      <c r="AS29" s="18">
        <v>0.33</v>
      </c>
      <c r="AT29" s="18">
        <v>4.18</v>
      </c>
      <c r="AU29" s="18">
        <v>0.39</v>
      </c>
      <c r="AV29" s="18">
        <v>0.39</v>
      </c>
      <c r="AW29" s="18">
        <v>0.62</v>
      </c>
      <c r="AX29" s="19">
        <v>0.33</v>
      </c>
    </row>
    <row r="30" spans="42:50" x14ac:dyDescent="0.25">
      <c r="AP30" s="16" t="s">
        <v>199</v>
      </c>
      <c r="AQ30" s="17">
        <v>0.85</v>
      </c>
      <c r="AR30" s="18">
        <v>4.18</v>
      </c>
      <c r="AS30" s="18">
        <v>0.39</v>
      </c>
      <c r="AT30" s="18">
        <v>1.61</v>
      </c>
      <c r="AU30" s="18">
        <v>0.53</v>
      </c>
      <c r="AV30" s="18">
        <v>0.24</v>
      </c>
      <c r="AW30" s="18">
        <v>1.17</v>
      </c>
      <c r="AX30" s="19">
        <v>0.33</v>
      </c>
    </row>
    <row r="31" spans="42:50" x14ac:dyDescent="0.25">
      <c r="AP31" s="16" t="s">
        <v>199</v>
      </c>
      <c r="AQ31" s="17">
        <v>0.85</v>
      </c>
      <c r="AR31" s="18">
        <v>0.39</v>
      </c>
      <c r="AS31" s="18">
        <v>0.39</v>
      </c>
      <c r="AT31" s="18">
        <v>4.18</v>
      </c>
      <c r="AU31" s="18">
        <v>0.39</v>
      </c>
      <c r="AV31" s="18">
        <v>0.39</v>
      </c>
      <c r="AW31" s="18">
        <v>0.73</v>
      </c>
      <c r="AX31" s="19">
        <v>0.33</v>
      </c>
    </row>
    <row r="32" spans="42:50" x14ac:dyDescent="0.25">
      <c r="AP32" s="16" t="s">
        <v>199</v>
      </c>
      <c r="AQ32" s="17">
        <v>0</v>
      </c>
      <c r="AR32" s="18">
        <v>0.39</v>
      </c>
      <c r="AS32" s="18">
        <v>0.39</v>
      </c>
      <c r="AT32" s="18">
        <v>4.18</v>
      </c>
      <c r="AU32" s="18">
        <v>0.39</v>
      </c>
      <c r="AV32" s="18">
        <v>0.45</v>
      </c>
      <c r="AW32" s="18">
        <v>0.62</v>
      </c>
      <c r="AX32" s="19">
        <v>0.39</v>
      </c>
    </row>
    <row r="33" spans="42:50" x14ac:dyDescent="0.25">
      <c r="AP33" s="16" t="s">
        <v>199</v>
      </c>
      <c r="AQ33" s="17">
        <v>0</v>
      </c>
      <c r="AR33" s="18">
        <v>1.61</v>
      </c>
      <c r="AS33" s="18">
        <v>0.39</v>
      </c>
      <c r="AT33" s="18">
        <v>4.18</v>
      </c>
      <c r="AU33" s="18">
        <v>0.53</v>
      </c>
      <c r="AV33" s="18">
        <v>0.53</v>
      </c>
      <c r="AW33" s="18">
        <v>0.62</v>
      </c>
      <c r="AX33" s="19">
        <v>0.28000000000000003</v>
      </c>
    </row>
    <row r="34" spans="42:50" x14ac:dyDescent="0.25">
      <c r="AP34" s="16" t="s">
        <v>200</v>
      </c>
      <c r="AQ34" s="17">
        <v>0</v>
      </c>
      <c r="AR34" s="18">
        <v>0.39</v>
      </c>
      <c r="AS34" s="18">
        <v>0.33</v>
      </c>
      <c r="AT34" s="18">
        <v>4.8899999999999997</v>
      </c>
      <c r="AU34" s="18">
        <v>0.45</v>
      </c>
      <c r="AV34" s="18">
        <v>0.2</v>
      </c>
      <c r="AW34" s="18">
        <v>0.73</v>
      </c>
      <c r="AX34" s="19">
        <v>2.21</v>
      </c>
    </row>
    <row r="35" spans="42:50" x14ac:dyDescent="0.25">
      <c r="AP35" s="16" t="s">
        <v>200</v>
      </c>
      <c r="AQ35" s="17">
        <v>0</v>
      </c>
      <c r="AR35" s="18">
        <v>0.39</v>
      </c>
      <c r="AS35" s="18">
        <v>0.39</v>
      </c>
      <c r="AT35" s="18">
        <v>4.18</v>
      </c>
      <c r="AU35" s="18">
        <v>0.45</v>
      </c>
      <c r="AV35" s="18">
        <v>0.24</v>
      </c>
      <c r="AW35" s="18">
        <v>0.73</v>
      </c>
      <c r="AX35" s="19">
        <v>0.28000000000000003</v>
      </c>
    </row>
    <row r="36" spans="42:50" x14ac:dyDescent="0.25">
      <c r="AP36" s="16" t="s">
        <v>200</v>
      </c>
      <c r="AQ36" s="17">
        <v>0</v>
      </c>
      <c r="AR36" s="18">
        <v>0.39</v>
      </c>
      <c r="AS36" s="18">
        <v>0.39</v>
      </c>
      <c r="AT36" s="18">
        <v>4.18</v>
      </c>
      <c r="AU36" s="18">
        <v>0.39</v>
      </c>
      <c r="AV36" s="18">
        <v>0.39</v>
      </c>
      <c r="AW36" s="18">
        <v>0.62</v>
      </c>
      <c r="AX36" s="19">
        <v>0.28000000000000003</v>
      </c>
    </row>
    <row r="37" spans="42:50" x14ac:dyDescent="0.25">
      <c r="AP37" s="16" t="s">
        <v>200</v>
      </c>
      <c r="AQ37" s="17">
        <v>0</v>
      </c>
      <c r="AR37" s="18">
        <v>0.39</v>
      </c>
      <c r="AS37" s="18">
        <v>0.39</v>
      </c>
      <c r="AT37" s="18">
        <v>4.18</v>
      </c>
      <c r="AU37" s="18">
        <v>0.45</v>
      </c>
      <c r="AV37" s="18">
        <v>0.39</v>
      </c>
      <c r="AW37" s="18">
        <v>0.62</v>
      </c>
      <c r="AX37" s="19">
        <v>0.33</v>
      </c>
    </row>
    <row r="38" spans="42:50" x14ac:dyDescent="0.25">
      <c r="AP38" s="16" t="s">
        <v>200</v>
      </c>
      <c r="AQ38" s="17">
        <v>0</v>
      </c>
      <c r="AR38" s="18">
        <v>0.39</v>
      </c>
      <c r="AS38" s="18">
        <v>0.39</v>
      </c>
      <c r="AT38" s="18">
        <v>4.18</v>
      </c>
      <c r="AU38" s="18">
        <v>0.45</v>
      </c>
      <c r="AV38" s="18">
        <v>0.45</v>
      </c>
      <c r="AW38" s="18">
        <v>0.62</v>
      </c>
      <c r="AX38" s="19">
        <v>0.33</v>
      </c>
    </row>
    <row r="39" spans="42:50" x14ac:dyDescent="0.25">
      <c r="AP39" s="16" t="s">
        <v>201</v>
      </c>
      <c r="AQ39" s="17">
        <v>0</v>
      </c>
      <c r="AR39" s="18">
        <v>0.39</v>
      </c>
      <c r="AS39" s="18">
        <v>0.33</v>
      </c>
      <c r="AT39" s="18">
        <v>4.8899999999999997</v>
      </c>
      <c r="AU39" s="18">
        <v>0.39</v>
      </c>
      <c r="AV39" s="18">
        <v>0.45</v>
      </c>
      <c r="AW39" s="18">
        <v>0.73</v>
      </c>
      <c r="AX39" s="19">
        <v>0.28000000000000003</v>
      </c>
    </row>
    <row r="40" spans="42:50" x14ac:dyDescent="0.25">
      <c r="AP40" s="16" t="s">
        <v>201</v>
      </c>
      <c r="AQ40" s="17">
        <v>0.85</v>
      </c>
      <c r="AR40" s="18">
        <v>0.39</v>
      </c>
      <c r="AS40" s="18">
        <v>0.39</v>
      </c>
      <c r="AT40" s="18">
        <v>4.18</v>
      </c>
      <c r="AU40" s="18">
        <v>0.45</v>
      </c>
      <c r="AV40" s="18">
        <v>0.45</v>
      </c>
      <c r="AW40" s="18">
        <v>0.73</v>
      </c>
      <c r="AX40" s="19">
        <v>0.33</v>
      </c>
    </row>
    <row r="41" spans="42:50" x14ac:dyDescent="0.25">
      <c r="AP41" s="16" t="s">
        <v>201</v>
      </c>
      <c r="AQ41" s="17">
        <v>0.85</v>
      </c>
      <c r="AR41" s="18">
        <v>1.89</v>
      </c>
      <c r="AS41" s="18">
        <v>0.33</v>
      </c>
      <c r="AT41" s="18">
        <v>0.45</v>
      </c>
      <c r="AU41" s="18">
        <v>0.53</v>
      </c>
      <c r="AV41" s="18">
        <v>0.2</v>
      </c>
      <c r="AW41" s="18">
        <v>2.59</v>
      </c>
      <c r="AX41" s="19">
        <v>0.33</v>
      </c>
    </row>
    <row r="42" spans="42:50" x14ac:dyDescent="0.25">
      <c r="AP42" s="16" t="s">
        <v>201</v>
      </c>
      <c r="AQ42" s="17">
        <v>0</v>
      </c>
      <c r="AR42" s="18">
        <v>0.39</v>
      </c>
      <c r="AS42" s="18">
        <v>0.39</v>
      </c>
      <c r="AT42" s="18">
        <v>1.61</v>
      </c>
      <c r="AU42" s="18">
        <v>0.39</v>
      </c>
      <c r="AV42" s="18">
        <v>0.39</v>
      </c>
      <c r="AW42" s="18">
        <v>0.62</v>
      </c>
      <c r="AX42" s="19">
        <v>0.28000000000000003</v>
      </c>
    </row>
    <row r="43" spans="42:50" x14ac:dyDescent="0.25">
      <c r="AP43" s="16" t="s">
        <v>201</v>
      </c>
      <c r="AQ43" s="17">
        <v>0</v>
      </c>
      <c r="AR43" s="18">
        <v>0.39</v>
      </c>
      <c r="AS43" s="18">
        <v>0.39</v>
      </c>
      <c r="AT43" s="18">
        <v>4.18</v>
      </c>
      <c r="AU43" s="18">
        <v>0.39</v>
      </c>
      <c r="AV43" s="18">
        <v>0.39</v>
      </c>
      <c r="AW43" s="18">
        <v>0.62</v>
      </c>
      <c r="AX43" s="19">
        <v>0.33</v>
      </c>
    </row>
    <row r="44" spans="42:50" x14ac:dyDescent="0.25">
      <c r="AP44" s="16" t="s">
        <v>202</v>
      </c>
      <c r="AQ44" s="17">
        <v>0</v>
      </c>
      <c r="AR44" s="18">
        <v>4.18</v>
      </c>
      <c r="AS44" s="18">
        <v>0.39</v>
      </c>
      <c r="AT44" s="18">
        <v>4.18</v>
      </c>
      <c r="AU44" s="18">
        <v>0.39</v>
      </c>
      <c r="AV44" s="18">
        <v>0.2</v>
      </c>
      <c r="AW44" s="18">
        <v>0.62</v>
      </c>
      <c r="AX44" s="19">
        <v>0.33</v>
      </c>
    </row>
    <row r="45" spans="42:50" x14ac:dyDescent="0.25">
      <c r="AP45" s="16" t="s">
        <v>202</v>
      </c>
      <c r="AQ45" s="17">
        <v>0</v>
      </c>
      <c r="AR45" s="18">
        <v>0.39</v>
      </c>
      <c r="AS45" s="18">
        <v>0.39</v>
      </c>
      <c r="AT45" s="18">
        <v>4.18</v>
      </c>
      <c r="AU45" s="18">
        <v>0.39</v>
      </c>
      <c r="AV45" s="18">
        <v>0.39</v>
      </c>
      <c r="AW45" s="18">
        <v>0.62</v>
      </c>
      <c r="AX45" s="19">
        <v>0.28000000000000003</v>
      </c>
    </row>
    <row r="46" spans="42:50" x14ac:dyDescent="0.25">
      <c r="AP46" s="16" t="s">
        <v>202</v>
      </c>
      <c r="AQ46" s="17">
        <v>0</v>
      </c>
      <c r="AR46" s="18">
        <v>0.39</v>
      </c>
      <c r="AS46" s="18">
        <v>0.39</v>
      </c>
      <c r="AT46" s="18">
        <v>1.89</v>
      </c>
      <c r="AU46" s="18">
        <v>0.45</v>
      </c>
      <c r="AV46" s="18">
        <v>0.45</v>
      </c>
      <c r="AW46" s="18">
        <v>0.62</v>
      </c>
      <c r="AX46" s="19">
        <v>0.39</v>
      </c>
    </row>
    <row r="47" spans="42:50" x14ac:dyDescent="0.25">
      <c r="AP47" s="16" t="s">
        <v>202</v>
      </c>
      <c r="AQ47" s="17">
        <v>0</v>
      </c>
      <c r="AR47" s="18">
        <v>0.39</v>
      </c>
      <c r="AS47" s="18">
        <v>0.39</v>
      </c>
      <c r="AT47" s="18">
        <v>1.89</v>
      </c>
      <c r="AU47" s="18">
        <v>2.21</v>
      </c>
      <c r="AV47" s="18">
        <v>0.62</v>
      </c>
      <c r="AW47" s="18">
        <v>0.62</v>
      </c>
      <c r="AX47" s="19">
        <v>0.28000000000000003</v>
      </c>
    </row>
    <row r="48" spans="42:50" x14ac:dyDescent="0.25">
      <c r="AP48" s="16" t="s">
        <v>202</v>
      </c>
      <c r="AQ48" s="17">
        <v>0</v>
      </c>
      <c r="AR48" s="18">
        <v>0.39</v>
      </c>
      <c r="AS48" s="18">
        <v>0.39</v>
      </c>
      <c r="AT48" s="18">
        <v>1.61</v>
      </c>
      <c r="AU48" s="18">
        <v>0.39</v>
      </c>
      <c r="AV48" s="18">
        <v>0.24</v>
      </c>
      <c r="AW48" s="18">
        <v>1.37</v>
      </c>
      <c r="AX48" s="19">
        <v>0.33</v>
      </c>
    </row>
    <row r="49" spans="42:50" x14ac:dyDescent="0.25">
      <c r="AP49" s="16" t="s">
        <v>203</v>
      </c>
      <c r="AQ49" s="17">
        <v>0</v>
      </c>
      <c r="AR49" s="18">
        <v>0.39</v>
      </c>
      <c r="AS49" s="18">
        <v>0.39</v>
      </c>
      <c r="AT49" s="18">
        <v>4.18</v>
      </c>
      <c r="AU49" s="18">
        <v>0.39</v>
      </c>
      <c r="AV49" s="18">
        <v>0.39</v>
      </c>
      <c r="AW49" s="18">
        <v>0.73</v>
      </c>
      <c r="AX49" s="19">
        <v>0.33</v>
      </c>
    </row>
    <row r="50" spans="42:50" x14ac:dyDescent="0.25">
      <c r="AP50" s="16" t="s">
        <v>203</v>
      </c>
      <c r="AQ50" s="17">
        <v>0.85</v>
      </c>
      <c r="AR50" s="18">
        <v>0.39</v>
      </c>
      <c r="AS50" s="18">
        <v>0.28000000000000003</v>
      </c>
      <c r="AT50" s="18">
        <v>1.89</v>
      </c>
      <c r="AU50" s="18">
        <v>0.45</v>
      </c>
      <c r="AV50" s="18">
        <v>0.45</v>
      </c>
      <c r="AW50" s="18">
        <v>2.59</v>
      </c>
      <c r="AX50" s="19">
        <v>0.33</v>
      </c>
    </row>
    <row r="51" spans="42:50" x14ac:dyDescent="0.25">
      <c r="AP51" s="16" t="s">
        <v>203</v>
      </c>
      <c r="AQ51" s="17">
        <v>4.8899999999999997</v>
      </c>
      <c r="AR51" s="18">
        <v>4.8899999999999997</v>
      </c>
      <c r="AS51" s="18">
        <v>0.39</v>
      </c>
      <c r="AT51" s="18">
        <v>1.89</v>
      </c>
      <c r="AU51" s="18">
        <v>0.45</v>
      </c>
      <c r="AV51" s="18">
        <v>0.2</v>
      </c>
      <c r="AW51" s="18">
        <v>1.37</v>
      </c>
      <c r="AX51" s="19">
        <v>0.33</v>
      </c>
    </row>
    <row r="52" spans="42:50" x14ac:dyDescent="0.25">
      <c r="AP52" s="16" t="s">
        <v>203</v>
      </c>
      <c r="AQ52" s="17">
        <v>0</v>
      </c>
      <c r="AR52" s="18">
        <v>0.39</v>
      </c>
      <c r="AS52" s="18">
        <v>0.39</v>
      </c>
      <c r="AT52" s="18">
        <v>4.18</v>
      </c>
      <c r="AU52" s="18">
        <v>0.39</v>
      </c>
      <c r="AV52" s="18">
        <v>0.39</v>
      </c>
      <c r="AW52" s="18">
        <v>0.62</v>
      </c>
      <c r="AX52" s="19">
        <v>0.33</v>
      </c>
    </row>
    <row r="53" spans="42:50" x14ac:dyDescent="0.25">
      <c r="AP53" s="16" t="s">
        <v>203</v>
      </c>
      <c r="AQ53" s="17">
        <v>0</v>
      </c>
      <c r="AR53" s="18">
        <v>0.39</v>
      </c>
      <c r="AS53" s="18">
        <v>0.39</v>
      </c>
      <c r="AT53" s="18">
        <v>4.18</v>
      </c>
      <c r="AU53" s="18">
        <v>0.39</v>
      </c>
      <c r="AV53" s="18">
        <v>0.39</v>
      </c>
      <c r="AW53" s="18">
        <v>1.17</v>
      </c>
      <c r="AX53" s="19">
        <v>0.33</v>
      </c>
    </row>
    <row r="54" spans="42:50" x14ac:dyDescent="0.25">
      <c r="AP54" s="16" t="s">
        <v>204</v>
      </c>
      <c r="AQ54" s="17">
        <v>0</v>
      </c>
      <c r="AR54" s="18">
        <v>0.39</v>
      </c>
      <c r="AS54" s="18">
        <v>0.39</v>
      </c>
      <c r="AT54" s="18">
        <v>1.61</v>
      </c>
      <c r="AU54" s="18">
        <v>0.45</v>
      </c>
      <c r="AV54" s="18">
        <v>0.39</v>
      </c>
      <c r="AW54" s="18">
        <v>2.21</v>
      </c>
      <c r="AX54" s="19">
        <v>0.33</v>
      </c>
    </row>
    <row r="55" spans="42:50" x14ac:dyDescent="0.25">
      <c r="AP55" s="16" t="s">
        <v>204</v>
      </c>
      <c r="AQ55" s="17">
        <v>0</v>
      </c>
      <c r="AR55" s="18">
        <v>0.39</v>
      </c>
      <c r="AS55" s="18">
        <v>1.37</v>
      </c>
      <c r="AT55" s="18">
        <v>4.18</v>
      </c>
      <c r="AU55" s="18">
        <v>0.39</v>
      </c>
      <c r="AV55" s="18">
        <v>0.39</v>
      </c>
      <c r="AW55" s="18">
        <v>0.73</v>
      </c>
      <c r="AX55" s="19">
        <v>0.33</v>
      </c>
    </row>
    <row r="56" spans="42:50" x14ac:dyDescent="0.25">
      <c r="AP56" s="16" t="s">
        <v>204</v>
      </c>
      <c r="AQ56" s="17">
        <v>0</v>
      </c>
      <c r="AR56" s="18">
        <v>0.39</v>
      </c>
      <c r="AS56" s="18">
        <v>0.39</v>
      </c>
      <c r="AT56" s="18">
        <v>0.45</v>
      </c>
      <c r="AU56" s="18">
        <v>0.39</v>
      </c>
      <c r="AV56" s="18">
        <v>0.39</v>
      </c>
      <c r="AW56" s="18">
        <v>0.73</v>
      </c>
      <c r="AX56" s="19">
        <v>0.28000000000000003</v>
      </c>
    </row>
    <row r="57" spans="42:50" x14ac:dyDescent="0.25">
      <c r="AP57" s="16" t="s">
        <v>204</v>
      </c>
      <c r="AQ57" s="17">
        <v>0.73</v>
      </c>
      <c r="AR57" s="18">
        <v>0.39</v>
      </c>
      <c r="AS57" s="18">
        <v>0.33</v>
      </c>
      <c r="AT57" s="18">
        <v>1.61</v>
      </c>
      <c r="AU57" s="18">
        <v>0.45</v>
      </c>
      <c r="AV57" s="18">
        <v>0.45</v>
      </c>
      <c r="AW57" s="18">
        <v>0.73</v>
      </c>
      <c r="AX57" s="19">
        <v>0.33</v>
      </c>
    </row>
    <row r="58" spans="42:50" x14ac:dyDescent="0.25">
      <c r="AP58" s="16" t="s">
        <v>204</v>
      </c>
      <c r="AQ58" s="17">
        <v>0</v>
      </c>
      <c r="AR58" s="18">
        <v>0.39</v>
      </c>
      <c r="AS58" s="18">
        <v>0.39</v>
      </c>
      <c r="AT58" s="18">
        <v>4.18</v>
      </c>
      <c r="AU58" s="18">
        <v>0.45</v>
      </c>
      <c r="AV58" s="18">
        <v>0.53</v>
      </c>
      <c r="AW58" s="18">
        <v>0.62</v>
      </c>
      <c r="AX58" s="19">
        <v>0.28000000000000003</v>
      </c>
    </row>
    <row r="59" spans="42:50" x14ac:dyDescent="0.25">
      <c r="AP59" s="16" t="s">
        <v>205</v>
      </c>
      <c r="AQ59" s="17">
        <v>4.8899999999999997</v>
      </c>
      <c r="AR59" s="18">
        <v>0.39</v>
      </c>
      <c r="AS59" s="18">
        <v>0.39</v>
      </c>
      <c r="AT59" s="18">
        <v>4.18</v>
      </c>
      <c r="AU59" s="18">
        <v>0.39</v>
      </c>
      <c r="AV59" s="18">
        <v>0.45</v>
      </c>
      <c r="AW59" s="18">
        <v>0.62</v>
      </c>
      <c r="AX59" s="19">
        <v>0.33</v>
      </c>
    </row>
    <row r="60" spans="42:50" x14ac:dyDescent="0.25">
      <c r="AP60" s="16" t="s">
        <v>205</v>
      </c>
      <c r="AQ60" s="17">
        <v>0</v>
      </c>
      <c r="AR60" s="18">
        <v>4.8899999999999997</v>
      </c>
      <c r="AS60" s="18">
        <v>0.39</v>
      </c>
      <c r="AT60" s="18">
        <v>4.18</v>
      </c>
      <c r="AU60" s="18">
        <v>0.53</v>
      </c>
      <c r="AV60" s="18">
        <v>0.39</v>
      </c>
      <c r="AW60" s="18">
        <v>0.62</v>
      </c>
      <c r="AX60" s="19">
        <v>0.33</v>
      </c>
    </row>
    <row r="61" spans="42:50" x14ac:dyDescent="0.25">
      <c r="AP61" s="16" t="s">
        <v>205</v>
      </c>
      <c r="AQ61" s="17">
        <v>0</v>
      </c>
      <c r="AR61" s="18">
        <v>0.39</v>
      </c>
      <c r="AS61" s="18">
        <v>0.39</v>
      </c>
      <c r="AT61" s="18">
        <v>0.45</v>
      </c>
      <c r="AU61" s="18">
        <v>0.39</v>
      </c>
      <c r="AV61" s="18">
        <v>0.39</v>
      </c>
      <c r="AW61" s="18">
        <v>0.73</v>
      </c>
      <c r="AX61" s="19">
        <v>0.28000000000000003</v>
      </c>
    </row>
    <row r="62" spans="42:50" x14ac:dyDescent="0.25">
      <c r="AP62" s="16" t="s">
        <v>205</v>
      </c>
      <c r="AQ62" s="17">
        <v>0</v>
      </c>
      <c r="AR62" s="18">
        <v>0.39</v>
      </c>
      <c r="AS62" s="18">
        <v>0.39</v>
      </c>
      <c r="AT62" s="18">
        <v>4.18</v>
      </c>
      <c r="AU62" s="18">
        <v>0.53</v>
      </c>
      <c r="AV62" s="18">
        <v>0.45</v>
      </c>
      <c r="AW62" s="18">
        <v>0.85</v>
      </c>
      <c r="AX62" s="19">
        <v>0.28000000000000003</v>
      </c>
    </row>
    <row r="63" spans="42:50" ht="15.75" thickBot="1" x14ac:dyDescent="0.3">
      <c r="AP63" s="16" t="s">
        <v>205</v>
      </c>
      <c r="AQ63" s="17">
        <v>4.18</v>
      </c>
      <c r="AR63" s="18">
        <v>0.33</v>
      </c>
      <c r="AS63" s="18">
        <v>0.33</v>
      </c>
      <c r="AT63" s="18">
        <v>4.8899999999999997</v>
      </c>
      <c r="AU63" s="18">
        <v>0.39</v>
      </c>
      <c r="AV63" s="18">
        <v>0.45</v>
      </c>
      <c r="AW63" s="18">
        <v>0.73</v>
      </c>
      <c r="AX63" s="19">
        <v>0.33</v>
      </c>
    </row>
    <row r="64" spans="42:50" x14ac:dyDescent="0.25">
      <c r="AP64" s="10" t="s">
        <v>223</v>
      </c>
      <c r="AQ64" s="11">
        <v>1.70999999999999</v>
      </c>
      <c r="AR64" s="12">
        <v>0.85933333333333295</v>
      </c>
      <c r="AS64" s="12">
        <v>0.40699999999999997</v>
      </c>
      <c r="AT64" s="12">
        <v>3.3861666666666599</v>
      </c>
      <c r="AU64" s="12">
        <v>0.462666666666666</v>
      </c>
      <c r="AV64" s="12">
        <v>0.38333333333333303</v>
      </c>
      <c r="AW64" s="12">
        <v>0.83716666666666595</v>
      </c>
      <c r="AX64" s="13">
        <v>0.41266666666666602</v>
      </c>
    </row>
    <row r="65" spans="42:50" x14ac:dyDescent="0.25">
      <c r="AP65" s="16" t="s">
        <v>224</v>
      </c>
      <c r="AQ65" s="17">
        <v>1.57670915666329</v>
      </c>
      <c r="AR65" s="18">
        <v>1.08912329676467</v>
      </c>
      <c r="AS65" s="18">
        <v>0.18123925255492099</v>
      </c>
      <c r="AT65" s="18">
        <v>1.4397790243259101</v>
      </c>
      <c r="AU65" s="18">
        <v>0.233094163137751</v>
      </c>
      <c r="AV65" s="18">
        <v>9.6153811965805899E-2</v>
      </c>
      <c r="AW65" s="18">
        <v>0.462529608661855</v>
      </c>
      <c r="AX65" s="19">
        <v>0.41312575432776999</v>
      </c>
    </row>
    <row r="66" spans="42:50" x14ac:dyDescent="0.25">
      <c r="AP66" s="16" t="s">
        <v>225</v>
      </c>
      <c r="AQ66" s="17">
        <v>3.28670915666329</v>
      </c>
      <c r="AR66" s="18">
        <v>1.948456630098</v>
      </c>
      <c r="AS66" s="18">
        <v>0.58823925255492104</v>
      </c>
      <c r="AT66" s="18">
        <v>4.8259456909925804</v>
      </c>
      <c r="AU66" s="18">
        <v>0.695760829804418</v>
      </c>
      <c r="AV66" s="18">
        <v>0.47948714529913899</v>
      </c>
      <c r="AW66" s="18">
        <v>1.2996962753285199</v>
      </c>
      <c r="AX66" s="19">
        <v>0.82579242099443595</v>
      </c>
    </row>
    <row r="67" spans="42:50" x14ac:dyDescent="0.25">
      <c r="AP67" s="16" t="s">
        <v>226</v>
      </c>
      <c r="AQ67" s="17">
        <v>0.13329084333670299</v>
      </c>
      <c r="AR67" s="18">
        <v>-0.229789963431341</v>
      </c>
      <c r="AS67" s="18">
        <v>0.22576074744507801</v>
      </c>
      <c r="AT67" s="18">
        <v>1.94638764234075</v>
      </c>
      <c r="AU67" s="18">
        <v>0.22957250352891501</v>
      </c>
      <c r="AV67" s="18">
        <v>0.287179521367527</v>
      </c>
      <c r="AW67" s="18">
        <v>0.37463705800481101</v>
      </c>
      <c r="AX67" s="19">
        <v>-4.5908766110369599E-4</v>
      </c>
    </row>
    <row r="68" spans="42:50" ht="15.75" thickBot="1" x14ac:dyDescent="0.3">
      <c r="AP68" s="23" t="s">
        <v>227</v>
      </c>
      <c r="AQ68" s="24">
        <v>0.84076923076923005</v>
      </c>
      <c r="AR68" s="25">
        <v>0.59678571428571403</v>
      </c>
      <c r="AS68" s="25">
        <v>0.37379310344827599</v>
      </c>
      <c r="AT68" s="25">
        <v>4.18</v>
      </c>
      <c r="AU68" s="25">
        <v>0.43305084745762701</v>
      </c>
      <c r="AV68" s="25">
        <v>0.41651162790697599</v>
      </c>
      <c r="AW68" s="25">
        <v>0.70166666666666599</v>
      </c>
      <c r="AX68" s="26">
        <v>0.318070175438596</v>
      </c>
    </row>
    <row r="69" spans="42:50" ht="15.75" thickBot="1" x14ac:dyDescent="0.3">
      <c r="AQ69" s="27"/>
      <c r="AR69" s="27"/>
      <c r="AS69" s="27"/>
      <c r="AT69" s="27"/>
      <c r="AU69" s="27"/>
      <c r="AV69" s="27"/>
      <c r="AW69" s="27"/>
      <c r="AX69" s="27"/>
    </row>
    <row r="70" spans="42:50" ht="30" x14ac:dyDescent="0.25">
      <c r="AP70" s="28" t="s">
        <v>228</v>
      </c>
      <c r="AQ70" s="29">
        <v>5.33</v>
      </c>
      <c r="AR70" s="29">
        <v>3.38</v>
      </c>
      <c r="AS70" s="29">
        <v>2.97</v>
      </c>
      <c r="AT70" s="29">
        <v>2.06</v>
      </c>
      <c r="AU70" s="29">
        <v>1.91</v>
      </c>
      <c r="AV70" s="29">
        <v>3.95</v>
      </c>
      <c r="AW70" s="29">
        <v>2.75</v>
      </c>
      <c r="AX70" s="30">
        <v>1.78</v>
      </c>
    </row>
    <row r="71" spans="42:50" x14ac:dyDescent="0.25">
      <c r="AP71" s="31" t="s">
        <v>229</v>
      </c>
      <c r="AQ71" s="32">
        <f t="shared" ref="AQ71:AX71" si="0">AQ70-AQ68</f>
        <v>4.4892307692307698</v>
      </c>
      <c r="AR71" s="32">
        <f t="shared" si="0"/>
        <v>2.7832142857142861</v>
      </c>
      <c r="AS71" s="32">
        <f t="shared" si="0"/>
        <v>2.596206896551724</v>
      </c>
      <c r="AT71" s="32">
        <f t="shared" si="0"/>
        <v>-2.1199999999999997</v>
      </c>
      <c r="AU71" s="32">
        <f t="shared" si="0"/>
        <v>1.4769491525423728</v>
      </c>
      <c r="AV71" s="32">
        <f t="shared" si="0"/>
        <v>3.5334883720930241</v>
      </c>
      <c r="AW71" s="32">
        <f t="shared" si="0"/>
        <v>2.0483333333333338</v>
      </c>
      <c r="AX71" s="33">
        <f t="shared" si="0"/>
        <v>1.4619298245614041</v>
      </c>
    </row>
    <row r="72" spans="42:50" ht="15.75" thickBot="1" x14ac:dyDescent="0.3">
      <c r="AP72" s="34" t="s">
        <v>230</v>
      </c>
      <c r="AQ72" s="35">
        <f t="shared" ref="AQ72:AX72" si="1">(AQ71/AQ68)*100</f>
        <v>533.94327538883863</v>
      </c>
      <c r="AR72" s="35">
        <f t="shared" si="1"/>
        <v>466.36744464392604</v>
      </c>
      <c r="AS72" s="35">
        <f t="shared" si="1"/>
        <v>694.55719557195539</v>
      </c>
      <c r="AT72" s="35">
        <f t="shared" si="1"/>
        <v>-50.717703349282296</v>
      </c>
      <c r="AU72" s="35">
        <f t="shared" si="1"/>
        <v>341.05675146771046</v>
      </c>
      <c r="AV72" s="35">
        <f t="shared" si="1"/>
        <v>848.3528754885557</v>
      </c>
      <c r="AW72" s="35">
        <f t="shared" si="1"/>
        <v>291.92399049881266</v>
      </c>
      <c r="AX72" s="36">
        <f t="shared" si="1"/>
        <v>459.62493105350336</v>
      </c>
    </row>
    <row r="73" spans="42:50" ht="15.75" thickBot="1" x14ac:dyDescent="0.3">
      <c r="AP73" s="37"/>
      <c r="AQ73" s="32"/>
      <c r="AR73" s="32"/>
      <c r="AS73" s="32"/>
      <c r="AT73" s="32"/>
      <c r="AU73" s="32"/>
      <c r="AV73" s="32"/>
      <c r="AW73" s="32"/>
      <c r="AX73" s="32"/>
    </row>
    <row r="74" spans="42:50" ht="30" x14ac:dyDescent="0.25">
      <c r="AP74" s="28" t="s">
        <v>231</v>
      </c>
      <c r="AQ74" s="29">
        <v>5.21</v>
      </c>
      <c r="AR74" s="29">
        <v>3.2</v>
      </c>
      <c r="AS74" s="29">
        <v>2.89</v>
      </c>
      <c r="AT74" s="29">
        <v>1.87</v>
      </c>
      <c r="AU74" s="29">
        <v>1.75</v>
      </c>
      <c r="AV74" s="29">
        <v>3.89</v>
      </c>
      <c r="AW74" s="29">
        <v>2.65</v>
      </c>
      <c r="AX74" s="30">
        <v>1.68</v>
      </c>
    </row>
    <row r="75" spans="42:50" x14ac:dyDescent="0.25">
      <c r="AP75" s="31" t="s">
        <v>229</v>
      </c>
      <c r="AQ75" s="32">
        <f t="shared" ref="AQ75:AX75" si="2">AQ74-AQ68</f>
        <v>4.3692307692307697</v>
      </c>
      <c r="AR75" s="32">
        <f t="shared" si="2"/>
        <v>2.6032142857142864</v>
      </c>
      <c r="AS75" s="32">
        <f t="shared" si="2"/>
        <v>2.5162068965517239</v>
      </c>
      <c r="AT75" s="32">
        <f t="shared" si="2"/>
        <v>-2.3099999999999996</v>
      </c>
      <c r="AU75" s="32">
        <f t="shared" si="2"/>
        <v>1.3169491525423731</v>
      </c>
      <c r="AV75" s="32">
        <f t="shared" si="2"/>
        <v>3.4734883720930241</v>
      </c>
      <c r="AW75" s="32">
        <f t="shared" si="2"/>
        <v>1.9483333333333339</v>
      </c>
      <c r="AX75" s="33">
        <f t="shared" si="2"/>
        <v>1.361929824561404</v>
      </c>
    </row>
    <row r="76" spans="42:50" ht="15.75" thickBot="1" x14ac:dyDescent="0.3">
      <c r="AP76" s="34" t="s">
        <v>230</v>
      </c>
      <c r="AQ76" s="35">
        <f>(AQ75/AQ68)*100</f>
        <v>519.67063129002793</v>
      </c>
      <c r="AR76" s="35">
        <f t="shared" ref="AR76:AX76" si="3">(AR75/AR68)*100</f>
        <v>436.205864751646</v>
      </c>
      <c r="AS76" s="35">
        <f t="shared" si="3"/>
        <v>673.15498154981515</v>
      </c>
      <c r="AT76" s="35">
        <f t="shared" si="3"/>
        <v>-55.263157894736835</v>
      </c>
      <c r="AU76" s="35">
        <f t="shared" si="3"/>
        <v>304.10958904109606</v>
      </c>
      <c r="AV76" s="35">
        <f t="shared" si="3"/>
        <v>833.94751535455237</v>
      </c>
      <c r="AW76" s="35">
        <f t="shared" si="3"/>
        <v>277.67220902612866</v>
      </c>
      <c r="AX76" s="36">
        <f t="shared" si="3"/>
        <v>428.18532818532901</v>
      </c>
    </row>
    <row r="77" spans="42:50" ht="15.75" thickBot="1" x14ac:dyDescent="0.3">
      <c r="AQ77" s="27"/>
      <c r="AR77" s="27"/>
      <c r="AS77" s="27"/>
      <c r="AT77" s="27"/>
      <c r="AU77" s="27"/>
      <c r="AV77" s="27"/>
      <c r="AW77" s="27"/>
      <c r="AX77" s="27"/>
    </row>
    <row r="78" spans="42:50" ht="30" x14ac:dyDescent="0.25">
      <c r="AP78" s="28" t="s">
        <v>232</v>
      </c>
      <c r="AQ78" s="41">
        <v>5.14</v>
      </c>
      <c r="AR78" s="29">
        <v>3.27</v>
      </c>
      <c r="AS78" s="29">
        <v>2.9</v>
      </c>
      <c r="AT78" s="29">
        <v>1.94</v>
      </c>
      <c r="AU78" s="29">
        <v>1.81</v>
      </c>
      <c r="AV78" s="29">
        <v>3.93</v>
      </c>
      <c r="AW78" s="29">
        <v>2.65</v>
      </c>
      <c r="AX78" s="30">
        <v>1.66</v>
      </c>
    </row>
    <row r="79" spans="42:50" x14ac:dyDescent="0.25">
      <c r="AP79" s="31" t="s">
        <v>229</v>
      </c>
      <c r="AQ79" s="42">
        <f>AQ78-AQ68</f>
        <v>4.2992307692307694</v>
      </c>
      <c r="AR79" s="32">
        <f t="shared" ref="AR79:AX79" si="4">AR78-AR68</f>
        <v>2.6732142857142858</v>
      </c>
      <c r="AS79" s="32">
        <f t="shared" si="4"/>
        <v>2.5262068965517237</v>
      </c>
      <c r="AT79" s="32">
        <f t="shared" si="4"/>
        <v>-2.2399999999999998</v>
      </c>
      <c r="AU79" s="32">
        <f t="shared" si="4"/>
        <v>1.3769491525423732</v>
      </c>
      <c r="AV79" s="32">
        <f t="shared" si="4"/>
        <v>3.5134883720930241</v>
      </c>
      <c r="AW79" s="32">
        <f t="shared" si="4"/>
        <v>1.9483333333333339</v>
      </c>
      <c r="AX79" s="33">
        <f t="shared" si="4"/>
        <v>1.341929824561404</v>
      </c>
    </row>
    <row r="80" spans="42:50" ht="15.75" thickBot="1" x14ac:dyDescent="0.3">
      <c r="AP80" s="34" t="s">
        <v>230</v>
      </c>
      <c r="AQ80" s="43">
        <f>(AQ79/AQ68)*100</f>
        <v>511.3449222323884</v>
      </c>
      <c r="AR80" s="35">
        <f t="shared" ref="AR80:AX80" si="5">(AR79/AR68)*100</f>
        <v>447.9353680430882</v>
      </c>
      <c r="AS80" s="35">
        <f>(AS79/AS68)*100</f>
        <v>675.83025830258271</v>
      </c>
      <c r="AT80" s="35">
        <f t="shared" si="5"/>
        <v>-53.588516746411486</v>
      </c>
      <c r="AU80" s="35">
        <f t="shared" si="5"/>
        <v>317.96477495107649</v>
      </c>
      <c r="AV80" s="35">
        <f>(AV79/AV68)*100</f>
        <v>843.55108877722125</v>
      </c>
      <c r="AW80" s="35">
        <f t="shared" si="5"/>
        <v>277.67220902612866</v>
      </c>
      <c r="AX80" s="36">
        <f t="shared" si="5"/>
        <v>421.89740761169412</v>
      </c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4FB4-7F60-4ED5-9C0F-0210F20BA509}">
  <dimension ref="B1:CB925"/>
  <sheetViews>
    <sheetView topLeftCell="AC31" workbookViewId="0">
      <selection activeCell="AP77" sqref="AP77:AX79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5.7109375" style="3" bestFit="1" customWidth="1"/>
    <col min="43" max="45" width="6.5703125" style="3" bestFit="1" customWidth="1"/>
    <col min="46" max="46" width="6.28515625" style="3" bestFit="1" customWidth="1"/>
    <col min="47" max="50" width="6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76</v>
      </c>
      <c r="AQ4" s="11">
        <v>0.85</v>
      </c>
      <c r="AR4" s="12">
        <v>4.18</v>
      </c>
      <c r="AS4" s="12">
        <v>0.33</v>
      </c>
      <c r="AT4" s="12">
        <v>0.39</v>
      </c>
      <c r="AU4" s="12">
        <v>0.45</v>
      </c>
      <c r="AV4" s="12">
        <v>0.2</v>
      </c>
      <c r="AW4" s="12">
        <v>1.37</v>
      </c>
      <c r="AX4" s="13">
        <v>0.33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77</v>
      </c>
      <c r="AQ5" s="17">
        <v>0</v>
      </c>
      <c r="AR5" s="18">
        <v>0.39</v>
      </c>
      <c r="AS5" s="18">
        <v>0.39</v>
      </c>
      <c r="AT5" s="18">
        <v>4.8899999999999997</v>
      </c>
      <c r="AU5" s="18">
        <v>0.45</v>
      </c>
      <c r="AV5" s="18">
        <v>0.39</v>
      </c>
      <c r="AW5" s="18">
        <v>0.62</v>
      </c>
      <c r="AX5" s="19">
        <v>0.33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78</v>
      </c>
      <c r="AQ6" s="17">
        <v>0.85</v>
      </c>
      <c r="AR6" s="18">
        <v>0.39</v>
      </c>
      <c r="AS6" s="18">
        <v>0.39</v>
      </c>
      <c r="AT6" s="18">
        <v>1.61</v>
      </c>
      <c r="AU6" s="18">
        <v>0.45</v>
      </c>
      <c r="AV6" s="18">
        <v>0.39</v>
      </c>
      <c r="AW6" s="18">
        <v>3.04</v>
      </c>
      <c r="AX6" s="19">
        <v>0.28000000000000003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79</v>
      </c>
      <c r="AQ7" s="17">
        <v>0</v>
      </c>
      <c r="AR7" s="18">
        <v>0.39</v>
      </c>
      <c r="AS7" s="18">
        <v>0.39</v>
      </c>
      <c r="AT7" s="18">
        <v>4.8899999999999997</v>
      </c>
      <c r="AU7" s="18">
        <v>0.39</v>
      </c>
      <c r="AV7" s="18">
        <v>0.45</v>
      </c>
      <c r="AW7" s="18">
        <v>0.62</v>
      </c>
      <c r="AX7" s="19">
        <v>0.33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80</v>
      </c>
      <c r="AQ8" s="17">
        <v>0</v>
      </c>
      <c r="AR8" s="18">
        <v>0.39</v>
      </c>
      <c r="AS8" s="18">
        <v>0.39</v>
      </c>
      <c r="AT8" s="18">
        <v>1.89</v>
      </c>
      <c r="AU8" s="18">
        <v>0.39</v>
      </c>
      <c r="AV8" s="18">
        <v>0.45</v>
      </c>
      <c r="AW8" s="18">
        <v>0.73</v>
      </c>
      <c r="AX8" s="19">
        <v>0.28000000000000003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81</v>
      </c>
      <c r="AQ9" s="17">
        <v>4.8899999999999997</v>
      </c>
      <c r="AR9" s="18">
        <v>0.39</v>
      </c>
      <c r="AS9" s="18">
        <v>0.39</v>
      </c>
      <c r="AT9" s="18">
        <v>4.8899999999999997</v>
      </c>
      <c r="AU9" s="18">
        <v>0.39</v>
      </c>
      <c r="AV9" s="18">
        <v>0.2</v>
      </c>
      <c r="AW9" s="18">
        <v>0.62</v>
      </c>
      <c r="AX9" s="19">
        <v>0.33</v>
      </c>
    </row>
    <row r="10" spans="2:80" x14ac:dyDescent="0.25">
      <c r="AP10" s="16" t="s">
        <v>82</v>
      </c>
      <c r="AQ10" s="17">
        <v>0</v>
      </c>
      <c r="AR10" s="18">
        <v>0.39</v>
      </c>
      <c r="AS10" s="18">
        <v>0.33</v>
      </c>
      <c r="AT10" s="18">
        <v>4.8899999999999997</v>
      </c>
      <c r="AU10" s="18">
        <v>0.39</v>
      </c>
      <c r="AV10" s="18">
        <v>0.45</v>
      </c>
      <c r="AW10" s="18">
        <v>0.62</v>
      </c>
      <c r="AX10" s="19">
        <v>0.33</v>
      </c>
    </row>
    <row r="11" spans="2:80" x14ac:dyDescent="0.25">
      <c r="AP11" s="16" t="s">
        <v>83</v>
      </c>
      <c r="AQ11" s="17">
        <v>0</v>
      </c>
      <c r="AR11" s="18">
        <v>0.39</v>
      </c>
      <c r="AS11" s="18">
        <v>0.39</v>
      </c>
      <c r="AT11" s="18">
        <v>4.8899999999999997</v>
      </c>
      <c r="AU11" s="18">
        <v>0.39</v>
      </c>
      <c r="AV11" s="18">
        <v>0.39</v>
      </c>
      <c r="AW11" s="18">
        <v>0</v>
      </c>
      <c r="AX11" s="19">
        <v>0.33</v>
      </c>
    </row>
    <row r="12" spans="2:80" x14ac:dyDescent="0.25">
      <c r="AP12" s="16" t="s">
        <v>84</v>
      </c>
      <c r="AQ12" s="17">
        <v>0</v>
      </c>
      <c r="AR12" s="18">
        <v>0.39</v>
      </c>
      <c r="AS12" s="18">
        <v>0.39</v>
      </c>
      <c r="AT12" s="18">
        <v>4.18</v>
      </c>
      <c r="AU12" s="18">
        <v>0.53</v>
      </c>
      <c r="AV12" s="18">
        <v>0.2</v>
      </c>
      <c r="AW12" s="18">
        <v>0.62</v>
      </c>
      <c r="AX12" s="19">
        <v>0.33</v>
      </c>
    </row>
    <row r="13" spans="2:80" x14ac:dyDescent="0.25">
      <c r="AP13" s="16" t="s">
        <v>85</v>
      </c>
      <c r="AQ13" s="17">
        <v>0</v>
      </c>
      <c r="AR13" s="18">
        <v>0.39</v>
      </c>
      <c r="AS13" s="18">
        <v>0.33</v>
      </c>
      <c r="AT13" s="18">
        <v>4.8899999999999997</v>
      </c>
      <c r="AU13" s="18">
        <v>1.89</v>
      </c>
      <c r="AV13" s="18">
        <v>0.39</v>
      </c>
      <c r="AW13" s="18">
        <v>0.62</v>
      </c>
      <c r="AX13" s="19">
        <v>0.28000000000000003</v>
      </c>
    </row>
    <row r="14" spans="2:80" x14ac:dyDescent="0.25">
      <c r="AP14" s="16" t="s">
        <v>86</v>
      </c>
      <c r="AQ14" s="17">
        <v>0.73</v>
      </c>
      <c r="AR14" s="18">
        <v>1.61</v>
      </c>
      <c r="AS14" s="18">
        <v>0.33</v>
      </c>
      <c r="AT14" s="18">
        <v>1.89</v>
      </c>
      <c r="AU14" s="18">
        <v>1.89</v>
      </c>
      <c r="AV14" s="18">
        <v>0.2</v>
      </c>
      <c r="AW14" s="18">
        <v>1.37</v>
      </c>
      <c r="AX14" s="19">
        <v>0.39</v>
      </c>
    </row>
    <row r="15" spans="2:80" x14ac:dyDescent="0.25">
      <c r="AP15" s="16" t="s">
        <v>87</v>
      </c>
      <c r="AQ15" s="17">
        <v>0.85</v>
      </c>
      <c r="AR15" s="18">
        <v>1.61</v>
      </c>
      <c r="AS15" s="18">
        <v>0.33</v>
      </c>
      <c r="AT15" s="18">
        <v>1.37</v>
      </c>
      <c r="AU15" s="18">
        <v>0.53</v>
      </c>
      <c r="AV15" s="18">
        <v>0.2</v>
      </c>
      <c r="AW15" s="18">
        <v>1.17</v>
      </c>
      <c r="AX15" s="19">
        <v>0.33</v>
      </c>
    </row>
    <row r="16" spans="2:80" x14ac:dyDescent="0.25">
      <c r="AP16" s="16" t="s">
        <v>88</v>
      </c>
      <c r="AQ16" s="17">
        <v>0.85</v>
      </c>
      <c r="AR16" s="18">
        <v>0.39</v>
      </c>
      <c r="AS16" s="18">
        <v>0.39</v>
      </c>
      <c r="AT16" s="18">
        <v>4.18</v>
      </c>
      <c r="AU16" s="18">
        <v>0.39</v>
      </c>
      <c r="AV16" s="18">
        <v>0.39</v>
      </c>
      <c r="AW16" s="18">
        <v>1.17</v>
      </c>
      <c r="AX16" s="19">
        <v>0.33</v>
      </c>
    </row>
    <row r="17" spans="42:50" x14ac:dyDescent="0.25">
      <c r="AP17" s="16" t="s">
        <v>89</v>
      </c>
      <c r="AQ17" s="17">
        <v>0</v>
      </c>
      <c r="AR17" s="18">
        <v>1.89</v>
      </c>
      <c r="AS17" s="18">
        <v>0.39</v>
      </c>
      <c r="AT17" s="18">
        <v>4.18</v>
      </c>
      <c r="AU17" s="18">
        <v>0.53</v>
      </c>
      <c r="AV17" s="18">
        <v>0.39</v>
      </c>
      <c r="AW17" s="18">
        <v>0.62</v>
      </c>
      <c r="AX17" s="19">
        <v>0.28000000000000003</v>
      </c>
    </row>
    <row r="18" spans="42:50" x14ac:dyDescent="0.25">
      <c r="AP18" s="16" t="s">
        <v>90</v>
      </c>
      <c r="AQ18" s="17">
        <v>0</v>
      </c>
      <c r="AR18" s="18">
        <v>0.39</v>
      </c>
      <c r="AS18" s="18">
        <v>0.39</v>
      </c>
      <c r="AT18" s="18">
        <v>4.18</v>
      </c>
      <c r="AU18" s="18">
        <v>0.39</v>
      </c>
      <c r="AV18" s="18">
        <v>0.39</v>
      </c>
      <c r="AW18" s="18">
        <v>0.62</v>
      </c>
      <c r="AX18" s="19">
        <v>0.33</v>
      </c>
    </row>
    <row r="19" spans="42:50" x14ac:dyDescent="0.25">
      <c r="AP19" s="16" t="s">
        <v>91</v>
      </c>
      <c r="AQ19" s="17">
        <v>0.85</v>
      </c>
      <c r="AR19" s="18">
        <v>1.61</v>
      </c>
      <c r="AS19" s="18">
        <v>0.39</v>
      </c>
      <c r="AT19" s="18">
        <v>4.18</v>
      </c>
      <c r="AU19" s="18">
        <v>0.39</v>
      </c>
      <c r="AV19" s="18">
        <v>0.45</v>
      </c>
      <c r="AW19" s="18">
        <v>0.73</v>
      </c>
      <c r="AX19" s="19">
        <v>0.33</v>
      </c>
    </row>
    <row r="20" spans="42:50" x14ac:dyDescent="0.25">
      <c r="AP20" s="16" t="s">
        <v>92</v>
      </c>
      <c r="AQ20" s="17">
        <v>0</v>
      </c>
      <c r="AR20" s="18">
        <v>0.39</v>
      </c>
      <c r="AS20" s="18">
        <v>0.33</v>
      </c>
      <c r="AT20" s="18">
        <v>4.8899999999999997</v>
      </c>
      <c r="AU20" s="18">
        <v>0.45</v>
      </c>
      <c r="AV20" s="18">
        <v>0.24</v>
      </c>
      <c r="AW20" s="18">
        <v>1.37</v>
      </c>
      <c r="AX20" s="19">
        <v>0.28000000000000003</v>
      </c>
    </row>
    <row r="21" spans="42:50" x14ac:dyDescent="0.25">
      <c r="AP21" s="16" t="s">
        <v>93</v>
      </c>
      <c r="AQ21" s="17">
        <v>0</v>
      </c>
      <c r="AR21" s="18">
        <v>0.39</v>
      </c>
      <c r="AS21" s="18">
        <v>0.33</v>
      </c>
      <c r="AT21" s="18">
        <v>4.8899999999999997</v>
      </c>
      <c r="AU21" s="18">
        <v>0.39</v>
      </c>
      <c r="AV21" s="18">
        <v>0.45</v>
      </c>
      <c r="AW21" s="18">
        <v>0.62</v>
      </c>
      <c r="AX21" s="19">
        <v>0.33</v>
      </c>
    </row>
    <row r="22" spans="42:50" x14ac:dyDescent="0.25">
      <c r="AP22" s="16" t="s">
        <v>94</v>
      </c>
      <c r="AQ22" s="17">
        <v>0</v>
      </c>
      <c r="AR22" s="18">
        <v>0.39</v>
      </c>
      <c r="AS22" s="18">
        <v>0.39</v>
      </c>
      <c r="AT22" s="18">
        <v>4.18</v>
      </c>
      <c r="AU22" s="18">
        <v>0.45</v>
      </c>
      <c r="AV22" s="18">
        <v>0.39</v>
      </c>
      <c r="AW22" s="18">
        <v>0.73</v>
      </c>
      <c r="AX22" s="19">
        <v>0.33</v>
      </c>
    </row>
    <row r="23" spans="42:50" x14ac:dyDescent="0.25">
      <c r="AP23" s="16" t="s">
        <v>95</v>
      </c>
      <c r="AQ23" s="17">
        <v>0.85</v>
      </c>
      <c r="AR23" s="18">
        <v>4.8899999999999997</v>
      </c>
      <c r="AS23" s="18">
        <v>1.37</v>
      </c>
      <c r="AT23" s="18">
        <v>4.8899999999999997</v>
      </c>
      <c r="AU23" s="18">
        <v>0.39</v>
      </c>
      <c r="AV23" s="18">
        <v>0.45</v>
      </c>
      <c r="AW23" s="18">
        <v>0.73</v>
      </c>
      <c r="AX23" s="19">
        <v>0.33</v>
      </c>
    </row>
    <row r="24" spans="42:50" x14ac:dyDescent="0.25">
      <c r="AP24" s="16" t="s">
        <v>96</v>
      </c>
      <c r="AQ24" s="17">
        <v>0.73</v>
      </c>
      <c r="AR24" s="18">
        <v>0.39</v>
      </c>
      <c r="AS24" s="18">
        <v>0.39</v>
      </c>
      <c r="AT24" s="18">
        <v>4.18</v>
      </c>
      <c r="AU24" s="18">
        <v>0.39</v>
      </c>
      <c r="AV24" s="18">
        <v>0.45</v>
      </c>
      <c r="AW24" s="18">
        <v>1.17</v>
      </c>
      <c r="AX24" s="19">
        <v>0.33</v>
      </c>
    </row>
    <row r="25" spans="42:50" x14ac:dyDescent="0.25">
      <c r="AP25" s="16" t="s">
        <v>97</v>
      </c>
      <c r="AQ25" s="17">
        <v>0.73</v>
      </c>
      <c r="AR25" s="18">
        <v>1.61</v>
      </c>
      <c r="AS25" s="18">
        <v>0.33</v>
      </c>
      <c r="AT25" s="18">
        <v>1.61</v>
      </c>
      <c r="AU25" s="18">
        <v>0.62</v>
      </c>
      <c r="AV25" s="18">
        <v>0.24</v>
      </c>
      <c r="AW25" s="18">
        <v>1.37</v>
      </c>
      <c r="AX25" s="19">
        <v>0.39</v>
      </c>
    </row>
    <row r="26" spans="42:50" x14ac:dyDescent="0.25">
      <c r="AP26" s="16" t="s">
        <v>98</v>
      </c>
      <c r="AQ26" s="17">
        <v>0.85</v>
      </c>
      <c r="AR26" s="18">
        <v>0.39</v>
      </c>
      <c r="AS26" s="18">
        <v>0.33</v>
      </c>
      <c r="AT26" s="18">
        <v>4.8899999999999997</v>
      </c>
      <c r="AU26" s="18">
        <v>0.39</v>
      </c>
      <c r="AV26" s="18">
        <v>0.33</v>
      </c>
      <c r="AW26" s="18">
        <v>0.62</v>
      </c>
      <c r="AX26" s="19">
        <v>0.33</v>
      </c>
    </row>
    <row r="27" spans="42:50" x14ac:dyDescent="0.25">
      <c r="AP27" s="16" t="s">
        <v>99</v>
      </c>
      <c r="AQ27" s="17">
        <v>0</v>
      </c>
      <c r="AR27" s="18">
        <v>1.37</v>
      </c>
      <c r="AS27" s="18">
        <v>0.39</v>
      </c>
      <c r="AT27" s="18">
        <v>1.89</v>
      </c>
      <c r="AU27" s="18">
        <v>0.53</v>
      </c>
      <c r="AV27" s="18">
        <v>0.39</v>
      </c>
      <c r="AW27" s="18">
        <v>0.62</v>
      </c>
      <c r="AX27" s="19">
        <v>0.33</v>
      </c>
    </row>
    <row r="28" spans="42:50" x14ac:dyDescent="0.25">
      <c r="AP28" s="16" t="s">
        <v>100</v>
      </c>
      <c r="AQ28" s="17">
        <v>0.85</v>
      </c>
      <c r="AR28" s="18">
        <v>0.39</v>
      </c>
      <c r="AS28" s="18">
        <v>0.39</v>
      </c>
      <c r="AT28" s="18">
        <v>4.18</v>
      </c>
      <c r="AU28" s="18">
        <v>2.21</v>
      </c>
      <c r="AV28" s="18">
        <v>0.2</v>
      </c>
      <c r="AW28" s="18">
        <v>0.73</v>
      </c>
      <c r="AX28" s="19">
        <v>0.33</v>
      </c>
    </row>
    <row r="29" spans="42:50" x14ac:dyDescent="0.25">
      <c r="AP29" s="16" t="s">
        <v>101</v>
      </c>
      <c r="AQ29" s="17">
        <v>0.73</v>
      </c>
      <c r="AR29" s="18">
        <v>4.18</v>
      </c>
      <c r="AS29" s="18">
        <v>0.39</v>
      </c>
      <c r="AT29" s="18">
        <v>4.8899999999999997</v>
      </c>
      <c r="AU29" s="18">
        <v>0.45</v>
      </c>
      <c r="AV29" s="18">
        <v>0.39</v>
      </c>
      <c r="AW29" s="18">
        <v>0.62</v>
      </c>
      <c r="AX29" s="19">
        <v>0.28000000000000003</v>
      </c>
    </row>
    <row r="30" spans="42:50" x14ac:dyDescent="0.25">
      <c r="AP30" s="16" t="s">
        <v>102</v>
      </c>
      <c r="AQ30" s="17">
        <v>1.17</v>
      </c>
      <c r="AR30" s="18">
        <v>0.39</v>
      </c>
      <c r="AS30" s="18">
        <v>0.39</v>
      </c>
      <c r="AT30" s="18">
        <v>4.18</v>
      </c>
      <c r="AU30" s="18">
        <v>0.45</v>
      </c>
      <c r="AV30" s="18">
        <v>0.45</v>
      </c>
      <c r="AW30" s="18">
        <v>0.62</v>
      </c>
      <c r="AX30" s="19">
        <v>0.33</v>
      </c>
    </row>
    <row r="31" spans="42:50" x14ac:dyDescent="0.25">
      <c r="AP31" s="16" t="s">
        <v>103</v>
      </c>
      <c r="AQ31" s="17">
        <v>0.85</v>
      </c>
      <c r="AR31" s="18">
        <v>0.39</v>
      </c>
      <c r="AS31" s="18">
        <v>0.33</v>
      </c>
      <c r="AT31" s="18">
        <v>4.8899999999999997</v>
      </c>
      <c r="AU31" s="18">
        <v>0.39</v>
      </c>
      <c r="AV31" s="18">
        <v>0.45</v>
      </c>
      <c r="AW31" s="18">
        <v>0.62</v>
      </c>
      <c r="AX31" s="19">
        <v>0.28000000000000003</v>
      </c>
    </row>
    <row r="32" spans="42:50" x14ac:dyDescent="0.25">
      <c r="AP32" s="16" t="s">
        <v>104</v>
      </c>
      <c r="AQ32" s="17">
        <v>0</v>
      </c>
      <c r="AR32" s="18">
        <v>0.39</v>
      </c>
      <c r="AS32" s="18">
        <v>0.39</v>
      </c>
      <c r="AT32" s="18">
        <v>4.8899999999999997</v>
      </c>
      <c r="AU32" s="18">
        <v>0.45</v>
      </c>
      <c r="AV32" s="18">
        <v>0.39</v>
      </c>
      <c r="AW32" s="18">
        <v>0.62</v>
      </c>
      <c r="AX32" s="19">
        <v>0.39</v>
      </c>
    </row>
    <row r="33" spans="42:50" x14ac:dyDescent="0.25">
      <c r="AP33" s="16" t="s">
        <v>105</v>
      </c>
      <c r="AQ33" s="17">
        <v>0</v>
      </c>
      <c r="AR33" s="18">
        <v>0.39</v>
      </c>
      <c r="AS33" s="18">
        <v>0.33</v>
      </c>
      <c r="AT33" s="18">
        <v>4.8899999999999997</v>
      </c>
      <c r="AU33" s="18">
        <v>0.39</v>
      </c>
      <c r="AV33" s="18">
        <v>0.39</v>
      </c>
      <c r="AW33" s="18">
        <v>2.59</v>
      </c>
      <c r="AX33" s="19">
        <v>0.33</v>
      </c>
    </row>
    <row r="34" spans="42:50" x14ac:dyDescent="0.25">
      <c r="AP34" s="16" t="s">
        <v>106</v>
      </c>
      <c r="AQ34" s="17">
        <v>0</v>
      </c>
      <c r="AR34" s="18">
        <v>1.89</v>
      </c>
      <c r="AS34" s="18">
        <v>0.39</v>
      </c>
      <c r="AT34" s="18">
        <v>4.8899999999999997</v>
      </c>
      <c r="AU34" s="18">
        <v>0.53</v>
      </c>
      <c r="AV34" s="18">
        <v>0.24</v>
      </c>
      <c r="AW34" s="18">
        <v>1.17</v>
      </c>
      <c r="AX34" s="19">
        <v>0.28000000000000003</v>
      </c>
    </row>
    <row r="35" spans="42:50" x14ac:dyDescent="0.25">
      <c r="AP35" s="16" t="s">
        <v>107</v>
      </c>
      <c r="AQ35" s="17">
        <v>0</v>
      </c>
      <c r="AR35" s="18">
        <v>0.62</v>
      </c>
      <c r="AS35" s="18">
        <v>0.39</v>
      </c>
      <c r="AT35" s="18">
        <v>4.18</v>
      </c>
      <c r="AU35" s="18">
        <v>0.39</v>
      </c>
      <c r="AV35" s="18">
        <v>0.45</v>
      </c>
      <c r="AW35" s="18">
        <v>0.62</v>
      </c>
      <c r="AX35" s="19">
        <v>0.33</v>
      </c>
    </row>
    <row r="36" spans="42:50" x14ac:dyDescent="0.25">
      <c r="AP36" s="16" t="s">
        <v>108</v>
      </c>
      <c r="AQ36" s="17">
        <v>0.85</v>
      </c>
      <c r="AR36" s="18">
        <v>1.89</v>
      </c>
      <c r="AS36" s="18">
        <v>1.37</v>
      </c>
      <c r="AT36" s="18">
        <v>0.39</v>
      </c>
      <c r="AU36" s="18">
        <v>0.53</v>
      </c>
      <c r="AV36" s="18">
        <v>0.28000000000000003</v>
      </c>
      <c r="AW36" s="18">
        <v>1.17</v>
      </c>
      <c r="AX36" s="19">
        <v>0.24</v>
      </c>
    </row>
    <row r="37" spans="42:50" x14ac:dyDescent="0.25">
      <c r="AP37" s="16" t="s">
        <v>109</v>
      </c>
      <c r="AQ37" s="17">
        <v>0</v>
      </c>
      <c r="AR37" s="18">
        <v>0.39</v>
      </c>
      <c r="AS37" s="18">
        <v>0.39</v>
      </c>
      <c r="AT37" s="18">
        <v>4.18</v>
      </c>
      <c r="AU37" s="18">
        <v>0.39</v>
      </c>
      <c r="AV37" s="18">
        <v>0.45</v>
      </c>
      <c r="AW37" s="18">
        <v>0.73</v>
      </c>
      <c r="AX37" s="19">
        <v>0.33</v>
      </c>
    </row>
    <row r="38" spans="42:50" x14ac:dyDescent="0.25">
      <c r="AP38" s="16" t="s">
        <v>110</v>
      </c>
      <c r="AQ38" s="17">
        <v>0</v>
      </c>
      <c r="AR38" s="18">
        <v>1.61</v>
      </c>
      <c r="AS38" s="18">
        <v>0.39</v>
      </c>
      <c r="AT38" s="18">
        <v>4.8899999999999997</v>
      </c>
      <c r="AU38" s="18">
        <v>0.39</v>
      </c>
      <c r="AV38" s="18">
        <v>0.39</v>
      </c>
      <c r="AW38" s="18">
        <v>1.37</v>
      </c>
      <c r="AX38" s="19">
        <v>0.33</v>
      </c>
    </row>
    <row r="39" spans="42:50" x14ac:dyDescent="0.25">
      <c r="AP39" s="16" t="s">
        <v>111</v>
      </c>
      <c r="AQ39" s="17">
        <v>0</v>
      </c>
      <c r="AR39" s="18">
        <v>0.39</v>
      </c>
      <c r="AS39" s="18">
        <v>0.39</v>
      </c>
      <c r="AT39" s="18">
        <v>1.89</v>
      </c>
      <c r="AU39" s="18">
        <v>0.45</v>
      </c>
      <c r="AV39" s="18">
        <v>0.45</v>
      </c>
      <c r="AW39" s="18">
        <v>0.73</v>
      </c>
      <c r="AX39" s="19">
        <v>0.33</v>
      </c>
    </row>
    <row r="40" spans="42:50" x14ac:dyDescent="0.25">
      <c r="AP40" s="16" t="s">
        <v>112</v>
      </c>
      <c r="AQ40" s="17">
        <v>0</v>
      </c>
      <c r="AR40" s="18">
        <v>0.39</v>
      </c>
      <c r="AS40" s="18">
        <v>0.33</v>
      </c>
      <c r="AT40" s="18">
        <v>4.18</v>
      </c>
      <c r="AU40" s="18">
        <v>0.39</v>
      </c>
      <c r="AV40" s="18">
        <v>0.45</v>
      </c>
      <c r="AW40" s="18">
        <v>1.17</v>
      </c>
      <c r="AX40" s="19">
        <v>0.33</v>
      </c>
    </row>
    <row r="41" spans="42:50" x14ac:dyDescent="0.25">
      <c r="AP41" s="16" t="s">
        <v>113</v>
      </c>
      <c r="AQ41" s="17">
        <v>0</v>
      </c>
      <c r="AR41" s="18">
        <v>0.45</v>
      </c>
      <c r="AS41" s="18">
        <v>0.39</v>
      </c>
      <c r="AT41" s="18">
        <v>4.18</v>
      </c>
      <c r="AU41" s="18">
        <v>0.39</v>
      </c>
      <c r="AV41" s="18">
        <v>0.45</v>
      </c>
      <c r="AW41" s="18">
        <v>0.62</v>
      </c>
      <c r="AX41" s="19">
        <v>0.24</v>
      </c>
    </row>
    <row r="42" spans="42:50" x14ac:dyDescent="0.25">
      <c r="AP42" s="16" t="s">
        <v>114</v>
      </c>
      <c r="AQ42" s="17">
        <v>0</v>
      </c>
      <c r="AR42" s="18">
        <v>0.39</v>
      </c>
      <c r="AS42" s="18">
        <v>0.39</v>
      </c>
      <c r="AT42" s="18">
        <v>4.8899999999999997</v>
      </c>
      <c r="AU42" s="18">
        <v>0.45</v>
      </c>
      <c r="AV42" s="18">
        <v>0.62</v>
      </c>
      <c r="AW42" s="18">
        <v>0.73</v>
      </c>
      <c r="AX42" s="19">
        <v>0.28000000000000003</v>
      </c>
    </row>
    <row r="43" spans="42:50" x14ac:dyDescent="0.25">
      <c r="AP43" s="16" t="s">
        <v>115</v>
      </c>
      <c r="AQ43" s="17">
        <v>0.85</v>
      </c>
      <c r="AR43" s="18">
        <v>0.39</v>
      </c>
      <c r="AS43" s="18">
        <v>0.39</v>
      </c>
      <c r="AT43" s="18">
        <v>4.8899999999999997</v>
      </c>
      <c r="AU43" s="18">
        <v>0.39</v>
      </c>
      <c r="AV43" s="18">
        <v>0.39</v>
      </c>
      <c r="AW43" s="18">
        <v>0.62</v>
      </c>
      <c r="AX43" s="19">
        <v>0.33</v>
      </c>
    </row>
    <row r="44" spans="42:50" x14ac:dyDescent="0.25">
      <c r="AP44" s="16" t="s">
        <v>116</v>
      </c>
      <c r="AQ44" s="17">
        <v>0</v>
      </c>
      <c r="AR44" s="18">
        <v>0.39</v>
      </c>
      <c r="AS44" s="18">
        <v>0.39</v>
      </c>
      <c r="AT44" s="18">
        <v>0.39</v>
      </c>
      <c r="AU44" s="18">
        <v>0.39</v>
      </c>
      <c r="AV44" s="18">
        <v>0.39</v>
      </c>
      <c r="AW44" s="18">
        <v>0.62</v>
      </c>
      <c r="AX44" s="19">
        <v>0.28000000000000003</v>
      </c>
    </row>
    <row r="45" spans="42:50" x14ac:dyDescent="0.25">
      <c r="AP45" s="16" t="s">
        <v>117</v>
      </c>
      <c r="AQ45" s="17">
        <v>0</v>
      </c>
      <c r="AR45" s="18">
        <v>0.39</v>
      </c>
      <c r="AS45" s="18">
        <v>0.39</v>
      </c>
      <c r="AT45" s="18">
        <v>4.18</v>
      </c>
      <c r="AU45" s="18">
        <v>2.21</v>
      </c>
      <c r="AV45" s="18">
        <v>0.24</v>
      </c>
      <c r="AW45" s="18">
        <v>1.37</v>
      </c>
      <c r="AX45" s="19">
        <v>0.39</v>
      </c>
    </row>
    <row r="46" spans="42:50" x14ac:dyDescent="0.25">
      <c r="AP46" s="16" t="s">
        <v>118</v>
      </c>
      <c r="AQ46" s="17">
        <v>0.85</v>
      </c>
      <c r="AR46" s="18">
        <v>1.89</v>
      </c>
      <c r="AS46" s="18">
        <v>0.33</v>
      </c>
      <c r="AT46" s="18">
        <v>1.89</v>
      </c>
      <c r="AU46" s="18">
        <v>0.53</v>
      </c>
      <c r="AV46" s="18">
        <v>0.24</v>
      </c>
      <c r="AW46" s="18">
        <v>1.37</v>
      </c>
      <c r="AX46" s="19">
        <v>0.33</v>
      </c>
    </row>
    <row r="47" spans="42:50" x14ac:dyDescent="0.25">
      <c r="AP47" s="16" t="s">
        <v>119</v>
      </c>
      <c r="AQ47" s="17">
        <v>0.85</v>
      </c>
      <c r="AR47" s="18">
        <v>1.61</v>
      </c>
      <c r="AS47" s="18">
        <v>0.33</v>
      </c>
      <c r="AT47" s="18">
        <v>1.61</v>
      </c>
      <c r="AU47" s="18">
        <v>0.53</v>
      </c>
      <c r="AV47" s="18">
        <v>0.53</v>
      </c>
      <c r="AW47" s="18">
        <v>1.17</v>
      </c>
      <c r="AX47" s="19">
        <v>0.33</v>
      </c>
    </row>
    <row r="48" spans="42:50" x14ac:dyDescent="0.25">
      <c r="AP48" s="16" t="s">
        <v>120</v>
      </c>
      <c r="AQ48" s="17">
        <v>0</v>
      </c>
      <c r="AR48" s="18">
        <v>0.39</v>
      </c>
      <c r="AS48" s="18">
        <v>0.39</v>
      </c>
      <c r="AT48" s="18">
        <v>4.8899999999999997</v>
      </c>
      <c r="AU48" s="18">
        <v>0.39</v>
      </c>
      <c r="AV48" s="18">
        <v>0.45</v>
      </c>
      <c r="AW48" s="18">
        <v>0.62</v>
      </c>
      <c r="AX48" s="19">
        <v>0.33</v>
      </c>
    </row>
    <row r="49" spans="42:50" x14ac:dyDescent="0.25">
      <c r="AP49" s="16" t="s">
        <v>121</v>
      </c>
      <c r="AQ49" s="17">
        <v>0</v>
      </c>
      <c r="AR49" s="18">
        <v>0.39</v>
      </c>
      <c r="AS49" s="18">
        <v>0.39</v>
      </c>
      <c r="AT49" s="18">
        <v>4.18</v>
      </c>
      <c r="AU49" s="18">
        <v>0.39</v>
      </c>
      <c r="AV49" s="18">
        <v>0.39</v>
      </c>
      <c r="AW49" s="18">
        <v>0.62</v>
      </c>
      <c r="AX49" s="19">
        <v>0.33</v>
      </c>
    </row>
    <row r="50" spans="42:50" x14ac:dyDescent="0.25">
      <c r="AP50" s="16" t="s">
        <v>122</v>
      </c>
      <c r="AQ50" s="17">
        <v>0</v>
      </c>
      <c r="AR50" s="18">
        <v>0.39</v>
      </c>
      <c r="AS50" s="18">
        <v>0.39</v>
      </c>
      <c r="AT50" s="18">
        <v>4.18</v>
      </c>
      <c r="AU50" s="18">
        <v>0.53</v>
      </c>
      <c r="AV50" s="18">
        <v>0.2</v>
      </c>
      <c r="AW50" s="18">
        <v>0.73</v>
      </c>
      <c r="AX50" s="19">
        <v>0.28000000000000003</v>
      </c>
    </row>
    <row r="51" spans="42:50" x14ac:dyDescent="0.25">
      <c r="AP51" s="16" t="s">
        <v>123</v>
      </c>
      <c r="AQ51" s="17">
        <v>0</v>
      </c>
      <c r="AR51" s="18">
        <v>1.61</v>
      </c>
      <c r="AS51" s="18">
        <v>0.39</v>
      </c>
      <c r="AT51" s="18">
        <v>4.8899999999999997</v>
      </c>
      <c r="AU51" s="18">
        <v>0.39</v>
      </c>
      <c r="AV51" s="18">
        <v>0.45</v>
      </c>
      <c r="AW51" s="18">
        <v>0.62</v>
      </c>
      <c r="AX51" s="19">
        <v>0.33</v>
      </c>
    </row>
    <row r="52" spans="42:50" x14ac:dyDescent="0.25">
      <c r="AP52" s="16" t="s">
        <v>124</v>
      </c>
      <c r="AQ52" s="17">
        <v>0</v>
      </c>
      <c r="AR52" s="18">
        <v>0.39</v>
      </c>
      <c r="AS52" s="18">
        <v>0.33</v>
      </c>
      <c r="AT52" s="18">
        <v>4.18</v>
      </c>
      <c r="AU52" s="18">
        <v>0.39</v>
      </c>
      <c r="AV52" s="18">
        <v>0.39</v>
      </c>
      <c r="AW52" s="18">
        <v>0.62</v>
      </c>
      <c r="AX52" s="19">
        <v>0.33</v>
      </c>
    </row>
    <row r="53" spans="42:50" x14ac:dyDescent="0.25">
      <c r="AP53" s="16" t="s">
        <v>125</v>
      </c>
      <c r="AQ53" s="17">
        <v>0</v>
      </c>
      <c r="AR53" s="18">
        <v>0.39</v>
      </c>
      <c r="AS53" s="18">
        <v>0.39</v>
      </c>
      <c r="AT53" s="18">
        <v>4.18</v>
      </c>
      <c r="AU53" s="18">
        <v>0.39</v>
      </c>
      <c r="AV53" s="18">
        <v>0.39</v>
      </c>
      <c r="AW53" s="18">
        <v>0.73</v>
      </c>
      <c r="AX53" s="19">
        <v>0.33</v>
      </c>
    </row>
    <row r="54" spans="42:50" x14ac:dyDescent="0.25">
      <c r="AP54" s="16" t="s">
        <v>126</v>
      </c>
      <c r="AQ54" s="17">
        <v>4.18</v>
      </c>
      <c r="AR54" s="18">
        <v>0.39</v>
      </c>
      <c r="AS54" s="18">
        <v>0.33</v>
      </c>
      <c r="AT54" s="18">
        <v>4.18</v>
      </c>
      <c r="AU54" s="18">
        <v>0.39</v>
      </c>
      <c r="AV54" s="18">
        <v>0.24</v>
      </c>
      <c r="AW54" s="18">
        <v>0.73</v>
      </c>
      <c r="AX54" s="19">
        <v>0.33</v>
      </c>
    </row>
    <row r="55" spans="42:50" x14ac:dyDescent="0.25">
      <c r="AP55" s="16" t="s">
        <v>127</v>
      </c>
      <c r="AQ55" s="17">
        <v>0</v>
      </c>
      <c r="AR55" s="18">
        <v>0.39</v>
      </c>
      <c r="AS55" s="18">
        <v>0.33</v>
      </c>
      <c r="AT55" s="18">
        <v>4.8899999999999997</v>
      </c>
      <c r="AU55" s="18">
        <v>0.45</v>
      </c>
      <c r="AV55" s="18">
        <v>0.39</v>
      </c>
      <c r="AW55" s="18">
        <v>2.59</v>
      </c>
      <c r="AX55" s="19">
        <v>0.33</v>
      </c>
    </row>
    <row r="56" spans="42:50" x14ac:dyDescent="0.25">
      <c r="AP56" s="16" t="s">
        <v>128</v>
      </c>
      <c r="AQ56" s="17">
        <v>0.85</v>
      </c>
      <c r="AR56" s="18">
        <v>1.61</v>
      </c>
      <c r="AS56" s="18">
        <v>0.39</v>
      </c>
      <c r="AT56" s="18">
        <v>4.18</v>
      </c>
      <c r="AU56" s="18">
        <v>0.39</v>
      </c>
      <c r="AV56" s="18">
        <v>0.45</v>
      </c>
      <c r="AW56" s="18">
        <v>0.62</v>
      </c>
      <c r="AX56" s="19">
        <v>0.33</v>
      </c>
    </row>
    <row r="57" spans="42:50" x14ac:dyDescent="0.25">
      <c r="AP57" s="16" t="s">
        <v>129</v>
      </c>
      <c r="AQ57" s="17">
        <v>0.85</v>
      </c>
      <c r="AR57" s="18">
        <v>1.61</v>
      </c>
      <c r="AS57" s="18">
        <v>0.39</v>
      </c>
      <c r="AT57" s="18">
        <v>1.89</v>
      </c>
      <c r="AU57" s="18">
        <v>0.53</v>
      </c>
      <c r="AV57" s="18">
        <v>0.2</v>
      </c>
      <c r="AW57" s="18">
        <v>1.17</v>
      </c>
      <c r="AX57" s="19">
        <v>2.59</v>
      </c>
    </row>
    <row r="58" spans="42:50" x14ac:dyDescent="0.25">
      <c r="AP58" s="16" t="s">
        <v>130</v>
      </c>
      <c r="AQ58" s="17">
        <v>4.8899999999999997</v>
      </c>
      <c r="AR58" s="18">
        <v>1.61</v>
      </c>
      <c r="AS58" s="18">
        <v>0.39</v>
      </c>
      <c r="AT58" s="18">
        <v>4.18</v>
      </c>
      <c r="AU58" s="18">
        <v>0.45</v>
      </c>
      <c r="AV58" s="18">
        <v>0.39</v>
      </c>
      <c r="AW58" s="18">
        <v>0.62</v>
      </c>
      <c r="AX58" s="19">
        <v>0.33</v>
      </c>
    </row>
    <row r="59" spans="42:50" x14ac:dyDescent="0.25">
      <c r="AP59" s="16" t="s">
        <v>131</v>
      </c>
      <c r="AQ59" s="17">
        <v>0.85</v>
      </c>
      <c r="AR59" s="18">
        <v>0.39</v>
      </c>
      <c r="AS59" s="18">
        <v>0.39</v>
      </c>
      <c r="AT59" s="18">
        <v>4.18</v>
      </c>
      <c r="AU59" s="18">
        <v>0.45</v>
      </c>
      <c r="AV59" s="18">
        <v>0.39</v>
      </c>
      <c r="AW59" s="18">
        <v>2.21</v>
      </c>
      <c r="AX59" s="19">
        <v>0.33</v>
      </c>
    </row>
    <row r="60" spans="42:50" x14ac:dyDescent="0.25">
      <c r="AP60" s="16" t="s">
        <v>132</v>
      </c>
      <c r="AQ60" s="17">
        <v>0</v>
      </c>
      <c r="AR60" s="18">
        <v>0.39</v>
      </c>
      <c r="AS60" s="18">
        <v>0.39</v>
      </c>
      <c r="AT60" s="18">
        <v>1.89</v>
      </c>
      <c r="AU60" s="18">
        <v>0.39</v>
      </c>
      <c r="AV60" s="18">
        <v>0.39</v>
      </c>
      <c r="AW60" s="18">
        <v>0.62</v>
      </c>
      <c r="AX60" s="19">
        <v>0.33</v>
      </c>
    </row>
    <row r="61" spans="42:50" x14ac:dyDescent="0.25">
      <c r="AP61" s="16" t="s">
        <v>133</v>
      </c>
      <c r="AQ61" s="17">
        <v>0.85</v>
      </c>
      <c r="AR61" s="18">
        <v>0.39</v>
      </c>
      <c r="AS61" s="18">
        <v>0.33</v>
      </c>
      <c r="AT61" s="18">
        <v>1.89</v>
      </c>
      <c r="AU61" s="18">
        <v>0.33</v>
      </c>
      <c r="AV61" s="18">
        <v>0.62</v>
      </c>
      <c r="AW61" s="18">
        <v>0.62</v>
      </c>
      <c r="AX61" s="19">
        <v>0.33</v>
      </c>
    </row>
    <row r="62" spans="42:50" ht="15.75" thickBot="1" x14ac:dyDescent="0.3">
      <c r="AP62" s="16" t="s">
        <v>134</v>
      </c>
      <c r="AQ62" s="17">
        <v>4.18</v>
      </c>
      <c r="AR62" s="18">
        <v>0.45</v>
      </c>
      <c r="AS62" s="18">
        <v>0.39</v>
      </c>
      <c r="AT62" s="18">
        <v>4.8899999999999997</v>
      </c>
      <c r="AU62" s="18">
        <v>0.39</v>
      </c>
      <c r="AV62" s="18">
        <v>0.39</v>
      </c>
      <c r="AW62" s="18">
        <v>0.73</v>
      </c>
      <c r="AX62" s="19">
        <v>0.33</v>
      </c>
    </row>
    <row r="63" spans="42:50" x14ac:dyDescent="0.25">
      <c r="AP63" s="10" t="s">
        <v>223</v>
      </c>
      <c r="AQ63" s="11">
        <v>1.4107692307692301</v>
      </c>
      <c r="AR63" s="12">
        <v>0.92576271186440695</v>
      </c>
      <c r="AS63" s="12">
        <v>0.40491525423728802</v>
      </c>
      <c r="AT63" s="12">
        <v>3.7632203389830399</v>
      </c>
      <c r="AU63" s="12">
        <v>0.54237288135593198</v>
      </c>
      <c r="AV63" s="12">
        <v>0.37355932203389802</v>
      </c>
      <c r="AW63" s="12">
        <v>0.94620689655172296</v>
      </c>
      <c r="AX63" s="13">
        <v>0.35999999999999899</v>
      </c>
    </row>
    <row r="64" spans="42:50" x14ac:dyDescent="0.25">
      <c r="AP64" s="16" t="s">
        <v>224</v>
      </c>
      <c r="AQ64" s="17">
        <v>1.3417122329234099</v>
      </c>
      <c r="AR64" s="18">
        <v>0.98244972854496204</v>
      </c>
      <c r="AS64" s="18">
        <v>0.18284357379785701</v>
      </c>
      <c r="AT64" s="18">
        <v>1.3875810444224701</v>
      </c>
      <c r="AU64" s="18">
        <v>0.41280905826618303</v>
      </c>
      <c r="AV64" s="18">
        <v>0.10169350281505</v>
      </c>
      <c r="AW64" s="18">
        <v>0.53300005688751295</v>
      </c>
      <c r="AX64" s="19">
        <v>0.294370917870865</v>
      </c>
    </row>
    <row r="65" spans="42:50" x14ac:dyDescent="0.25">
      <c r="AP65" s="16" t="s">
        <v>225</v>
      </c>
      <c r="AQ65" s="17">
        <v>2.7524814636926398</v>
      </c>
      <c r="AR65" s="18">
        <v>1.9082124404093599</v>
      </c>
      <c r="AS65" s="18">
        <v>0.58775882803514601</v>
      </c>
      <c r="AT65" s="18">
        <v>5.1508013834055202</v>
      </c>
      <c r="AU65" s="18">
        <v>0.95518193962211495</v>
      </c>
      <c r="AV65" s="18">
        <v>0.47525282484894799</v>
      </c>
      <c r="AW65" s="18">
        <v>1.47920695343923</v>
      </c>
      <c r="AX65" s="19">
        <v>0.65437091787086399</v>
      </c>
    </row>
    <row r="66" spans="42:50" x14ac:dyDescent="0.25">
      <c r="AP66" s="16" t="s">
        <v>226</v>
      </c>
      <c r="AQ66" s="17">
        <v>6.9056997845817703E-2</v>
      </c>
      <c r="AR66" s="18">
        <v>-5.6687016680555397E-2</v>
      </c>
      <c r="AS66" s="18">
        <v>0.22207168043943001</v>
      </c>
      <c r="AT66" s="18">
        <v>2.3756392945605702</v>
      </c>
      <c r="AU66" s="18">
        <v>0.12956382308974901</v>
      </c>
      <c r="AV66" s="18">
        <v>0.271865819218848</v>
      </c>
      <c r="AW66" s="18">
        <v>0.41320683966420901</v>
      </c>
      <c r="AX66" s="19">
        <v>6.5629082129134694E-2</v>
      </c>
    </row>
    <row r="67" spans="42:50" ht="15.75" thickBot="1" x14ac:dyDescent="0.3">
      <c r="AP67" s="23" t="s">
        <v>227</v>
      </c>
      <c r="AQ67" s="24">
        <v>0.84272727272727199</v>
      </c>
      <c r="AR67" s="25">
        <v>0.73875000000000002</v>
      </c>
      <c r="AS67" s="25">
        <v>0.37105263157894702</v>
      </c>
      <c r="AT67" s="25">
        <v>4.5349999999999904</v>
      </c>
      <c r="AU67" s="25">
        <v>0.43272727272727202</v>
      </c>
      <c r="AV67" s="25">
        <v>0.41023809523809501</v>
      </c>
      <c r="AW67" s="25">
        <v>0.82314814814814696</v>
      </c>
      <c r="AX67" s="26">
        <v>0.32155172413792998</v>
      </c>
    </row>
    <row r="68" spans="42:50" ht="15.75" thickBot="1" x14ac:dyDescent="0.3">
      <c r="AQ68" s="27"/>
      <c r="AR68" s="27"/>
      <c r="AS68" s="27"/>
      <c r="AT68" s="27"/>
      <c r="AU68" s="27"/>
      <c r="AV68" s="27"/>
      <c r="AW68" s="27"/>
      <c r="AX68" s="27"/>
    </row>
    <row r="69" spans="42:50" ht="30" x14ac:dyDescent="0.25">
      <c r="AP69" s="28" t="s">
        <v>228</v>
      </c>
      <c r="AQ69" s="29">
        <v>5.33</v>
      </c>
      <c r="AR69" s="29">
        <v>3.38</v>
      </c>
      <c r="AS69" s="29">
        <v>2.97</v>
      </c>
      <c r="AT69" s="29">
        <v>2.06</v>
      </c>
      <c r="AU69" s="29">
        <v>1.91</v>
      </c>
      <c r="AV69" s="29">
        <v>3.95</v>
      </c>
      <c r="AW69" s="29">
        <v>2.75</v>
      </c>
      <c r="AX69" s="30">
        <v>1.78</v>
      </c>
    </row>
    <row r="70" spans="42:50" x14ac:dyDescent="0.25">
      <c r="AP70" s="31" t="s">
        <v>229</v>
      </c>
      <c r="AQ70" s="32">
        <f t="shared" ref="AQ70:AX70" si="0">AQ69-AQ67</f>
        <v>4.4872727272727282</v>
      </c>
      <c r="AR70" s="32">
        <f t="shared" si="0"/>
        <v>2.6412499999999999</v>
      </c>
      <c r="AS70" s="32">
        <f t="shared" si="0"/>
        <v>2.5989473684210531</v>
      </c>
      <c r="AT70" s="32">
        <f t="shared" si="0"/>
        <v>-2.4749999999999903</v>
      </c>
      <c r="AU70" s="32">
        <f t="shared" si="0"/>
        <v>1.477272727272728</v>
      </c>
      <c r="AV70" s="32">
        <f t="shared" si="0"/>
        <v>3.5397619047619053</v>
      </c>
      <c r="AW70" s="32">
        <f t="shared" si="0"/>
        <v>1.9268518518518531</v>
      </c>
      <c r="AX70" s="33">
        <f t="shared" si="0"/>
        <v>1.45844827586207</v>
      </c>
    </row>
    <row r="71" spans="42:50" ht="15.75" thickBot="1" x14ac:dyDescent="0.3">
      <c r="AP71" s="34" t="s">
        <v>230</v>
      </c>
      <c r="AQ71" s="35">
        <f t="shared" ref="AQ71:AX71" si="1">(AQ70/AQ67)*100</f>
        <v>532.47033441208259</v>
      </c>
      <c r="AR71" s="35">
        <f t="shared" si="1"/>
        <v>357.52961082910321</v>
      </c>
      <c r="AS71" s="35">
        <f t="shared" si="1"/>
        <v>700.42553191489446</v>
      </c>
      <c r="AT71" s="35">
        <f t="shared" si="1"/>
        <v>-54.5755237045203</v>
      </c>
      <c r="AU71" s="35">
        <f t="shared" si="1"/>
        <v>341.38655462184948</v>
      </c>
      <c r="AV71" s="35">
        <f t="shared" si="1"/>
        <v>862.85548461984968</v>
      </c>
      <c r="AW71" s="35">
        <f t="shared" si="1"/>
        <v>234.08323959505114</v>
      </c>
      <c r="AX71" s="36">
        <f t="shared" si="1"/>
        <v>453.56568364611445</v>
      </c>
    </row>
    <row r="72" spans="42:50" ht="15.75" thickBot="1" x14ac:dyDescent="0.3">
      <c r="AP72" s="37"/>
      <c r="AQ72" s="32"/>
      <c r="AR72" s="32"/>
      <c r="AS72" s="32"/>
      <c r="AT72" s="32"/>
      <c r="AU72" s="32"/>
      <c r="AV72" s="32"/>
      <c r="AW72" s="32"/>
      <c r="AX72" s="32"/>
    </row>
    <row r="73" spans="42:50" ht="30" x14ac:dyDescent="0.25">
      <c r="AP73" s="28" t="s">
        <v>231</v>
      </c>
      <c r="AQ73" s="29">
        <v>5.21</v>
      </c>
      <c r="AR73" s="29">
        <v>3.2</v>
      </c>
      <c r="AS73" s="29">
        <v>2.89</v>
      </c>
      <c r="AT73" s="29">
        <v>1.87</v>
      </c>
      <c r="AU73" s="29">
        <v>1.75</v>
      </c>
      <c r="AV73" s="29">
        <v>3.89</v>
      </c>
      <c r="AW73" s="29">
        <v>2.65</v>
      </c>
      <c r="AX73" s="30">
        <v>1.68</v>
      </c>
    </row>
    <row r="74" spans="42:50" x14ac:dyDescent="0.25">
      <c r="AP74" s="31" t="s">
        <v>229</v>
      </c>
      <c r="AQ74" s="32">
        <f t="shared" ref="AQ74:AX74" si="2">AQ73-AQ67</f>
        <v>4.3672727272727281</v>
      </c>
      <c r="AR74" s="32">
        <f t="shared" si="2"/>
        <v>2.4612500000000002</v>
      </c>
      <c r="AS74" s="32">
        <f t="shared" si="2"/>
        <v>2.518947368421053</v>
      </c>
      <c r="AT74" s="32">
        <f t="shared" si="2"/>
        <v>-2.6649999999999903</v>
      </c>
      <c r="AU74" s="32">
        <f t="shared" si="2"/>
        <v>1.317272727272728</v>
      </c>
      <c r="AV74" s="32">
        <f t="shared" si="2"/>
        <v>3.4797619047619053</v>
      </c>
      <c r="AW74" s="32">
        <f t="shared" si="2"/>
        <v>1.8268518518518531</v>
      </c>
      <c r="AX74" s="33">
        <f t="shared" si="2"/>
        <v>1.35844827586207</v>
      </c>
    </row>
    <row r="75" spans="42:50" ht="15.75" thickBot="1" x14ac:dyDescent="0.3">
      <c r="AP75" s="34" t="s">
        <v>230</v>
      </c>
      <c r="AQ75" s="35">
        <f>(AQ74/AQ67)*100</f>
        <v>518.23085221143526</v>
      </c>
      <c r="AR75" s="35">
        <f t="shared" ref="AR75:AX75" si="3">(AR74/AR67)*100</f>
        <v>333.16412859560069</v>
      </c>
      <c r="AS75" s="35">
        <f t="shared" si="3"/>
        <v>678.86524822695117</v>
      </c>
      <c r="AT75" s="35">
        <f t="shared" si="3"/>
        <v>-58.765159867695616</v>
      </c>
      <c r="AU75" s="35">
        <f t="shared" si="3"/>
        <v>304.41176470588306</v>
      </c>
      <c r="AV75" s="35">
        <f t="shared" si="3"/>
        <v>848.22983168891528</v>
      </c>
      <c r="AW75" s="35">
        <f t="shared" si="3"/>
        <v>221.93475815523107</v>
      </c>
      <c r="AX75" s="36">
        <f t="shared" si="3"/>
        <v>422.46648793565856</v>
      </c>
    </row>
    <row r="76" spans="42:50" ht="15.75" thickBot="1" x14ac:dyDescent="0.3">
      <c r="AQ76" s="27"/>
      <c r="AR76" s="27"/>
      <c r="AS76" s="27"/>
      <c r="AT76" s="27"/>
      <c r="AU76" s="27"/>
      <c r="AV76" s="27"/>
      <c r="AW76" s="27"/>
      <c r="AX76" s="27"/>
    </row>
    <row r="77" spans="42:50" ht="30" x14ac:dyDescent="0.25">
      <c r="AP77" s="28" t="s">
        <v>232</v>
      </c>
      <c r="AQ77" s="41">
        <v>5.14</v>
      </c>
      <c r="AR77" s="29">
        <v>3.27</v>
      </c>
      <c r="AS77" s="29">
        <v>2.9</v>
      </c>
      <c r="AT77" s="29">
        <v>1.94</v>
      </c>
      <c r="AU77" s="29">
        <v>1.81</v>
      </c>
      <c r="AV77" s="29">
        <v>3.93</v>
      </c>
      <c r="AW77" s="29">
        <v>2.65</v>
      </c>
      <c r="AX77" s="30">
        <v>1.66</v>
      </c>
    </row>
    <row r="78" spans="42:50" x14ac:dyDescent="0.25">
      <c r="AP78" s="31" t="s">
        <v>229</v>
      </c>
      <c r="AQ78" s="42">
        <f>AQ77-AQ67</f>
        <v>4.2972727272727278</v>
      </c>
      <c r="AR78" s="32">
        <f t="shared" ref="AR78:AX78" si="4">AR77-AR67</f>
        <v>2.53125</v>
      </c>
      <c r="AS78" s="32">
        <f t="shared" si="4"/>
        <v>2.5289473684210528</v>
      </c>
      <c r="AT78" s="32">
        <f t="shared" si="4"/>
        <v>-2.5949999999999904</v>
      </c>
      <c r="AU78" s="32">
        <f t="shared" si="4"/>
        <v>1.3772727272727281</v>
      </c>
      <c r="AV78" s="32">
        <f t="shared" si="4"/>
        <v>3.5197619047619053</v>
      </c>
      <c r="AW78" s="32">
        <f t="shared" si="4"/>
        <v>1.8268518518518531</v>
      </c>
      <c r="AX78" s="33">
        <f t="shared" si="4"/>
        <v>1.3384482758620699</v>
      </c>
    </row>
    <row r="79" spans="42:50" ht="15.75" thickBot="1" x14ac:dyDescent="0.3">
      <c r="AP79" s="34" t="s">
        <v>230</v>
      </c>
      <c r="AQ79" s="43">
        <f>(AQ78/AQ67)*100</f>
        <v>509.924487594391</v>
      </c>
      <c r="AR79" s="35">
        <f t="shared" ref="AR79:AX79" si="5">(AR78/AR67)*100</f>
        <v>342.63959390862942</v>
      </c>
      <c r="AS79" s="35">
        <f>(AS78/AS67)*100</f>
        <v>681.56028368794398</v>
      </c>
      <c r="AT79" s="35">
        <f t="shared" si="5"/>
        <v>-57.221609702315234</v>
      </c>
      <c r="AU79" s="35">
        <f t="shared" si="5"/>
        <v>318.27731092437045</v>
      </c>
      <c r="AV79" s="35">
        <f>(AV78/AV67)*100</f>
        <v>857.98026697620492</v>
      </c>
      <c r="AW79" s="35">
        <f t="shared" si="5"/>
        <v>221.93475815523107</v>
      </c>
      <c r="AX79" s="36">
        <f t="shared" si="5"/>
        <v>416.24664879356732</v>
      </c>
    </row>
    <row r="80" spans="42:50" x14ac:dyDescent="0.25">
      <c r="AQ80" s="27"/>
      <c r="AR80" s="27"/>
      <c r="AS80" s="27"/>
      <c r="AT80" s="27"/>
      <c r="AU80" s="27"/>
      <c r="AV80" s="27"/>
      <c r="AW80" s="27"/>
      <c r="AX80" s="27"/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8220-4CED-4E5D-A71E-9BDBB5FBF345}">
  <dimension ref="B1:CB925"/>
  <sheetViews>
    <sheetView workbookViewId="0">
      <selection activeCell="AP43" sqref="AP43:AX45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1.42578125" style="3" bestFit="1" customWidth="1"/>
    <col min="43" max="45" width="6.5703125" style="3" bestFit="1" customWidth="1"/>
    <col min="46" max="46" width="6.28515625" style="3" bestFit="1" customWidth="1"/>
    <col min="47" max="50" width="6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206</v>
      </c>
      <c r="AQ4" s="11">
        <v>0.85</v>
      </c>
      <c r="AR4" s="12">
        <v>4.18</v>
      </c>
      <c r="AS4" s="12">
        <v>0.33</v>
      </c>
      <c r="AT4" s="12">
        <v>0.39</v>
      </c>
      <c r="AU4" s="12">
        <v>0.45</v>
      </c>
      <c r="AV4" s="12">
        <v>0.2</v>
      </c>
      <c r="AW4" s="12">
        <v>1.37</v>
      </c>
      <c r="AX4" s="13">
        <v>0.33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206</v>
      </c>
      <c r="AQ5" s="17">
        <v>0</v>
      </c>
      <c r="AR5" s="18">
        <v>0.39</v>
      </c>
      <c r="AS5" s="18">
        <v>0.33</v>
      </c>
      <c r="AT5" s="18">
        <v>4.8899999999999997</v>
      </c>
      <c r="AU5" s="18">
        <v>0.45</v>
      </c>
      <c r="AV5" s="18">
        <v>0.24</v>
      </c>
      <c r="AW5" s="18">
        <v>0.62</v>
      </c>
      <c r="AX5" s="19">
        <v>0.33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206</v>
      </c>
      <c r="AQ6" s="17">
        <v>0</v>
      </c>
      <c r="AR6" s="18">
        <v>0.39</v>
      </c>
      <c r="AS6" s="18">
        <v>0.39</v>
      </c>
      <c r="AT6" s="18">
        <v>4.8899999999999997</v>
      </c>
      <c r="AU6" s="18">
        <v>0.39</v>
      </c>
      <c r="AV6" s="18">
        <v>0.45</v>
      </c>
      <c r="AW6" s="18">
        <v>0.73</v>
      </c>
      <c r="AX6" s="19">
        <v>0.33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206</v>
      </c>
      <c r="AQ7" s="17">
        <v>0</v>
      </c>
      <c r="AR7" s="18">
        <v>0.39</v>
      </c>
      <c r="AS7" s="18">
        <v>0.39</v>
      </c>
      <c r="AT7" s="18">
        <v>4.18</v>
      </c>
      <c r="AU7" s="18">
        <v>0.45</v>
      </c>
      <c r="AV7" s="18">
        <v>0.24</v>
      </c>
      <c r="AW7" s="18">
        <v>0.73</v>
      </c>
      <c r="AX7" s="19">
        <v>0.33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206</v>
      </c>
      <c r="AQ8" s="17">
        <v>0</v>
      </c>
      <c r="AR8" s="18">
        <v>1.61</v>
      </c>
      <c r="AS8" s="18">
        <v>0.33</v>
      </c>
      <c r="AT8" s="18">
        <v>1.61</v>
      </c>
      <c r="AU8" s="18">
        <v>0.53</v>
      </c>
      <c r="AV8" s="18">
        <v>0.24</v>
      </c>
      <c r="AW8" s="18">
        <v>1.17</v>
      </c>
      <c r="AX8" s="19">
        <v>2.21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207</v>
      </c>
      <c r="AQ9" s="17">
        <v>4.8899999999999997</v>
      </c>
      <c r="AR9" s="18">
        <v>0.39</v>
      </c>
      <c r="AS9" s="18">
        <v>0.39</v>
      </c>
      <c r="AT9" s="18">
        <v>4.8899999999999997</v>
      </c>
      <c r="AU9" s="18">
        <v>0.39</v>
      </c>
      <c r="AV9" s="18">
        <v>0.2</v>
      </c>
      <c r="AW9" s="18">
        <v>0.62</v>
      </c>
      <c r="AX9" s="19">
        <v>0.33</v>
      </c>
    </row>
    <row r="10" spans="2:80" x14ac:dyDescent="0.25">
      <c r="AP10" s="16" t="s">
        <v>207</v>
      </c>
      <c r="AQ10" s="17">
        <v>0</v>
      </c>
      <c r="AR10" s="18">
        <v>0.39</v>
      </c>
      <c r="AS10" s="18">
        <v>0.39</v>
      </c>
      <c r="AT10" s="18">
        <v>4.8899999999999997</v>
      </c>
      <c r="AU10" s="18">
        <v>0.45</v>
      </c>
      <c r="AV10" s="18">
        <v>0.39</v>
      </c>
      <c r="AW10" s="18">
        <v>0.62</v>
      </c>
      <c r="AX10" s="19">
        <v>0.33</v>
      </c>
    </row>
    <row r="11" spans="2:80" x14ac:dyDescent="0.25">
      <c r="AP11" s="16" t="s">
        <v>207</v>
      </c>
      <c r="AQ11" s="17">
        <v>0.85</v>
      </c>
      <c r="AR11" s="18">
        <v>0.39</v>
      </c>
      <c r="AS11" s="18">
        <v>0.39</v>
      </c>
      <c r="AT11" s="18">
        <v>1.61</v>
      </c>
      <c r="AU11" s="18">
        <v>0.45</v>
      </c>
      <c r="AV11" s="18">
        <v>0.39</v>
      </c>
      <c r="AW11" s="18">
        <v>3.04</v>
      </c>
      <c r="AX11" s="19">
        <v>0.28000000000000003</v>
      </c>
    </row>
    <row r="12" spans="2:80" x14ac:dyDescent="0.25">
      <c r="AP12" s="16" t="s">
        <v>207</v>
      </c>
      <c r="AQ12" s="17">
        <v>0</v>
      </c>
      <c r="AR12" s="18">
        <v>0.39</v>
      </c>
      <c r="AS12" s="18">
        <v>0.39</v>
      </c>
      <c r="AT12" s="18">
        <v>4.8899999999999997</v>
      </c>
      <c r="AU12" s="18">
        <v>0.39</v>
      </c>
      <c r="AV12" s="18">
        <v>0.45</v>
      </c>
      <c r="AW12" s="18">
        <v>0.62</v>
      </c>
      <c r="AX12" s="19">
        <v>0.33</v>
      </c>
    </row>
    <row r="13" spans="2:80" x14ac:dyDescent="0.25">
      <c r="AP13" s="16" t="s">
        <v>207</v>
      </c>
      <c r="AQ13" s="17">
        <v>0</v>
      </c>
      <c r="AR13" s="18">
        <v>0.39</v>
      </c>
      <c r="AS13" s="18">
        <v>0.39</v>
      </c>
      <c r="AT13" s="18">
        <v>1.89</v>
      </c>
      <c r="AU13" s="18">
        <v>0.39</v>
      </c>
      <c r="AV13" s="18">
        <v>0.45</v>
      </c>
      <c r="AW13" s="18">
        <v>0.73</v>
      </c>
      <c r="AX13" s="19">
        <v>0.28000000000000003</v>
      </c>
    </row>
    <row r="14" spans="2:80" x14ac:dyDescent="0.25">
      <c r="AP14" s="16" t="s">
        <v>208</v>
      </c>
      <c r="AQ14" s="17">
        <v>0.73</v>
      </c>
      <c r="AR14" s="18">
        <v>1.61</v>
      </c>
      <c r="AS14" s="18">
        <v>0.33</v>
      </c>
      <c r="AT14" s="18">
        <v>1.89</v>
      </c>
      <c r="AU14" s="18">
        <v>1.89</v>
      </c>
      <c r="AV14" s="18">
        <v>0.2</v>
      </c>
      <c r="AW14" s="18">
        <v>1.37</v>
      </c>
      <c r="AX14" s="19">
        <v>0.39</v>
      </c>
    </row>
    <row r="15" spans="2:80" x14ac:dyDescent="0.25">
      <c r="AP15" s="16" t="s">
        <v>208</v>
      </c>
      <c r="AQ15" s="17">
        <v>0</v>
      </c>
      <c r="AR15" s="18">
        <v>0.39</v>
      </c>
      <c r="AS15" s="18">
        <v>0.33</v>
      </c>
      <c r="AT15" s="18">
        <v>4.8899999999999997</v>
      </c>
      <c r="AU15" s="18">
        <v>0.39</v>
      </c>
      <c r="AV15" s="18">
        <v>0.45</v>
      </c>
      <c r="AW15" s="18">
        <v>0.62</v>
      </c>
      <c r="AX15" s="19">
        <v>0.33</v>
      </c>
    </row>
    <row r="16" spans="2:80" x14ac:dyDescent="0.25">
      <c r="AP16" s="16" t="s">
        <v>208</v>
      </c>
      <c r="AQ16" s="17">
        <v>0</v>
      </c>
      <c r="AR16" s="18">
        <v>0.39</v>
      </c>
      <c r="AS16" s="18">
        <v>0.39</v>
      </c>
      <c r="AT16" s="18">
        <v>4.8899999999999997</v>
      </c>
      <c r="AU16" s="18">
        <v>0.39</v>
      </c>
      <c r="AV16" s="18">
        <v>0.39</v>
      </c>
      <c r="AW16" s="18">
        <v>0</v>
      </c>
      <c r="AX16" s="19">
        <v>0.33</v>
      </c>
    </row>
    <row r="17" spans="42:50" x14ac:dyDescent="0.25">
      <c r="AP17" s="16" t="s">
        <v>208</v>
      </c>
      <c r="AQ17" s="17">
        <v>0</v>
      </c>
      <c r="AR17" s="18">
        <v>0.39</v>
      </c>
      <c r="AS17" s="18">
        <v>0.39</v>
      </c>
      <c r="AT17" s="18">
        <v>4.18</v>
      </c>
      <c r="AU17" s="18">
        <v>0.53</v>
      </c>
      <c r="AV17" s="18">
        <v>0.2</v>
      </c>
      <c r="AW17" s="18">
        <v>0.62</v>
      </c>
      <c r="AX17" s="19">
        <v>0.33</v>
      </c>
    </row>
    <row r="18" spans="42:50" x14ac:dyDescent="0.25">
      <c r="AP18" s="16" t="s">
        <v>208</v>
      </c>
      <c r="AQ18" s="17">
        <v>0</v>
      </c>
      <c r="AR18" s="18">
        <v>0.39</v>
      </c>
      <c r="AS18" s="18">
        <v>0.33</v>
      </c>
      <c r="AT18" s="18">
        <v>4.8899999999999997</v>
      </c>
      <c r="AU18" s="18">
        <v>1.89</v>
      </c>
      <c r="AV18" s="18">
        <v>0.39</v>
      </c>
      <c r="AW18" s="18">
        <v>0.62</v>
      </c>
      <c r="AX18" s="19">
        <v>0.28000000000000003</v>
      </c>
    </row>
    <row r="19" spans="42:50" x14ac:dyDescent="0.25">
      <c r="AP19" s="16" t="s">
        <v>209</v>
      </c>
      <c r="AQ19" s="17">
        <v>0.85</v>
      </c>
      <c r="AR19" s="18">
        <v>1.61</v>
      </c>
      <c r="AS19" s="18">
        <v>0.39</v>
      </c>
      <c r="AT19" s="18">
        <v>4.18</v>
      </c>
      <c r="AU19" s="18">
        <v>0.39</v>
      </c>
      <c r="AV19" s="18">
        <v>0.45</v>
      </c>
      <c r="AW19" s="18">
        <v>0.73</v>
      </c>
      <c r="AX19" s="19">
        <v>0.33</v>
      </c>
    </row>
    <row r="20" spans="42:50" x14ac:dyDescent="0.25">
      <c r="AP20" s="16" t="s">
        <v>209</v>
      </c>
      <c r="AQ20" s="17">
        <v>0.85</v>
      </c>
      <c r="AR20" s="18">
        <v>1.61</v>
      </c>
      <c r="AS20" s="18">
        <v>0.33</v>
      </c>
      <c r="AT20" s="18">
        <v>1.37</v>
      </c>
      <c r="AU20" s="18">
        <v>0.53</v>
      </c>
      <c r="AV20" s="18">
        <v>0.2</v>
      </c>
      <c r="AW20" s="18">
        <v>1.17</v>
      </c>
      <c r="AX20" s="19">
        <v>0.33</v>
      </c>
    </row>
    <row r="21" spans="42:50" x14ac:dyDescent="0.25">
      <c r="AP21" s="16" t="s">
        <v>209</v>
      </c>
      <c r="AQ21" s="17">
        <v>0.85</v>
      </c>
      <c r="AR21" s="18">
        <v>0.39</v>
      </c>
      <c r="AS21" s="18">
        <v>0.39</v>
      </c>
      <c r="AT21" s="18">
        <v>4.18</v>
      </c>
      <c r="AU21" s="18">
        <v>0.39</v>
      </c>
      <c r="AV21" s="18">
        <v>0.39</v>
      </c>
      <c r="AW21" s="18">
        <v>1.17</v>
      </c>
      <c r="AX21" s="19">
        <v>0.33</v>
      </c>
    </row>
    <row r="22" spans="42:50" x14ac:dyDescent="0.25">
      <c r="AP22" s="16" t="s">
        <v>209</v>
      </c>
      <c r="AQ22" s="17">
        <v>0</v>
      </c>
      <c r="AR22" s="18">
        <v>1.89</v>
      </c>
      <c r="AS22" s="18">
        <v>0.39</v>
      </c>
      <c r="AT22" s="18">
        <v>4.18</v>
      </c>
      <c r="AU22" s="18">
        <v>0.53</v>
      </c>
      <c r="AV22" s="18">
        <v>0.39</v>
      </c>
      <c r="AW22" s="18">
        <v>0.62</v>
      </c>
      <c r="AX22" s="19">
        <v>0.28000000000000003</v>
      </c>
    </row>
    <row r="23" spans="42:50" x14ac:dyDescent="0.25">
      <c r="AP23" s="16" t="s">
        <v>209</v>
      </c>
      <c r="AQ23" s="17">
        <v>0</v>
      </c>
      <c r="AR23" s="18">
        <v>0.39</v>
      </c>
      <c r="AS23" s="18">
        <v>0.39</v>
      </c>
      <c r="AT23" s="18">
        <v>4.18</v>
      </c>
      <c r="AU23" s="18">
        <v>0.39</v>
      </c>
      <c r="AV23" s="18">
        <v>0.39</v>
      </c>
      <c r="AW23" s="18">
        <v>0.62</v>
      </c>
      <c r="AX23" s="19">
        <v>0.33</v>
      </c>
    </row>
    <row r="24" spans="42:50" x14ac:dyDescent="0.25">
      <c r="AP24" s="16" t="s">
        <v>210</v>
      </c>
      <c r="AQ24" s="17">
        <v>0.73</v>
      </c>
      <c r="AR24" s="18">
        <v>0.39</v>
      </c>
      <c r="AS24" s="18">
        <v>0.39</v>
      </c>
      <c r="AT24" s="18">
        <v>4.18</v>
      </c>
      <c r="AU24" s="18">
        <v>0.39</v>
      </c>
      <c r="AV24" s="18">
        <v>0.45</v>
      </c>
      <c r="AW24" s="18">
        <v>1.17</v>
      </c>
      <c r="AX24" s="19">
        <v>0.33</v>
      </c>
    </row>
    <row r="25" spans="42:50" x14ac:dyDescent="0.25">
      <c r="AP25" s="16" t="s">
        <v>210</v>
      </c>
      <c r="AQ25" s="17">
        <v>0</v>
      </c>
      <c r="AR25" s="18">
        <v>0.39</v>
      </c>
      <c r="AS25" s="18">
        <v>0.33</v>
      </c>
      <c r="AT25" s="18">
        <v>4.8899999999999997</v>
      </c>
      <c r="AU25" s="18">
        <v>0.45</v>
      </c>
      <c r="AV25" s="18">
        <v>0.24</v>
      </c>
      <c r="AW25" s="18">
        <v>1.37</v>
      </c>
      <c r="AX25" s="19">
        <v>0.28000000000000003</v>
      </c>
    </row>
    <row r="26" spans="42:50" x14ac:dyDescent="0.25">
      <c r="AP26" s="16" t="s">
        <v>210</v>
      </c>
      <c r="AQ26" s="17">
        <v>0</v>
      </c>
      <c r="AR26" s="18">
        <v>0.39</v>
      </c>
      <c r="AS26" s="18">
        <v>0.33</v>
      </c>
      <c r="AT26" s="18">
        <v>4.8899999999999997</v>
      </c>
      <c r="AU26" s="18">
        <v>0.39</v>
      </c>
      <c r="AV26" s="18">
        <v>0.45</v>
      </c>
      <c r="AW26" s="18">
        <v>0.62</v>
      </c>
      <c r="AX26" s="19">
        <v>0.33</v>
      </c>
    </row>
    <row r="27" spans="42:50" x14ac:dyDescent="0.25">
      <c r="AP27" s="16" t="s">
        <v>210</v>
      </c>
      <c r="AQ27" s="17">
        <v>0</v>
      </c>
      <c r="AR27" s="18">
        <v>0.39</v>
      </c>
      <c r="AS27" s="18">
        <v>0.39</v>
      </c>
      <c r="AT27" s="18">
        <v>4.18</v>
      </c>
      <c r="AU27" s="18">
        <v>0.45</v>
      </c>
      <c r="AV27" s="18">
        <v>0.39</v>
      </c>
      <c r="AW27" s="18">
        <v>0.73</v>
      </c>
      <c r="AX27" s="19">
        <v>0.33</v>
      </c>
    </row>
    <row r="28" spans="42:50" ht="15.75" thickBot="1" x14ac:dyDescent="0.3">
      <c r="AP28" s="16" t="s">
        <v>210</v>
      </c>
      <c r="AQ28" s="17">
        <v>0.85</v>
      </c>
      <c r="AR28" s="18">
        <v>4.8899999999999997</v>
      </c>
      <c r="AS28" s="18">
        <v>1.37</v>
      </c>
      <c r="AT28" s="18">
        <v>4.8899999999999997</v>
      </c>
      <c r="AU28" s="18">
        <v>0.39</v>
      </c>
      <c r="AV28" s="18">
        <v>0.45</v>
      </c>
      <c r="AW28" s="18">
        <v>0.73</v>
      </c>
      <c r="AX28" s="19">
        <v>0.33</v>
      </c>
    </row>
    <row r="29" spans="42:50" x14ac:dyDescent="0.25">
      <c r="AP29" s="10" t="s">
        <v>223</v>
      </c>
      <c r="AQ29" s="11">
        <v>1.2722222222222199</v>
      </c>
      <c r="AR29" s="12">
        <v>0.9768</v>
      </c>
      <c r="AS29" s="12">
        <v>0.40759999999999902</v>
      </c>
      <c r="AT29" s="12">
        <v>3.8395999999999999</v>
      </c>
      <c r="AU29" s="12">
        <v>0.54920000000000002</v>
      </c>
      <c r="AV29" s="12">
        <v>0.34720000000000001</v>
      </c>
      <c r="AW29" s="12">
        <v>0.93374999999999997</v>
      </c>
      <c r="AX29" s="13">
        <v>0.39760000000000001</v>
      </c>
    </row>
    <row r="30" spans="42:50" x14ac:dyDescent="0.25">
      <c r="AP30" s="16" t="s">
        <v>224</v>
      </c>
      <c r="AQ30" s="17">
        <v>1.28001543200573</v>
      </c>
      <c r="AR30" s="18">
        <v>1.1697750894937</v>
      </c>
      <c r="AS30" s="18">
        <v>0.198499974811081</v>
      </c>
      <c r="AT30" s="18">
        <v>1.3943671826316</v>
      </c>
      <c r="AU30" s="18">
        <v>0.39849637388563502</v>
      </c>
      <c r="AV30" s="18">
        <v>0.100698361456381</v>
      </c>
      <c r="AW30" s="18">
        <v>0.51897184011594799</v>
      </c>
      <c r="AX30" s="19">
        <v>0.37074282191298003</v>
      </c>
    </row>
    <row r="31" spans="42:50" x14ac:dyDescent="0.25">
      <c r="AP31" s="16" t="s">
        <v>225</v>
      </c>
      <c r="AQ31" s="17">
        <v>2.5522376542279601</v>
      </c>
      <c r="AR31" s="18">
        <v>2.1465750894936999</v>
      </c>
      <c r="AS31" s="18">
        <v>0.60609997481108102</v>
      </c>
      <c r="AT31" s="18">
        <v>5.2339671826316003</v>
      </c>
      <c r="AU31" s="18">
        <v>0.94769637388563499</v>
      </c>
      <c r="AV31" s="18">
        <v>0.44789836145638101</v>
      </c>
      <c r="AW31" s="18">
        <v>1.4527218401159401</v>
      </c>
      <c r="AX31" s="19">
        <v>0.76834282191297998</v>
      </c>
    </row>
    <row r="32" spans="42:50" x14ac:dyDescent="0.25">
      <c r="AP32" s="16" t="s">
        <v>226</v>
      </c>
      <c r="AQ32" s="17">
        <v>-7.7932097835171597E-3</v>
      </c>
      <c r="AR32" s="18">
        <v>-0.19297508949370201</v>
      </c>
      <c r="AS32" s="18">
        <v>0.20910002518891799</v>
      </c>
      <c r="AT32" s="18">
        <v>2.4452328173683902</v>
      </c>
      <c r="AU32" s="18">
        <v>0.150703626114364</v>
      </c>
      <c r="AV32" s="18">
        <v>0.24650163854361801</v>
      </c>
      <c r="AW32" s="18">
        <v>0.41477815988405198</v>
      </c>
      <c r="AX32" s="19">
        <v>2.6857178087019599E-2</v>
      </c>
    </row>
    <row r="33" spans="42:50" ht="15.75" thickBot="1" x14ac:dyDescent="0.3">
      <c r="AP33" s="23" t="s">
        <v>227</v>
      </c>
      <c r="AQ33" s="24">
        <v>0.81999999999999895</v>
      </c>
      <c r="AR33" s="25">
        <v>0.66739130434782601</v>
      </c>
      <c r="AS33" s="25">
        <v>0.36749999999999899</v>
      </c>
      <c r="AT33" s="25">
        <v>4.5910526315789397</v>
      </c>
      <c r="AU33" s="25">
        <v>0.43260869565217303</v>
      </c>
      <c r="AV33" s="25">
        <v>0.39</v>
      </c>
      <c r="AW33" s="25">
        <v>0.842173913043478</v>
      </c>
      <c r="AX33" s="26">
        <v>0.322083333333333</v>
      </c>
    </row>
    <row r="34" spans="42:50" ht="15.75" thickBot="1" x14ac:dyDescent="0.3">
      <c r="AQ34" s="27"/>
      <c r="AR34" s="27"/>
      <c r="AS34" s="27"/>
      <c r="AT34" s="27"/>
      <c r="AU34" s="27"/>
      <c r="AV34" s="27"/>
      <c r="AW34" s="27"/>
      <c r="AX34" s="27"/>
    </row>
    <row r="35" spans="42:50" ht="30" x14ac:dyDescent="0.25">
      <c r="AP35" s="28" t="s">
        <v>228</v>
      </c>
      <c r="AQ35" s="29">
        <v>5.33</v>
      </c>
      <c r="AR35" s="29">
        <v>3.38</v>
      </c>
      <c r="AS35" s="29">
        <v>2.97</v>
      </c>
      <c r="AT35" s="29">
        <v>2.06</v>
      </c>
      <c r="AU35" s="29">
        <v>1.91</v>
      </c>
      <c r="AV35" s="29">
        <v>3.95</v>
      </c>
      <c r="AW35" s="29">
        <v>2.75</v>
      </c>
      <c r="AX35" s="30">
        <v>1.78</v>
      </c>
    </row>
    <row r="36" spans="42:50" x14ac:dyDescent="0.25">
      <c r="AP36" s="31" t="s">
        <v>229</v>
      </c>
      <c r="AQ36" s="32">
        <f t="shared" ref="AQ36:AX36" si="0">AQ35-AQ33</f>
        <v>4.5100000000000016</v>
      </c>
      <c r="AR36" s="32">
        <f t="shared" si="0"/>
        <v>2.712608695652174</v>
      </c>
      <c r="AS36" s="32">
        <f t="shared" si="0"/>
        <v>2.6025000000000014</v>
      </c>
      <c r="AT36" s="32">
        <f t="shared" si="0"/>
        <v>-2.5310526315789397</v>
      </c>
      <c r="AU36" s="32">
        <f t="shared" si="0"/>
        <v>1.4773913043478268</v>
      </c>
      <c r="AV36" s="32">
        <f t="shared" si="0"/>
        <v>3.56</v>
      </c>
      <c r="AW36" s="32">
        <f t="shared" si="0"/>
        <v>1.907826086956522</v>
      </c>
      <c r="AX36" s="33">
        <f t="shared" si="0"/>
        <v>1.457916666666667</v>
      </c>
    </row>
    <row r="37" spans="42:50" ht="15.75" thickBot="1" x14ac:dyDescent="0.3">
      <c r="AP37" s="34" t="s">
        <v>230</v>
      </c>
      <c r="AQ37" s="35">
        <f t="shared" ref="AQ37:AX37" si="1">(AQ36/AQ33)*100</f>
        <v>550.00000000000091</v>
      </c>
      <c r="AR37" s="35">
        <f t="shared" si="1"/>
        <v>406.44951140065155</v>
      </c>
      <c r="AS37" s="35">
        <f t="shared" si="1"/>
        <v>708.1632653061248</v>
      </c>
      <c r="AT37" s="35">
        <f t="shared" si="1"/>
        <v>-55.13011578585342</v>
      </c>
      <c r="AU37" s="35">
        <f t="shared" si="1"/>
        <v>341.50753768844305</v>
      </c>
      <c r="AV37" s="35">
        <f t="shared" si="1"/>
        <v>912.82051282051282</v>
      </c>
      <c r="AW37" s="35">
        <f t="shared" si="1"/>
        <v>226.5358802271555</v>
      </c>
      <c r="AX37" s="36">
        <f t="shared" si="1"/>
        <v>452.65200517464478</v>
      </c>
    </row>
    <row r="38" spans="42:50" ht="15.75" thickBot="1" x14ac:dyDescent="0.3">
      <c r="AP38" s="37"/>
      <c r="AQ38" s="32"/>
      <c r="AR38" s="32"/>
      <c r="AS38" s="32"/>
      <c r="AT38" s="32"/>
      <c r="AU38" s="32"/>
      <c r="AV38" s="32"/>
      <c r="AW38" s="32"/>
      <c r="AX38" s="32"/>
    </row>
    <row r="39" spans="42:50" ht="30" x14ac:dyDescent="0.25">
      <c r="AP39" s="28" t="s">
        <v>231</v>
      </c>
      <c r="AQ39" s="29">
        <v>5.21</v>
      </c>
      <c r="AR39" s="29">
        <v>3.2</v>
      </c>
      <c r="AS39" s="29">
        <v>2.89</v>
      </c>
      <c r="AT39" s="29">
        <v>1.87</v>
      </c>
      <c r="AU39" s="29">
        <v>1.75</v>
      </c>
      <c r="AV39" s="29">
        <v>3.89</v>
      </c>
      <c r="AW39" s="29">
        <v>2.65</v>
      </c>
      <c r="AX39" s="30">
        <v>1.68</v>
      </c>
    </row>
    <row r="40" spans="42:50" x14ac:dyDescent="0.25">
      <c r="AP40" s="31" t="s">
        <v>229</v>
      </c>
      <c r="AQ40" s="32">
        <f t="shared" ref="AQ40:AX40" si="2">AQ39-AQ33</f>
        <v>4.3900000000000006</v>
      </c>
      <c r="AR40" s="32">
        <f t="shared" si="2"/>
        <v>2.5326086956521743</v>
      </c>
      <c r="AS40" s="32">
        <f t="shared" si="2"/>
        <v>2.5225000000000013</v>
      </c>
      <c r="AT40" s="32">
        <f t="shared" si="2"/>
        <v>-2.7210526315789396</v>
      </c>
      <c r="AU40" s="32">
        <f t="shared" si="2"/>
        <v>1.3173913043478269</v>
      </c>
      <c r="AV40" s="32">
        <f t="shared" si="2"/>
        <v>3.5</v>
      </c>
      <c r="AW40" s="32">
        <f t="shared" si="2"/>
        <v>1.8078260869565219</v>
      </c>
      <c r="AX40" s="33">
        <f t="shared" si="2"/>
        <v>1.3579166666666669</v>
      </c>
    </row>
    <row r="41" spans="42:50" ht="15.75" thickBot="1" x14ac:dyDescent="0.3">
      <c r="AP41" s="34" t="s">
        <v>230</v>
      </c>
      <c r="AQ41" s="35">
        <f>(AQ40/AQ33)*100</f>
        <v>535.36585365853739</v>
      </c>
      <c r="AR41" s="35">
        <f t="shared" ref="AR41:AX41" si="3">(AR40/AR33)*100</f>
        <v>379.47882736156362</v>
      </c>
      <c r="AS41" s="35">
        <f t="shared" si="3"/>
        <v>686.39455782313144</v>
      </c>
      <c r="AT41" s="35">
        <f t="shared" si="3"/>
        <v>-59.268600252206738</v>
      </c>
      <c r="AU41" s="35">
        <f t="shared" si="3"/>
        <v>304.52261306532745</v>
      </c>
      <c r="AV41" s="35">
        <f t="shared" si="3"/>
        <v>897.43589743589746</v>
      </c>
      <c r="AW41" s="35">
        <f t="shared" si="3"/>
        <v>214.6618482188953</v>
      </c>
      <c r="AX41" s="36">
        <f t="shared" si="3"/>
        <v>421.60413971539504</v>
      </c>
    </row>
    <row r="42" spans="42:50" ht="15.75" thickBot="1" x14ac:dyDescent="0.3">
      <c r="AQ42" s="27"/>
      <c r="AR42" s="27"/>
      <c r="AS42" s="27"/>
      <c r="AT42" s="27"/>
      <c r="AU42" s="27"/>
      <c r="AV42" s="27"/>
      <c r="AW42" s="27"/>
      <c r="AX42" s="27"/>
    </row>
    <row r="43" spans="42:50" ht="30" x14ac:dyDescent="0.25">
      <c r="AP43" s="28" t="s">
        <v>232</v>
      </c>
      <c r="AQ43" s="41">
        <v>5.14</v>
      </c>
      <c r="AR43" s="29">
        <v>3.27</v>
      </c>
      <c r="AS43" s="29">
        <v>2.9</v>
      </c>
      <c r="AT43" s="29">
        <v>1.94</v>
      </c>
      <c r="AU43" s="29">
        <v>1.81</v>
      </c>
      <c r="AV43" s="29">
        <v>3.93</v>
      </c>
      <c r="AW43" s="29">
        <v>2.65</v>
      </c>
      <c r="AX43" s="30">
        <v>1.66</v>
      </c>
    </row>
    <row r="44" spans="42:50" x14ac:dyDescent="0.25">
      <c r="AP44" s="31" t="s">
        <v>229</v>
      </c>
      <c r="AQ44" s="42">
        <f>AQ43-AQ33</f>
        <v>4.32</v>
      </c>
      <c r="AR44" s="32">
        <f t="shared" ref="AR44:AX44" si="4">AR43-AR33</f>
        <v>2.6026086956521741</v>
      </c>
      <c r="AS44" s="32">
        <f t="shared" si="4"/>
        <v>2.5325000000000011</v>
      </c>
      <c r="AT44" s="32">
        <f t="shared" si="4"/>
        <v>-2.6510526315789398</v>
      </c>
      <c r="AU44" s="32">
        <f t="shared" si="4"/>
        <v>1.377391304347827</v>
      </c>
      <c r="AV44" s="32">
        <f t="shared" si="4"/>
        <v>3.54</v>
      </c>
      <c r="AW44" s="32">
        <f t="shared" si="4"/>
        <v>1.8078260869565219</v>
      </c>
      <c r="AX44" s="33">
        <f t="shared" si="4"/>
        <v>1.3379166666666669</v>
      </c>
    </row>
    <row r="45" spans="42:50" ht="15.75" thickBot="1" x14ac:dyDescent="0.3">
      <c r="AP45" s="34" t="s">
        <v>230</v>
      </c>
      <c r="AQ45" s="43">
        <f>(AQ44/AQ33)*100</f>
        <v>526.82926829268365</v>
      </c>
      <c r="AR45" s="35">
        <f t="shared" ref="AR45:AX45" si="5">(AR44/AR33)*100</f>
        <v>389.96742671009781</v>
      </c>
      <c r="AS45" s="35">
        <f>(AS44/AS33)*100</f>
        <v>689.11564625850565</v>
      </c>
      <c r="AT45" s="35">
        <f t="shared" si="5"/>
        <v>-57.743895448813412</v>
      </c>
      <c r="AU45" s="35">
        <f t="shared" si="5"/>
        <v>318.39195979899586</v>
      </c>
      <c r="AV45" s="35">
        <f>(AV44/AV33)*100</f>
        <v>907.69230769230762</v>
      </c>
      <c r="AW45" s="35">
        <f t="shared" si="5"/>
        <v>214.6618482188953</v>
      </c>
      <c r="AX45" s="36">
        <f t="shared" si="5"/>
        <v>415.39456662354507</v>
      </c>
    </row>
    <row r="46" spans="42:50" x14ac:dyDescent="0.25">
      <c r="AQ46" s="27"/>
      <c r="AR46" s="27"/>
      <c r="AS46" s="27"/>
      <c r="AT46" s="27"/>
      <c r="AU46" s="27"/>
      <c r="AV46" s="27"/>
      <c r="AW46" s="27"/>
      <c r="AX46" s="27"/>
    </row>
    <row r="47" spans="42:50" x14ac:dyDescent="0.25">
      <c r="AQ47" s="27"/>
      <c r="AR47" s="27"/>
      <c r="AS47" s="27"/>
      <c r="AT47" s="27"/>
      <c r="AU47" s="27"/>
      <c r="AV47" s="27"/>
      <c r="AW47" s="27"/>
      <c r="AX47" s="27"/>
    </row>
    <row r="48" spans="42:50" x14ac:dyDescent="0.25">
      <c r="AQ48" s="27"/>
      <c r="AR48" s="27"/>
      <c r="AS48" s="27"/>
      <c r="AT48" s="27"/>
      <c r="AU48" s="27"/>
      <c r="AV48" s="27"/>
      <c r="AW48" s="27"/>
      <c r="AX48" s="27"/>
    </row>
    <row r="49" spans="43:50" x14ac:dyDescent="0.25">
      <c r="AQ49" s="27"/>
      <c r="AR49" s="27"/>
      <c r="AS49" s="27"/>
      <c r="AT49" s="27"/>
      <c r="AU49" s="27"/>
      <c r="AV49" s="27"/>
      <c r="AW49" s="27"/>
      <c r="AX49" s="27"/>
    </row>
    <row r="50" spans="43:50" x14ac:dyDescent="0.25">
      <c r="AQ50" s="27"/>
      <c r="AR50" s="27"/>
      <c r="AS50" s="27"/>
      <c r="AT50" s="27"/>
      <c r="AU50" s="27"/>
      <c r="AV50" s="27"/>
      <c r="AW50" s="27"/>
      <c r="AX50" s="27"/>
    </row>
    <row r="51" spans="43:50" x14ac:dyDescent="0.25">
      <c r="AQ51" s="27"/>
      <c r="AR51" s="27"/>
      <c r="AS51" s="27"/>
      <c r="AT51" s="27"/>
      <c r="AU51" s="27"/>
      <c r="AV51" s="27"/>
      <c r="AW51" s="27"/>
      <c r="AX51" s="27"/>
    </row>
    <row r="52" spans="43:50" x14ac:dyDescent="0.25">
      <c r="AQ52" s="27"/>
      <c r="AR52" s="27"/>
      <c r="AS52" s="27"/>
      <c r="AT52" s="27"/>
      <c r="AU52" s="27"/>
      <c r="AV52" s="27"/>
      <c r="AW52" s="27"/>
      <c r="AX52" s="27"/>
    </row>
    <row r="53" spans="43:50" x14ac:dyDescent="0.25">
      <c r="AQ53" s="27"/>
      <c r="AR53" s="27"/>
      <c r="AS53" s="27"/>
      <c r="AT53" s="27"/>
      <c r="AU53" s="27"/>
      <c r="AV53" s="27"/>
      <c r="AW53" s="27"/>
      <c r="AX53" s="27"/>
    </row>
    <row r="54" spans="43:50" x14ac:dyDescent="0.25">
      <c r="AQ54" s="27"/>
      <c r="AR54" s="27"/>
      <c r="AS54" s="27"/>
      <c r="AT54" s="27"/>
      <c r="AU54" s="27"/>
      <c r="AV54" s="27"/>
      <c r="AW54" s="27"/>
      <c r="AX54" s="27"/>
    </row>
    <row r="55" spans="43:50" x14ac:dyDescent="0.25">
      <c r="AQ55" s="27"/>
      <c r="AR55" s="27"/>
      <c r="AS55" s="27"/>
      <c r="AT55" s="27"/>
      <c r="AU55" s="27"/>
      <c r="AV55" s="27"/>
      <c r="AW55" s="27"/>
      <c r="AX55" s="27"/>
    </row>
    <row r="56" spans="43:50" x14ac:dyDescent="0.25">
      <c r="AQ56" s="27"/>
      <c r="AR56" s="27"/>
      <c r="AS56" s="27"/>
      <c r="AT56" s="27"/>
      <c r="AU56" s="27"/>
      <c r="AV56" s="27"/>
      <c r="AW56" s="27"/>
      <c r="AX56" s="27"/>
    </row>
    <row r="57" spans="43:50" x14ac:dyDescent="0.25">
      <c r="AQ57" s="27"/>
      <c r="AR57" s="27"/>
      <c r="AS57" s="27"/>
      <c r="AT57" s="27"/>
      <c r="AU57" s="27"/>
      <c r="AV57" s="27"/>
      <c r="AW57" s="27"/>
      <c r="AX57" s="27"/>
    </row>
    <row r="58" spans="43:50" x14ac:dyDescent="0.25">
      <c r="AQ58" s="27"/>
      <c r="AR58" s="27"/>
      <c r="AS58" s="27"/>
      <c r="AT58" s="27"/>
      <c r="AU58" s="27"/>
      <c r="AV58" s="27"/>
      <c r="AW58" s="27"/>
      <c r="AX58" s="27"/>
    </row>
    <row r="59" spans="43:50" x14ac:dyDescent="0.25">
      <c r="AQ59" s="27"/>
      <c r="AR59" s="27"/>
      <c r="AS59" s="27"/>
      <c r="AT59" s="27"/>
      <c r="AU59" s="27"/>
      <c r="AV59" s="27"/>
      <c r="AW59" s="27"/>
      <c r="AX59" s="27"/>
    </row>
    <row r="60" spans="43:50" x14ac:dyDescent="0.25">
      <c r="AQ60" s="27"/>
      <c r="AR60" s="27"/>
      <c r="AS60" s="27"/>
      <c r="AT60" s="27"/>
      <c r="AU60" s="27"/>
      <c r="AV60" s="27"/>
      <c r="AW60" s="27"/>
      <c r="AX60" s="27"/>
    </row>
    <row r="61" spans="43:50" x14ac:dyDescent="0.25">
      <c r="AQ61" s="27"/>
      <c r="AR61" s="27"/>
      <c r="AS61" s="27"/>
      <c r="AT61" s="27"/>
      <c r="AU61" s="27"/>
      <c r="AV61" s="27"/>
      <c r="AW61" s="27"/>
      <c r="AX61" s="27"/>
    </row>
    <row r="62" spans="43:50" x14ac:dyDescent="0.25">
      <c r="AQ62" s="27"/>
      <c r="AR62" s="27"/>
      <c r="AS62" s="27"/>
      <c r="AT62" s="27"/>
      <c r="AU62" s="27"/>
      <c r="AV62" s="27"/>
      <c r="AW62" s="27"/>
      <c r="AX62" s="27"/>
    </row>
    <row r="63" spans="43:50" x14ac:dyDescent="0.25">
      <c r="AQ63" s="27"/>
      <c r="AR63" s="27"/>
      <c r="AS63" s="27"/>
      <c r="AT63" s="27"/>
      <c r="AU63" s="27"/>
      <c r="AV63" s="27"/>
      <c r="AW63" s="27"/>
      <c r="AX63" s="27"/>
    </row>
    <row r="64" spans="43:50" x14ac:dyDescent="0.25">
      <c r="AQ64" s="27"/>
      <c r="AR64" s="27"/>
      <c r="AS64" s="27"/>
      <c r="AT64" s="27"/>
      <c r="AU64" s="27"/>
      <c r="AV64" s="27"/>
      <c r="AW64" s="27"/>
      <c r="AX64" s="27"/>
    </row>
    <row r="65" spans="43:50" x14ac:dyDescent="0.25">
      <c r="AQ65" s="27"/>
      <c r="AR65" s="27"/>
      <c r="AS65" s="27"/>
      <c r="AT65" s="27"/>
      <c r="AU65" s="27"/>
      <c r="AV65" s="27"/>
      <c r="AW65" s="27"/>
      <c r="AX65" s="27"/>
    </row>
    <row r="66" spans="43:50" x14ac:dyDescent="0.25">
      <c r="AQ66" s="27"/>
      <c r="AR66" s="27"/>
      <c r="AS66" s="27"/>
      <c r="AT66" s="27"/>
      <c r="AU66" s="27"/>
      <c r="AV66" s="27"/>
      <c r="AW66" s="27"/>
      <c r="AX66" s="27"/>
    </row>
    <row r="67" spans="43:50" x14ac:dyDescent="0.25">
      <c r="AQ67" s="27"/>
      <c r="AR67" s="27"/>
      <c r="AS67" s="27"/>
      <c r="AT67" s="27"/>
      <c r="AU67" s="27"/>
      <c r="AV67" s="27"/>
      <c r="AW67" s="27"/>
      <c r="AX67" s="27"/>
    </row>
    <row r="68" spans="43:50" x14ac:dyDescent="0.25">
      <c r="AQ68" s="27"/>
      <c r="AR68" s="27"/>
      <c r="AS68" s="27"/>
      <c r="AT68" s="27"/>
      <c r="AU68" s="27"/>
      <c r="AV68" s="27"/>
      <c r="AW68" s="27"/>
      <c r="AX68" s="27"/>
    </row>
    <row r="69" spans="43:50" x14ac:dyDescent="0.25">
      <c r="AQ69" s="27"/>
      <c r="AR69" s="27"/>
      <c r="AS69" s="27"/>
      <c r="AT69" s="27"/>
      <c r="AU69" s="27"/>
      <c r="AV69" s="27"/>
      <c r="AW69" s="27"/>
      <c r="AX69" s="27"/>
    </row>
    <row r="70" spans="43:50" x14ac:dyDescent="0.25">
      <c r="AQ70" s="27"/>
      <c r="AR70" s="27"/>
      <c r="AS70" s="27"/>
      <c r="AT70" s="27"/>
      <c r="AU70" s="27"/>
      <c r="AV70" s="27"/>
      <c r="AW70" s="27"/>
      <c r="AX70" s="27"/>
    </row>
    <row r="71" spans="43:50" x14ac:dyDescent="0.25">
      <c r="AQ71" s="27"/>
      <c r="AR71" s="27"/>
      <c r="AS71" s="27"/>
      <c r="AT71" s="27"/>
      <c r="AU71" s="27"/>
      <c r="AV71" s="27"/>
      <c r="AW71" s="27"/>
      <c r="AX71" s="27"/>
    </row>
    <row r="72" spans="43:50" x14ac:dyDescent="0.25">
      <c r="AQ72" s="27"/>
      <c r="AR72" s="27"/>
      <c r="AS72" s="27"/>
      <c r="AT72" s="27"/>
      <c r="AU72" s="27"/>
      <c r="AV72" s="27"/>
      <c r="AW72" s="27"/>
      <c r="AX72" s="27"/>
    </row>
    <row r="73" spans="43:50" x14ac:dyDescent="0.25">
      <c r="AQ73" s="27"/>
      <c r="AR73" s="27"/>
      <c r="AS73" s="27"/>
      <c r="AT73" s="27"/>
      <c r="AU73" s="27"/>
      <c r="AV73" s="27"/>
      <c r="AW73" s="27"/>
      <c r="AX73" s="27"/>
    </row>
    <row r="74" spans="43:50" x14ac:dyDescent="0.25">
      <c r="AQ74" s="27"/>
      <c r="AR74" s="27"/>
      <c r="AS74" s="27"/>
      <c r="AT74" s="27"/>
      <c r="AU74" s="27"/>
      <c r="AV74" s="27"/>
      <c r="AW74" s="27"/>
      <c r="AX74" s="27"/>
    </row>
    <row r="75" spans="43:50" x14ac:dyDescent="0.25">
      <c r="AQ75" s="27"/>
      <c r="AR75" s="27"/>
      <c r="AS75" s="27"/>
      <c r="AT75" s="27"/>
      <c r="AU75" s="27"/>
      <c r="AV75" s="27"/>
      <c r="AW75" s="27"/>
      <c r="AX75" s="27"/>
    </row>
    <row r="76" spans="43:50" x14ac:dyDescent="0.25">
      <c r="AQ76" s="27"/>
      <c r="AR76" s="27"/>
      <c r="AS76" s="27"/>
      <c r="AT76" s="27"/>
      <c r="AU76" s="27"/>
      <c r="AV76" s="27"/>
      <c r="AW76" s="27"/>
      <c r="AX76" s="27"/>
    </row>
    <row r="77" spans="43:50" x14ac:dyDescent="0.25">
      <c r="AQ77" s="27"/>
      <c r="AR77" s="27"/>
      <c r="AS77" s="27"/>
      <c r="AT77" s="27"/>
      <c r="AU77" s="27"/>
      <c r="AV77" s="27"/>
      <c r="AW77" s="27"/>
      <c r="AX77" s="27"/>
    </row>
    <row r="78" spans="43:50" x14ac:dyDescent="0.25">
      <c r="AQ78" s="27"/>
      <c r="AR78" s="27"/>
      <c r="AS78" s="27"/>
      <c r="AT78" s="27"/>
      <c r="AU78" s="27"/>
      <c r="AV78" s="27"/>
      <c r="AW78" s="27"/>
      <c r="AX78" s="27"/>
    </row>
    <row r="79" spans="43:50" x14ac:dyDescent="0.25">
      <c r="AQ79" s="27"/>
      <c r="AR79" s="27"/>
      <c r="AS79" s="27"/>
      <c r="AT79" s="27"/>
      <c r="AU79" s="27"/>
      <c r="AV79" s="27"/>
      <c r="AW79" s="27"/>
      <c r="AX79" s="27"/>
    </row>
    <row r="80" spans="43:50" x14ac:dyDescent="0.25">
      <c r="AQ80" s="27"/>
      <c r="AR80" s="27"/>
      <c r="AS80" s="27"/>
      <c r="AT80" s="27"/>
      <c r="AU80" s="27"/>
      <c r="AV80" s="27"/>
      <c r="AW80" s="27"/>
      <c r="AX80" s="27"/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AAB5-2221-47B4-89EA-F0BE36EECA3F}">
  <dimension ref="B1:CB925"/>
  <sheetViews>
    <sheetView topLeftCell="A30" workbookViewId="0">
      <selection activeCell="AP77" sqref="AP77:AX79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5.7109375" style="3" bestFit="1" customWidth="1"/>
    <col min="43" max="45" width="6.5703125" style="3" bestFit="1" customWidth="1"/>
    <col min="46" max="46" width="6.28515625" style="3" bestFit="1" customWidth="1"/>
    <col min="47" max="50" width="6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135</v>
      </c>
      <c r="AQ4" s="11">
        <v>0.85</v>
      </c>
      <c r="AR4" s="12">
        <v>1.61</v>
      </c>
      <c r="AS4" s="12">
        <v>0.39</v>
      </c>
      <c r="AT4" s="12">
        <v>4.8899999999999997</v>
      </c>
      <c r="AU4" s="12">
        <v>0.39</v>
      </c>
      <c r="AV4" s="12">
        <v>0.39</v>
      </c>
      <c r="AW4" s="12">
        <v>0.73</v>
      </c>
      <c r="AX4" s="13">
        <v>0.28000000000000003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136</v>
      </c>
      <c r="AQ5" s="17">
        <v>0</v>
      </c>
      <c r="AR5" s="18">
        <v>0.39</v>
      </c>
      <c r="AS5" s="18">
        <v>0.39</v>
      </c>
      <c r="AT5" s="18">
        <v>4.18</v>
      </c>
      <c r="AU5" s="18">
        <v>0.39</v>
      </c>
      <c r="AV5" s="18">
        <v>0.45</v>
      </c>
      <c r="AW5" s="18">
        <v>0.62</v>
      </c>
      <c r="AX5" s="19">
        <v>0.28000000000000003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137</v>
      </c>
      <c r="AQ6" s="17">
        <v>0</v>
      </c>
      <c r="AR6" s="18">
        <v>0.39</v>
      </c>
      <c r="AS6" s="18">
        <v>0.39</v>
      </c>
      <c r="AT6" s="18">
        <v>4.18</v>
      </c>
      <c r="AU6" s="18">
        <v>0.39</v>
      </c>
      <c r="AV6" s="18">
        <v>0.45</v>
      </c>
      <c r="AW6" s="18">
        <v>1.37</v>
      </c>
      <c r="AX6" s="19">
        <v>0.33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138</v>
      </c>
      <c r="AQ7" s="17">
        <v>0</v>
      </c>
      <c r="AR7" s="18">
        <v>0.39</v>
      </c>
      <c r="AS7" s="18">
        <v>0.39</v>
      </c>
      <c r="AT7" s="18">
        <v>4.8899999999999997</v>
      </c>
      <c r="AU7" s="18">
        <v>0.39</v>
      </c>
      <c r="AV7" s="18">
        <v>0.39</v>
      </c>
      <c r="AW7" s="18">
        <v>2.59</v>
      </c>
      <c r="AX7" s="19">
        <v>0.28000000000000003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139</v>
      </c>
      <c r="AQ8" s="17">
        <v>0</v>
      </c>
      <c r="AR8" s="18">
        <v>0.39</v>
      </c>
      <c r="AS8" s="18">
        <v>0.39</v>
      </c>
      <c r="AT8" s="18">
        <v>4.18</v>
      </c>
      <c r="AU8" s="18">
        <v>0.39</v>
      </c>
      <c r="AV8" s="18">
        <v>0.39</v>
      </c>
      <c r="AW8" s="18">
        <v>0.73</v>
      </c>
      <c r="AX8" s="19">
        <v>0.33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140</v>
      </c>
      <c r="AQ9" s="17">
        <v>0</v>
      </c>
      <c r="AR9" s="18">
        <v>0.39</v>
      </c>
      <c r="AS9" s="18">
        <v>0.39</v>
      </c>
      <c r="AT9" s="18">
        <v>4.8899999999999997</v>
      </c>
      <c r="AU9" s="18">
        <v>0.39</v>
      </c>
      <c r="AV9" s="18">
        <v>0.39</v>
      </c>
      <c r="AW9" s="18">
        <v>0.62</v>
      </c>
      <c r="AX9" s="19">
        <v>0.33</v>
      </c>
    </row>
    <row r="10" spans="2:80" x14ac:dyDescent="0.25">
      <c r="AP10" s="16" t="s">
        <v>141</v>
      </c>
      <c r="AQ10" s="17">
        <v>0</v>
      </c>
      <c r="AR10" s="18">
        <v>0.39</v>
      </c>
      <c r="AS10" s="18">
        <v>0.39</v>
      </c>
      <c r="AT10" s="18">
        <v>4.18</v>
      </c>
      <c r="AU10" s="18">
        <v>0.39</v>
      </c>
      <c r="AV10" s="18">
        <v>0.45</v>
      </c>
      <c r="AW10" s="18">
        <v>0.62</v>
      </c>
      <c r="AX10" s="19">
        <v>0.24</v>
      </c>
    </row>
    <row r="11" spans="2:80" x14ac:dyDescent="0.25">
      <c r="AP11" s="16" t="s">
        <v>142</v>
      </c>
      <c r="AQ11" s="17">
        <v>0</v>
      </c>
      <c r="AR11" s="18">
        <v>0.45</v>
      </c>
      <c r="AS11" s="18">
        <v>0.39</v>
      </c>
      <c r="AT11" s="18">
        <v>4.8899999999999997</v>
      </c>
      <c r="AU11" s="18">
        <v>0.45</v>
      </c>
      <c r="AV11" s="18">
        <v>0.45</v>
      </c>
      <c r="AW11" s="18">
        <v>0.62</v>
      </c>
      <c r="AX11" s="19">
        <v>0.24</v>
      </c>
    </row>
    <row r="12" spans="2:80" x14ac:dyDescent="0.25">
      <c r="AP12" s="16" t="s">
        <v>143</v>
      </c>
      <c r="AQ12" s="17">
        <v>0</v>
      </c>
      <c r="AR12" s="18">
        <v>0.39</v>
      </c>
      <c r="AS12" s="18">
        <v>0.33</v>
      </c>
      <c r="AT12" s="18">
        <v>4.18</v>
      </c>
      <c r="AU12" s="18">
        <v>1.89</v>
      </c>
      <c r="AV12" s="18">
        <v>0.45</v>
      </c>
      <c r="AW12" s="18">
        <v>0.73</v>
      </c>
      <c r="AX12" s="19">
        <v>2.21</v>
      </c>
    </row>
    <row r="13" spans="2:80" x14ac:dyDescent="0.25">
      <c r="AP13" s="16" t="s">
        <v>144</v>
      </c>
      <c r="AQ13" s="17">
        <v>0.85</v>
      </c>
      <c r="AR13" s="18">
        <v>1.89</v>
      </c>
      <c r="AS13" s="18">
        <v>0.33</v>
      </c>
      <c r="AT13" s="18">
        <v>1.89</v>
      </c>
      <c r="AU13" s="18">
        <v>0.45</v>
      </c>
      <c r="AV13" s="18">
        <v>0.2</v>
      </c>
      <c r="AW13" s="18">
        <v>1.17</v>
      </c>
      <c r="AX13" s="19">
        <v>0.33</v>
      </c>
    </row>
    <row r="14" spans="2:80" x14ac:dyDescent="0.25">
      <c r="AP14" s="16" t="s">
        <v>145</v>
      </c>
      <c r="AQ14" s="17">
        <v>0.85</v>
      </c>
      <c r="AR14" s="18">
        <v>0.39</v>
      </c>
      <c r="AS14" s="18">
        <v>0.33</v>
      </c>
      <c r="AT14" s="18">
        <v>4.18</v>
      </c>
      <c r="AU14" s="18">
        <v>0.53</v>
      </c>
      <c r="AV14" s="18">
        <v>0.39</v>
      </c>
      <c r="AW14" s="18">
        <v>0.62</v>
      </c>
      <c r="AX14" s="19">
        <v>0.28000000000000003</v>
      </c>
    </row>
    <row r="15" spans="2:80" x14ac:dyDescent="0.25">
      <c r="AP15" s="16" t="s">
        <v>146</v>
      </c>
      <c r="AQ15" s="17">
        <v>0</v>
      </c>
      <c r="AR15" s="18">
        <v>0.39</v>
      </c>
      <c r="AS15" s="18">
        <v>0.39</v>
      </c>
      <c r="AT15" s="18">
        <v>4.8899999999999997</v>
      </c>
      <c r="AU15" s="18">
        <v>0.39</v>
      </c>
      <c r="AV15" s="18">
        <v>0.39</v>
      </c>
      <c r="AW15" s="18">
        <v>1.37</v>
      </c>
      <c r="AX15" s="19">
        <v>0.33</v>
      </c>
    </row>
    <row r="16" spans="2:80" x14ac:dyDescent="0.25">
      <c r="AP16" s="16" t="s">
        <v>147</v>
      </c>
      <c r="AQ16" s="17">
        <v>0</v>
      </c>
      <c r="AR16" s="18">
        <v>0.39</v>
      </c>
      <c r="AS16" s="18">
        <v>0.39</v>
      </c>
      <c r="AT16" s="18">
        <v>4.18</v>
      </c>
      <c r="AU16" s="18">
        <v>0.45</v>
      </c>
      <c r="AV16" s="18">
        <v>0.39</v>
      </c>
      <c r="AW16" s="18">
        <v>0.73</v>
      </c>
      <c r="AX16" s="19">
        <v>0.33</v>
      </c>
    </row>
    <row r="17" spans="42:50" x14ac:dyDescent="0.25">
      <c r="AP17" s="16" t="s">
        <v>148</v>
      </c>
      <c r="AQ17" s="17">
        <v>0</v>
      </c>
      <c r="AR17" s="18">
        <v>0.39</v>
      </c>
      <c r="AS17" s="18">
        <v>0.39</v>
      </c>
      <c r="AT17" s="18">
        <v>4.8899999999999997</v>
      </c>
      <c r="AU17" s="18">
        <v>2.21</v>
      </c>
      <c r="AV17" s="18">
        <v>0.45</v>
      </c>
      <c r="AW17" s="18">
        <v>0.62</v>
      </c>
      <c r="AX17" s="19">
        <v>0.33</v>
      </c>
    </row>
    <row r="18" spans="42:50" x14ac:dyDescent="0.25">
      <c r="AP18" s="16" t="s">
        <v>149</v>
      </c>
      <c r="AQ18" s="17">
        <v>0</v>
      </c>
      <c r="AR18" s="18">
        <v>0.33</v>
      </c>
      <c r="AS18" s="18">
        <v>0.39</v>
      </c>
      <c r="AT18" s="18">
        <v>4.18</v>
      </c>
      <c r="AU18" s="18">
        <v>0.39</v>
      </c>
      <c r="AV18" s="18">
        <v>0.39</v>
      </c>
      <c r="AW18" s="18">
        <v>0.73</v>
      </c>
      <c r="AX18" s="19">
        <v>0.24</v>
      </c>
    </row>
    <row r="19" spans="42:50" x14ac:dyDescent="0.25">
      <c r="AP19" s="16" t="s">
        <v>150</v>
      </c>
      <c r="AQ19" s="17">
        <v>0</v>
      </c>
      <c r="AR19" s="18">
        <v>1.61</v>
      </c>
      <c r="AS19" s="18">
        <v>0.33</v>
      </c>
      <c r="AT19" s="18">
        <v>1.61</v>
      </c>
      <c r="AU19" s="18">
        <v>0.39</v>
      </c>
      <c r="AV19" s="18">
        <v>0.33</v>
      </c>
      <c r="AW19" s="18">
        <v>0.73</v>
      </c>
      <c r="AX19" s="19">
        <v>0.28000000000000003</v>
      </c>
    </row>
    <row r="20" spans="42:50" x14ac:dyDescent="0.25">
      <c r="AP20" s="16" t="s">
        <v>151</v>
      </c>
      <c r="AQ20" s="17">
        <v>0.73</v>
      </c>
      <c r="AR20" s="18">
        <v>0.39</v>
      </c>
      <c r="AS20" s="18">
        <v>0.39</v>
      </c>
      <c r="AT20" s="18">
        <v>4.18</v>
      </c>
      <c r="AU20" s="18">
        <v>0.39</v>
      </c>
      <c r="AV20" s="18">
        <v>0.39</v>
      </c>
      <c r="AW20" s="18">
        <v>0.62</v>
      </c>
      <c r="AX20" s="19">
        <v>0.24</v>
      </c>
    </row>
    <row r="21" spans="42:50" x14ac:dyDescent="0.25">
      <c r="AP21" s="16" t="s">
        <v>152</v>
      </c>
      <c r="AQ21" s="17">
        <v>0</v>
      </c>
      <c r="AR21" s="18">
        <v>0.39</v>
      </c>
      <c r="AS21" s="18">
        <v>0.39</v>
      </c>
      <c r="AT21" s="18">
        <v>1.61</v>
      </c>
      <c r="AU21" s="18">
        <v>0.33</v>
      </c>
      <c r="AV21" s="18">
        <v>0.45</v>
      </c>
      <c r="AW21" s="18">
        <v>0.62</v>
      </c>
      <c r="AX21" s="19">
        <v>0.33</v>
      </c>
    </row>
    <row r="22" spans="42:50" x14ac:dyDescent="0.25">
      <c r="AP22" s="16" t="s">
        <v>153</v>
      </c>
      <c r="AQ22" s="17">
        <v>0</v>
      </c>
      <c r="AR22" s="18">
        <v>0.39</v>
      </c>
      <c r="AS22" s="18">
        <v>0.39</v>
      </c>
      <c r="AT22" s="18">
        <v>1.89</v>
      </c>
      <c r="AU22" s="18">
        <v>0.39</v>
      </c>
      <c r="AV22" s="18">
        <v>0.39</v>
      </c>
      <c r="AW22" s="18">
        <v>0.62</v>
      </c>
      <c r="AX22" s="19">
        <v>0.28000000000000003</v>
      </c>
    </row>
    <row r="23" spans="42:50" x14ac:dyDescent="0.25">
      <c r="AP23" s="16" t="s">
        <v>154</v>
      </c>
      <c r="AQ23" s="17">
        <v>0.85</v>
      </c>
      <c r="AR23" s="18">
        <v>1.37</v>
      </c>
      <c r="AS23" s="18">
        <v>0.33</v>
      </c>
      <c r="AT23" s="18">
        <v>4.8899999999999997</v>
      </c>
      <c r="AU23" s="18">
        <v>0.53</v>
      </c>
      <c r="AV23" s="18">
        <v>0.53</v>
      </c>
      <c r="AW23" s="18">
        <v>1.37</v>
      </c>
      <c r="AX23" s="19">
        <v>0.33</v>
      </c>
    </row>
    <row r="24" spans="42:50" x14ac:dyDescent="0.25">
      <c r="AP24" s="16" t="s">
        <v>155</v>
      </c>
      <c r="AQ24" s="17">
        <v>0</v>
      </c>
      <c r="AR24" s="18">
        <v>1.61</v>
      </c>
      <c r="AS24" s="18">
        <v>0.33</v>
      </c>
      <c r="AT24" s="18">
        <v>1.89</v>
      </c>
      <c r="AU24" s="18">
        <v>0.45</v>
      </c>
      <c r="AV24" s="18">
        <v>0.39</v>
      </c>
      <c r="AW24" s="18">
        <v>0.62</v>
      </c>
      <c r="AX24" s="19">
        <v>0.39</v>
      </c>
    </row>
    <row r="25" spans="42:50" x14ac:dyDescent="0.25">
      <c r="AP25" s="16" t="s">
        <v>156</v>
      </c>
      <c r="AQ25" s="17">
        <v>0</v>
      </c>
      <c r="AR25" s="18">
        <v>0.39</v>
      </c>
      <c r="AS25" s="18">
        <v>0.33</v>
      </c>
      <c r="AT25" s="18">
        <v>4.18</v>
      </c>
      <c r="AU25" s="18">
        <v>0.39</v>
      </c>
      <c r="AV25" s="18">
        <v>0.39</v>
      </c>
      <c r="AW25" s="18">
        <v>0.73</v>
      </c>
      <c r="AX25" s="19">
        <v>0.33</v>
      </c>
    </row>
    <row r="26" spans="42:50" x14ac:dyDescent="0.25">
      <c r="AP26" s="16" t="s">
        <v>157</v>
      </c>
      <c r="AQ26" s="17">
        <v>0</v>
      </c>
      <c r="AR26" s="18">
        <v>0.39</v>
      </c>
      <c r="AS26" s="18">
        <v>0.33</v>
      </c>
      <c r="AT26" s="18">
        <v>4.8899999999999997</v>
      </c>
      <c r="AU26" s="18">
        <v>0.45</v>
      </c>
      <c r="AV26" s="18">
        <v>0.39</v>
      </c>
      <c r="AW26" s="18">
        <v>0.62</v>
      </c>
      <c r="AX26" s="19">
        <v>0.33</v>
      </c>
    </row>
    <row r="27" spans="42:50" x14ac:dyDescent="0.25">
      <c r="AP27" s="16" t="s">
        <v>158</v>
      </c>
      <c r="AQ27" s="17">
        <v>0</v>
      </c>
      <c r="AR27" s="18">
        <v>0.39</v>
      </c>
      <c r="AS27" s="18">
        <v>0.39</v>
      </c>
      <c r="AT27" s="18">
        <v>4.18</v>
      </c>
      <c r="AU27" s="18">
        <v>0.45</v>
      </c>
      <c r="AV27" s="18">
        <v>0.53</v>
      </c>
      <c r="AW27" s="18">
        <v>0.62</v>
      </c>
      <c r="AX27" s="19">
        <v>0.28000000000000003</v>
      </c>
    </row>
    <row r="28" spans="42:50" x14ac:dyDescent="0.25">
      <c r="AP28" s="16" t="s">
        <v>159</v>
      </c>
      <c r="AQ28" s="17">
        <v>0</v>
      </c>
      <c r="AR28" s="18">
        <v>4.8899999999999997</v>
      </c>
      <c r="AS28" s="18">
        <v>0.39</v>
      </c>
      <c r="AT28" s="18">
        <v>4.18</v>
      </c>
      <c r="AU28" s="18">
        <v>0.39</v>
      </c>
      <c r="AV28" s="18">
        <v>0.45</v>
      </c>
      <c r="AW28" s="18">
        <v>0.62</v>
      </c>
      <c r="AX28" s="19">
        <v>0.33</v>
      </c>
    </row>
    <row r="29" spans="42:50" x14ac:dyDescent="0.25">
      <c r="AP29" s="16" t="s">
        <v>160</v>
      </c>
      <c r="AQ29" s="17">
        <v>0</v>
      </c>
      <c r="AR29" s="18">
        <v>0.45</v>
      </c>
      <c r="AS29" s="18">
        <v>0.39</v>
      </c>
      <c r="AT29" s="18">
        <v>4.18</v>
      </c>
      <c r="AU29" s="18">
        <v>0.45</v>
      </c>
      <c r="AV29" s="18">
        <v>0.45</v>
      </c>
      <c r="AW29" s="18">
        <v>0.73</v>
      </c>
      <c r="AX29" s="19">
        <v>0.33</v>
      </c>
    </row>
    <row r="30" spans="42:50" x14ac:dyDescent="0.25">
      <c r="AP30" s="16" t="s">
        <v>161</v>
      </c>
      <c r="AQ30" s="17">
        <v>0</v>
      </c>
      <c r="AR30" s="18">
        <v>1.37</v>
      </c>
      <c r="AS30" s="18">
        <v>0.39</v>
      </c>
      <c r="AT30" s="18">
        <v>4.18</v>
      </c>
      <c r="AU30" s="18">
        <v>0.45</v>
      </c>
      <c r="AV30" s="18">
        <v>0.45</v>
      </c>
      <c r="AW30" s="18">
        <v>0.62</v>
      </c>
      <c r="AX30" s="19">
        <v>0.33</v>
      </c>
    </row>
    <row r="31" spans="42:50" x14ac:dyDescent="0.25">
      <c r="AP31" s="16" t="s">
        <v>162</v>
      </c>
      <c r="AQ31" s="17">
        <v>0</v>
      </c>
      <c r="AR31" s="18">
        <v>0.39</v>
      </c>
      <c r="AS31" s="18">
        <v>0.39</v>
      </c>
      <c r="AT31" s="18">
        <v>4.18</v>
      </c>
      <c r="AU31" s="18">
        <v>2.21</v>
      </c>
      <c r="AV31" s="18">
        <v>0.39</v>
      </c>
      <c r="AW31" s="18">
        <v>0.62</v>
      </c>
      <c r="AX31" s="19">
        <v>0.24</v>
      </c>
    </row>
    <row r="32" spans="42:50" x14ac:dyDescent="0.25">
      <c r="AP32" s="16" t="s">
        <v>163</v>
      </c>
      <c r="AQ32" s="17">
        <v>0</v>
      </c>
      <c r="AR32" s="18">
        <v>0.39</v>
      </c>
      <c r="AS32" s="18">
        <v>0.39</v>
      </c>
      <c r="AT32" s="18">
        <v>4.18</v>
      </c>
      <c r="AU32" s="18">
        <v>0.39</v>
      </c>
      <c r="AV32" s="18">
        <v>0.39</v>
      </c>
      <c r="AW32" s="18">
        <v>0.73</v>
      </c>
      <c r="AX32" s="19">
        <v>0.33</v>
      </c>
    </row>
    <row r="33" spans="42:50" x14ac:dyDescent="0.25">
      <c r="AP33" s="16" t="s">
        <v>164</v>
      </c>
      <c r="AQ33" s="17">
        <v>0.85</v>
      </c>
      <c r="AR33" s="18">
        <v>1.89</v>
      </c>
      <c r="AS33" s="18">
        <v>0.39</v>
      </c>
      <c r="AT33" s="18">
        <v>1.89</v>
      </c>
      <c r="AU33" s="18">
        <v>0.39</v>
      </c>
      <c r="AV33" s="18">
        <v>0.24</v>
      </c>
      <c r="AW33" s="18">
        <v>1.37</v>
      </c>
      <c r="AX33" s="19">
        <v>0.33</v>
      </c>
    </row>
    <row r="34" spans="42:50" x14ac:dyDescent="0.25">
      <c r="AP34" s="16" t="s">
        <v>165</v>
      </c>
      <c r="AQ34" s="17">
        <v>0</v>
      </c>
      <c r="AR34" s="18">
        <v>0.39</v>
      </c>
      <c r="AS34" s="18">
        <v>0.39</v>
      </c>
      <c r="AT34" s="18">
        <v>4.8899999999999997</v>
      </c>
      <c r="AU34" s="18">
        <v>0.39</v>
      </c>
      <c r="AV34" s="18">
        <v>0.39</v>
      </c>
      <c r="AW34" s="18">
        <v>0.62</v>
      </c>
      <c r="AX34" s="19">
        <v>0.28000000000000003</v>
      </c>
    </row>
    <row r="35" spans="42:50" x14ac:dyDescent="0.25">
      <c r="AP35" s="16" t="s">
        <v>166</v>
      </c>
      <c r="AQ35" s="17">
        <v>0</v>
      </c>
      <c r="AR35" s="18">
        <v>0.39</v>
      </c>
      <c r="AS35" s="18">
        <v>0.39</v>
      </c>
      <c r="AT35" s="18">
        <v>4.18</v>
      </c>
      <c r="AU35" s="18">
        <v>0.39</v>
      </c>
      <c r="AV35" s="18">
        <v>0.24</v>
      </c>
      <c r="AW35" s="18">
        <v>0.62</v>
      </c>
      <c r="AX35" s="19">
        <v>0.28000000000000003</v>
      </c>
    </row>
    <row r="36" spans="42:50" x14ac:dyDescent="0.25">
      <c r="AP36" s="16" t="s">
        <v>167</v>
      </c>
      <c r="AQ36" s="17">
        <v>0</v>
      </c>
      <c r="AR36" s="18">
        <v>0.39</v>
      </c>
      <c r="AS36" s="18">
        <v>1.37</v>
      </c>
      <c r="AT36" s="18">
        <v>4.18</v>
      </c>
      <c r="AU36" s="18">
        <v>0.39</v>
      </c>
      <c r="AV36" s="18">
        <v>0.39</v>
      </c>
      <c r="AW36" s="18">
        <v>0.62</v>
      </c>
      <c r="AX36" s="19">
        <v>0.24</v>
      </c>
    </row>
    <row r="37" spans="42:50" x14ac:dyDescent="0.25">
      <c r="AP37" s="16" t="s">
        <v>168</v>
      </c>
      <c r="AQ37" s="17">
        <v>0.73</v>
      </c>
      <c r="AR37" s="18">
        <v>0.39</v>
      </c>
      <c r="AS37" s="18">
        <v>0.39</v>
      </c>
      <c r="AT37" s="18">
        <v>4.18</v>
      </c>
      <c r="AU37" s="18">
        <v>0.45</v>
      </c>
      <c r="AV37" s="18">
        <v>0.45</v>
      </c>
      <c r="AW37" s="18">
        <v>0.62</v>
      </c>
      <c r="AX37" s="19">
        <v>0.28000000000000003</v>
      </c>
    </row>
    <row r="38" spans="42:50" x14ac:dyDescent="0.25">
      <c r="AP38" s="16" t="s">
        <v>169</v>
      </c>
      <c r="AQ38" s="17">
        <v>0</v>
      </c>
      <c r="AR38" s="18">
        <v>0.39</v>
      </c>
      <c r="AS38" s="18">
        <v>0.39</v>
      </c>
      <c r="AT38" s="18">
        <v>4.8899999999999997</v>
      </c>
      <c r="AU38" s="18">
        <v>0.53</v>
      </c>
      <c r="AV38" s="18">
        <v>0.39</v>
      </c>
      <c r="AW38" s="18">
        <v>0.62</v>
      </c>
      <c r="AX38" s="19">
        <v>0.33</v>
      </c>
    </row>
    <row r="39" spans="42:50" x14ac:dyDescent="0.25">
      <c r="AP39" s="16" t="s">
        <v>170</v>
      </c>
      <c r="AQ39" s="17">
        <v>0</v>
      </c>
      <c r="AR39" s="18">
        <v>0.45</v>
      </c>
      <c r="AS39" s="18">
        <v>0.39</v>
      </c>
      <c r="AT39" s="18">
        <v>4.18</v>
      </c>
      <c r="AU39" s="18">
        <v>0.39</v>
      </c>
      <c r="AV39" s="18">
        <v>0.45</v>
      </c>
      <c r="AW39" s="18">
        <v>0.62</v>
      </c>
      <c r="AX39" s="19">
        <v>0.33</v>
      </c>
    </row>
    <row r="40" spans="42:50" x14ac:dyDescent="0.25">
      <c r="AP40" s="16" t="s">
        <v>171</v>
      </c>
      <c r="AQ40" s="17">
        <v>0.85</v>
      </c>
      <c r="AR40" s="18">
        <v>0.39</v>
      </c>
      <c r="AS40" s="18">
        <v>0.33</v>
      </c>
      <c r="AT40" s="18">
        <v>4.18</v>
      </c>
      <c r="AU40" s="18">
        <v>0.39</v>
      </c>
      <c r="AV40" s="18">
        <v>0.45</v>
      </c>
      <c r="AW40" s="18">
        <v>0.62</v>
      </c>
      <c r="AX40" s="19">
        <v>0.33</v>
      </c>
    </row>
    <row r="41" spans="42:50" x14ac:dyDescent="0.25">
      <c r="AP41" s="16" t="s">
        <v>172</v>
      </c>
      <c r="AQ41" s="17">
        <v>0</v>
      </c>
      <c r="AR41" s="18">
        <v>1.37</v>
      </c>
      <c r="AS41" s="18">
        <v>0.33</v>
      </c>
      <c r="AT41" s="18">
        <v>4.18</v>
      </c>
      <c r="AU41" s="18">
        <v>0.39</v>
      </c>
      <c r="AV41" s="18">
        <v>0.39</v>
      </c>
      <c r="AW41" s="18">
        <v>0.85</v>
      </c>
      <c r="AX41" s="19">
        <v>0.33</v>
      </c>
    </row>
    <row r="42" spans="42:50" x14ac:dyDescent="0.25">
      <c r="AP42" s="16" t="s">
        <v>173</v>
      </c>
      <c r="AQ42" s="17">
        <v>0</v>
      </c>
      <c r="AR42" s="18">
        <v>0.39</v>
      </c>
      <c r="AS42" s="18">
        <v>0.39</v>
      </c>
      <c r="AT42" s="18">
        <v>4.18</v>
      </c>
      <c r="AU42" s="18">
        <v>0.39</v>
      </c>
      <c r="AV42" s="18">
        <v>0.39</v>
      </c>
      <c r="AW42" s="18">
        <v>0.73</v>
      </c>
      <c r="AX42" s="19">
        <v>0.39</v>
      </c>
    </row>
    <row r="43" spans="42:50" x14ac:dyDescent="0.25">
      <c r="AP43" s="16" t="s">
        <v>174</v>
      </c>
      <c r="AQ43" s="17">
        <v>0.85</v>
      </c>
      <c r="AR43" s="18">
        <v>1.89</v>
      </c>
      <c r="AS43" s="18">
        <v>0.33</v>
      </c>
      <c r="AT43" s="18">
        <v>1.89</v>
      </c>
      <c r="AU43" s="18">
        <v>0.53</v>
      </c>
      <c r="AV43" s="18">
        <v>0.17</v>
      </c>
      <c r="AW43" s="18">
        <v>1.37</v>
      </c>
      <c r="AX43" s="19">
        <v>0.39</v>
      </c>
    </row>
    <row r="44" spans="42:50" x14ac:dyDescent="0.25">
      <c r="AP44" s="16" t="s">
        <v>175</v>
      </c>
      <c r="AQ44" s="17">
        <v>0.85</v>
      </c>
      <c r="AR44" s="18">
        <v>1.89</v>
      </c>
      <c r="AS44" s="18">
        <v>1.37</v>
      </c>
      <c r="AT44" s="18">
        <v>1.89</v>
      </c>
      <c r="AU44" s="18">
        <v>2.21</v>
      </c>
      <c r="AV44" s="18">
        <v>0.24</v>
      </c>
      <c r="AW44" s="18">
        <v>2.59</v>
      </c>
      <c r="AX44" s="19">
        <v>0.33</v>
      </c>
    </row>
    <row r="45" spans="42:50" x14ac:dyDescent="0.25">
      <c r="AP45" s="16" t="s">
        <v>176</v>
      </c>
      <c r="AQ45" s="17">
        <v>0</v>
      </c>
      <c r="AR45" s="18">
        <v>0.39</v>
      </c>
      <c r="AS45" s="18">
        <v>0.39</v>
      </c>
      <c r="AT45" s="18">
        <v>0.39</v>
      </c>
      <c r="AU45" s="18">
        <v>0.39</v>
      </c>
      <c r="AV45" s="18">
        <v>0.45</v>
      </c>
      <c r="AW45" s="18">
        <v>1.17</v>
      </c>
      <c r="AX45" s="19">
        <v>0.28000000000000003</v>
      </c>
    </row>
    <row r="46" spans="42:50" x14ac:dyDescent="0.25">
      <c r="AP46" s="16" t="s">
        <v>177</v>
      </c>
      <c r="AQ46" s="17">
        <v>0</v>
      </c>
      <c r="AR46" s="18">
        <v>0.39</v>
      </c>
      <c r="AS46" s="18">
        <v>0.39</v>
      </c>
      <c r="AT46" s="18">
        <v>4.18</v>
      </c>
      <c r="AU46" s="18">
        <v>0.39</v>
      </c>
      <c r="AV46" s="18">
        <v>0.17</v>
      </c>
      <c r="AW46" s="18">
        <v>0.73</v>
      </c>
      <c r="AX46" s="19">
        <v>0.28000000000000003</v>
      </c>
    </row>
    <row r="47" spans="42:50" x14ac:dyDescent="0.25">
      <c r="AP47" s="16" t="s">
        <v>178</v>
      </c>
      <c r="AQ47" s="17">
        <v>0.85</v>
      </c>
      <c r="AR47" s="18">
        <v>1.61</v>
      </c>
      <c r="AS47" s="18">
        <v>0.39</v>
      </c>
      <c r="AT47" s="18">
        <v>0.39</v>
      </c>
      <c r="AU47" s="18">
        <v>0.45</v>
      </c>
      <c r="AV47" s="18">
        <v>0.45</v>
      </c>
      <c r="AW47" s="18">
        <v>1.17</v>
      </c>
      <c r="AX47" s="19">
        <v>0.33</v>
      </c>
    </row>
    <row r="48" spans="42:50" x14ac:dyDescent="0.25">
      <c r="AP48" s="16" t="s">
        <v>179</v>
      </c>
      <c r="AQ48" s="17">
        <v>0</v>
      </c>
      <c r="AR48" s="18">
        <v>4.8899999999999997</v>
      </c>
      <c r="AS48" s="18">
        <v>0.39</v>
      </c>
      <c r="AT48" s="18">
        <v>4.8899999999999997</v>
      </c>
      <c r="AU48" s="18">
        <v>0.45</v>
      </c>
      <c r="AV48" s="18">
        <v>0.39</v>
      </c>
      <c r="AW48" s="18">
        <v>0.62</v>
      </c>
      <c r="AX48" s="19">
        <v>0.28000000000000003</v>
      </c>
    </row>
    <row r="49" spans="42:50" x14ac:dyDescent="0.25">
      <c r="AP49" s="16" t="s">
        <v>180</v>
      </c>
      <c r="AQ49" s="17">
        <v>0</v>
      </c>
      <c r="AR49" s="18">
        <v>0.39</v>
      </c>
      <c r="AS49" s="18">
        <v>0.33</v>
      </c>
      <c r="AT49" s="18">
        <v>4.18</v>
      </c>
      <c r="AU49" s="18">
        <v>0.45</v>
      </c>
      <c r="AV49" s="18">
        <v>0.45</v>
      </c>
      <c r="AW49" s="18">
        <v>0.62</v>
      </c>
      <c r="AX49" s="19">
        <v>0.33</v>
      </c>
    </row>
    <row r="50" spans="42:50" x14ac:dyDescent="0.25">
      <c r="AP50" s="16" t="s">
        <v>181</v>
      </c>
      <c r="AQ50" s="17">
        <v>0</v>
      </c>
      <c r="AR50" s="18">
        <v>0.39</v>
      </c>
      <c r="AS50" s="18">
        <v>0.39</v>
      </c>
      <c r="AT50" s="18">
        <v>4.18</v>
      </c>
      <c r="AU50" s="18">
        <v>0.45</v>
      </c>
      <c r="AV50" s="18">
        <v>0.45</v>
      </c>
      <c r="AW50" s="18">
        <v>0.62</v>
      </c>
      <c r="AX50" s="19">
        <v>0.24</v>
      </c>
    </row>
    <row r="51" spans="42:50" x14ac:dyDescent="0.25">
      <c r="AP51" s="16" t="s">
        <v>182</v>
      </c>
      <c r="AQ51" s="17">
        <v>0</v>
      </c>
      <c r="AR51" s="18">
        <v>0.39</v>
      </c>
      <c r="AS51" s="18">
        <v>0.39</v>
      </c>
      <c r="AT51" s="18">
        <v>1.89</v>
      </c>
      <c r="AU51" s="18">
        <v>0.45</v>
      </c>
      <c r="AV51" s="18">
        <v>0.39</v>
      </c>
      <c r="AW51" s="18">
        <v>0.73</v>
      </c>
      <c r="AX51" s="19">
        <v>0.33</v>
      </c>
    </row>
    <row r="52" spans="42:50" x14ac:dyDescent="0.25">
      <c r="AP52" s="16" t="s">
        <v>183</v>
      </c>
      <c r="AQ52" s="17">
        <v>0</v>
      </c>
      <c r="AR52" s="18">
        <v>0.39</v>
      </c>
      <c r="AS52" s="18">
        <v>0.39</v>
      </c>
      <c r="AT52" s="18">
        <v>4.8899999999999997</v>
      </c>
      <c r="AU52" s="18">
        <v>0.39</v>
      </c>
      <c r="AV52" s="18">
        <v>0.2</v>
      </c>
      <c r="AW52" s="18">
        <v>0.62</v>
      </c>
      <c r="AX52" s="19">
        <v>0.33</v>
      </c>
    </row>
    <row r="53" spans="42:50" x14ac:dyDescent="0.25">
      <c r="AP53" s="16" t="s">
        <v>184</v>
      </c>
      <c r="AQ53" s="17">
        <v>0.85</v>
      </c>
      <c r="AR53" s="18">
        <v>0.39</v>
      </c>
      <c r="AS53" s="18">
        <v>0.39</v>
      </c>
      <c r="AT53" s="18">
        <v>4.18</v>
      </c>
      <c r="AU53" s="18">
        <v>0.39</v>
      </c>
      <c r="AV53" s="18">
        <v>0.45</v>
      </c>
      <c r="AW53" s="18">
        <v>0.62</v>
      </c>
      <c r="AX53" s="19">
        <v>0.33</v>
      </c>
    </row>
    <row r="54" spans="42:50" x14ac:dyDescent="0.25">
      <c r="AP54" s="16" t="s">
        <v>185</v>
      </c>
      <c r="AQ54" s="17">
        <v>0</v>
      </c>
      <c r="AR54" s="18">
        <v>0.39</v>
      </c>
      <c r="AS54" s="18">
        <v>0.33</v>
      </c>
      <c r="AT54" s="18">
        <v>1.89</v>
      </c>
      <c r="AU54" s="18">
        <v>0.39</v>
      </c>
      <c r="AV54" s="18">
        <v>0.39</v>
      </c>
      <c r="AW54" s="18">
        <v>0.62</v>
      </c>
      <c r="AX54" s="19">
        <v>0.33</v>
      </c>
    </row>
    <row r="55" spans="42:50" x14ac:dyDescent="0.25">
      <c r="AP55" s="16" t="s">
        <v>186</v>
      </c>
      <c r="AQ55" s="17">
        <v>0.85</v>
      </c>
      <c r="AR55" s="18">
        <v>1.89</v>
      </c>
      <c r="AS55" s="18">
        <v>0.33</v>
      </c>
      <c r="AT55" s="18">
        <v>1.89</v>
      </c>
      <c r="AU55" s="18">
        <v>0.53</v>
      </c>
      <c r="AV55" s="18">
        <v>0.2</v>
      </c>
      <c r="AW55" s="18">
        <v>1.17</v>
      </c>
      <c r="AX55" s="19">
        <v>0.33</v>
      </c>
    </row>
    <row r="56" spans="42:50" x14ac:dyDescent="0.25">
      <c r="AP56" s="16" t="s">
        <v>187</v>
      </c>
      <c r="AQ56" s="17">
        <v>0</v>
      </c>
      <c r="AR56" s="18">
        <v>1.61</v>
      </c>
      <c r="AS56" s="18">
        <v>0.39</v>
      </c>
      <c r="AT56" s="18">
        <v>4.18</v>
      </c>
      <c r="AU56" s="18">
        <v>0.39</v>
      </c>
      <c r="AV56" s="18">
        <v>0.39</v>
      </c>
      <c r="AW56" s="18">
        <v>0.62</v>
      </c>
      <c r="AX56" s="19">
        <v>0.33</v>
      </c>
    </row>
    <row r="57" spans="42:50" x14ac:dyDescent="0.25">
      <c r="AP57" s="16" t="s">
        <v>188</v>
      </c>
      <c r="AQ57" s="17">
        <v>0</v>
      </c>
      <c r="AR57" s="18">
        <v>0.39</v>
      </c>
      <c r="AS57" s="18">
        <v>0.39</v>
      </c>
      <c r="AT57" s="18">
        <v>4.18</v>
      </c>
      <c r="AU57" s="18">
        <v>0.45</v>
      </c>
      <c r="AV57" s="18">
        <v>0.24</v>
      </c>
      <c r="AW57" s="18">
        <v>0.62</v>
      </c>
      <c r="AX57" s="19">
        <v>0.33</v>
      </c>
    </row>
    <row r="58" spans="42:50" x14ac:dyDescent="0.25">
      <c r="AP58" s="16" t="s">
        <v>189</v>
      </c>
      <c r="AQ58" s="17">
        <v>0</v>
      </c>
      <c r="AR58" s="18">
        <v>0.39</v>
      </c>
      <c r="AS58" s="18">
        <v>0.39</v>
      </c>
      <c r="AT58" s="18">
        <v>1.89</v>
      </c>
      <c r="AU58" s="18">
        <v>0.45</v>
      </c>
      <c r="AV58" s="18">
        <v>0.39</v>
      </c>
      <c r="AW58" s="18">
        <v>0.62</v>
      </c>
      <c r="AX58" s="19">
        <v>0.45</v>
      </c>
    </row>
    <row r="59" spans="42:50" x14ac:dyDescent="0.25">
      <c r="AP59" s="16" t="s">
        <v>190</v>
      </c>
      <c r="AQ59" s="17">
        <v>0</v>
      </c>
      <c r="AR59" s="18">
        <v>1.61</v>
      </c>
      <c r="AS59" s="18">
        <v>0.39</v>
      </c>
      <c r="AT59" s="18">
        <v>0.39</v>
      </c>
      <c r="AU59" s="18">
        <v>0.45</v>
      </c>
      <c r="AV59" s="18">
        <v>0.45</v>
      </c>
      <c r="AW59" s="18">
        <v>0.73</v>
      </c>
      <c r="AX59" s="19">
        <v>0.33</v>
      </c>
    </row>
    <row r="60" spans="42:50" x14ac:dyDescent="0.25">
      <c r="AP60" s="16" t="s">
        <v>191</v>
      </c>
      <c r="AQ60" s="17">
        <v>0</v>
      </c>
      <c r="AR60" s="18">
        <v>0.39</v>
      </c>
      <c r="AS60" s="18">
        <v>0.39</v>
      </c>
      <c r="AT60" s="18">
        <v>4.8899999999999997</v>
      </c>
      <c r="AU60" s="18">
        <v>0.45</v>
      </c>
      <c r="AV60" s="18">
        <v>0.17</v>
      </c>
      <c r="AW60" s="18">
        <v>0.62</v>
      </c>
      <c r="AX60" s="19">
        <v>0.33</v>
      </c>
    </row>
    <row r="61" spans="42:50" x14ac:dyDescent="0.25">
      <c r="AP61" s="16" t="s">
        <v>192</v>
      </c>
      <c r="AQ61" s="17">
        <v>0</v>
      </c>
      <c r="AR61" s="18">
        <v>1.61</v>
      </c>
      <c r="AS61" s="18">
        <v>0.39</v>
      </c>
      <c r="AT61" s="18">
        <v>4.8899999999999997</v>
      </c>
      <c r="AU61" s="18">
        <v>0.39</v>
      </c>
      <c r="AV61" s="18">
        <v>0.39</v>
      </c>
      <c r="AW61" s="18">
        <v>0.73</v>
      </c>
      <c r="AX61" s="19">
        <v>0.33</v>
      </c>
    </row>
    <row r="62" spans="42:50" ht="15.75" thickBot="1" x14ac:dyDescent="0.3">
      <c r="AP62" s="16" t="s">
        <v>193</v>
      </c>
      <c r="AQ62" s="17">
        <v>0</v>
      </c>
      <c r="AR62" s="18">
        <v>1.61</v>
      </c>
      <c r="AS62" s="18">
        <v>0.33</v>
      </c>
      <c r="AT62" s="18">
        <v>4.18</v>
      </c>
      <c r="AU62" s="18">
        <v>0.45</v>
      </c>
      <c r="AV62" s="18">
        <v>0.39</v>
      </c>
      <c r="AW62" s="18">
        <v>0.62</v>
      </c>
      <c r="AX62" s="19">
        <v>0.28000000000000003</v>
      </c>
    </row>
    <row r="63" spans="42:50" x14ac:dyDescent="0.25">
      <c r="AP63" s="10" t="s">
        <v>223</v>
      </c>
      <c r="AQ63" s="11">
        <v>0.831538461538461</v>
      </c>
      <c r="AR63" s="12">
        <v>0.88694915254237305</v>
      </c>
      <c r="AS63" s="12">
        <v>0.40796610169491498</v>
      </c>
      <c r="AT63" s="12">
        <v>3.68050847457627</v>
      </c>
      <c r="AU63" s="12">
        <v>0.53813559322033899</v>
      </c>
      <c r="AV63" s="12">
        <v>0.382033898305084</v>
      </c>
      <c r="AW63" s="12">
        <v>0.81762711864406701</v>
      </c>
      <c r="AX63" s="13">
        <v>0.34440677966101602</v>
      </c>
    </row>
    <row r="64" spans="42:50" x14ac:dyDescent="0.25">
      <c r="AP64" s="16" t="s">
        <v>224</v>
      </c>
      <c r="AQ64" s="17">
        <v>4.3296145475293098E-2</v>
      </c>
      <c r="AR64" s="18">
        <v>0.938645353213582</v>
      </c>
      <c r="AS64" s="18">
        <v>0.18206703608991301</v>
      </c>
      <c r="AT64" s="18">
        <v>1.3089035697914899</v>
      </c>
      <c r="AU64" s="18">
        <v>0.43301260237765399</v>
      </c>
      <c r="AV64" s="18">
        <v>8.7426088124788096E-2</v>
      </c>
      <c r="AW64" s="18">
        <v>0.405518454440359</v>
      </c>
      <c r="AX64" s="19">
        <v>0.24835234119646399</v>
      </c>
    </row>
    <row r="65" spans="42:50" x14ac:dyDescent="0.25">
      <c r="AP65" s="16" t="s">
        <v>225</v>
      </c>
      <c r="AQ65" s="17">
        <v>0.87483460701375404</v>
      </c>
      <c r="AR65" s="18">
        <v>1.8255945057559499</v>
      </c>
      <c r="AS65" s="18">
        <v>0.59003313778482902</v>
      </c>
      <c r="AT65" s="18">
        <v>4.9894120443677599</v>
      </c>
      <c r="AU65" s="18">
        <v>0.97114819559799304</v>
      </c>
      <c r="AV65" s="18">
        <v>0.46945998642987202</v>
      </c>
      <c r="AW65" s="18">
        <v>1.2231455730844201</v>
      </c>
      <c r="AX65" s="19">
        <v>0.59275912085747995</v>
      </c>
    </row>
    <row r="66" spans="42:50" x14ac:dyDescent="0.25">
      <c r="AP66" s="16" t="s">
        <v>226</v>
      </c>
      <c r="AQ66" s="17">
        <v>0.78824231606316797</v>
      </c>
      <c r="AR66" s="18">
        <v>-5.1696200671209502E-2</v>
      </c>
      <c r="AS66" s="18">
        <v>0.225899065605001</v>
      </c>
      <c r="AT66" s="18">
        <v>2.3716049047847698</v>
      </c>
      <c r="AU66" s="18">
        <v>0.10512299084268401</v>
      </c>
      <c r="AV66" s="18">
        <v>0.29460781018029603</v>
      </c>
      <c r="AW66" s="18">
        <v>0.41210866420370701</v>
      </c>
      <c r="AX66" s="19">
        <v>9.60544384645525E-2</v>
      </c>
    </row>
    <row r="67" spans="42:50" ht="15.75" thickBot="1" x14ac:dyDescent="0.3">
      <c r="AP67" s="23" t="s">
        <v>227</v>
      </c>
      <c r="AQ67" s="24">
        <v>0.84999999999999898</v>
      </c>
      <c r="AR67" s="25">
        <v>0.63653846153846105</v>
      </c>
      <c r="AS67" s="25">
        <v>0.37421052631578899</v>
      </c>
      <c r="AT67" s="25">
        <v>4.4059090909090903</v>
      </c>
      <c r="AU67" s="25">
        <v>0.422363636363636</v>
      </c>
      <c r="AV67" s="25">
        <v>0.41297872340425501</v>
      </c>
      <c r="AW67" s="25">
        <v>0.69634615384615295</v>
      </c>
      <c r="AX67" s="26">
        <v>0.31224137931034401</v>
      </c>
    </row>
    <row r="68" spans="42:50" ht="15.75" thickBot="1" x14ac:dyDescent="0.3">
      <c r="AQ68" s="27"/>
      <c r="AR68" s="27"/>
      <c r="AS68" s="27"/>
      <c r="AT68" s="27"/>
      <c r="AU68" s="27"/>
      <c r="AV68" s="27"/>
      <c r="AW68" s="27"/>
      <c r="AX68" s="27"/>
    </row>
    <row r="69" spans="42:50" ht="30" x14ac:dyDescent="0.25">
      <c r="AP69" s="28" t="s">
        <v>228</v>
      </c>
      <c r="AQ69" s="29">
        <v>5.33</v>
      </c>
      <c r="AR69" s="29">
        <v>3.38</v>
      </c>
      <c r="AS69" s="29">
        <v>2.97</v>
      </c>
      <c r="AT69" s="29">
        <v>2.06</v>
      </c>
      <c r="AU69" s="29">
        <v>1.91</v>
      </c>
      <c r="AV69" s="29">
        <v>3.95</v>
      </c>
      <c r="AW69" s="29">
        <v>2.75</v>
      </c>
      <c r="AX69" s="30">
        <v>1.78</v>
      </c>
    </row>
    <row r="70" spans="42:50" x14ac:dyDescent="0.25">
      <c r="AP70" s="31" t="s">
        <v>229</v>
      </c>
      <c r="AQ70" s="32">
        <f t="shared" ref="AQ70:AX70" si="0">AQ69-AQ67</f>
        <v>4.4800000000000013</v>
      </c>
      <c r="AR70" s="32">
        <f t="shared" si="0"/>
        <v>2.7434615384615388</v>
      </c>
      <c r="AS70" s="32">
        <f t="shared" si="0"/>
        <v>2.5957894736842113</v>
      </c>
      <c r="AT70" s="32">
        <f t="shared" si="0"/>
        <v>-2.3459090909090903</v>
      </c>
      <c r="AU70" s="32">
        <f t="shared" si="0"/>
        <v>1.4876363636363639</v>
      </c>
      <c r="AV70" s="32">
        <f t="shared" si="0"/>
        <v>3.5370212765957452</v>
      </c>
      <c r="AW70" s="32">
        <f t="shared" si="0"/>
        <v>2.0536538461538472</v>
      </c>
      <c r="AX70" s="33">
        <f t="shared" si="0"/>
        <v>1.467758620689656</v>
      </c>
    </row>
    <row r="71" spans="42:50" ht="15.75" thickBot="1" x14ac:dyDescent="0.3">
      <c r="AP71" s="34" t="s">
        <v>230</v>
      </c>
      <c r="AQ71" s="35">
        <f t="shared" ref="AQ71:AX71" si="1">(AQ70/AQ67)*100</f>
        <v>527.05882352941251</v>
      </c>
      <c r="AR71" s="35">
        <f t="shared" si="1"/>
        <v>430.99697885196412</v>
      </c>
      <c r="AS71" s="35">
        <f t="shared" si="1"/>
        <v>693.67088607595053</v>
      </c>
      <c r="AT71" s="35">
        <f t="shared" si="1"/>
        <v>-53.244609512018968</v>
      </c>
      <c r="AU71" s="35">
        <f t="shared" si="1"/>
        <v>352.21696082651783</v>
      </c>
      <c r="AV71" s="35">
        <f t="shared" si="1"/>
        <v>856.46573930963507</v>
      </c>
      <c r="AW71" s="35">
        <f t="shared" si="1"/>
        <v>294.91853079259926</v>
      </c>
      <c r="AX71" s="36">
        <f t="shared" si="1"/>
        <v>470.07178354500422</v>
      </c>
    </row>
    <row r="72" spans="42:50" ht="15.75" thickBot="1" x14ac:dyDescent="0.3">
      <c r="AP72" s="37"/>
      <c r="AQ72" s="32"/>
      <c r="AR72" s="32"/>
      <c r="AS72" s="32"/>
      <c r="AT72" s="32"/>
      <c r="AU72" s="32"/>
      <c r="AV72" s="32"/>
      <c r="AW72" s="32"/>
      <c r="AX72" s="32"/>
    </row>
    <row r="73" spans="42:50" ht="30" x14ac:dyDescent="0.25">
      <c r="AP73" s="28" t="s">
        <v>231</v>
      </c>
      <c r="AQ73" s="29">
        <v>5.21</v>
      </c>
      <c r="AR73" s="29">
        <v>3.2</v>
      </c>
      <c r="AS73" s="29">
        <v>2.89</v>
      </c>
      <c r="AT73" s="29">
        <v>1.87</v>
      </c>
      <c r="AU73" s="29">
        <v>1.75</v>
      </c>
      <c r="AV73" s="29">
        <v>3.89</v>
      </c>
      <c r="AW73" s="29">
        <v>2.65</v>
      </c>
      <c r="AX73" s="30">
        <v>1.68</v>
      </c>
    </row>
    <row r="74" spans="42:50" x14ac:dyDescent="0.25">
      <c r="AP74" s="31" t="s">
        <v>229</v>
      </c>
      <c r="AQ74" s="32">
        <f t="shared" ref="AQ74:AX74" si="2">AQ73-AQ67</f>
        <v>4.3600000000000012</v>
      </c>
      <c r="AR74" s="32">
        <f t="shared" si="2"/>
        <v>2.5634615384615391</v>
      </c>
      <c r="AS74" s="32">
        <f t="shared" si="2"/>
        <v>2.5157894736842112</v>
      </c>
      <c r="AT74" s="32">
        <f t="shared" si="2"/>
        <v>-2.5359090909090902</v>
      </c>
      <c r="AU74" s="32">
        <f t="shared" si="2"/>
        <v>1.3276363636363639</v>
      </c>
      <c r="AV74" s="32">
        <f t="shared" si="2"/>
        <v>3.4770212765957451</v>
      </c>
      <c r="AW74" s="32">
        <f t="shared" si="2"/>
        <v>1.9536538461538471</v>
      </c>
      <c r="AX74" s="33">
        <f t="shared" si="2"/>
        <v>1.3677586206896559</v>
      </c>
    </row>
    <row r="75" spans="42:50" ht="15.75" thickBot="1" x14ac:dyDescent="0.3">
      <c r="AP75" s="34" t="s">
        <v>230</v>
      </c>
      <c r="AQ75" s="35">
        <f>(AQ74/AQ67)*100</f>
        <v>512.94117647058897</v>
      </c>
      <c r="AR75" s="35">
        <f t="shared" ref="AR75:AX75" si="3">(AR74/AR67)*100</f>
        <v>402.71903323262882</v>
      </c>
      <c r="AS75" s="35">
        <f t="shared" si="3"/>
        <v>672.29254571026831</v>
      </c>
      <c r="AT75" s="35">
        <f t="shared" si="3"/>
        <v>-57.556999896832764</v>
      </c>
      <c r="AU75" s="35">
        <f t="shared" si="3"/>
        <v>314.33491175204512</v>
      </c>
      <c r="AV75" s="35">
        <f t="shared" si="3"/>
        <v>841.93714580113431</v>
      </c>
      <c r="AW75" s="35">
        <f t="shared" si="3"/>
        <v>280.55785694559563</v>
      </c>
      <c r="AX75" s="36">
        <f t="shared" si="3"/>
        <v>438.04527885146467</v>
      </c>
    </row>
    <row r="76" spans="42:50" ht="15.75" thickBot="1" x14ac:dyDescent="0.3">
      <c r="AQ76" s="27"/>
      <c r="AR76" s="27"/>
      <c r="AS76" s="27"/>
      <c r="AT76" s="27"/>
      <c r="AU76" s="27"/>
      <c r="AV76" s="27"/>
      <c r="AW76" s="27"/>
      <c r="AX76" s="27"/>
    </row>
    <row r="77" spans="42:50" ht="30" x14ac:dyDescent="0.25">
      <c r="AP77" s="28" t="s">
        <v>232</v>
      </c>
      <c r="AQ77" s="41">
        <v>5.14</v>
      </c>
      <c r="AR77" s="29">
        <v>3.27</v>
      </c>
      <c r="AS77" s="29">
        <v>2.9</v>
      </c>
      <c r="AT77" s="29">
        <v>1.94</v>
      </c>
      <c r="AU77" s="29">
        <v>1.81</v>
      </c>
      <c r="AV77" s="29">
        <v>3.93</v>
      </c>
      <c r="AW77" s="29">
        <v>2.65</v>
      </c>
      <c r="AX77" s="30">
        <v>1.66</v>
      </c>
    </row>
    <row r="78" spans="42:50" x14ac:dyDescent="0.25">
      <c r="AP78" s="31" t="s">
        <v>229</v>
      </c>
      <c r="AQ78" s="42">
        <f>AQ77-AQ67</f>
        <v>4.2900000000000009</v>
      </c>
      <c r="AR78" s="32">
        <f t="shared" ref="AR78:AX78" si="4">AR77-AR67</f>
        <v>2.633461538461539</v>
      </c>
      <c r="AS78" s="32">
        <f t="shared" si="4"/>
        <v>2.525789473684211</v>
      </c>
      <c r="AT78" s="32">
        <f t="shared" si="4"/>
        <v>-2.4659090909090904</v>
      </c>
      <c r="AU78" s="32">
        <f t="shared" si="4"/>
        <v>1.387636363636364</v>
      </c>
      <c r="AV78" s="32">
        <f t="shared" si="4"/>
        <v>3.5170212765957451</v>
      </c>
      <c r="AW78" s="32">
        <f t="shared" si="4"/>
        <v>1.9536538461538471</v>
      </c>
      <c r="AX78" s="33">
        <f t="shared" si="4"/>
        <v>1.3477586206896559</v>
      </c>
    </row>
    <row r="79" spans="42:50" ht="15.75" thickBot="1" x14ac:dyDescent="0.3">
      <c r="AP79" s="34" t="s">
        <v>230</v>
      </c>
      <c r="AQ79" s="43">
        <f>(AQ78/AQ67)*100</f>
        <v>504.7058823529419</v>
      </c>
      <c r="AR79" s="35">
        <f t="shared" ref="AR79:AX79" si="5">(AR78/AR67)*100</f>
        <v>413.71601208459248</v>
      </c>
      <c r="AS79" s="35">
        <f>(AS78/AS67)*100</f>
        <v>674.96483825597852</v>
      </c>
      <c r="AT79" s="35">
        <f t="shared" si="5"/>
        <v>-55.968224491901367</v>
      </c>
      <c r="AU79" s="35">
        <f t="shared" si="5"/>
        <v>328.54068015497239</v>
      </c>
      <c r="AV79" s="35">
        <f>(AV78/AV67)*100</f>
        <v>851.62287480680141</v>
      </c>
      <c r="AW79" s="35">
        <f t="shared" si="5"/>
        <v>280.55785694559563</v>
      </c>
      <c r="AX79" s="36">
        <f t="shared" si="5"/>
        <v>431.63997791275676</v>
      </c>
    </row>
    <row r="80" spans="42:50" x14ac:dyDescent="0.25">
      <c r="AQ80" s="27"/>
      <c r="AR80" s="27"/>
      <c r="AS80" s="27"/>
      <c r="AT80" s="27"/>
      <c r="AU80" s="27"/>
      <c r="AV80" s="27"/>
      <c r="AW80" s="27"/>
      <c r="AX80" s="27"/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CF5A-B485-4465-A829-82046B80EAA1}">
  <dimension ref="B1:CB925"/>
  <sheetViews>
    <sheetView tabSelected="1" topLeftCell="A36" workbookViewId="0">
      <selection activeCell="AK77" sqref="AK77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1.42578125" style="3" bestFit="1" customWidth="1"/>
    <col min="43" max="45" width="6.5703125" style="3" bestFit="1" customWidth="1"/>
    <col min="46" max="46" width="6.28515625" style="3" bestFit="1" customWidth="1"/>
    <col min="47" max="50" width="6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211</v>
      </c>
      <c r="AQ4" s="11">
        <v>0</v>
      </c>
      <c r="AR4" s="12">
        <v>1.89</v>
      </c>
      <c r="AS4" s="12">
        <v>0.39</v>
      </c>
      <c r="AT4" s="12">
        <v>4.8899999999999997</v>
      </c>
      <c r="AU4" s="12">
        <v>0.39</v>
      </c>
      <c r="AV4" s="12">
        <v>0.39</v>
      </c>
      <c r="AW4" s="12">
        <v>0.62</v>
      </c>
      <c r="AX4" s="13">
        <v>0.33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211</v>
      </c>
      <c r="AQ5" s="17">
        <v>0.85</v>
      </c>
      <c r="AR5" s="18">
        <v>1.61</v>
      </c>
      <c r="AS5" s="18">
        <v>0.39</v>
      </c>
      <c r="AT5" s="18">
        <v>4.8899999999999997</v>
      </c>
      <c r="AU5" s="18">
        <v>0.39</v>
      </c>
      <c r="AV5" s="18">
        <v>0.39</v>
      </c>
      <c r="AW5" s="18">
        <v>0.73</v>
      </c>
      <c r="AX5" s="19">
        <v>0.28000000000000003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211</v>
      </c>
      <c r="AQ6" s="17">
        <v>0.85</v>
      </c>
      <c r="AR6" s="18">
        <v>0.39</v>
      </c>
      <c r="AS6" s="18">
        <v>0.39</v>
      </c>
      <c r="AT6" s="18">
        <v>4.18</v>
      </c>
      <c r="AU6" s="18">
        <v>0.39</v>
      </c>
      <c r="AV6" s="18">
        <v>0.45</v>
      </c>
      <c r="AW6" s="18">
        <v>0.62</v>
      </c>
      <c r="AX6" s="19">
        <v>0.33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211</v>
      </c>
      <c r="AQ7" s="17">
        <v>0</v>
      </c>
      <c r="AR7" s="18">
        <v>1.61</v>
      </c>
      <c r="AS7" s="18">
        <v>0.39</v>
      </c>
      <c r="AT7" s="18">
        <v>4.8899999999999997</v>
      </c>
      <c r="AU7" s="18">
        <v>0.39</v>
      </c>
      <c r="AV7" s="18">
        <v>0.45</v>
      </c>
      <c r="AW7" s="18">
        <v>0.73</v>
      </c>
      <c r="AX7" s="19">
        <v>0.33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211</v>
      </c>
      <c r="AQ8" s="17">
        <v>4.18</v>
      </c>
      <c r="AR8" s="18">
        <v>1.89</v>
      </c>
      <c r="AS8" s="18">
        <v>0.33</v>
      </c>
      <c r="AT8" s="18">
        <v>1.89</v>
      </c>
      <c r="AU8" s="18">
        <v>0.45</v>
      </c>
      <c r="AV8" s="18">
        <v>0.2</v>
      </c>
      <c r="AW8" s="18">
        <v>1.37</v>
      </c>
      <c r="AX8" s="19">
        <v>0.28000000000000003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212</v>
      </c>
      <c r="AQ9" s="17">
        <v>0</v>
      </c>
      <c r="AR9" s="18">
        <v>0.39</v>
      </c>
      <c r="AS9" s="18">
        <v>0.39</v>
      </c>
      <c r="AT9" s="18">
        <v>4.18</v>
      </c>
      <c r="AU9" s="18">
        <v>0.39</v>
      </c>
      <c r="AV9" s="18">
        <v>0.39</v>
      </c>
      <c r="AW9" s="18">
        <v>0.73</v>
      </c>
      <c r="AX9" s="19">
        <v>0.33</v>
      </c>
    </row>
    <row r="10" spans="2:80" x14ac:dyDescent="0.25">
      <c r="AP10" s="16" t="s">
        <v>212</v>
      </c>
      <c r="AQ10" s="17">
        <v>0</v>
      </c>
      <c r="AR10" s="18">
        <v>0.39</v>
      </c>
      <c r="AS10" s="18">
        <v>0.39</v>
      </c>
      <c r="AT10" s="18">
        <v>4.8899999999999997</v>
      </c>
      <c r="AU10" s="18">
        <v>0.39</v>
      </c>
      <c r="AV10" s="18">
        <v>0.39</v>
      </c>
      <c r="AW10" s="18">
        <v>0.62</v>
      </c>
      <c r="AX10" s="19">
        <v>0.33</v>
      </c>
    </row>
    <row r="11" spans="2:80" x14ac:dyDescent="0.25">
      <c r="AP11" s="16" t="s">
        <v>212</v>
      </c>
      <c r="AQ11" s="17">
        <v>0</v>
      </c>
      <c r="AR11" s="18">
        <v>0.39</v>
      </c>
      <c r="AS11" s="18">
        <v>0.39</v>
      </c>
      <c r="AT11" s="18">
        <v>4.18</v>
      </c>
      <c r="AU11" s="18">
        <v>0.39</v>
      </c>
      <c r="AV11" s="18">
        <v>0.45</v>
      </c>
      <c r="AW11" s="18">
        <v>0.62</v>
      </c>
      <c r="AX11" s="19">
        <v>0.28000000000000003</v>
      </c>
    </row>
    <row r="12" spans="2:80" x14ac:dyDescent="0.25">
      <c r="AP12" s="16" t="s">
        <v>212</v>
      </c>
      <c r="AQ12" s="17">
        <v>0</v>
      </c>
      <c r="AR12" s="18">
        <v>0.39</v>
      </c>
      <c r="AS12" s="18">
        <v>0.39</v>
      </c>
      <c r="AT12" s="18">
        <v>4.18</v>
      </c>
      <c r="AU12" s="18">
        <v>0.39</v>
      </c>
      <c r="AV12" s="18">
        <v>0.45</v>
      </c>
      <c r="AW12" s="18">
        <v>1.37</v>
      </c>
      <c r="AX12" s="19">
        <v>0.33</v>
      </c>
    </row>
    <row r="13" spans="2:80" x14ac:dyDescent="0.25">
      <c r="AP13" s="16" t="s">
        <v>212</v>
      </c>
      <c r="AQ13" s="17">
        <v>0</v>
      </c>
      <c r="AR13" s="18">
        <v>0.39</v>
      </c>
      <c r="AS13" s="18">
        <v>0.39</v>
      </c>
      <c r="AT13" s="18">
        <v>4.8899999999999997</v>
      </c>
      <c r="AU13" s="18">
        <v>0.39</v>
      </c>
      <c r="AV13" s="18">
        <v>0.39</v>
      </c>
      <c r="AW13" s="18">
        <v>2.59</v>
      </c>
      <c r="AX13" s="19">
        <v>0.28000000000000003</v>
      </c>
    </row>
    <row r="14" spans="2:80" x14ac:dyDescent="0.25">
      <c r="AP14" s="16" t="s">
        <v>213</v>
      </c>
      <c r="AQ14" s="17">
        <v>0.85</v>
      </c>
      <c r="AR14" s="18">
        <v>1.89</v>
      </c>
      <c r="AS14" s="18">
        <v>0.33</v>
      </c>
      <c r="AT14" s="18">
        <v>1.89</v>
      </c>
      <c r="AU14" s="18">
        <v>0.45</v>
      </c>
      <c r="AV14" s="18">
        <v>0.2</v>
      </c>
      <c r="AW14" s="18">
        <v>1.17</v>
      </c>
      <c r="AX14" s="19">
        <v>0.33</v>
      </c>
    </row>
    <row r="15" spans="2:80" x14ac:dyDescent="0.25">
      <c r="AP15" s="16" t="s">
        <v>213</v>
      </c>
      <c r="AQ15" s="17">
        <v>0.85</v>
      </c>
      <c r="AR15" s="18">
        <v>0.39</v>
      </c>
      <c r="AS15" s="18">
        <v>0.33</v>
      </c>
      <c r="AT15" s="18">
        <v>4.18</v>
      </c>
      <c r="AU15" s="18">
        <v>0.53</v>
      </c>
      <c r="AV15" s="18">
        <v>0.39</v>
      </c>
      <c r="AW15" s="18">
        <v>0.62</v>
      </c>
      <c r="AX15" s="19">
        <v>0.28000000000000003</v>
      </c>
    </row>
    <row r="16" spans="2:80" x14ac:dyDescent="0.25">
      <c r="AP16" s="16" t="s">
        <v>213</v>
      </c>
      <c r="AQ16" s="17">
        <v>0</v>
      </c>
      <c r="AR16" s="18">
        <v>0.39</v>
      </c>
      <c r="AS16" s="18">
        <v>0.39</v>
      </c>
      <c r="AT16" s="18">
        <v>4.18</v>
      </c>
      <c r="AU16" s="18">
        <v>0.39</v>
      </c>
      <c r="AV16" s="18">
        <v>0.45</v>
      </c>
      <c r="AW16" s="18">
        <v>0.62</v>
      </c>
      <c r="AX16" s="19">
        <v>0.24</v>
      </c>
    </row>
    <row r="17" spans="42:50" x14ac:dyDescent="0.25">
      <c r="AP17" s="16" t="s">
        <v>213</v>
      </c>
      <c r="AQ17" s="17">
        <v>0</v>
      </c>
      <c r="AR17" s="18">
        <v>0.45</v>
      </c>
      <c r="AS17" s="18">
        <v>0.39</v>
      </c>
      <c r="AT17" s="18">
        <v>4.8899999999999997</v>
      </c>
      <c r="AU17" s="18">
        <v>0.45</v>
      </c>
      <c r="AV17" s="18">
        <v>0.45</v>
      </c>
      <c r="AW17" s="18">
        <v>0.62</v>
      </c>
      <c r="AX17" s="19">
        <v>0.24</v>
      </c>
    </row>
    <row r="18" spans="42:50" x14ac:dyDescent="0.25">
      <c r="AP18" s="16" t="s">
        <v>213</v>
      </c>
      <c r="AQ18" s="17">
        <v>0</v>
      </c>
      <c r="AR18" s="18">
        <v>0.39</v>
      </c>
      <c r="AS18" s="18">
        <v>0.33</v>
      </c>
      <c r="AT18" s="18">
        <v>4.18</v>
      </c>
      <c r="AU18" s="18">
        <v>1.89</v>
      </c>
      <c r="AV18" s="18">
        <v>0.45</v>
      </c>
      <c r="AW18" s="18">
        <v>0.73</v>
      </c>
      <c r="AX18" s="19">
        <v>2.21</v>
      </c>
    </row>
    <row r="19" spans="42:50" x14ac:dyDescent="0.25">
      <c r="AP19" s="16" t="s">
        <v>214</v>
      </c>
      <c r="AQ19" s="17">
        <v>0</v>
      </c>
      <c r="AR19" s="18">
        <v>0.33</v>
      </c>
      <c r="AS19" s="18">
        <v>0.39</v>
      </c>
      <c r="AT19" s="18">
        <v>4.18</v>
      </c>
      <c r="AU19" s="18">
        <v>0.39</v>
      </c>
      <c r="AV19" s="18">
        <v>0.39</v>
      </c>
      <c r="AW19" s="18">
        <v>0.73</v>
      </c>
      <c r="AX19" s="19">
        <v>0.24</v>
      </c>
    </row>
    <row r="20" spans="42:50" x14ac:dyDescent="0.25">
      <c r="AP20" s="16" t="s">
        <v>214</v>
      </c>
      <c r="AQ20" s="17">
        <v>0</v>
      </c>
      <c r="AR20" s="18">
        <v>1.61</v>
      </c>
      <c r="AS20" s="18">
        <v>0.33</v>
      </c>
      <c r="AT20" s="18">
        <v>1.61</v>
      </c>
      <c r="AU20" s="18">
        <v>0.39</v>
      </c>
      <c r="AV20" s="18">
        <v>0.33</v>
      </c>
      <c r="AW20" s="18">
        <v>0.73</v>
      </c>
      <c r="AX20" s="19">
        <v>0.28000000000000003</v>
      </c>
    </row>
    <row r="21" spans="42:50" x14ac:dyDescent="0.25">
      <c r="AP21" s="16" t="s">
        <v>214</v>
      </c>
      <c r="AQ21" s="17">
        <v>0</v>
      </c>
      <c r="AR21" s="18">
        <v>0.39</v>
      </c>
      <c r="AS21" s="18">
        <v>0.39</v>
      </c>
      <c r="AT21" s="18">
        <v>4.8899999999999997</v>
      </c>
      <c r="AU21" s="18">
        <v>0.39</v>
      </c>
      <c r="AV21" s="18">
        <v>0.39</v>
      </c>
      <c r="AW21" s="18">
        <v>1.37</v>
      </c>
      <c r="AX21" s="19">
        <v>0.33</v>
      </c>
    </row>
    <row r="22" spans="42:50" x14ac:dyDescent="0.25">
      <c r="AP22" s="16" t="s">
        <v>214</v>
      </c>
      <c r="AQ22" s="17">
        <v>0</v>
      </c>
      <c r="AR22" s="18">
        <v>0.39</v>
      </c>
      <c r="AS22" s="18">
        <v>0.39</v>
      </c>
      <c r="AT22" s="18">
        <v>4.18</v>
      </c>
      <c r="AU22" s="18">
        <v>0.45</v>
      </c>
      <c r="AV22" s="18">
        <v>0.39</v>
      </c>
      <c r="AW22" s="18">
        <v>0.73</v>
      </c>
      <c r="AX22" s="19">
        <v>0.33</v>
      </c>
    </row>
    <row r="23" spans="42:50" x14ac:dyDescent="0.25">
      <c r="AP23" s="16" t="s">
        <v>214</v>
      </c>
      <c r="AQ23" s="17">
        <v>0</v>
      </c>
      <c r="AR23" s="18">
        <v>0.39</v>
      </c>
      <c r="AS23" s="18">
        <v>0.39</v>
      </c>
      <c r="AT23" s="18">
        <v>4.8899999999999997</v>
      </c>
      <c r="AU23" s="18">
        <v>2.21</v>
      </c>
      <c r="AV23" s="18">
        <v>0.45</v>
      </c>
      <c r="AW23" s="18">
        <v>0.62</v>
      </c>
      <c r="AX23" s="19">
        <v>0.33</v>
      </c>
    </row>
    <row r="24" spans="42:50" x14ac:dyDescent="0.25">
      <c r="AP24" s="16" t="s">
        <v>215</v>
      </c>
      <c r="AQ24" s="17">
        <v>0.85</v>
      </c>
      <c r="AR24" s="18">
        <v>1.37</v>
      </c>
      <c r="AS24" s="18">
        <v>0.33</v>
      </c>
      <c r="AT24" s="18">
        <v>4.8899999999999997</v>
      </c>
      <c r="AU24" s="18">
        <v>0.53</v>
      </c>
      <c r="AV24" s="18">
        <v>0.53</v>
      </c>
      <c r="AW24" s="18">
        <v>1.37</v>
      </c>
      <c r="AX24" s="19">
        <v>0.33</v>
      </c>
    </row>
    <row r="25" spans="42:50" x14ac:dyDescent="0.25">
      <c r="AP25" s="16" t="s">
        <v>215</v>
      </c>
      <c r="AQ25" s="17">
        <v>0</v>
      </c>
      <c r="AR25" s="18">
        <v>1.61</v>
      </c>
      <c r="AS25" s="18">
        <v>0.33</v>
      </c>
      <c r="AT25" s="18">
        <v>1.89</v>
      </c>
      <c r="AU25" s="18">
        <v>0.45</v>
      </c>
      <c r="AV25" s="18">
        <v>0.39</v>
      </c>
      <c r="AW25" s="18">
        <v>0.62</v>
      </c>
      <c r="AX25" s="19">
        <v>0.39</v>
      </c>
    </row>
    <row r="26" spans="42:50" x14ac:dyDescent="0.25">
      <c r="AP26" s="16" t="s">
        <v>215</v>
      </c>
      <c r="AQ26" s="17">
        <v>0.73</v>
      </c>
      <c r="AR26" s="18">
        <v>0.39</v>
      </c>
      <c r="AS26" s="18">
        <v>0.39</v>
      </c>
      <c r="AT26" s="18">
        <v>4.18</v>
      </c>
      <c r="AU26" s="18">
        <v>0.39</v>
      </c>
      <c r="AV26" s="18">
        <v>0.39</v>
      </c>
      <c r="AW26" s="18">
        <v>0.62</v>
      </c>
      <c r="AX26" s="19">
        <v>0.24</v>
      </c>
    </row>
    <row r="27" spans="42:50" x14ac:dyDescent="0.25">
      <c r="AP27" s="16" t="s">
        <v>215</v>
      </c>
      <c r="AQ27" s="17">
        <v>0</v>
      </c>
      <c r="AR27" s="18">
        <v>0.39</v>
      </c>
      <c r="AS27" s="18">
        <v>0.39</v>
      </c>
      <c r="AT27" s="18">
        <v>1.61</v>
      </c>
      <c r="AU27" s="18">
        <v>0.33</v>
      </c>
      <c r="AV27" s="18">
        <v>0.45</v>
      </c>
      <c r="AW27" s="18">
        <v>0.62</v>
      </c>
      <c r="AX27" s="19">
        <v>0.33</v>
      </c>
    </row>
    <row r="28" spans="42:50" x14ac:dyDescent="0.25">
      <c r="AP28" s="16" t="s">
        <v>215</v>
      </c>
      <c r="AQ28" s="17">
        <v>0</v>
      </c>
      <c r="AR28" s="18">
        <v>0.39</v>
      </c>
      <c r="AS28" s="18">
        <v>0.39</v>
      </c>
      <c r="AT28" s="18">
        <v>1.89</v>
      </c>
      <c r="AU28" s="18">
        <v>0.39</v>
      </c>
      <c r="AV28" s="18">
        <v>0.39</v>
      </c>
      <c r="AW28" s="18">
        <v>0.62</v>
      </c>
      <c r="AX28" s="19">
        <v>0.28000000000000003</v>
      </c>
    </row>
    <row r="29" spans="42:50" x14ac:dyDescent="0.25">
      <c r="AP29" s="16" t="s">
        <v>216</v>
      </c>
      <c r="AQ29" s="17">
        <v>0</v>
      </c>
      <c r="AR29" s="18">
        <v>4.8899999999999997</v>
      </c>
      <c r="AS29" s="18">
        <v>0.39</v>
      </c>
      <c r="AT29" s="18">
        <v>4.18</v>
      </c>
      <c r="AU29" s="18">
        <v>0.39</v>
      </c>
      <c r="AV29" s="18">
        <v>0.45</v>
      </c>
      <c r="AW29" s="18">
        <v>0.62</v>
      </c>
      <c r="AX29" s="19">
        <v>0.33</v>
      </c>
    </row>
    <row r="30" spans="42:50" x14ac:dyDescent="0.25">
      <c r="AP30" s="16" t="s">
        <v>216</v>
      </c>
      <c r="AQ30" s="17">
        <v>0</v>
      </c>
      <c r="AR30" s="18">
        <v>0.45</v>
      </c>
      <c r="AS30" s="18">
        <v>0.39</v>
      </c>
      <c r="AT30" s="18">
        <v>4.18</v>
      </c>
      <c r="AU30" s="18">
        <v>0.45</v>
      </c>
      <c r="AV30" s="18">
        <v>0.45</v>
      </c>
      <c r="AW30" s="18">
        <v>0.73</v>
      </c>
      <c r="AX30" s="19">
        <v>0.33</v>
      </c>
    </row>
    <row r="31" spans="42:50" x14ac:dyDescent="0.25">
      <c r="AP31" s="16" t="s">
        <v>216</v>
      </c>
      <c r="AQ31" s="17">
        <v>0</v>
      </c>
      <c r="AR31" s="18">
        <v>0.39</v>
      </c>
      <c r="AS31" s="18">
        <v>0.33</v>
      </c>
      <c r="AT31" s="18">
        <v>4.18</v>
      </c>
      <c r="AU31" s="18">
        <v>0.39</v>
      </c>
      <c r="AV31" s="18">
        <v>0.39</v>
      </c>
      <c r="AW31" s="18">
        <v>0.73</v>
      </c>
      <c r="AX31" s="19">
        <v>0.33</v>
      </c>
    </row>
    <row r="32" spans="42:50" x14ac:dyDescent="0.25">
      <c r="AP32" s="16" t="s">
        <v>216</v>
      </c>
      <c r="AQ32" s="17">
        <v>0</v>
      </c>
      <c r="AR32" s="18">
        <v>0.39</v>
      </c>
      <c r="AS32" s="18">
        <v>0.33</v>
      </c>
      <c r="AT32" s="18">
        <v>4.8899999999999997</v>
      </c>
      <c r="AU32" s="18">
        <v>0.45</v>
      </c>
      <c r="AV32" s="18">
        <v>0.39</v>
      </c>
      <c r="AW32" s="18">
        <v>0.62</v>
      </c>
      <c r="AX32" s="19">
        <v>0.33</v>
      </c>
    </row>
    <row r="33" spans="42:50" x14ac:dyDescent="0.25">
      <c r="AP33" s="16" t="s">
        <v>216</v>
      </c>
      <c r="AQ33" s="17">
        <v>0</v>
      </c>
      <c r="AR33" s="18">
        <v>0.39</v>
      </c>
      <c r="AS33" s="18">
        <v>0.39</v>
      </c>
      <c r="AT33" s="18">
        <v>4.18</v>
      </c>
      <c r="AU33" s="18">
        <v>0.45</v>
      </c>
      <c r="AV33" s="18">
        <v>0.53</v>
      </c>
      <c r="AW33" s="18">
        <v>0.62</v>
      </c>
      <c r="AX33" s="19">
        <v>0.28000000000000003</v>
      </c>
    </row>
    <row r="34" spans="42:50" x14ac:dyDescent="0.25">
      <c r="AP34" s="16" t="s">
        <v>217</v>
      </c>
      <c r="AQ34" s="17">
        <v>0.85</v>
      </c>
      <c r="AR34" s="18">
        <v>1.89</v>
      </c>
      <c r="AS34" s="18">
        <v>0.39</v>
      </c>
      <c r="AT34" s="18">
        <v>1.89</v>
      </c>
      <c r="AU34" s="18">
        <v>0.39</v>
      </c>
      <c r="AV34" s="18">
        <v>0.24</v>
      </c>
      <c r="AW34" s="18">
        <v>1.37</v>
      </c>
      <c r="AX34" s="19">
        <v>0.33</v>
      </c>
    </row>
    <row r="35" spans="42:50" x14ac:dyDescent="0.25">
      <c r="AP35" s="16" t="s">
        <v>217</v>
      </c>
      <c r="AQ35" s="17">
        <v>0</v>
      </c>
      <c r="AR35" s="18">
        <v>0.39</v>
      </c>
      <c r="AS35" s="18">
        <v>0.39</v>
      </c>
      <c r="AT35" s="18">
        <v>4.8899999999999997</v>
      </c>
      <c r="AU35" s="18">
        <v>0.39</v>
      </c>
      <c r="AV35" s="18">
        <v>0.39</v>
      </c>
      <c r="AW35" s="18">
        <v>0.62</v>
      </c>
      <c r="AX35" s="19">
        <v>0.28000000000000003</v>
      </c>
    </row>
    <row r="36" spans="42:50" x14ac:dyDescent="0.25">
      <c r="AP36" s="16" t="s">
        <v>217</v>
      </c>
      <c r="AQ36" s="17">
        <v>0</v>
      </c>
      <c r="AR36" s="18">
        <v>1.37</v>
      </c>
      <c r="AS36" s="18">
        <v>0.39</v>
      </c>
      <c r="AT36" s="18">
        <v>4.18</v>
      </c>
      <c r="AU36" s="18">
        <v>0.45</v>
      </c>
      <c r="AV36" s="18">
        <v>0.45</v>
      </c>
      <c r="AW36" s="18">
        <v>0.62</v>
      </c>
      <c r="AX36" s="19">
        <v>0.33</v>
      </c>
    </row>
    <row r="37" spans="42:50" x14ac:dyDescent="0.25">
      <c r="AP37" s="16" t="s">
        <v>217</v>
      </c>
      <c r="AQ37" s="17">
        <v>0</v>
      </c>
      <c r="AR37" s="18">
        <v>0.39</v>
      </c>
      <c r="AS37" s="18">
        <v>0.39</v>
      </c>
      <c r="AT37" s="18">
        <v>4.18</v>
      </c>
      <c r="AU37" s="18">
        <v>2.21</v>
      </c>
      <c r="AV37" s="18">
        <v>0.39</v>
      </c>
      <c r="AW37" s="18">
        <v>0.62</v>
      </c>
      <c r="AX37" s="19">
        <v>0.24</v>
      </c>
    </row>
    <row r="38" spans="42:50" x14ac:dyDescent="0.25">
      <c r="AP38" s="16" t="s">
        <v>217</v>
      </c>
      <c r="AQ38" s="17">
        <v>0</v>
      </c>
      <c r="AR38" s="18">
        <v>0.39</v>
      </c>
      <c r="AS38" s="18">
        <v>0.39</v>
      </c>
      <c r="AT38" s="18">
        <v>4.18</v>
      </c>
      <c r="AU38" s="18">
        <v>0.39</v>
      </c>
      <c r="AV38" s="18">
        <v>0.39</v>
      </c>
      <c r="AW38" s="18">
        <v>0.73</v>
      </c>
      <c r="AX38" s="19">
        <v>0.33</v>
      </c>
    </row>
    <row r="39" spans="42:50" x14ac:dyDescent="0.25">
      <c r="AP39" s="16" t="s">
        <v>218</v>
      </c>
      <c r="AQ39" s="17">
        <v>0</v>
      </c>
      <c r="AR39" s="18">
        <v>0.39</v>
      </c>
      <c r="AS39" s="18">
        <v>0.39</v>
      </c>
      <c r="AT39" s="18">
        <v>4.8899999999999997</v>
      </c>
      <c r="AU39" s="18">
        <v>0.53</v>
      </c>
      <c r="AV39" s="18">
        <v>0.39</v>
      </c>
      <c r="AW39" s="18">
        <v>0.62</v>
      </c>
      <c r="AX39" s="19">
        <v>0.33</v>
      </c>
    </row>
    <row r="40" spans="42:50" x14ac:dyDescent="0.25">
      <c r="AP40" s="16" t="s">
        <v>218</v>
      </c>
      <c r="AQ40" s="17">
        <v>0</v>
      </c>
      <c r="AR40" s="18">
        <v>0.45</v>
      </c>
      <c r="AS40" s="18">
        <v>0.39</v>
      </c>
      <c r="AT40" s="18">
        <v>4.18</v>
      </c>
      <c r="AU40" s="18">
        <v>0.39</v>
      </c>
      <c r="AV40" s="18">
        <v>0.45</v>
      </c>
      <c r="AW40" s="18">
        <v>0.62</v>
      </c>
      <c r="AX40" s="19">
        <v>0.33</v>
      </c>
    </row>
    <row r="41" spans="42:50" x14ac:dyDescent="0.25">
      <c r="AP41" s="16" t="s">
        <v>218</v>
      </c>
      <c r="AQ41" s="17">
        <v>0</v>
      </c>
      <c r="AR41" s="18">
        <v>0.39</v>
      </c>
      <c r="AS41" s="18">
        <v>0.39</v>
      </c>
      <c r="AT41" s="18">
        <v>4.18</v>
      </c>
      <c r="AU41" s="18">
        <v>0.39</v>
      </c>
      <c r="AV41" s="18">
        <v>0.24</v>
      </c>
      <c r="AW41" s="18">
        <v>0.62</v>
      </c>
      <c r="AX41" s="19">
        <v>0.28000000000000003</v>
      </c>
    </row>
    <row r="42" spans="42:50" x14ac:dyDescent="0.25">
      <c r="AP42" s="16" t="s">
        <v>218</v>
      </c>
      <c r="AQ42" s="17">
        <v>0</v>
      </c>
      <c r="AR42" s="18">
        <v>0.39</v>
      </c>
      <c r="AS42" s="18">
        <v>1.37</v>
      </c>
      <c r="AT42" s="18">
        <v>4.18</v>
      </c>
      <c r="AU42" s="18">
        <v>0.39</v>
      </c>
      <c r="AV42" s="18">
        <v>0.39</v>
      </c>
      <c r="AW42" s="18">
        <v>0.62</v>
      </c>
      <c r="AX42" s="19">
        <v>0.24</v>
      </c>
    </row>
    <row r="43" spans="42:50" x14ac:dyDescent="0.25">
      <c r="AP43" s="16" t="s">
        <v>218</v>
      </c>
      <c r="AQ43" s="17">
        <v>0.73</v>
      </c>
      <c r="AR43" s="18">
        <v>0.39</v>
      </c>
      <c r="AS43" s="18">
        <v>0.39</v>
      </c>
      <c r="AT43" s="18">
        <v>4.18</v>
      </c>
      <c r="AU43" s="18">
        <v>0.45</v>
      </c>
      <c r="AV43" s="18">
        <v>0.45</v>
      </c>
      <c r="AW43" s="18">
        <v>0.62</v>
      </c>
      <c r="AX43" s="19">
        <v>0.28000000000000003</v>
      </c>
    </row>
    <row r="44" spans="42:50" x14ac:dyDescent="0.25">
      <c r="AP44" s="16" t="s">
        <v>219</v>
      </c>
      <c r="AQ44" s="17">
        <v>0.85</v>
      </c>
      <c r="AR44" s="18">
        <v>1.89</v>
      </c>
      <c r="AS44" s="18">
        <v>0.33</v>
      </c>
      <c r="AT44" s="18">
        <v>1.89</v>
      </c>
      <c r="AU44" s="18">
        <v>0.53</v>
      </c>
      <c r="AV44" s="18">
        <v>0.17</v>
      </c>
      <c r="AW44" s="18">
        <v>1.37</v>
      </c>
      <c r="AX44" s="19">
        <v>0.39</v>
      </c>
    </row>
    <row r="45" spans="42:50" x14ac:dyDescent="0.25">
      <c r="AP45" s="16" t="s">
        <v>219</v>
      </c>
      <c r="AQ45" s="17">
        <v>0</v>
      </c>
      <c r="AR45" s="18">
        <v>0.45</v>
      </c>
      <c r="AS45" s="18">
        <v>0.39</v>
      </c>
      <c r="AT45" s="18">
        <v>4.18</v>
      </c>
      <c r="AU45" s="18">
        <v>0.39</v>
      </c>
      <c r="AV45" s="18">
        <v>0.45</v>
      </c>
      <c r="AW45" s="18">
        <v>0.62</v>
      </c>
      <c r="AX45" s="19">
        <v>0.33</v>
      </c>
    </row>
    <row r="46" spans="42:50" x14ac:dyDescent="0.25">
      <c r="AP46" s="16" t="s">
        <v>219</v>
      </c>
      <c r="AQ46" s="17">
        <v>0.85</v>
      </c>
      <c r="AR46" s="18">
        <v>0.39</v>
      </c>
      <c r="AS46" s="18">
        <v>0.33</v>
      </c>
      <c r="AT46" s="18">
        <v>4.18</v>
      </c>
      <c r="AU46" s="18">
        <v>0.39</v>
      </c>
      <c r="AV46" s="18">
        <v>0.45</v>
      </c>
      <c r="AW46" s="18">
        <v>0.62</v>
      </c>
      <c r="AX46" s="19">
        <v>0.33</v>
      </c>
    </row>
    <row r="47" spans="42:50" x14ac:dyDescent="0.25">
      <c r="AP47" s="16" t="s">
        <v>219</v>
      </c>
      <c r="AQ47" s="17">
        <v>0</v>
      </c>
      <c r="AR47" s="18">
        <v>1.37</v>
      </c>
      <c r="AS47" s="18">
        <v>0.33</v>
      </c>
      <c r="AT47" s="18">
        <v>4.18</v>
      </c>
      <c r="AU47" s="18">
        <v>0.39</v>
      </c>
      <c r="AV47" s="18">
        <v>0.39</v>
      </c>
      <c r="AW47" s="18">
        <v>0.85</v>
      </c>
      <c r="AX47" s="19">
        <v>0.33</v>
      </c>
    </row>
    <row r="48" spans="42:50" x14ac:dyDescent="0.25">
      <c r="AP48" s="16" t="s">
        <v>219</v>
      </c>
      <c r="AQ48" s="17">
        <v>0</v>
      </c>
      <c r="AR48" s="18">
        <v>0.39</v>
      </c>
      <c r="AS48" s="18">
        <v>0.39</v>
      </c>
      <c r="AT48" s="18">
        <v>4.18</v>
      </c>
      <c r="AU48" s="18">
        <v>0.39</v>
      </c>
      <c r="AV48" s="18">
        <v>0.39</v>
      </c>
      <c r="AW48" s="18">
        <v>0.73</v>
      </c>
      <c r="AX48" s="19">
        <v>0.39</v>
      </c>
    </row>
    <row r="49" spans="42:50" x14ac:dyDescent="0.25">
      <c r="AP49" s="16" t="s">
        <v>220</v>
      </c>
      <c r="AQ49" s="17">
        <v>0</v>
      </c>
      <c r="AR49" s="18">
        <v>4.8899999999999997</v>
      </c>
      <c r="AS49" s="18">
        <v>0.39</v>
      </c>
      <c r="AT49" s="18">
        <v>4.8899999999999997</v>
      </c>
      <c r="AU49" s="18">
        <v>0.45</v>
      </c>
      <c r="AV49" s="18">
        <v>0.39</v>
      </c>
      <c r="AW49" s="18">
        <v>0.62</v>
      </c>
      <c r="AX49" s="19">
        <v>0.28000000000000003</v>
      </c>
    </row>
    <row r="50" spans="42:50" x14ac:dyDescent="0.25">
      <c r="AP50" s="16" t="s">
        <v>220</v>
      </c>
      <c r="AQ50" s="17">
        <v>0.85</v>
      </c>
      <c r="AR50" s="18">
        <v>1.89</v>
      </c>
      <c r="AS50" s="18">
        <v>1.37</v>
      </c>
      <c r="AT50" s="18">
        <v>1.89</v>
      </c>
      <c r="AU50" s="18">
        <v>2.21</v>
      </c>
      <c r="AV50" s="18">
        <v>0.24</v>
      </c>
      <c r="AW50" s="18">
        <v>2.59</v>
      </c>
      <c r="AX50" s="19">
        <v>0.33</v>
      </c>
    </row>
    <row r="51" spans="42:50" x14ac:dyDescent="0.25">
      <c r="AP51" s="16" t="s">
        <v>220</v>
      </c>
      <c r="AQ51" s="17">
        <v>0</v>
      </c>
      <c r="AR51" s="18">
        <v>0.39</v>
      </c>
      <c r="AS51" s="18">
        <v>0.39</v>
      </c>
      <c r="AT51" s="18">
        <v>0.39</v>
      </c>
      <c r="AU51" s="18">
        <v>0.39</v>
      </c>
      <c r="AV51" s="18">
        <v>0.45</v>
      </c>
      <c r="AW51" s="18">
        <v>1.17</v>
      </c>
      <c r="AX51" s="19">
        <v>0.28000000000000003</v>
      </c>
    </row>
    <row r="52" spans="42:50" x14ac:dyDescent="0.25">
      <c r="AP52" s="16" t="s">
        <v>220</v>
      </c>
      <c r="AQ52" s="17">
        <v>0</v>
      </c>
      <c r="AR52" s="18">
        <v>0.39</v>
      </c>
      <c r="AS52" s="18">
        <v>0.39</v>
      </c>
      <c r="AT52" s="18">
        <v>4.18</v>
      </c>
      <c r="AU52" s="18">
        <v>0.39</v>
      </c>
      <c r="AV52" s="18">
        <v>0.17</v>
      </c>
      <c r="AW52" s="18">
        <v>0.73</v>
      </c>
      <c r="AX52" s="19">
        <v>0.28000000000000003</v>
      </c>
    </row>
    <row r="53" spans="42:50" x14ac:dyDescent="0.25">
      <c r="AP53" s="16" t="s">
        <v>220</v>
      </c>
      <c r="AQ53" s="17">
        <v>0.85</v>
      </c>
      <c r="AR53" s="18">
        <v>1.61</v>
      </c>
      <c r="AS53" s="18">
        <v>0.39</v>
      </c>
      <c r="AT53" s="18">
        <v>0.39</v>
      </c>
      <c r="AU53" s="18">
        <v>0.45</v>
      </c>
      <c r="AV53" s="18">
        <v>0.45</v>
      </c>
      <c r="AW53" s="18">
        <v>1.17</v>
      </c>
      <c r="AX53" s="19">
        <v>0.33</v>
      </c>
    </row>
    <row r="54" spans="42:50" x14ac:dyDescent="0.25">
      <c r="AP54" s="16" t="s">
        <v>221</v>
      </c>
      <c r="AQ54" s="17">
        <v>0.85</v>
      </c>
      <c r="AR54" s="18">
        <v>0.39</v>
      </c>
      <c r="AS54" s="18">
        <v>0.39</v>
      </c>
      <c r="AT54" s="18">
        <v>4.18</v>
      </c>
      <c r="AU54" s="18">
        <v>0.39</v>
      </c>
      <c r="AV54" s="18">
        <v>0.45</v>
      </c>
      <c r="AW54" s="18">
        <v>0.62</v>
      </c>
      <c r="AX54" s="19">
        <v>0.33</v>
      </c>
    </row>
    <row r="55" spans="42:50" x14ac:dyDescent="0.25">
      <c r="AP55" s="16" t="s">
        <v>221</v>
      </c>
      <c r="AQ55" s="17">
        <v>0</v>
      </c>
      <c r="AR55" s="18">
        <v>0.39</v>
      </c>
      <c r="AS55" s="18">
        <v>0.33</v>
      </c>
      <c r="AT55" s="18">
        <v>4.18</v>
      </c>
      <c r="AU55" s="18">
        <v>0.45</v>
      </c>
      <c r="AV55" s="18">
        <v>0.45</v>
      </c>
      <c r="AW55" s="18">
        <v>0.62</v>
      </c>
      <c r="AX55" s="19">
        <v>0.33</v>
      </c>
    </row>
    <row r="56" spans="42:50" x14ac:dyDescent="0.25">
      <c r="AP56" s="16" t="s">
        <v>221</v>
      </c>
      <c r="AQ56" s="17">
        <v>0</v>
      </c>
      <c r="AR56" s="18">
        <v>0.39</v>
      </c>
      <c r="AS56" s="18">
        <v>0.39</v>
      </c>
      <c r="AT56" s="18">
        <v>4.18</v>
      </c>
      <c r="AU56" s="18">
        <v>0.45</v>
      </c>
      <c r="AV56" s="18">
        <v>0.45</v>
      </c>
      <c r="AW56" s="18">
        <v>0.62</v>
      </c>
      <c r="AX56" s="19">
        <v>0.24</v>
      </c>
    </row>
    <row r="57" spans="42:50" x14ac:dyDescent="0.25">
      <c r="AP57" s="16" t="s">
        <v>221</v>
      </c>
      <c r="AQ57" s="17">
        <v>0</v>
      </c>
      <c r="AR57" s="18">
        <v>0.39</v>
      </c>
      <c r="AS57" s="18">
        <v>0.39</v>
      </c>
      <c r="AT57" s="18">
        <v>1.89</v>
      </c>
      <c r="AU57" s="18">
        <v>0.45</v>
      </c>
      <c r="AV57" s="18">
        <v>0.39</v>
      </c>
      <c r="AW57" s="18">
        <v>0.73</v>
      </c>
      <c r="AX57" s="19">
        <v>0.33</v>
      </c>
    </row>
    <row r="58" spans="42:50" x14ac:dyDescent="0.25">
      <c r="AP58" s="16" t="s">
        <v>221</v>
      </c>
      <c r="AQ58" s="17">
        <v>0</v>
      </c>
      <c r="AR58" s="18">
        <v>0.39</v>
      </c>
      <c r="AS58" s="18">
        <v>0.39</v>
      </c>
      <c r="AT58" s="18">
        <v>4.8899999999999997</v>
      </c>
      <c r="AU58" s="18">
        <v>0.39</v>
      </c>
      <c r="AV58" s="18">
        <v>0.2</v>
      </c>
      <c r="AW58" s="18">
        <v>0.62</v>
      </c>
      <c r="AX58" s="19">
        <v>0.33</v>
      </c>
    </row>
    <row r="59" spans="42:50" x14ac:dyDescent="0.25">
      <c r="AP59" s="16" t="s">
        <v>222</v>
      </c>
      <c r="AQ59" s="17">
        <v>0</v>
      </c>
      <c r="AR59" s="18">
        <v>0.39</v>
      </c>
      <c r="AS59" s="18">
        <v>0.39</v>
      </c>
      <c r="AT59" s="18">
        <v>1.89</v>
      </c>
      <c r="AU59" s="18">
        <v>0.45</v>
      </c>
      <c r="AV59" s="18">
        <v>0.39</v>
      </c>
      <c r="AW59" s="18">
        <v>0.62</v>
      </c>
      <c r="AX59" s="19">
        <v>0.45</v>
      </c>
    </row>
    <row r="60" spans="42:50" x14ac:dyDescent="0.25">
      <c r="AP60" s="16" t="s">
        <v>222</v>
      </c>
      <c r="AQ60" s="17">
        <v>0</v>
      </c>
      <c r="AR60" s="18">
        <v>0.39</v>
      </c>
      <c r="AS60" s="18">
        <v>0.33</v>
      </c>
      <c r="AT60" s="18">
        <v>1.89</v>
      </c>
      <c r="AU60" s="18">
        <v>0.39</v>
      </c>
      <c r="AV60" s="18">
        <v>0.39</v>
      </c>
      <c r="AW60" s="18">
        <v>0.62</v>
      </c>
      <c r="AX60" s="19">
        <v>0.33</v>
      </c>
    </row>
    <row r="61" spans="42:50" x14ac:dyDescent="0.25">
      <c r="AP61" s="16" t="s">
        <v>222</v>
      </c>
      <c r="AQ61" s="17">
        <v>0.85</v>
      </c>
      <c r="AR61" s="18">
        <v>1.89</v>
      </c>
      <c r="AS61" s="18">
        <v>0.33</v>
      </c>
      <c r="AT61" s="18">
        <v>1.89</v>
      </c>
      <c r="AU61" s="18">
        <v>0.53</v>
      </c>
      <c r="AV61" s="18">
        <v>0.2</v>
      </c>
      <c r="AW61" s="18">
        <v>1.17</v>
      </c>
      <c r="AX61" s="19">
        <v>0.33</v>
      </c>
    </row>
    <row r="62" spans="42:50" x14ac:dyDescent="0.25">
      <c r="AP62" s="16" t="s">
        <v>222</v>
      </c>
      <c r="AQ62" s="17">
        <v>0</v>
      </c>
      <c r="AR62" s="18">
        <v>1.61</v>
      </c>
      <c r="AS62" s="18">
        <v>0.39</v>
      </c>
      <c r="AT62" s="18">
        <v>4.18</v>
      </c>
      <c r="AU62" s="18">
        <v>0.39</v>
      </c>
      <c r="AV62" s="18">
        <v>0.39</v>
      </c>
      <c r="AW62" s="18">
        <v>0.62</v>
      </c>
      <c r="AX62" s="19">
        <v>0.33</v>
      </c>
    </row>
    <row r="63" spans="42:50" ht="15.75" thickBot="1" x14ac:dyDescent="0.3">
      <c r="AP63" s="16" t="s">
        <v>222</v>
      </c>
      <c r="AQ63" s="17">
        <v>0</v>
      </c>
      <c r="AR63" s="18">
        <v>0.39</v>
      </c>
      <c r="AS63" s="18">
        <v>0.39</v>
      </c>
      <c r="AT63" s="18">
        <v>4.18</v>
      </c>
      <c r="AU63" s="18">
        <v>0.45</v>
      </c>
      <c r="AV63" s="18">
        <v>0.24</v>
      </c>
      <c r="AW63" s="18">
        <v>0.62</v>
      </c>
      <c r="AX63" s="19">
        <v>0.33</v>
      </c>
    </row>
    <row r="64" spans="42:50" x14ac:dyDescent="0.25">
      <c r="AP64" s="10" t="s">
        <v>223</v>
      </c>
      <c r="AQ64" s="11">
        <v>1.0559999999999901</v>
      </c>
      <c r="AR64" s="12">
        <v>0.88900000000000001</v>
      </c>
      <c r="AS64" s="12">
        <v>0.40766666666666601</v>
      </c>
      <c r="AT64" s="12">
        <v>3.71383333333333</v>
      </c>
      <c r="AU64" s="12">
        <v>0.53366666666666596</v>
      </c>
      <c r="AV64" s="12">
        <v>0.38466666666666599</v>
      </c>
      <c r="AW64" s="12">
        <v>0.82499999999999896</v>
      </c>
      <c r="AX64" s="13">
        <v>0.34416666666666601</v>
      </c>
    </row>
    <row r="65" spans="42:50" x14ac:dyDescent="0.25">
      <c r="AP65" s="16" t="s">
        <v>224</v>
      </c>
      <c r="AQ65" s="17">
        <v>0.83590908596569202</v>
      </c>
      <c r="AR65" s="18">
        <v>0.94109457548112496</v>
      </c>
      <c r="AS65" s="18">
        <v>0.18055808545236099</v>
      </c>
      <c r="AT65" s="18">
        <v>1.24927858071057</v>
      </c>
      <c r="AU65" s="18">
        <v>0.430340821003797</v>
      </c>
      <c r="AV65" s="18">
        <v>8.6399588476386194E-2</v>
      </c>
      <c r="AW65" s="18">
        <v>0.40897228919980999</v>
      </c>
      <c r="AX65" s="19">
        <v>0.24628094842182899</v>
      </c>
    </row>
    <row r="66" spans="42:50" x14ac:dyDescent="0.25">
      <c r="AP66" s="16" t="s">
        <v>225</v>
      </c>
      <c r="AQ66" s="17">
        <v>1.89190908596569</v>
      </c>
      <c r="AR66" s="18">
        <v>1.83009457548112</v>
      </c>
      <c r="AS66" s="18">
        <v>0.58822475211902803</v>
      </c>
      <c r="AT66" s="18">
        <v>4.9631119140438997</v>
      </c>
      <c r="AU66" s="18">
        <v>0.96400748767046396</v>
      </c>
      <c r="AV66" s="18">
        <v>0.471066255143052</v>
      </c>
      <c r="AW66" s="18">
        <v>1.2339722891998099</v>
      </c>
      <c r="AX66" s="19">
        <v>0.59044761508849497</v>
      </c>
    </row>
    <row r="67" spans="42:50" x14ac:dyDescent="0.25">
      <c r="AP67" s="16" t="s">
        <v>226</v>
      </c>
      <c r="AQ67" s="17">
        <v>0.220090914034307</v>
      </c>
      <c r="AR67" s="18">
        <v>-5.2094575481125102E-2</v>
      </c>
      <c r="AS67" s="18">
        <v>0.22710858121430499</v>
      </c>
      <c r="AT67" s="18">
        <v>2.4645547526227598</v>
      </c>
      <c r="AU67" s="18">
        <v>0.103325845662869</v>
      </c>
      <c r="AV67" s="18">
        <v>0.29826707819027998</v>
      </c>
      <c r="AW67" s="18">
        <v>0.41602771080018902</v>
      </c>
      <c r="AX67" s="19">
        <v>9.78857182448373E-2</v>
      </c>
    </row>
    <row r="68" spans="42:50" ht="15.75" thickBot="1" x14ac:dyDescent="0.3">
      <c r="AP68" s="23" t="s">
        <v>227</v>
      </c>
      <c r="AQ68" s="24">
        <v>0.83285714285714196</v>
      </c>
      <c r="AR68" s="25">
        <v>0.59470588235294097</v>
      </c>
      <c r="AS68" s="25">
        <v>0.37448275862068903</v>
      </c>
      <c r="AT68" s="25">
        <v>4.4008888888888897</v>
      </c>
      <c r="AU68" s="25">
        <v>0.41964285714285698</v>
      </c>
      <c r="AV68" s="25">
        <v>0.41499999999999998</v>
      </c>
      <c r="AW68" s="25">
        <v>0.69423076923076898</v>
      </c>
      <c r="AX68" s="26">
        <v>0.312542372881355</v>
      </c>
    </row>
    <row r="69" spans="42:50" ht="15.75" thickBot="1" x14ac:dyDescent="0.3">
      <c r="AQ69" s="27"/>
      <c r="AR69" s="27"/>
      <c r="AS69" s="27"/>
      <c r="AT69" s="27"/>
      <c r="AU69" s="27"/>
      <c r="AV69" s="27"/>
      <c r="AW69" s="27"/>
      <c r="AX69" s="27"/>
    </row>
    <row r="70" spans="42:50" ht="30" x14ac:dyDescent="0.25">
      <c r="AP70" s="28" t="s">
        <v>228</v>
      </c>
      <c r="AQ70" s="29">
        <v>5.33</v>
      </c>
      <c r="AR70" s="29">
        <v>3.38</v>
      </c>
      <c r="AS70" s="29">
        <v>2.97</v>
      </c>
      <c r="AT70" s="29">
        <v>2.06</v>
      </c>
      <c r="AU70" s="29">
        <v>1.91</v>
      </c>
      <c r="AV70" s="29">
        <v>3.95</v>
      </c>
      <c r="AW70" s="29">
        <v>2.75</v>
      </c>
      <c r="AX70" s="30">
        <v>1.78</v>
      </c>
    </row>
    <row r="71" spans="42:50" x14ac:dyDescent="0.25">
      <c r="AP71" s="31" t="s">
        <v>229</v>
      </c>
      <c r="AQ71" s="32">
        <f t="shared" ref="AQ71:AX71" si="0">AQ70-AQ68</f>
        <v>4.4971428571428582</v>
      </c>
      <c r="AR71" s="32">
        <f t="shared" si="0"/>
        <v>2.7852941176470587</v>
      </c>
      <c r="AS71" s="32">
        <f t="shared" si="0"/>
        <v>2.5955172413793113</v>
      </c>
      <c r="AT71" s="32">
        <f t="shared" si="0"/>
        <v>-2.3408888888888897</v>
      </c>
      <c r="AU71" s="32">
        <f t="shared" si="0"/>
        <v>1.4903571428571429</v>
      </c>
      <c r="AV71" s="32">
        <f t="shared" si="0"/>
        <v>3.5350000000000001</v>
      </c>
      <c r="AW71" s="32">
        <f t="shared" si="0"/>
        <v>2.055769230769231</v>
      </c>
      <c r="AX71" s="33">
        <f t="shared" si="0"/>
        <v>1.467457627118645</v>
      </c>
    </row>
    <row r="72" spans="42:50" ht="15.75" thickBot="1" x14ac:dyDescent="0.3">
      <c r="AP72" s="34" t="s">
        <v>230</v>
      </c>
      <c r="AQ72" s="35">
        <f t="shared" ref="AQ72:AX72" si="1">(AQ71/AQ68)*100</f>
        <v>539.9656946826766</v>
      </c>
      <c r="AR72" s="35">
        <f t="shared" si="1"/>
        <v>468.34817012858576</v>
      </c>
      <c r="AS72" s="35">
        <f t="shared" si="1"/>
        <v>693.09392265193515</v>
      </c>
      <c r="AT72" s="35">
        <f t="shared" si="1"/>
        <v>-53.19127449000203</v>
      </c>
      <c r="AU72" s="35">
        <f t="shared" si="1"/>
        <v>355.14893617021295</v>
      </c>
      <c r="AV72" s="35">
        <f t="shared" si="1"/>
        <v>851.80722891566279</v>
      </c>
      <c r="AW72" s="35">
        <f t="shared" si="1"/>
        <v>296.12188365650979</v>
      </c>
      <c r="AX72" s="36">
        <f t="shared" si="1"/>
        <v>469.52277657266978</v>
      </c>
    </row>
    <row r="73" spans="42:50" ht="15.75" thickBot="1" x14ac:dyDescent="0.3">
      <c r="AP73" s="37"/>
      <c r="AQ73" s="32"/>
      <c r="AR73" s="32"/>
      <c r="AS73" s="32"/>
      <c r="AT73" s="32"/>
      <c r="AU73" s="32"/>
      <c r="AV73" s="32"/>
      <c r="AW73" s="32"/>
      <c r="AX73" s="32"/>
    </row>
    <row r="74" spans="42:50" ht="30" x14ac:dyDescent="0.25">
      <c r="AP74" s="28" t="s">
        <v>231</v>
      </c>
      <c r="AQ74" s="29">
        <v>5.21</v>
      </c>
      <c r="AR74" s="29">
        <v>3.2</v>
      </c>
      <c r="AS74" s="29">
        <v>2.89</v>
      </c>
      <c r="AT74" s="29">
        <v>1.87</v>
      </c>
      <c r="AU74" s="29">
        <v>1.75</v>
      </c>
      <c r="AV74" s="29">
        <v>3.89</v>
      </c>
      <c r="AW74" s="29">
        <v>2.65</v>
      </c>
      <c r="AX74" s="30">
        <v>1.68</v>
      </c>
    </row>
    <row r="75" spans="42:50" x14ac:dyDescent="0.25">
      <c r="AP75" s="31" t="s">
        <v>229</v>
      </c>
      <c r="AQ75" s="32">
        <f t="shared" ref="AQ75:AX75" si="2">AQ74-AQ68</f>
        <v>4.3771428571428581</v>
      </c>
      <c r="AR75" s="32">
        <f t="shared" si="2"/>
        <v>2.605294117647059</v>
      </c>
      <c r="AS75" s="32">
        <f t="shared" si="2"/>
        <v>2.5155172413793112</v>
      </c>
      <c r="AT75" s="32">
        <f t="shared" si="2"/>
        <v>-2.5308888888888896</v>
      </c>
      <c r="AU75" s="32">
        <f t="shared" si="2"/>
        <v>1.330357142857143</v>
      </c>
      <c r="AV75" s="32">
        <f t="shared" si="2"/>
        <v>3.4750000000000001</v>
      </c>
      <c r="AW75" s="32">
        <f t="shared" si="2"/>
        <v>1.9557692307692309</v>
      </c>
      <c r="AX75" s="33">
        <f t="shared" si="2"/>
        <v>1.3674576271186449</v>
      </c>
    </row>
    <row r="76" spans="42:50" ht="15.75" thickBot="1" x14ac:dyDescent="0.3">
      <c r="AP76" s="34" t="s">
        <v>230</v>
      </c>
      <c r="AQ76" s="35">
        <f>(AQ75/AQ68)*100</f>
        <v>525.55746140651877</v>
      </c>
      <c r="AR76" s="35">
        <f t="shared" ref="AR76:AX76" si="3">(AR75/AR68)*100</f>
        <v>438.08110781404565</v>
      </c>
      <c r="AS76" s="35">
        <f t="shared" si="3"/>
        <v>671.73112338858334</v>
      </c>
      <c r="AT76" s="35">
        <f t="shared" si="3"/>
        <v>-57.508584124419315</v>
      </c>
      <c r="AU76" s="35">
        <f t="shared" si="3"/>
        <v>317.02127659574484</v>
      </c>
      <c r="AV76" s="35">
        <f t="shared" si="3"/>
        <v>837.3493975903616</v>
      </c>
      <c r="AW76" s="35">
        <f t="shared" si="3"/>
        <v>281.71745152354583</v>
      </c>
      <c r="AX76" s="36">
        <f t="shared" si="3"/>
        <v>437.5271149674636</v>
      </c>
    </row>
    <row r="77" spans="42:50" ht="15.75" thickBot="1" x14ac:dyDescent="0.3">
      <c r="AQ77" s="27"/>
      <c r="AR77" s="27"/>
      <c r="AS77" s="27"/>
      <c r="AT77" s="27"/>
      <c r="AU77" s="27"/>
      <c r="AV77" s="27"/>
      <c r="AW77" s="27"/>
      <c r="AX77" s="27"/>
    </row>
    <row r="78" spans="42:50" ht="30" x14ac:dyDescent="0.25">
      <c r="AP78" s="28" t="s">
        <v>232</v>
      </c>
      <c r="AQ78" s="41">
        <v>5.14</v>
      </c>
      <c r="AR78" s="29">
        <v>3.27</v>
      </c>
      <c r="AS78" s="29">
        <v>2.9</v>
      </c>
      <c r="AT78" s="29">
        <v>1.94</v>
      </c>
      <c r="AU78" s="29">
        <v>1.81</v>
      </c>
      <c r="AV78" s="29">
        <v>3.93</v>
      </c>
      <c r="AW78" s="29">
        <v>2.65</v>
      </c>
      <c r="AX78" s="30">
        <v>1.66</v>
      </c>
    </row>
    <row r="79" spans="42:50" x14ac:dyDescent="0.25">
      <c r="AP79" s="31" t="s">
        <v>229</v>
      </c>
      <c r="AQ79" s="42">
        <f>AQ78-AQ68</f>
        <v>4.3071428571428578</v>
      </c>
      <c r="AR79" s="32">
        <f t="shared" ref="AR79:AX79" si="4">AR78-AR68</f>
        <v>2.6752941176470593</v>
      </c>
      <c r="AS79" s="32">
        <f t="shared" si="4"/>
        <v>2.525517241379311</v>
      </c>
      <c r="AT79" s="32">
        <f t="shared" si="4"/>
        <v>-2.4608888888888898</v>
      </c>
      <c r="AU79" s="32">
        <f t="shared" si="4"/>
        <v>1.3903571428571431</v>
      </c>
      <c r="AV79" s="32">
        <f t="shared" si="4"/>
        <v>3.5150000000000001</v>
      </c>
      <c r="AW79" s="32">
        <f t="shared" si="4"/>
        <v>1.9557692307692309</v>
      </c>
      <c r="AX79" s="33">
        <f t="shared" si="4"/>
        <v>1.3474576271186449</v>
      </c>
    </row>
    <row r="80" spans="42:50" ht="15.75" thickBot="1" x14ac:dyDescent="0.3">
      <c r="AP80" s="34" t="s">
        <v>230</v>
      </c>
      <c r="AQ80" s="43">
        <f>(AQ79/AQ68)*100</f>
        <v>517.15265866209324</v>
      </c>
      <c r="AR80" s="35">
        <f t="shared" ref="AR80:AX80" si="5">(AR79/AR68)*100</f>
        <v>449.85163204747795</v>
      </c>
      <c r="AS80" s="35">
        <f>(AS79/AS68)*100</f>
        <v>674.40147329650222</v>
      </c>
      <c r="AT80" s="35">
        <f t="shared" si="5"/>
        <v>-55.91799636437085</v>
      </c>
      <c r="AU80" s="35">
        <f t="shared" si="5"/>
        <v>331.31914893617039</v>
      </c>
      <c r="AV80" s="35">
        <f>(AV79/AV68)*100</f>
        <v>846.98795180722891</v>
      </c>
      <c r="AW80" s="35">
        <f t="shared" si="5"/>
        <v>281.71745152354583</v>
      </c>
      <c r="AX80" s="36">
        <f t="shared" si="5"/>
        <v>431.12798264642242</v>
      </c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 1, MQTT</vt:lpstr>
      <vt:lpstr>vol 1, Matter</vt:lpstr>
      <vt:lpstr>vol 2, MQTT</vt:lpstr>
      <vt:lpstr>vol 2, Matter</vt:lpstr>
      <vt:lpstr>vol 3, MQTT</vt:lpstr>
      <vt:lpstr>vol 3, Matter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Pokuciński</cp:lastModifiedBy>
  <cp:revision/>
  <dcterms:created xsi:type="dcterms:W3CDTF">2024-07-24T06:07:41Z</dcterms:created>
  <dcterms:modified xsi:type="dcterms:W3CDTF">2024-08-11T16:56:02Z</dcterms:modified>
  <cp:category/>
  <cp:contentStatus/>
</cp:coreProperties>
</file>