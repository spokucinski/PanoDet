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66" documentId="11_9D5355BF84DCCE53631DEA188F31F45B3A7E0439" xr6:coauthVersionLast="47" xr6:coauthVersionMax="47" xr10:uidLastSave="{633D26DA-79A1-4314-8A09-B77670C451A1}"/>
  <bookViews>
    <workbookView xWindow="25695" yWindow="0" windowWidth="26010" windowHeight="20985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9" i="7" l="1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9" i="6"/>
  <c r="AX80" i="6" s="1"/>
  <c r="AW79" i="6"/>
  <c r="AW80" i="6" s="1"/>
  <c r="AV79" i="6"/>
  <c r="AV80" i="6" s="1"/>
  <c r="AU79" i="6"/>
  <c r="AU80" i="6" s="1"/>
  <c r="AT79" i="6"/>
  <c r="AT80" i="6" s="1"/>
  <c r="AS79" i="6"/>
  <c r="AS80" i="6" s="1"/>
  <c r="AR79" i="6"/>
  <c r="AR80" i="6" s="1"/>
  <c r="AQ79" i="6"/>
  <c r="AQ80" i="6" s="1"/>
  <c r="AX59" i="5"/>
  <c r="AX60" i="5" s="1"/>
  <c r="AW59" i="5"/>
  <c r="AW60" i="5" s="1"/>
  <c r="AV59" i="5"/>
  <c r="AV60" i="5" s="1"/>
  <c r="AU59" i="5"/>
  <c r="AU60" i="5" s="1"/>
  <c r="AT59" i="5"/>
  <c r="AT60" i="5" s="1"/>
  <c r="AS59" i="5"/>
  <c r="AS60" i="5" s="1"/>
  <c r="AR59" i="5"/>
  <c r="AR60" i="5" s="1"/>
  <c r="AQ59" i="5"/>
  <c r="AQ60" i="5" s="1"/>
  <c r="AX78" i="4"/>
  <c r="AX79" i="4" s="1"/>
  <c r="AW78" i="4"/>
  <c r="AW79" i="4" s="1"/>
  <c r="AV78" i="4"/>
  <c r="AV79" i="4" s="1"/>
  <c r="AU78" i="4"/>
  <c r="AU79" i="4" s="1"/>
  <c r="AT78" i="4"/>
  <c r="AT79" i="4" s="1"/>
  <c r="AS78" i="4"/>
  <c r="AS79" i="4" s="1"/>
  <c r="AR78" i="4"/>
  <c r="AR79" i="4" s="1"/>
  <c r="AQ78" i="4"/>
  <c r="AQ79" i="4" s="1"/>
  <c r="AX79" i="3"/>
  <c r="AX80" i="3" s="1"/>
  <c r="AW79" i="3"/>
  <c r="AW80" i="3" s="1"/>
  <c r="AV79" i="3"/>
  <c r="AV80" i="3" s="1"/>
  <c r="AU79" i="3"/>
  <c r="AU80" i="3" s="1"/>
  <c r="AT79" i="3"/>
  <c r="AT80" i="3" s="1"/>
  <c r="AS79" i="3"/>
  <c r="AS80" i="3" s="1"/>
  <c r="AR79" i="3"/>
  <c r="AR80" i="3" s="1"/>
  <c r="AQ79" i="3"/>
  <c r="AQ80" i="3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5" i="6"/>
  <c r="AX76" i="6" s="1"/>
  <c r="AW75" i="6"/>
  <c r="AW76" i="6" s="1"/>
  <c r="AV75" i="6"/>
  <c r="AV76" i="6" s="1"/>
  <c r="AU75" i="6"/>
  <c r="AU76" i="6" s="1"/>
  <c r="AT75" i="6"/>
  <c r="AT76" i="6" s="1"/>
  <c r="AS75" i="6"/>
  <c r="AS76" i="6" s="1"/>
  <c r="AR75" i="6"/>
  <c r="AR76" i="6" s="1"/>
  <c r="AQ75" i="6"/>
  <c r="AQ76" i="6" s="1"/>
  <c r="AX72" i="6"/>
  <c r="AW72" i="6"/>
  <c r="AV72" i="6"/>
  <c r="AU72" i="6"/>
  <c r="AT72" i="6"/>
  <c r="AS72" i="6"/>
  <c r="AR72" i="6"/>
  <c r="AQ72" i="6"/>
  <c r="AX71" i="6"/>
  <c r="AW71" i="6"/>
  <c r="AV71" i="6"/>
  <c r="AU71" i="6"/>
  <c r="AT71" i="6"/>
  <c r="AS71" i="6"/>
  <c r="AR71" i="6"/>
  <c r="AQ71" i="6"/>
  <c r="AX55" i="5"/>
  <c r="AX56" i="5" s="1"/>
  <c r="AW55" i="5"/>
  <c r="AW56" i="5" s="1"/>
  <c r="AV55" i="5"/>
  <c r="AV56" i="5" s="1"/>
  <c r="AU55" i="5"/>
  <c r="AU56" i="5" s="1"/>
  <c r="AT55" i="5"/>
  <c r="AT56" i="5" s="1"/>
  <c r="AS55" i="5"/>
  <c r="AS56" i="5" s="1"/>
  <c r="AR55" i="5"/>
  <c r="AR56" i="5" s="1"/>
  <c r="AQ55" i="5"/>
  <c r="AQ56" i="5" s="1"/>
  <c r="AX52" i="5"/>
  <c r="AW52" i="5"/>
  <c r="AV52" i="5"/>
  <c r="AU52" i="5"/>
  <c r="AT52" i="5"/>
  <c r="AS52" i="5"/>
  <c r="AR52" i="5"/>
  <c r="AQ52" i="5"/>
  <c r="AX51" i="5"/>
  <c r="AW51" i="5"/>
  <c r="AV51" i="5"/>
  <c r="AU51" i="5"/>
  <c r="AT51" i="5"/>
  <c r="AS51" i="5"/>
  <c r="AR51" i="5"/>
  <c r="AQ51" i="5"/>
  <c r="AX74" i="4"/>
  <c r="AX75" i="4" s="1"/>
  <c r="AW74" i="4"/>
  <c r="AW75" i="4" s="1"/>
  <c r="AV74" i="4"/>
  <c r="AV75" i="4" s="1"/>
  <c r="AU74" i="4"/>
  <c r="AU75" i="4" s="1"/>
  <c r="AT74" i="4"/>
  <c r="AT75" i="4" s="1"/>
  <c r="AS74" i="4"/>
  <c r="AS75" i="4" s="1"/>
  <c r="AR74" i="4"/>
  <c r="AR75" i="4" s="1"/>
  <c r="AQ74" i="4"/>
  <c r="AQ75" i="4" s="1"/>
  <c r="AX71" i="4"/>
  <c r="AW71" i="4"/>
  <c r="AV71" i="4"/>
  <c r="AU71" i="4"/>
  <c r="AT71" i="4"/>
  <c r="AS71" i="4"/>
  <c r="AR71" i="4"/>
  <c r="AQ71" i="4"/>
  <c r="AX70" i="4"/>
  <c r="AW70" i="4"/>
  <c r="AV70" i="4"/>
  <c r="AU70" i="4"/>
  <c r="AT70" i="4"/>
  <c r="AS70" i="4"/>
  <c r="AR70" i="4"/>
  <c r="AQ70" i="4"/>
  <c r="AX75" i="3"/>
  <c r="AX76" i="3" s="1"/>
  <c r="AW75" i="3"/>
  <c r="AW76" i="3" s="1"/>
  <c r="AV75" i="3"/>
  <c r="AV76" i="3" s="1"/>
  <c r="AU75" i="3"/>
  <c r="AU76" i="3" s="1"/>
  <c r="AT75" i="3"/>
  <c r="AT76" i="3" s="1"/>
  <c r="AS75" i="3"/>
  <c r="AS76" i="3" s="1"/>
  <c r="AR75" i="3"/>
  <c r="AR76" i="3" s="1"/>
  <c r="AQ75" i="3"/>
  <c r="AQ76" i="3" s="1"/>
  <c r="AX72" i="3"/>
  <c r="AW72" i="3"/>
  <c r="AV72" i="3"/>
  <c r="AU72" i="3"/>
  <c r="AT72" i="3"/>
  <c r="AS72" i="3"/>
  <c r="AR72" i="3"/>
  <c r="AQ72" i="3"/>
  <c r="AX71" i="3"/>
  <c r="AW71" i="3"/>
  <c r="AV71" i="3"/>
  <c r="AU71" i="3"/>
  <c r="AT71" i="3"/>
  <c r="AS71" i="3"/>
  <c r="AR71" i="3"/>
  <c r="AQ71" i="3"/>
  <c r="AQ70" i="2"/>
  <c r="AR70" i="2"/>
  <c r="AS70" i="2"/>
  <c r="AT70" i="2"/>
  <c r="AU70" i="2"/>
  <c r="AV70" i="2"/>
  <c r="AW70" i="2"/>
  <c r="AX70" i="2"/>
  <c r="AQ71" i="2"/>
  <c r="AR71" i="2"/>
  <c r="AS71" i="2"/>
  <c r="AT71" i="2"/>
  <c r="AU71" i="2"/>
  <c r="AV71" i="2"/>
  <c r="AW71" i="2"/>
  <c r="AX71" i="2"/>
  <c r="AQ74" i="2"/>
  <c r="AQ75" i="2" s="1"/>
  <c r="AR74" i="2"/>
  <c r="AR75" i="2" s="1"/>
  <c r="AS74" i="2"/>
  <c r="AS75" i="2" s="1"/>
  <c r="AT74" i="2"/>
  <c r="AT75" i="2" s="1"/>
  <c r="AU74" i="2"/>
  <c r="AU75" i="2" s="1"/>
  <c r="AV74" i="2"/>
  <c r="AV75" i="2" s="1"/>
  <c r="AW74" i="2"/>
  <c r="AW75" i="2" s="1"/>
  <c r="AX74" i="2"/>
  <c r="AX75" i="2" s="1"/>
</calcChain>
</file>

<file path=xl/sharedStrings.xml><?xml version="1.0" encoding="utf-8"?>
<sst xmlns="http://schemas.openxmlformats.org/spreadsheetml/2006/main" count="902" uniqueCount="237">
  <si>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</si>
  <si>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</si>
  <si>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</si>
  <si>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</si>
  <si>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</si>
  <si>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</si>
  <si>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</si>
  <si>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</si>
  <si>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</si>
  <si>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</si>
  <si>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</si>
  <si>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</si>
  <si>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</si>
  <si>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</si>
  <si>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</si>
  <si>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</si>
  <si>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</si>
  <si>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2024-07-20T12:13:01.920603</t>
  </si>
  <si>
    <t>2024-07-20T12:13:02.935797</t>
  </si>
  <si>
    <t>2024-07-20T12:13:03.950373</t>
  </si>
  <si>
    <t>2024-07-20T12:13:04.968999</t>
  </si>
  <si>
    <t>2024-07-20T12:13:05.991553</t>
  </si>
  <si>
    <t>2024-07-20T12:13:07.004928</t>
  </si>
  <si>
    <t>2024-07-20T12:13:08.034510</t>
  </si>
  <si>
    <t>2024-07-20T12:13:09.065263</t>
  </si>
  <si>
    <t>2024-07-20T12:13:10.075021</t>
  </si>
  <si>
    <t>2024-07-20T12:13:11.043841</t>
  </si>
  <si>
    <t>2024-07-20T12:13:12.057990</t>
  </si>
  <si>
    <t>2024-07-20T12:13:13.070181</t>
  </si>
  <si>
    <t>2024-07-20T12:13:14.082733</t>
  </si>
  <si>
    <t>2024-07-20T12:13:15.095160</t>
  </si>
  <si>
    <t>2024-07-20T12:13:16.122808</t>
  </si>
  <si>
    <t>2024-07-20T12:13:17.139207</t>
  </si>
  <si>
    <t>2024-07-20T12:13:18.168340</t>
  </si>
  <si>
    <t>2024-07-20T12:13:19.188392</t>
  </si>
  <si>
    <t>2024-07-20T12:13:20.216367</t>
  </si>
  <si>
    <t>2024-07-20T12:13:21.170803</t>
  </si>
  <si>
    <t>2024-07-20T12:13:22.187291</t>
  </si>
  <si>
    <t>2024-07-20T12:13:23.195450</t>
  </si>
  <si>
    <t>2024-07-20T12:13:24.213684</t>
  </si>
  <si>
    <t>2024-07-20T12:13:25.230238</t>
  </si>
  <si>
    <t>2024-07-20T12:13:26.248039</t>
  </si>
  <si>
    <t>2024-07-20T12:13:27.275761</t>
  </si>
  <si>
    <t>2024-07-20T12:13:28.301069</t>
  </si>
  <si>
    <t>2024-07-20T12:13:29.330684</t>
  </si>
  <si>
    <t>2024-07-20T12:13:30.340140</t>
  </si>
  <si>
    <t>2024-07-20T12:13:31.302878</t>
  </si>
  <si>
    <t>2024-07-20T12:13:32.317604</t>
  </si>
  <si>
    <t>2024-07-20T12:13:33.332387</t>
  </si>
  <si>
    <t>2024-07-20T12:13:34.345128</t>
  </si>
  <si>
    <t>2024-07-20T12:13:35.358429</t>
  </si>
  <si>
    <t>2024-07-20T12:13:36.383253</t>
  </si>
  <si>
    <t>2024-07-20T12:13:37.405525</t>
  </si>
  <si>
    <t>2024-07-20T12:13:38.431299</t>
  </si>
  <si>
    <t>2024-07-20T12:13:39.452531</t>
  </si>
  <si>
    <t>2024-07-20T12:13:40.424972</t>
  </si>
  <si>
    <t>2024-07-20T12:13:41.433127</t>
  </si>
  <si>
    <t>2024-07-20T12:13:42.448865</t>
  </si>
  <si>
    <t>2024-07-20T12:13:43.461934</t>
  </si>
  <si>
    <t>2024-07-20T12:13:44.474521</t>
  </si>
  <si>
    <t>2024-07-20T12:13:45.496018</t>
  </si>
  <si>
    <t>2024-07-20T12:13:46.518724</t>
  </si>
  <si>
    <t>2024-07-20T12:13:47.544198</t>
  </si>
  <si>
    <t>2024-07-20T12:13:48.562028</t>
  </si>
  <si>
    <t>2024-07-20T12:13:49.578454</t>
  </si>
  <si>
    <t>2024-07-20T12:13:50.604828</t>
  </si>
  <si>
    <t>2024-07-20T12:13:51.564797</t>
  </si>
  <si>
    <t>2024-07-20T12:13:52.581002</t>
  </si>
  <si>
    <t>2024-07-20T12:13:53.594064</t>
  </si>
  <si>
    <t>2024-07-20T12:13:54.606979</t>
  </si>
  <si>
    <t>2024-07-20T12:13:55.624361</t>
  </si>
  <si>
    <t>2024-07-20T12:13:56.646521</t>
  </si>
  <si>
    <t>2024-07-20T12:13:57.674476</t>
  </si>
  <si>
    <t>2024-07-20T12:13:58.692615</t>
  </si>
  <si>
    <t>2024-07-20T12:13:59.713042</t>
  </si>
  <si>
    <t>2024-07-20T12:14:00.686846</t>
  </si>
  <si>
    <t>2024-07-20T12:14:23.986341</t>
  </si>
  <si>
    <t>2024-07-20T12:14:25.003312</t>
  </si>
  <si>
    <t>2024-07-20T12:14:26.015093</t>
  </si>
  <si>
    <t>2024-07-20T12:14:27.035360</t>
  </si>
  <si>
    <t>2024-07-20T12:14:28.059420</t>
  </si>
  <si>
    <t>2024-07-20T12:14:29.085878</t>
  </si>
  <si>
    <t>2024-07-20T12:14:30.108334</t>
  </si>
  <si>
    <t>2024-07-20T12:14:31.128804</t>
  </si>
  <si>
    <t>2024-07-20T12:14:32.089999</t>
  </si>
  <si>
    <t>2024-07-20T12:14:33.105633</t>
  </si>
  <si>
    <t>2024-07-20T12:14:34.113976</t>
  </si>
  <si>
    <t>2024-07-20T12:14:35.129439</t>
  </si>
  <si>
    <t>2024-07-20T12:14:36.144680</t>
  </si>
  <si>
    <t>2024-07-20T12:14:37.165912</t>
  </si>
  <si>
    <t>2024-07-20T12:14:38.189895</t>
  </si>
  <si>
    <t>2024-07-20T12:14:39.216721</t>
  </si>
  <si>
    <t>2024-07-20T12:14:40.237014</t>
  </si>
  <si>
    <t>2024-07-20T12:14:41.259853</t>
  </si>
  <si>
    <t>2024-07-20T12:14:42.226149</t>
  </si>
  <si>
    <t>2024-07-20T12:14:43.236719</t>
  </si>
  <si>
    <t>2024-07-20T12:14:44.247842</t>
  </si>
  <si>
    <t>2024-07-20T12:14:45.263717</t>
  </si>
  <si>
    <t>2024-07-20T12:14:46.277087</t>
  </si>
  <si>
    <t>2024-07-20T12:14:47.300593</t>
  </si>
  <si>
    <t>2024-07-20T12:14:48.324894</t>
  </si>
  <si>
    <t>2024-07-20T12:14:49.351586</t>
  </si>
  <si>
    <t>2024-07-20T12:14:50.371332</t>
  </si>
  <si>
    <t>2024-07-20T12:14:51.390581</t>
  </si>
  <si>
    <t>2024-07-20T12:14:52.354732</t>
  </si>
  <si>
    <t>2024-07-20T12:14:53.367794</t>
  </si>
  <si>
    <t>2024-07-20T12:14:54.382919</t>
  </si>
  <si>
    <t>2024-07-20T12:14:55.394739</t>
  </si>
  <si>
    <t>2024-07-20T12:14:56.410339</t>
  </si>
  <si>
    <t>2024-07-20T12:14:57.425289</t>
  </si>
  <si>
    <t>2024-07-20T12:14:58.458619</t>
  </si>
  <si>
    <t>2024-07-20T12:14:59.479711</t>
  </si>
  <si>
    <t>2024-07-20T12:15:00.502648</t>
  </si>
  <si>
    <t>2024-07-20T12:15:01.519506</t>
  </si>
  <si>
    <t>2024-07-20T12:15:02.490792</t>
  </si>
  <si>
    <t>2024-07-20T12:15:03.504434</t>
  </si>
  <si>
    <t>2024-07-20T12:15:04.513641</t>
  </si>
  <si>
    <t>2024-07-20T12:15:05.529181</t>
  </si>
  <si>
    <t>2024-07-20T12:15:06.545010</t>
  </si>
  <si>
    <t>2024-07-20T12:15:07.559783</t>
  </si>
  <si>
    <t>2024-07-20T12:15:08.594637</t>
  </si>
  <si>
    <t>2024-07-20T12:15:09.606544</t>
  </si>
  <si>
    <t>2024-07-20T12:15:10.629524</t>
  </si>
  <si>
    <t>2024-07-20T12:15:11.650063</t>
  </si>
  <si>
    <t>2024-07-20T12:15:12.616572</t>
  </si>
  <si>
    <t>2024-07-20T12:15:13.635388</t>
  </si>
  <si>
    <t>2024-07-20T12:15:14.643007</t>
  </si>
  <si>
    <t>2024-07-20T12:15:15.658854</t>
  </si>
  <si>
    <t>2024-07-20T12:15:16.673542</t>
  </si>
  <si>
    <t>2024-07-20T12:15:17.693315</t>
  </si>
  <si>
    <t>2024-07-20T12:15:18.709298</t>
  </si>
  <si>
    <t>2024-07-20T12:15:19.738816</t>
  </si>
  <si>
    <t>2024-07-20T12:15:20.760206</t>
  </si>
  <si>
    <t>2024-07-20T12:15:21.784826</t>
  </si>
  <si>
    <t>2024-07-20T12:15:22.751643</t>
  </si>
  <si>
    <t>2024-07-20T12:15:40.000291</t>
  </si>
  <si>
    <t>2024-07-20T12:15:41.026479</t>
  </si>
  <si>
    <t>2024-07-20T12:15:42.046113</t>
  </si>
  <si>
    <t>2024-07-20T12:15:43.068946</t>
  </si>
  <si>
    <t>2024-07-20T12:15:44.034235</t>
  </si>
  <si>
    <t>2024-07-20T12:15:45.046193</t>
  </si>
  <si>
    <t>2024-07-20T12:15:46.058457</t>
  </si>
  <si>
    <t>2024-07-20T12:15:47.076388</t>
  </si>
  <si>
    <t>2024-07-20T12:15:48.095273</t>
  </si>
  <si>
    <t>2024-07-20T12:15:49.106332</t>
  </si>
  <si>
    <t>2024-07-20T12:15:50.131742</t>
  </si>
  <si>
    <t>2024-07-20T12:15:51.154021</t>
  </si>
  <si>
    <t>2024-07-20T12:15:52.176677</t>
  </si>
  <si>
    <t>2024-07-20T12:15:53.198060</t>
  </si>
  <si>
    <t>2024-07-20T12:15:54.168565</t>
  </si>
  <si>
    <t>2024-07-20T12:15:55.178678</t>
  </si>
  <si>
    <t>2024-07-20T12:15:56.194864</t>
  </si>
  <si>
    <t>2024-07-20T12:15:57.206795</t>
  </si>
  <si>
    <t>2024-07-20T12:15:58.220010</t>
  </si>
  <si>
    <t>2024-07-20T12:15:59.240035</t>
  </si>
  <si>
    <t>2024-07-20T12:16:00.269244</t>
  </si>
  <si>
    <t>2024-07-20T12:16:01.292948</t>
  </si>
  <si>
    <t>2024-07-20T12:16:02.309957</t>
  </si>
  <si>
    <t>2024-07-20T12:16:03.332022</t>
  </si>
  <si>
    <t>2024-07-20T12:16:04.299672</t>
  </si>
  <si>
    <t>2024-07-20T12:16:05.306468</t>
  </si>
  <si>
    <t>2024-07-20T12:16:06.326772</t>
  </si>
  <si>
    <t>2024-07-20T12:16:07.337964</t>
  </si>
  <si>
    <t>2024-07-20T12:16:08.353911</t>
  </si>
  <si>
    <t>2024-07-20T12:16:09.372143</t>
  </si>
  <si>
    <t>2024-07-20T12:16:10.395796</t>
  </si>
  <si>
    <t>2024-07-20T12:16:11.419316</t>
  </si>
  <si>
    <t>2024-07-20T12:16:12.443521</t>
  </si>
  <si>
    <t>2024-07-20T12:16:13.466273</t>
  </si>
  <si>
    <t>2024-07-20T12:16:14.485796</t>
  </si>
  <si>
    <t>2024-07-20T12:16:15.442221</t>
  </si>
  <si>
    <t>2024-07-20T12:16:16.458661</t>
  </si>
  <si>
    <t>2024-07-20T12:16:17.467915</t>
  </si>
  <si>
    <t>2024-07-20T12:16:18.486365</t>
  </si>
  <si>
    <t>2024-07-20T12:16:19.506161</t>
  </si>
  <si>
    <t>2024-07-20T12:16:20.530210</t>
  </si>
  <si>
    <t>2024-07-20T12:16:21.551001</t>
  </si>
  <si>
    <t>2024-07-20T12:16:22.577438</t>
  </si>
  <si>
    <t>2024-07-20T12:16:23.599580</t>
  </si>
  <si>
    <t>2024-07-20T12:16:24.624925</t>
  </si>
  <si>
    <t>2024-07-20T12:16:25.572153</t>
  </si>
  <si>
    <t>2024-07-20T12:16:26.590438</t>
  </si>
  <si>
    <t>2024-07-20T12:16:27.601831</t>
  </si>
  <si>
    <t>2024-07-20T12:16:28.615642</t>
  </si>
  <si>
    <t>2024-07-20T12:16:29.633706</t>
  </si>
  <si>
    <t>2024-07-20T12:16:30.653759</t>
  </si>
  <si>
    <t>2024-07-20T12:16:31.674523</t>
  </si>
  <si>
    <t>2024-07-20T12:16:32.700797</t>
  </si>
  <si>
    <t>2024-07-20T12:16:33.727055</t>
  </si>
  <si>
    <t>2024-07-20T12:16:34.747189</t>
  </si>
  <si>
    <t>2024-07-20T12:16:35.705305</t>
  </si>
  <si>
    <t>2024-07-20T12:16:36.720610</t>
  </si>
  <si>
    <t>2024-07-20T12:16:37.734186</t>
  </si>
  <si>
    <t>2024-07-20T12:16:38.757483</t>
  </si>
  <si>
    <t>2024-07-20T12:16:39.767904</t>
  </si>
  <si>
    <t>2024-07-20_14-13-04</t>
  </si>
  <si>
    <t>2024-07-20_14-13-09</t>
  </si>
  <si>
    <t>2024-07-20_14-13-14</t>
  </si>
  <si>
    <t>2024-07-20_14-13-19</t>
  </si>
  <si>
    <t>2024-07-20_14-13-24</t>
  </si>
  <si>
    <t>2024-07-20_14-13-29</t>
  </si>
  <si>
    <t>2024-07-20_14-13-34</t>
  </si>
  <si>
    <t>2024-07-20_14-13-39</t>
  </si>
  <si>
    <t>2024-07-20_14-13-44</t>
  </si>
  <si>
    <t>2024-07-20_14-13-49</t>
  </si>
  <si>
    <t>2024-07-20_14-13-54</t>
  </si>
  <si>
    <t>2024-07-20_14-13-59</t>
  </si>
  <si>
    <t>2024-07-20_14-14-26</t>
  </si>
  <si>
    <t>2024-07-20_14-14-31</t>
  </si>
  <si>
    <t>2024-07-20_14-14-36</t>
  </si>
  <si>
    <t>2024-07-20_14-14-41</t>
  </si>
  <si>
    <t>2024-07-20_14-14-46</t>
  </si>
  <si>
    <t>2024-07-20_14-14-51</t>
  </si>
  <si>
    <t>2024-07-20_14-14-56</t>
  </si>
  <si>
    <t>2024-07-20_14-15-01</t>
  </si>
  <si>
    <t>2024-07-20_14-15-43</t>
  </si>
  <si>
    <t>2024-07-20_14-15-48</t>
  </si>
  <si>
    <t>2024-07-20_14-15-53</t>
  </si>
  <si>
    <t>2024-07-20_14-15-58</t>
  </si>
  <si>
    <t>2024-07-20_14-16-03</t>
  </si>
  <si>
    <t>2024-07-20_14-16-08</t>
  </si>
  <si>
    <t>2024-07-20_14-16-13</t>
  </si>
  <si>
    <t>2024-07-20_14-16-18</t>
  </si>
  <si>
    <t>2024-07-20_14-16-23</t>
  </si>
  <si>
    <t>2024-07-20_14-16-28</t>
  </si>
  <si>
    <t>2024-07-20_14-16-33</t>
  </si>
  <si>
    <t>2024-07-20_14-16-38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</si>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</sst>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opLeftCell="AE60" zoomScale="130" zoomScaleNormal="130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28515625" bestFit="1" customWidth="1"/>
    <col min="12" max="12" width="10.85546875" bestFit="1" customWidth="1"/>
    <col min="13" max="20" width="3.28515625" bestFit="1" customWidth="1"/>
    <col min="22" max="22" width="10.85546875" bestFit="1" customWidth="1"/>
    <col min="23" max="30" width="3.28515625" bestFit="1" customWidth="1"/>
    <col min="32" max="32" width="10.85546875" bestFit="1" customWidth="1"/>
    <col min="33" max="40" width="3.28515625" bestFit="1" customWidth="1"/>
    <col min="42" max="42" width="40.140625" style="3" bestFit="1" customWidth="1"/>
    <col min="43" max="43" width="5.5703125" style="3" bestFit="1" customWidth="1"/>
    <col min="44" max="44" width="7" style="3" bestFit="1" customWidth="1"/>
    <col min="45" max="45" width="8.140625" style="3" bestFit="1" customWidth="1"/>
    <col min="46" max="46" width="7" style="3" bestFit="1" customWidth="1"/>
    <col min="47" max="47" width="6" style="3" bestFit="1" customWidth="1"/>
    <col min="48" max="50" width="7" style="3" bestFit="1" customWidth="1"/>
    <col min="52" max="52" width="10.85546875" bestFit="1" customWidth="1"/>
    <col min="53" max="60" width="3.28515625" bestFit="1" customWidth="1"/>
    <col min="62" max="62" width="10.85546875" bestFit="1" customWidth="1"/>
    <col min="63" max="70" width="3.28515625" bestFit="1" customWidth="1"/>
    <col min="72" max="72" width="10.85546875" bestFit="1" customWidth="1"/>
    <col min="73" max="80" width="3.28515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17</v>
      </c>
      <c r="AQ4" s="8">
        <v>2.21</v>
      </c>
      <c r="AR4" s="9">
        <v>0.45</v>
      </c>
      <c r="AS4" s="9">
        <v>0.24</v>
      </c>
      <c r="AT4" s="9">
        <v>0.45</v>
      </c>
      <c r="AU4" s="9">
        <v>1.61</v>
      </c>
      <c r="AV4" s="9">
        <v>0.73</v>
      </c>
      <c r="AW4" s="9">
        <v>0.85</v>
      </c>
      <c r="AX4" s="10">
        <v>0.53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18</v>
      </c>
      <c r="AQ5" s="12">
        <v>2.21</v>
      </c>
      <c r="AR5" s="13">
        <v>0.45</v>
      </c>
      <c r="AS5" s="13">
        <v>0.24</v>
      </c>
      <c r="AT5" s="13">
        <v>2.21</v>
      </c>
      <c r="AU5" s="13">
        <v>2.59</v>
      </c>
      <c r="AV5" s="13">
        <v>0.73</v>
      </c>
      <c r="AW5" s="13">
        <v>0.85</v>
      </c>
      <c r="AX5" s="14">
        <v>0.73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19</v>
      </c>
      <c r="AQ6" s="12">
        <v>2.21</v>
      </c>
      <c r="AR6" s="13">
        <v>0.45</v>
      </c>
      <c r="AS6" s="13">
        <v>0.24</v>
      </c>
      <c r="AT6" s="13">
        <v>4.8899999999999997</v>
      </c>
      <c r="AU6" s="13">
        <v>2.21</v>
      </c>
      <c r="AV6" s="13">
        <v>0.73</v>
      </c>
      <c r="AW6" s="13">
        <v>0.28000000000000003</v>
      </c>
      <c r="AX6" s="14">
        <v>0.73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20</v>
      </c>
      <c r="AQ7" s="12">
        <v>2.59</v>
      </c>
      <c r="AR7" s="13">
        <v>0.45</v>
      </c>
      <c r="AS7" s="13">
        <v>0.24</v>
      </c>
      <c r="AT7" s="13">
        <v>0.45</v>
      </c>
      <c r="AU7" s="13">
        <v>2.59</v>
      </c>
      <c r="AV7" s="13">
        <v>0.73</v>
      </c>
      <c r="AW7" s="13">
        <v>0.85</v>
      </c>
      <c r="AX7" s="14">
        <v>0.53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21</v>
      </c>
      <c r="AQ8" s="12">
        <v>0</v>
      </c>
      <c r="AR8" s="13">
        <v>0.45</v>
      </c>
      <c r="AS8" s="13">
        <v>0.11</v>
      </c>
      <c r="AT8" s="13">
        <v>1.89</v>
      </c>
      <c r="AU8" s="13">
        <v>1.89</v>
      </c>
      <c r="AV8" s="13">
        <v>1.17</v>
      </c>
      <c r="AW8" s="13">
        <v>0.33</v>
      </c>
      <c r="AX8" s="14">
        <v>0.45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22</v>
      </c>
      <c r="AQ9" s="12">
        <v>2.21</v>
      </c>
      <c r="AR9" s="13">
        <v>0.45</v>
      </c>
      <c r="AS9" s="13">
        <v>0.24</v>
      </c>
      <c r="AT9" s="13">
        <v>0.45</v>
      </c>
      <c r="AU9" s="13">
        <v>2.59</v>
      </c>
      <c r="AV9" s="13">
        <v>0.73</v>
      </c>
      <c r="AW9" s="13">
        <v>0.85</v>
      </c>
      <c r="AX9" s="14">
        <v>0.73</v>
      </c>
    </row>
    <row r="10" spans="2:80" x14ac:dyDescent="0.25">
      <c r="AP10" s="11" t="s">
        <v>23</v>
      </c>
      <c r="AQ10" s="12">
        <v>2.21</v>
      </c>
      <c r="AR10" s="13">
        <v>0.45</v>
      </c>
      <c r="AS10" s="13">
        <v>0.85</v>
      </c>
      <c r="AT10" s="13">
        <v>0.45</v>
      </c>
      <c r="AU10" s="13">
        <v>1.89</v>
      </c>
      <c r="AV10" s="13">
        <v>1.37</v>
      </c>
      <c r="AW10" s="13">
        <v>0.33</v>
      </c>
      <c r="AX10" s="14">
        <v>0.73</v>
      </c>
    </row>
    <row r="11" spans="2:80" x14ac:dyDescent="0.25">
      <c r="AP11" s="11" t="s">
        <v>24</v>
      </c>
      <c r="AQ11" s="12">
        <v>1.89</v>
      </c>
      <c r="AR11" s="13">
        <v>0.45</v>
      </c>
      <c r="AS11" s="13">
        <v>0.24</v>
      </c>
      <c r="AT11" s="13">
        <v>0.53</v>
      </c>
      <c r="AU11" s="13">
        <v>2.59</v>
      </c>
      <c r="AV11" s="13">
        <v>0.73</v>
      </c>
      <c r="AW11" s="13">
        <v>0.85</v>
      </c>
      <c r="AX11" s="14">
        <v>0.73</v>
      </c>
    </row>
    <row r="12" spans="2:80" x14ac:dyDescent="0.25">
      <c r="AP12" s="11" t="s">
        <v>25</v>
      </c>
      <c r="AQ12" s="12">
        <v>2.21</v>
      </c>
      <c r="AR12" s="13">
        <v>0.45</v>
      </c>
      <c r="AS12" s="13">
        <v>0.13</v>
      </c>
      <c r="AT12" s="13">
        <v>4.8899999999999997</v>
      </c>
      <c r="AU12" s="13">
        <v>2.59</v>
      </c>
      <c r="AV12" s="13">
        <v>0.73</v>
      </c>
      <c r="AW12" s="13">
        <v>0.85</v>
      </c>
      <c r="AX12" s="14">
        <v>0.53</v>
      </c>
    </row>
    <row r="13" spans="2:80" x14ac:dyDescent="0.25">
      <c r="AP13" s="11" t="s">
        <v>26</v>
      </c>
      <c r="AQ13" s="12">
        <v>2.21</v>
      </c>
      <c r="AR13" s="13">
        <v>0</v>
      </c>
      <c r="AS13" s="13">
        <v>0.24</v>
      </c>
      <c r="AT13" s="13">
        <v>0.45</v>
      </c>
      <c r="AU13" s="13">
        <v>1.61</v>
      </c>
      <c r="AV13" s="13">
        <v>0.73</v>
      </c>
      <c r="AW13" s="13">
        <v>0.85</v>
      </c>
      <c r="AX13" s="14">
        <v>0.53</v>
      </c>
    </row>
    <row r="14" spans="2:80" x14ac:dyDescent="0.25">
      <c r="AP14" s="11" t="s">
        <v>27</v>
      </c>
      <c r="AQ14" s="12">
        <v>2.21</v>
      </c>
      <c r="AR14" s="13">
        <v>0.45</v>
      </c>
      <c r="AS14" s="13">
        <v>0.13</v>
      </c>
      <c r="AT14" s="13">
        <v>0.45</v>
      </c>
      <c r="AU14" s="13">
        <v>2.59</v>
      </c>
      <c r="AV14" s="13">
        <v>1.17</v>
      </c>
      <c r="AW14" s="13">
        <v>32.9</v>
      </c>
      <c r="AX14" s="14">
        <v>0.73</v>
      </c>
    </row>
    <row r="15" spans="2:80" x14ac:dyDescent="0.25">
      <c r="AP15" s="11" t="s">
        <v>28</v>
      </c>
      <c r="AQ15" s="12">
        <v>2.21</v>
      </c>
      <c r="AR15" s="13">
        <v>0.45</v>
      </c>
      <c r="AS15" s="13">
        <v>0.24</v>
      </c>
      <c r="AT15" s="13">
        <v>0.53</v>
      </c>
      <c r="AU15" s="13">
        <v>2.59</v>
      </c>
      <c r="AV15" s="13">
        <v>1.37</v>
      </c>
      <c r="AW15" s="13">
        <v>0.85</v>
      </c>
      <c r="AX15" s="14">
        <v>0.73</v>
      </c>
    </row>
    <row r="16" spans="2:80" x14ac:dyDescent="0.25">
      <c r="AP16" s="11" t="s">
        <v>29</v>
      </c>
      <c r="AQ16" s="12">
        <v>1.89</v>
      </c>
      <c r="AR16" s="13">
        <v>0.45</v>
      </c>
      <c r="AS16" s="13">
        <v>0.24</v>
      </c>
      <c r="AT16" s="13">
        <v>0.45</v>
      </c>
      <c r="AU16" s="13">
        <v>2.59</v>
      </c>
      <c r="AV16" s="13">
        <v>0.73</v>
      </c>
      <c r="AW16" s="13">
        <v>0.85</v>
      </c>
      <c r="AX16" s="14">
        <v>0.73</v>
      </c>
    </row>
    <row r="17" spans="42:50" x14ac:dyDescent="0.25">
      <c r="AP17" s="11" t="s">
        <v>30</v>
      </c>
      <c r="AQ17" s="12">
        <v>2.21</v>
      </c>
      <c r="AR17" s="13">
        <v>0.45</v>
      </c>
      <c r="AS17" s="13">
        <v>0.24</v>
      </c>
      <c r="AT17" s="13">
        <v>0.45</v>
      </c>
      <c r="AU17" s="13">
        <v>2.59</v>
      </c>
      <c r="AV17" s="13">
        <v>0.73</v>
      </c>
      <c r="AW17" s="13">
        <v>0.39</v>
      </c>
      <c r="AX17" s="14">
        <v>0.73</v>
      </c>
    </row>
    <row r="18" spans="42:50" x14ac:dyDescent="0.25">
      <c r="AP18" s="11" t="s">
        <v>31</v>
      </c>
      <c r="AQ18" s="12">
        <v>0.85</v>
      </c>
      <c r="AR18" s="13">
        <v>0.39</v>
      </c>
      <c r="AS18" s="13">
        <v>0.11</v>
      </c>
      <c r="AT18" s="13">
        <v>1.61</v>
      </c>
      <c r="AU18" s="13">
        <v>1.89</v>
      </c>
      <c r="AV18" s="13">
        <v>1.17</v>
      </c>
      <c r="AW18" s="13">
        <v>38.57</v>
      </c>
      <c r="AX18" s="14">
        <v>0.45</v>
      </c>
    </row>
    <row r="19" spans="42:50" x14ac:dyDescent="0.25">
      <c r="AP19" s="11" t="s">
        <v>32</v>
      </c>
      <c r="AQ19" s="12">
        <v>2.21</v>
      </c>
      <c r="AR19" s="13">
        <v>0.45</v>
      </c>
      <c r="AS19" s="13">
        <v>0.24</v>
      </c>
      <c r="AT19" s="13">
        <v>0.45</v>
      </c>
      <c r="AU19" s="13">
        <v>2.59</v>
      </c>
      <c r="AV19" s="13">
        <v>0.73</v>
      </c>
      <c r="AW19" s="13">
        <v>0.85</v>
      </c>
      <c r="AX19" s="14">
        <v>0.73</v>
      </c>
    </row>
    <row r="20" spans="42:50" x14ac:dyDescent="0.25">
      <c r="AP20" s="11" t="s">
        <v>33</v>
      </c>
      <c r="AQ20" s="12">
        <v>2.21</v>
      </c>
      <c r="AR20" s="13">
        <v>0.45</v>
      </c>
      <c r="AS20" s="13">
        <v>0.28000000000000003</v>
      </c>
      <c r="AT20" s="13">
        <v>0.53</v>
      </c>
      <c r="AU20" s="13">
        <v>2.59</v>
      </c>
      <c r="AV20" s="13">
        <v>0.62</v>
      </c>
      <c r="AW20" s="13">
        <v>0.85</v>
      </c>
      <c r="AX20" s="14">
        <v>0.73</v>
      </c>
    </row>
    <row r="21" spans="42:50" x14ac:dyDescent="0.25">
      <c r="AP21" s="11" t="s">
        <v>34</v>
      </c>
      <c r="AQ21" s="12">
        <v>1.89</v>
      </c>
      <c r="AR21" s="13">
        <v>0.45</v>
      </c>
      <c r="AS21" s="13">
        <v>0.24</v>
      </c>
      <c r="AT21" s="13">
        <v>0.53</v>
      </c>
      <c r="AU21" s="13">
        <v>2.59</v>
      </c>
      <c r="AV21" s="13">
        <v>0.73</v>
      </c>
      <c r="AW21" s="13">
        <v>0.85</v>
      </c>
      <c r="AX21" s="14">
        <v>0.62</v>
      </c>
    </row>
    <row r="22" spans="42:50" x14ac:dyDescent="0.25">
      <c r="AP22" s="11" t="s">
        <v>35</v>
      </c>
      <c r="AQ22" s="12">
        <v>2.21</v>
      </c>
      <c r="AR22" s="13">
        <v>0.45</v>
      </c>
      <c r="AS22" s="13">
        <v>0.24</v>
      </c>
      <c r="AT22" s="13">
        <v>0.45</v>
      </c>
      <c r="AU22" s="13">
        <v>0.73</v>
      </c>
      <c r="AV22" s="13">
        <v>0.73</v>
      </c>
      <c r="AW22" s="13">
        <v>0.85</v>
      </c>
      <c r="AX22" s="14">
        <v>0.73</v>
      </c>
    </row>
    <row r="23" spans="42:50" x14ac:dyDescent="0.25">
      <c r="AP23" s="11" t="s">
        <v>36</v>
      </c>
      <c r="AQ23" s="12">
        <v>2.21</v>
      </c>
      <c r="AR23" s="13">
        <v>0.39</v>
      </c>
      <c r="AS23" s="13">
        <v>0.24</v>
      </c>
      <c r="AT23" s="13">
        <v>0.45</v>
      </c>
      <c r="AU23" s="13">
        <v>2.59</v>
      </c>
      <c r="AV23" s="13">
        <v>0.73</v>
      </c>
      <c r="AW23" s="13">
        <v>0.85</v>
      </c>
      <c r="AX23" s="14">
        <v>0.73</v>
      </c>
    </row>
    <row r="24" spans="42:50" x14ac:dyDescent="0.25">
      <c r="AP24" s="11" t="s">
        <v>37</v>
      </c>
      <c r="AQ24" s="12">
        <v>1.89</v>
      </c>
      <c r="AR24" s="13">
        <v>0.53</v>
      </c>
      <c r="AS24" s="13">
        <v>0.24</v>
      </c>
      <c r="AT24" s="13">
        <v>0.53</v>
      </c>
      <c r="AU24" s="13">
        <v>2.59</v>
      </c>
      <c r="AV24" s="13">
        <v>0.73</v>
      </c>
      <c r="AW24" s="13">
        <v>0.33</v>
      </c>
      <c r="AX24" s="14">
        <v>0.73</v>
      </c>
    </row>
    <row r="25" spans="42:50" x14ac:dyDescent="0.25">
      <c r="AP25" s="11" t="s">
        <v>38</v>
      </c>
      <c r="AQ25" s="12">
        <v>1.89</v>
      </c>
      <c r="AR25" s="13">
        <v>0.45</v>
      </c>
      <c r="AS25" s="13">
        <v>0.24</v>
      </c>
      <c r="AT25" s="13">
        <v>0.45</v>
      </c>
      <c r="AU25" s="13">
        <v>2.21</v>
      </c>
      <c r="AV25" s="13">
        <v>0.73</v>
      </c>
      <c r="AW25" s="13">
        <v>0.85</v>
      </c>
      <c r="AX25" s="14">
        <v>0.73</v>
      </c>
    </row>
    <row r="26" spans="42:50" x14ac:dyDescent="0.25">
      <c r="AP26" s="11" t="s">
        <v>39</v>
      </c>
      <c r="AQ26" s="12">
        <v>1.89</v>
      </c>
      <c r="AR26" s="13">
        <v>0.53</v>
      </c>
      <c r="AS26" s="13">
        <v>0.24</v>
      </c>
      <c r="AT26" s="13">
        <v>0.53</v>
      </c>
      <c r="AU26" s="13">
        <v>0.73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40</v>
      </c>
      <c r="AQ27" s="12">
        <v>2.21</v>
      </c>
      <c r="AR27" s="13">
        <v>0.45</v>
      </c>
      <c r="AS27" s="13">
        <v>0.2</v>
      </c>
      <c r="AT27" s="13">
        <v>0.45</v>
      </c>
      <c r="AU27" s="13">
        <v>2.59</v>
      </c>
      <c r="AV27" s="13">
        <v>0.73</v>
      </c>
      <c r="AW27" s="13">
        <v>0.85</v>
      </c>
      <c r="AX27" s="14">
        <v>0.73</v>
      </c>
    </row>
    <row r="28" spans="42:50" x14ac:dyDescent="0.25">
      <c r="AP28" s="11" t="s">
        <v>41</v>
      </c>
      <c r="AQ28" s="12">
        <v>0</v>
      </c>
      <c r="AR28" s="13">
        <v>0.45</v>
      </c>
      <c r="AS28" s="13">
        <v>0.13</v>
      </c>
      <c r="AT28" s="13">
        <v>4.8899999999999997</v>
      </c>
      <c r="AU28" s="13">
        <v>1.89</v>
      </c>
      <c r="AV28" s="13">
        <v>1.17</v>
      </c>
      <c r="AW28" s="13">
        <v>0.45</v>
      </c>
      <c r="AX28" s="14">
        <v>0.53</v>
      </c>
    </row>
    <row r="29" spans="42:50" x14ac:dyDescent="0.25">
      <c r="AP29" s="11" t="s">
        <v>42</v>
      </c>
      <c r="AQ29" s="12">
        <v>0</v>
      </c>
      <c r="AR29" s="13">
        <v>0.45</v>
      </c>
      <c r="AS29" s="13">
        <v>0.13</v>
      </c>
      <c r="AT29" s="13">
        <v>0.53</v>
      </c>
      <c r="AU29" s="13">
        <v>2.59</v>
      </c>
      <c r="AV29" s="13">
        <v>0.73</v>
      </c>
      <c r="AW29" s="13">
        <v>0.85</v>
      </c>
      <c r="AX29" s="14">
        <v>0.62</v>
      </c>
    </row>
    <row r="30" spans="42:50" x14ac:dyDescent="0.25">
      <c r="AP30" s="11" t="s">
        <v>43</v>
      </c>
      <c r="AQ30" s="12">
        <v>0.85</v>
      </c>
      <c r="AR30" s="13">
        <v>0.45</v>
      </c>
      <c r="AS30" s="13">
        <v>0.13</v>
      </c>
      <c r="AT30" s="13">
        <v>1.89</v>
      </c>
      <c r="AU30" s="13">
        <v>1.61</v>
      </c>
      <c r="AV30" s="13">
        <v>0.73</v>
      </c>
      <c r="AW30" s="13">
        <v>0.85</v>
      </c>
      <c r="AX30" s="14">
        <v>0.73</v>
      </c>
    </row>
    <row r="31" spans="42:50" x14ac:dyDescent="0.25">
      <c r="AP31" s="11" t="s">
        <v>44</v>
      </c>
      <c r="AQ31" s="12">
        <v>1.89</v>
      </c>
      <c r="AR31" s="13">
        <v>0.39</v>
      </c>
      <c r="AS31" s="13">
        <v>0.24</v>
      </c>
      <c r="AT31" s="13">
        <v>0.45</v>
      </c>
      <c r="AU31" s="13">
        <v>2.21</v>
      </c>
      <c r="AV31" s="13">
        <v>1.17</v>
      </c>
      <c r="AW31" s="13">
        <v>0.85</v>
      </c>
      <c r="AX31" s="14">
        <v>0.53</v>
      </c>
    </row>
    <row r="32" spans="42:50" x14ac:dyDescent="0.25">
      <c r="AP32" s="11" t="s">
        <v>45</v>
      </c>
      <c r="AQ32" s="12">
        <v>2.21</v>
      </c>
      <c r="AR32" s="13">
        <v>0.45</v>
      </c>
      <c r="AS32" s="13">
        <v>0.28000000000000003</v>
      </c>
      <c r="AT32" s="13">
        <v>0.53</v>
      </c>
      <c r="AU32" s="13">
        <v>0.73</v>
      </c>
      <c r="AV32" s="13">
        <v>0.73</v>
      </c>
      <c r="AW32" s="13">
        <v>0.85</v>
      </c>
      <c r="AX32" s="14">
        <v>0.45</v>
      </c>
    </row>
    <row r="33" spans="42:50" x14ac:dyDescent="0.25">
      <c r="AP33" s="11" t="s">
        <v>46</v>
      </c>
      <c r="AQ33" s="12">
        <v>1.89</v>
      </c>
      <c r="AR33" s="13">
        <v>0.45</v>
      </c>
      <c r="AS33" s="13">
        <v>0.24</v>
      </c>
      <c r="AT33" s="13">
        <v>0.45</v>
      </c>
      <c r="AU33" s="13">
        <v>2.59</v>
      </c>
      <c r="AV33" s="13">
        <v>0.73</v>
      </c>
      <c r="AW33" s="13">
        <v>0.85</v>
      </c>
      <c r="AX33" s="14">
        <v>0.73</v>
      </c>
    </row>
    <row r="34" spans="42:50" x14ac:dyDescent="0.25">
      <c r="AP34" s="11" t="s">
        <v>47</v>
      </c>
      <c r="AQ34" s="12">
        <v>2.21</v>
      </c>
      <c r="AR34" s="13">
        <v>0.45</v>
      </c>
      <c r="AS34" s="13">
        <v>0.24</v>
      </c>
      <c r="AT34" s="13">
        <v>0.45</v>
      </c>
      <c r="AU34" s="13">
        <v>2.59</v>
      </c>
      <c r="AV34" s="13">
        <v>0.85</v>
      </c>
      <c r="AW34" s="13">
        <v>0.85</v>
      </c>
      <c r="AX34" s="14">
        <v>0.73</v>
      </c>
    </row>
    <row r="35" spans="42:50" x14ac:dyDescent="0.25">
      <c r="AP35" s="11" t="s">
        <v>48</v>
      </c>
      <c r="AQ35" s="12">
        <v>1.89</v>
      </c>
      <c r="AR35" s="13">
        <v>0.45</v>
      </c>
      <c r="AS35" s="13">
        <v>0.24</v>
      </c>
      <c r="AT35" s="13">
        <v>0.53</v>
      </c>
      <c r="AU35" s="13">
        <v>2.59</v>
      </c>
      <c r="AV35" s="13">
        <v>4.18</v>
      </c>
      <c r="AW35" s="13">
        <v>0.85</v>
      </c>
      <c r="AX35" s="14">
        <v>0.73</v>
      </c>
    </row>
    <row r="36" spans="42:50" x14ac:dyDescent="0.25">
      <c r="AP36" s="11" t="s">
        <v>49</v>
      </c>
      <c r="AQ36" s="12">
        <v>2.21</v>
      </c>
      <c r="AR36" s="13">
        <v>0.45</v>
      </c>
      <c r="AS36" s="13">
        <v>0.24</v>
      </c>
      <c r="AT36" s="13">
        <v>0.53</v>
      </c>
      <c r="AU36" s="13">
        <v>2.59</v>
      </c>
      <c r="AV36" s="13">
        <v>0.73</v>
      </c>
      <c r="AW36" s="13">
        <v>0.85</v>
      </c>
      <c r="AX36" s="14">
        <v>0.53</v>
      </c>
    </row>
    <row r="37" spans="42:50" x14ac:dyDescent="0.25">
      <c r="AP37" s="11" t="s">
        <v>50</v>
      </c>
      <c r="AQ37" s="12">
        <v>2.21</v>
      </c>
      <c r="AR37" s="13">
        <v>0.45</v>
      </c>
      <c r="AS37" s="13">
        <v>0.24</v>
      </c>
      <c r="AT37" s="13">
        <v>0.45</v>
      </c>
      <c r="AU37" s="13">
        <v>2.59</v>
      </c>
      <c r="AV37" s="13">
        <v>0.73</v>
      </c>
      <c r="AW37" s="13">
        <v>0.85</v>
      </c>
      <c r="AX37" s="14">
        <v>0.73</v>
      </c>
    </row>
    <row r="38" spans="42:50" x14ac:dyDescent="0.25">
      <c r="AP38" s="11" t="s">
        <v>51</v>
      </c>
      <c r="AQ38" s="12">
        <v>0.73</v>
      </c>
      <c r="AR38" s="13">
        <v>0.53</v>
      </c>
      <c r="AS38" s="13">
        <v>0.13</v>
      </c>
      <c r="AT38" s="13">
        <v>1.89</v>
      </c>
      <c r="AU38" s="13">
        <v>1.61</v>
      </c>
      <c r="AV38" s="13">
        <v>4.18</v>
      </c>
      <c r="AW38" s="13">
        <v>0.39</v>
      </c>
      <c r="AX38" s="14">
        <v>0.45</v>
      </c>
    </row>
    <row r="39" spans="42:50" x14ac:dyDescent="0.25">
      <c r="AP39" s="11" t="s">
        <v>52</v>
      </c>
      <c r="AQ39" s="12">
        <v>2.21</v>
      </c>
      <c r="AR39" s="13">
        <v>0.45</v>
      </c>
      <c r="AS39" s="13">
        <v>0.2</v>
      </c>
      <c r="AT39" s="13">
        <v>0.45</v>
      </c>
      <c r="AU39" s="13">
        <v>2.59</v>
      </c>
      <c r="AV39" s="13">
        <v>1.17</v>
      </c>
      <c r="AW39" s="13">
        <v>0.85</v>
      </c>
      <c r="AX39" s="14">
        <v>0.45</v>
      </c>
    </row>
    <row r="40" spans="42:50" x14ac:dyDescent="0.25">
      <c r="AP40" s="11" t="s">
        <v>53</v>
      </c>
      <c r="AQ40" s="12">
        <v>2.21</v>
      </c>
      <c r="AR40" s="13">
        <v>0.45</v>
      </c>
      <c r="AS40" s="13">
        <v>0.24</v>
      </c>
      <c r="AT40" s="13">
        <v>0.53</v>
      </c>
      <c r="AU40" s="13">
        <v>2.59</v>
      </c>
      <c r="AV40" s="13">
        <v>0.73</v>
      </c>
      <c r="AW40" s="13">
        <v>0.85</v>
      </c>
      <c r="AX40" s="14">
        <v>0.73</v>
      </c>
    </row>
    <row r="41" spans="42:50" x14ac:dyDescent="0.25">
      <c r="AP41" s="11" t="s">
        <v>54</v>
      </c>
      <c r="AQ41" s="12">
        <v>1.89</v>
      </c>
      <c r="AR41" s="13">
        <v>0.53</v>
      </c>
      <c r="AS41" s="13">
        <v>0.24</v>
      </c>
      <c r="AT41" s="13">
        <v>0.45</v>
      </c>
      <c r="AU41" s="13">
        <v>2.59</v>
      </c>
      <c r="AV41" s="13">
        <v>0.73</v>
      </c>
      <c r="AW41" s="13">
        <v>0.85</v>
      </c>
      <c r="AX41" s="14">
        <v>0.73</v>
      </c>
    </row>
    <row r="42" spans="42:50" x14ac:dyDescent="0.25">
      <c r="AP42" s="11" t="s">
        <v>55</v>
      </c>
      <c r="AQ42" s="12">
        <v>1.89</v>
      </c>
      <c r="AR42" s="13">
        <v>0.45</v>
      </c>
      <c r="AS42" s="13">
        <v>0.24</v>
      </c>
      <c r="AT42" s="13">
        <v>0.45</v>
      </c>
      <c r="AU42" s="13">
        <v>1.61</v>
      </c>
      <c r="AV42" s="13">
        <v>0.85</v>
      </c>
      <c r="AW42" s="13">
        <v>0.85</v>
      </c>
      <c r="AX42" s="14">
        <v>0.73</v>
      </c>
    </row>
    <row r="43" spans="42:50" x14ac:dyDescent="0.25">
      <c r="AP43" s="11" t="s">
        <v>56</v>
      </c>
      <c r="AQ43" s="12">
        <v>1.89</v>
      </c>
      <c r="AR43" s="13">
        <v>0.45</v>
      </c>
      <c r="AS43" s="13">
        <v>0.13</v>
      </c>
      <c r="AT43" s="13">
        <v>0.53</v>
      </c>
      <c r="AU43" s="13">
        <v>0.73</v>
      </c>
      <c r="AV43" s="13">
        <v>0.73</v>
      </c>
      <c r="AW43" s="13">
        <v>0.85</v>
      </c>
      <c r="AX43" s="14">
        <v>0.62</v>
      </c>
    </row>
    <row r="44" spans="42:50" x14ac:dyDescent="0.25">
      <c r="AP44" s="11" t="s">
        <v>57</v>
      </c>
      <c r="AQ44" s="12">
        <v>2.21</v>
      </c>
      <c r="AR44" s="13">
        <v>0.45</v>
      </c>
      <c r="AS44" s="13">
        <v>0.24</v>
      </c>
      <c r="AT44" s="13">
        <v>0.45</v>
      </c>
      <c r="AU44" s="13">
        <v>2.59</v>
      </c>
      <c r="AV44" s="13">
        <v>0.73</v>
      </c>
      <c r="AW44" s="13">
        <v>0.85</v>
      </c>
      <c r="AX44" s="14">
        <v>0.53</v>
      </c>
    </row>
    <row r="45" spans="42:50" x14ac:dyDescent="0.25">
      <c r="AP45" s="11" t="s">
        <v>58</v>
      </c>
      <c r="AQ45" s="12">
        <v>2.21</v>
      </c>
      <c r="AR45" s="13">
        <v>0.45</v>
      </c>
      <c r="AS45" s="13">
        <v>0.24</v>
      </c>
      <c r="AT45" s="13">
        <v>0.45</v>
      </c>
      <c r="AU45" s="13">
        <v>2.59</v>
      </c>
      <c r="AV45" s="13">
        <v>0.73</v>
      </c>
      <c r="AW45" s="13">
        <v>0.85</v>
      </c>
      <c r="AX45" s="14">
        <v>0.73</v>
      </c>
    </row>
    <row r="46" spans="42:50" x14ac:dyDescent="0.25">
      <c r="AP46" s="11" t="s">
        <v>59</v>
      </c>
      <c r="AQ46" s="12">
        <v>0.85</v>
      </c>
      <c r="AR46" s="13">
        <v>0.45</v>
      </c>
      <c r="AS46" s="13">
        <v>0.11</v>
      </c>
      <c r="AT46" s="13">
        <v>4.8899999999999997</v>
      </c>
      <c r="AU46" s="13">
        <v>2.59</v>
      </c>
      <c r="AV46" s="13">
        <v>0.73</v>
      </c>
      <c r="AW46" s="13">
        <v>38.57</v>
      </c>
      <c r="AX46" s="14">
        <v>0.73</v>
      </c>
    </row>
    <row r="47" spans="42:50" x14ac:dyDescent="0.25">
      <c r="AP47" s="11" t="s">
        <v>60</v>
      </c>
      <c r="AQ47" s="12">
        <v>2.21</v>
      </c>
      <c r="AR47" s="13">
        <v>0.45</v>
      </c>
      <c r="AS47" s="13">
        <v>0.11</v>
      </c>
      <c r="AT47" s="13">
        <v>0.53</v>
      </c>
      <c r="AU47" s="13">
        <v>2.59</v>
      </c>
      <c r="AV47" s="13">
        <v>1.37</v>
      </c>
      <c r="AW47" s="13">
        <v>0.85</v>
      </c>
      <c r="AX47" s="14">
        <v>0.53</v>
      </c>
    </row>
    <row r="48" spans="42:50" x14ac:dyDescent="0.25">
      <c r="AP48" s="11" t="s">
        <v>61</v>
      </c>
      <c r="AQ48" s="12">
        <v>0</v>
      </c>
      <c r="AR48" s="13">
        <v>0.53</v>
      </c>
      <c r="AS48" s="13">
        <v>0.13</v>
      </c>
      <c r="AT48" s="13">
        <v>1.89</v>
      </c>
      <c r="AU48" s="13">
        <v>1.61</v>
      </c>
      <c r="AV48" s="13">
        <v>4.18</v>
      </c>
      <c r="AW48" s="13">
        <v>0.33</v>
      </c>
      <c r="AX48" s="14">
        <v>0.45</v>
      </c>
    </row>
    <row r="49" spans="42:50" x14ac:dyDescent="0.25">
      <c r="AP49" s="11" t="s">
        <v>62</v>
      </c>
      <c r="AQ49" s="12">
        <v>1.89</v>
      </c>
      <c r="AR49" s="13">
        <v>0.85</v>
      </c>
      <c r="AS49" s="13">
        <v>0.24</v>
      </c>
      <c r="AT49" s="13">
        <v>0.45</v>
      </c>
      <c r="AU49" s="13">
        <v>2.59</v>
      </c>
      <c r="AV49" s="13">
        <v>0.73</v>
      </c>
      <c r="AW49" s="13">
        <v>0.85</v>
      </c>
      <c r="AX49" s="14">
        <v>0.53</v>
      </c>
    </row>
    <row r="50" spans="42:50" x14ac:dyDescent="0.25">
      <c r="AP50" s="11" t="s">
        <v>63</v>
      </c>
      <c r="AQ50" s="12">
        <v>2.59</v>
      </c>
      <c r="AR50" s="13">
        <v>0.45</v>
      </c>
      <c r="AS50" s="13">
        <v>0.24</v>
      </c>
      <c r="AT50" s="13">
        <v>1.89</v>
      </c>
      <c r="AU50" s="13">
        <v>2.59</v>
      </c>
      <c r="AV50" s="13">
        <v>0.73</v>
      </c>
      <c r="AW50" s="13">
        <v>0.39</v>
      </c>
      <c r="AX50" s="14">
        <v>0.73</v>
      </c>
    </row>
    <row r="51" spans="42:50" x14ac:dyDescent="0.25">
      <c r="AP51" s="11" t="s">
        <v>64</v>
      </c>
      <c r="AQ51" s="12">
        <v>2.21</v>
      </c>
      <c r="AR51" s="13">
        <v>0.45</v>
      </c>
      <c r="AS51" s="13">
        <v>0.24</v>
      </c>
      <c r="AT51" s="13">
        <v>0.45</v>
      </c>
      <c r="AU51" s="13">
        <v>2.59</v>
      </c>
      <c r="AV51" s="13">
        <v>0.73</v>
      </c>
      <c r="AW51" s="13">
        <v>0.33</v>
      </c>
      <c r="AX51" s="14">
        <v>0.73</v>
      </c>
    </row>
    <row r="52" spans="42:50" x14ac:dyDescent="0.25">
      <c r="AP52" s="11" t="s">
        <v>65</v>
      </c>
      <c r="AQ52" s="12">
        <v>0</v>
      </c>
      <c r="AR52" s="13">
        <v>0.53</v>
      </c>
      <c r="AS52" s="13">
        <v>0.24</v>
      </c>
      <c r="AT52" s="13">
        <v>0.53</v>
      </c>
      <c r="AU52" s="13">
        <v>2.59</v>
      </c>
      <c r="AV52" s="13">
        <v>0.73</v>
      </c>
      <c r="AW52" s="13">
        <v>0.85</v>
      </c>
      <c r="AX52" s="14">
        <v>0.73</v>
      </c>
    </row>
    <row r="53" spans="42:50" x14ac:dyDescent="0.25">
      <c r="AP53" s="11" t="s">
        <v>66</v>
      </c>
      <c r="AQ53" s="12">
        <v>1.89</v>
      </c>
      <c r="AR53" s="13">
        <v>0</v>
      </c>
      <c r="AS53" s="13">
        <v>0.24</v>
      </c>
      <c r="AT53" s="13">
        <v>0.45</v>
      </c>
      <c r="AU53" s="13">
        <v>2.59</v>
      </c>
      <c r="AV53" s="13">
        <v>4.8899999999999997</v>
      </c>
      <c r="AW53" s="13">
        <v>0.85</v>
      </c>
      <c r="AX53" s="14">
        <v>0.73</v>
      </c>
    </row>
    <row r="54" spans="42:50" x14ac:dyDescent="0.25">
      <c r="AP54" s="11" t="s">
        <v>67</v>
      </c>
      <c r="AQ54" s="12">
        <v>2.21</v>
      </c>
      <c r="AR54" s="13">
        <v>0.39</v>
      </c>
      <c r="AS54" s="13">
        <v>0.73</v>
      </c>
      <c r="AT54" s="13">
        <v>1.89</v>
      </c>
      <c r="AU54" s="13">
        <v>2.59</v>
      </c>
      <c r="AV54" s="13">
        <v>0.73</v>
      </c>
      <c r="AW54" s="13">
        <v>0.85</v>
      </c>
      <c r="AX54" s="14">
        <v>0.73</v>
      </c>
    </row>
    <row r="55" spans="42:50" x14ac:dyDescent="0.25">
      <c r="AP55" s="11" t="s">
        <v>68</v>
      </c>
      <c r="AQ55" s="12">
        <v>1.89</v>
      </c>
      <c r="AR55" s="13">
        <v>0.45</v>
      </c>
      <c r="AS55" s="13">
        <v>0.28000000000000003</v>
      </c>
      <c r="AT55" s="13">
        <v>5.74</v>
      </c>
      <c r="AU55" s="13">
        <v>2.21</v>
      </c>
      <c r="AV55" s="13">
        <v>0.73</v>
      </c>
      <c r="AW55" s="13">
        <v>0.85</v>
      </c>
      <c r="AX55" s="14">
        <v>0.73</v>
      </c>
    </row>
    <row r="56" spans="42:50" x14ac:dyDescent="0.25">
      <c r="AP56" s="11" t="s">
        <v>69</v>
      </c>
      <c r="AQ56" s="12">
        <v>0.85</v>
      </c>
      <c r="AR56" s="13">
        <v>0.45</v>
      </c>
      <c r="AS56" s="13">
        <v>0.24</v>
      </c>
      <c r="AT56" s="13">
        <v>0.45</v>
      </c>
      <c r="AU56" s="13">
        <v>1.89</v>
      </c>
      <c r="AV56" s="13">
        <v>0.85</v>
      </c>
      <c r="AW56" s="13">
        <v>0.85</v>
      </c>
      <c r="AX56" s="14">
        <v>0.73</v>
      </c>
    </row>
    <row r="57" spans="42:50" x14ac:dyDescent="0.25">
      <c r="AP57" s="11" t="s">
        <v>70</v>
      </c>
      <c r="AQ57" s="12">
        <v>0</v>
      </c>
      <c r="AR57" s="13">
        <v>0.45</v>
      </c>
      <c r="AS57" s="13">
        <v>0.24</v>
      </c>
      <c r="AT57" s="13">
        <v>0.53</v>
      </c>
      <c r="AU57" s="13">
        <v>2.59</v>
      </c>
      <c r="AV57" s="13">
        <v>0.73</v>
      </c>
      <c r="AW57" s="13">
        <v>0.85</v>
      </c>
      <c r="AX57" s="14">
        <v>0.53</v>
      </c>
    </row>
    <row r="58" spans="42:50" x14ac:dyDescent="0.25">
      <c r="AP58" s="11" t="s">
        <v>71</v>
      </c>
      <c r="AQ58" s="12">
        <v>0.85</v>
      </c>
      <c r="AR58" s="13">
        <v>0.53</v>
      </c>
      <c r="AS58" s="13">
        <v>0.13</v>
      </c>
      <c r="AT58" s="13">
        <v>1.89</v>
      </c>
      <c r="AU58" s="13">
        <v>1.89</v>
      </c>
      <c r="AV58" s="13">
        <v>4.8899999999999997</v>
      </c>
      <c r="AW58" s="13">
        <v>0.39</v>
      </c>
      <c r="AX58" s="14">
        <v>0.45</v>
      </c>
    </row>
    <row r="59" spans="42:50" x14ac:dyDescent="0.25">
      <c r="AP59" s="11" t="s">
        <v>72</v>
      </c>
      <c r="AQ59" s="12">
        <v>2.21</v>
      </c>
      <c r="AR59" s="13">
        <v>0.45</v>
      </c>
      <c r="AS59" s="13">
        <v>0.24</v>
      </c>
      <c r="AT59" s="13">
        <v>0.45</v>
      </c>
      <c r="AU59" s="13">
        <v>2.59</v>
      </c>
      <c r="AV59" s="13">
        <v>0.73</v>
      </c>
      <c r="AW59" s="13">
        <v>0.85</v>
      </c>
      <c r="AX59" s="14">
        <v>0.73</v>
      </c>
    </row>
    <row r="60" spans="42:50" x14ac:dyDescent="0.25">
      <c r="AP60" s="11" t="s">
        <v>73</v>
      </c>
      <c r="AQ60" s="12">
        <v>2.21</v>
      </c>
      <c r="AR60" s="13">
        <v>0.45</v>
      </c>
      <c r="AS60" s="13">
        <v>0.24</v>
      </c>
      <c r="AT60" s="13">
        <v>0.45</v>
      </c>
      <c r="AU60" s="13">
        <v>2.59</v>
      </c>
      <c r="AV60" s="13">
        <v>0</v>
      </c>
      <c r="AW60" s="13">
        <v>0.85</v>
      </c>
      <c r="AX60" s="14">
        <v>0.73</v>
      </c>
    </row>
    <row r="61" spans="42:50" x14ac:dyDescent="0.25">
      <c r="AP61" s="11" t="s">
        <v>74</v>
      </c>
      <c r="AQ61" s="12">
        <v>2.21</v>
      </c>
      <c r="AR61" s="13">
        <v>0.45</v>
      </c>
      <c r="AS61" s="13">
        <v>0.24</v>
      </c>
      <c r="AT61" s="13">
        <v>0.45</v>
      </c>
      <c r="AU61" s="13">
        <v>2.59</v>
      </c>
      <c r="AV61" s="13">
        <v>0.73</v>
      </c>
      <c r="AW61" s="13">
        <v>0.85</v>
      </c>
      <c r="AX61" s="14">
        <v>0.53</v>
      </c>
    </row>
    <row r="62" spans="42:50" ht="15.75" thickBot="1" x14ac:dyDescent="0.3">
      <c r="AP62" s="11" t="s">
        <v>75</v>
      </c>
      <c r="AQ62" s="12">
        <v>2.21</v>
      </c>
      <c r="AR62" s="13">
        <v>0.45</v>
      </c>
      <c r="AS62" s="13">
        <v>0.13</v>
      </c>
      <c r="AT62" s="13">
        <v>1.89</v>
      </c>
      <c r="AU62" s="13">
        <v>2.59</v>
      </c>
      <c r="AV62" s="13">
        <v>0.73</v>
      </c>
      <c r="AW62" s="13">
        <v>0.85</v>
      </c>
      <c r="AX62" s="14">
        <v>0.73</v>
      </c>
    </row>
    <row r="63" spans="42:50" x14ac:dyDescent="0.25">
      <c r="AP63" s="7" t="s">
        <v>227</v>
      </c>
      <c r="AQ63" s="8">
        <v>1.9775471698113101</v>
      </c>
      <c r="AR63" s="9">
        <v>0.46263157894736801</v>
      </c>
      <c r="AS63" s="9">
        <v>0.231864406779661</v>
      </c>
      <c r="AT63" s="9">
        <v>1.1057627118644</v>
      </c>
      <c r="AU63" s="9">
        <v>2.26728813559322</v>
      </c>
      <c r="AV63" s="9">
        <v>1.1348275862068899</v>
      </c>
      <c r="AW63" s="9">
        <v>2.5801694915254201</v>
      </c>
      <c r="AX63" s="10">
        <v>0.65050847457627103</v>
      </c>
    </row>
    <row r="64" spans="42:50" x14ac:dyDescent="0.25">
      <c r="AP64" s="11" t="s">
        <v>228</v>
      </c>
      <c r="AQ64" s="12">
        <v>0.44296132826810802</v>
      </c>
      <c r="AR64" s="13">
        <v>6.0712908416448899E-2</v>
      </c>
      <c r="AS64" s="13">
        <v>0.11680019991089199</v>
      </c>
      <c r="AT64" s="13">
        <v>1.3186731947460599</v>
      </c>
      <c r="AU64" s="13">
        <v>0.53637145776662398</v>
      </c>
      <c r="AV64" s="13">
        <v>1.0443530275417101</v>
      </c>
      <c r="AW64" s="13">
        <v>7.9178696183573596</v>
      </c>
      <c r="AX64" s="14">
        <v>0.108321926490854</v>
      </c>
    </row>
    <row r="65" spans="42:50" x14ac:dyDescent="0.25">
      <c r="AP65" s="11" t="s">
        <v>229</v>
      </c>
      <c r="AQ65" s="12">
        <v>2.4205084980794198</v>
      </c>
      <c r="AR65" s="13">
        <v>0.523344487363817</v>
      </c>
      <c r="AS65" s="13">
        <v>0.34866460669055299</v>
      </c>
      <c r="AT65" s="13">
        <v>2.4244359066104701</v>
      </c>
      <c r="AU65" s="13">
        <v>2.8036595933598401</v>
      </c>
      <c r="AV65" s="13">
        <v>2.1791806137486098</v>
      </c>
      <c r="AW65" s="13">
        <v>10.498039109882701</v>
      </c>
      <c r="AX65" s="14">
        <v>0.75883040106712496</v>
      </c>
    </row>
    <row r="66" spans="42:50" x14ac:dyDescent="0.25">
      <c r="AP66" s="11" t="s">
        <v>230</v>
      </c>
      <c r="AQ66" s="12">
        <v>1.5345858415432101</v>
      </c>
      <c r="AR66" s="13">
        <v>0.40191867053091901</v>
      </c>
      <c r="AS66" s="13">
        <v>0.115064206868769</v>
      </c>
      <c r="AT66" s="13">
        <v>-0.21291048288165901</v>
      </c>
      <c r="AU66" s="13">
        <v>1.7309166778265901</v>
      </c>
      <c r="AV66" s="13">
        <v>9.0474558665178201E-2</v>
      </c>
      <c r="AW66" s="13">
        <v>-5.3377001268319404</v>
      </c>
      <c r="AX66" s="14">
        <v>0.542186548085417</v>
      </c>
    </row>
    <row r="67" spans="42:50" ht="15.75" thickBot="1" x14ac:dyDescent="0.3">
      <c r="AP67" s="15" t="s">
        <v>231</v>
      </c>
      <c r="AQ67" s="16">
        <v>2.1033333333333299</v>
      </c>
      <c r="AR67" s="17">
        <v>0.44999999999999901</v>
      </c>
      <c r="AS67" s="17">
        <v>0.22</v>
      </c>
      <c r="AT67" s="17">
        <v>0.73962962962962897</v>
      </c>
      <c r="AU67" s="17">
        <v>2.4732653061224501</v>
      </c>
      <c r="AV67" s="17">
        <v>0.82075471698113101</v>
      </c>
      <c r="AW67" s="17">
        <v>0.75339285714285698</v>
      </c>
      <c r="AX67" s="18">
        <v>0.72175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x14ac:dyDescent="0.25">
      <c r="AP69" s="28" t="s">
        <v>232</v>
      </c>
      <c r="AQ69" s="29">
        <v>1.95</v>
      </c>
      <c r="AR69" s="29">
        <v>3.4</v>
      </c>
      <c r="AS69" s="29">
        <v>4.83</v>
      </c>
      <c r="AT69" s="29">
        <v>5.42</v>
      </c>
      <c r="AU69" s="29">
        <v>3.92</v>
      </c>
      <c r="AV69" s="29">
        <v>4.3499999999999996</v>
      </c>
      <c r="AW69" s="29">
        <v>1.86</v>
      </c>
      <c r="AX69" s="30">
        <v>2.73</v>
      </c>
    </row>
    <row r="70" spans="42:50" x14ac:dyDescent="0.25">
      <c r="AP70" s="31" t="s">
        <v>233</v>
      </c>
      <c r="AQ70" s="32">
        <f t="shared" ref="AQ70:AX70" si="0">AQ69-AQ67</f>
        <v>-0.15333333333332999</v>
      </c>
      <c r="AR70" s="32">
        <f t="shared" si="0"/>
        <v>2.9500000000000011</v>
      </c>
      <c r="AS70" s="32">
        <f t="shared" si="0"/>
        <v>4.6100000000000003</v>
      </c>
      <c r="AT70" s="32">
        <f t="shared" si="0"/>
        <v>4.6803703703703707</v>
      </c>
      <c r="AU70" s="32">
        <f t="shared" si="0"/>
        <v>1.4467346938775498</v>
      </c>
      <c r="AV70" s="32">
        <f t="shared" si="0"/>
        <v>3.5292452830188688</v>
      </c>
      <c r="AW70" s="32">
        <f t="shared" si="0"/>
        <v>1.1066071428571431</v>
      </c>
      <c r="AX70" s="33">
        <f t="shared" si="0"/>
        <v>2.0082499999999999</v>
      </c>
    </row>
    <row r="71" spans="42:50" ht="15.75" thickBot="1" x14ac:dyDescent="0.3">
      <c r="AP71" s="34" t="s">
        <v>234</v>
      </c>
      <c r="AQ71" s="35">
        <f t="shared" ref="AQ71:AX71" si="1">(AQ70/AQ67)*100</f>
        <v>-7.2900158478603911</v>
      </c>
      <c r="AR71" s="35">
        <f t="shared" si="1"/>
        <v>655.55555555555725</v>
      </c>
      <c r="AS71" s="35">
        <f t="shared" si="1"/>
        <v>2095.4545454545455</v>
      </c>
      <c r="AT71" s="35">
        <f t="shared" si="1"/>
        <v>632.79919879819784</v>
      </c>
      <c r="AU71" s="35">
        <f t="shared" si="1"/>
        <v>58.494925323871527</v>
      </c>
      <c r="AV71" s="35">
        <f t="shared" si="1"/>
        <v>430.00000000000068</v>
      </c>
      <c r="AW71" s="35">
        <f t="shared" si="1"/>
        <v>146.88314766532361</v>
      </c>
      <c r="AX71" s="36">
        <f t="shared" si="1"/>
        <v>278.24731555247661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x14ac:dyDescent="0.25">
      <c r="AP73" s="28" t="s">
        <v>235</v>
      </c>
      <c r="AQ73" s="29">
        <v>1.94</v>
      </c>
      <c r="AR73" s="29">
        <v>3.45</v>
      </c>
      <c r="AS73" s="29">
        <v>4.8499999999999996</v>
      </c>
      <c r="AT73" s="29">
        <v>5.37</v>
      </c>
      <c r="AU73" s="29">
        <v>3.93</v>
      </c>
      <c r="AV73" s="29">
        <v>4.3499999999999996</v>
      </c>
      <c r="AW73" s="29">
        <v>1.76</v>
      </c>
      <c r="AX73" s="30">
        <v>2.64</v>
      </c>
    </row>
    <row r="74" spans="42:50" x14ac:dyDescent="0.25">
      <c r="AP74" s="31" t="s">
        <v>233</v>
      </c>
      <c r="AQ74" s="32">
        <f t="shared" ref="AQ74:AX74" si="2">AQ73-AQ67</f>
        <v>-0.16333333333333</v>
      </c>
      <c r="AR74" s="32">
        <f t="shared" si="2"/>
        <v>3.0000000000000013</v>
      </c>
      <c r="AS74" s="32">
        <f t="shared" si="2"/>
        <v>4.63</v>
      </c>
      <c r="AT74" s="32">
        <f t="shared" si="2"/>
        <v>4.6303703703703709</v>
      </c>
      <c r="AU74" s="32">
        <f t="shared" si="2"/>
        <v>1.4567346938775501</v>
      </c>
      <c r="AV74" s="32">
        <f t="shared" si="2"/>
        <v>3.5292452830188688</v>
      </c>
      <c r="AW74" s="32">
        <f t="shared" si="2"/>
        <v>1.006607142857143</v>
      </c>
      <c r="AX74" s="33">
        <f t="shared" si="2"/>
        <v>1.91825</v>
      </c>
    </row>
    <row r="75" spans="42:50" ht="15.75" thickBot="1" x14ac:dyDescent="0.3">
      <c r="AP75" s="34" t="s">
        <v>234</v>
      </c>
      <c r="AQ75" s="35">
        <f t="shared" ref="AQ75:AX75" si="3">(AQ74/AQ67)*100</f>
        <v>-7.7654516640252105</v>
      </c>
      <c r="AR75" s="35">
        <f t="shared" si="3"/>
        <v>666.66666666666833</v>
      </c>
      <c r="AS75" s="35">
        <f t="shared" si="3"/>
        <v>2104.5454545454545</v>
      </c>
      <c r="AT75" s="35">
        <f t="shared" si="3"/>
        <v>626.03905858788244</v>
      </c>
      <c r="AU75" s="35">
        <f t="shared" si="3"/>
        <v>58.899249112963048</v>
      </c>
      <c r="AV75" s="35">
        <f t="shared" si="3"/>
        <v>430.00000000000068</v>
      </c>
      <c r="AW75" s="35">
        <f t="shared" si="3"/>
        <v>133.60986015643525</v>
      </c>
      <c r="AX75" s="36">
        <f t="shared" si="3"/>
        <v>265.77762383096643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x14ac:dyDescent="0.25">
      <c r="AP77" s="28" t="s">
        <v>236</v>
      </c>
      <c r="AQ77" s="41">
        <v>1.87</v>
      </c>
      <c r="AR77" s="29">
        <v>3.49</v>
      </c>
      <c r="AS77" s="29">
        <v>4.88</v>
      </c>
      <c r="AT77" s="29">
        <v>5.41</v>
      </c>
      <c r="AU77" s="29">
        <v>3.97</v>
      </c>
      <c r="AV77" s="29">
        <v>4.4000000000000004</v>
      </c>
      <c r="AW77" s="29">
        <v>1.76</v>
      </c>
      <c r="AX77" s="30">
        <v>2.66</v>
      </c>
    </row>
    <row r="78" spans="42:50" x14ac:dyDescent="0.25">
      <c r="AP78" s="31" t="s">
        <v>233</v>
      </c>
      <c r="AQ78" s="42">
        <f>AQ77-AQ67</f>
        <v>-0.23333333333332984</v>
      </c>
      <c r="AR78" s="32">
        <f t="shared" ref="AR78:AX78" si="4">AR77-AR67</f>
        <v>3.0400000000000014</v>
      </c>
      <c r="AS78" s="32">
        <f t="shared" si="4"/>
        <v>4.66</v>
      </c>
      <c r="AT78" s="32">
        <f t="shared" si="4"/>
        <v>4.6703703703703709</v>
      </c>
      <c r="AU78" s="32">
        <f t="shared" si="4"/>
        <v>1.4967346938775501</v>
      </c>
      <c r="AV78" s="32">
        <f t="shared" si="4"/>
        <v>3.5792452830188695</v>
      </c>
      <c r="AW78" s="32">
        <f t="shared" si="4"/>
        <v>1.006607142857143</v>
      </c>
      <c r="AX78" s="33">
        <f t="shared" si="4"/>
        <v>1.93825</v>
      </c>
    </row>
    <row r="79" spans="42:50" ht="15.75" thickBot="1" x14ac:dyDescent="0.3">
      <c r="AP79" s="34" t="s">
        <v>234</v>
      </c>
      <c r="AQ79" s="43">
        <f>(AQ78/AQ67)*100</f>
        <v>-11.093502377178933</v>
      </c>
      <c r="AR79" s="35">
        <f t="shared" ref="AR79:AX79" si="5">(AR78/AR67)*100</f>
        <v>675.55555555555736</v>
      </c>
      <c r="AS79" s="35">
        <f t="shared" si="5"/>
        <v>2118.1818181818185</v>
      </c>
      <c r="AT79" s="35">
        <f t="shared" si="5"/>
        <v>631.44717075613482</v>
      </c>
      <c r="AU79" s="35">
        <f t="shared" si="5"/>
        <v>60.516544269329088</v>
      </c>
      <c r="AV79" s="35">
        <f t="shared" si="5"/>
        <v>436.09195402298928</v>
      </c>
      <c r="AW79" s="35">
        <f t="shared" si="5"/>
        <v>133.60986015643525</v>
      </c>
      <c r="AX79" s="36">
        <f t="shared" si="5"/>
        <v>268.54866643574644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I33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285156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5.5703125" style="3" bestFit="1" customWidth="1"/>
    <col min="48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195</v>
      </c>
      <c r="AQ4" s="8">
        <v>2.21</v>
      </c>
      <c r="AR4" s="9">
        <v>0.39</v>
      </c>
      <c r="AS4" s="9">
        <v>0.24</v>
      </c>
      <c r="AT4" s="9">
        <v>0.45</v>
      </c>
      <c r="AU4" s="9">
        <v>2.59</v>
      </c>
      <c r="AV4" s="9">
        <v>0.73</v>
      </c>
      <c r="AW4" s="9">
        <v>0.85</v>
      </c>
      <c r="AX4" s="10">
        <v>0.73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195</v>
      </c>
      <c r="AQ5" s="12">
        <v>2.21</v>
      </c>
      <c r="AR5" s="13">
        <v>0.45</v>
      </c>
      <c r="AS5" s="13">
        <v>0.24</v>
      </c>
      <c r="AT5" s="13">
        <v>0.45</v>
      </c>
      <c r="AU5" s="13">
        <v>2.21</v>
      </c>
      <c r="AV5" s="13">
        <v>0.73</v>
      </c>
      <c r="AW5" s="13">
        <v>0.85</v>
      </c>
      <c r="AX5" s="14">
        <v>0.73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195</v>
      </c>
      <c r="AQ6" s="12">
        <v>2.21</v>
      </c>
      <c r="AR6" s="13">
        <v>0.53</v>
      </c>
      <c r="AS6" s="13">
        <v>0.24</v>
      </c>
      <c r="AT6" s="13">
        <v>0.53</v>
      </c>
      <c r="AU6" s="13">
        <v>1.61</v>
      </c>
      <c r="AV6" s="13">
        <v>1.17</v>
      </c>
      <c r="AW6" s="13">
        <v>0.85</v>
      </c>
      <c r="AX6" s="14">
        <v>0.62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195</v>
      </c>
      <c r="AQ7" s="12">
        <v>1.89</v>
      </c>
      <c r="AR7" s="13">
        <v>0.45</v>
      </c>
      <c r="AS7" s="13">
        <v>0.24</v>
      </c>
      <c r="AT7" s="13">
        <v>0.45</v>
      </c>
      <c r="AU7" s="13">
        <v>2.59</v>
      </c>
      <c r="AV7" s="13">
        <v>0.73</v>
      </c>
      <c r="AW7" s="13">
        <v>0.85</v>
      </c>
      <c r="AX7" s="14">
        <v>0.73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195</v>
      </c>
      <c r="AQ8" s="12">
        <v>2.21</v>
      </c>
      <c r="AR8" s="13">
        <v>0.39</v>
      </c>
      <c r="AS8" s="13">
        <v>0.24</v>
      </c>
      <c r="AT8" s="13">
        <v>0.45</v>
      </c>
      <c r="AU8" s="13">
        <v>2.59</v>
      </c>
      <c r="AV8" s="13">
        <v>0.73</v>
      </c>
      <c r="AW8" s="13">
        <v>0.85</v>
      </c>
      <c r="AX8" s="14">
        <v>0.62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196</v>
      </c>
      <c r="AQ9" s="12">
        <v>2.59</v>
      </c>
      <c r="AR9" s="13">
        <v>0.45</v>
      </c>
      <c r="AS9" s="13">
        <v>0.24</v>
      </c>
      <c r="AT9" s="13">
        <v>0.45</v>
      </c>
      <c r="AU9" s="13">
        <v>2.59</v>
      </c>
      <c r="AV9" s="13">
        <v>0.73</v>
      </c>
      <c r="AW9" s="13">
        <v>0.85</v>
      </c>
      <c r="AX9" s="14">
        <v>0.53</v>
      </c>
    </row>
    <row r="10" spans="2:80" x14ac:dyDescent="0.25">
      <c r="AP10" s="11" t="s">
        <v>196</v>
      </c>
      <c r="AQ10" s="12">
        <v>0</v>
      </c>
      <c r="AR10" s="13">
        <v>0.45</v>
      </c>
      <c r="AS10" s="13">
        <v>0.11</v>
      </c>
      <c r="AT10" s="13">
        <v>1.89</v>
      </c>
      <c r="AU10" s="13">
        <v>1.89</v>
      </c>
      <c r="AV10" s="13">
        <v>1.17</v>
      </c>
      <c r="AW10" s="13">
        <v>0.33</v>
      </c>
      <c r="AX10" s="14">
        <v>0.45</v>
      </c>
    </row>
    <row r="11" spans="2:80" x14ac:dyDescent="0.25">
      <c r="AP11" s="11" t="s">
        <v>196</v>
      </c>
      <c r="AQ11" s="12">
        <v>2.21</v>
      </c>
      <c r="AR11" s="13">
        <v>0.45</v>
      </c>
      <c r="AS11" s="13">
        <v>0.24</v>
      </c>
      <c r="AT11" s="13">
        <v>0.45</v>
      </c>
      <c r="AU11" s="13">
        <v>1.61</v>
      </c>
      <c r="AV11" s="13">
        <v>0.73</v>
      </c>
      <c r="AW11" s="13">
        <v>0.85</v>
      </c>
      <c r="AX11" s="14">
        <v>0.53</v>
      </c>
    </row>
    <row r="12" spans="2:80" x14ac:dyDescent="0.25">
      <c r="AP12" s="11" t="s">
        <v>196</v>
      </c>
      <c r="AQ12" s="12">
        <v>2.21</v>
      </c>
      <c r="AR12" s="13">
        <v>0.45</v>
      </c>
      <c r="AS12" s="13">
        <v>0.24</v>
      </c>
      <c r="AT12" s="13">
        <v>2.21</v>
      </c>
      <c r="AU12" s="13">
        <v>2.59</v>
      </c>
      <c r="AV12" s="13">
        <v>0.73</v>
      </c>
      <c r="AW12" s="13">
        <v>0.85</v>
      </c>
      <c r="AX12" s="14">
        <v>0.73</v>
      </c>
    </row>
    <row r="13" spans="2:80" x14ac:dyDescent="0.25">
      <c r="AP13" s="11" t="s">
        <v>196</v>
      </c>
      <c r="AQ13" s="12">
        <v>2.21</v>
      </c>
      <c r="AR13" s="13">
        <v>0.45</v>
      </c>
      <c r="AS13" s="13">
        <v>0.24</v>
      </c>
      <c r="AT13" s="13">
        <v>4.8899999999999997</v>
      </c>
      <c r="AU13" s="13">
        <v>2.21</v>
      </c>
      <c r="AV13" s="13">
        <v>0.73</v>
      </c>
      <c r="AW13" s="13">
        <v>0.28000000000000003</v>
      </c>
      <c r="AX13" s="14">
        <v>0.73</v>
      </c>
    </row>
    <row r="14" spans="2:80" x14ac:dyDescent="0.25">
      <c r="AP14" s="11" t="s">
        <v>197</v>
      </c>
      <c r="AQ14" s="12">
        <v>2.21</v>
      </c>
      <c r="AR14" s="13">
        <v>0.45</v>
      </c>
      <c r="AS14" s="13">
        <v>0.13</v>
      </c>
      <c r="AT14" s="13">
        <v>4.8899999999999997</v>
      </c>
      <c r="AU14" s="13">
        <v>2.59</v>
      </c>
      <c r="AV14" s="13">
        <v>0.73</v>
      </c>
      <c r="AW14" s="13">
        <v>0.85</v>
      </c>
      <c r="AX14" s="14">
        <v>0.53</v>
      </c>
    </row>
    <row r="15" spans="2:80" x14ac:dyDescent="0.25">
      <c r="AP15" s="11" t="s">
        <v>197</v>
      </c>
      <c r="AQ15" s="12">
        <v>2.21</v>
      </c>
      <c r="AR15" s="13">
        <v>0</v>
      </c>
      <c r="AS15" s="13">
        <v>0.24</v>
      </c>
      <c r="AT15" s="13">
        <v>0.45</v>
      </c>
      <c r="AU15" s="13">
        <v>1.61</v>
      </c>
      <c r="AV15" s="13">
        <v>0.73</v>
      </c>
      <c r="AW15" s="13">
        <v>0.85</v>
      </c>
      <c r="AX15" s="14">
        <v>0.53</v>
      </c>
    </row>
    <row r="16" spans="2:80" x14ac:dyDescent="0.25">
      <c r="AP16" s="11" t="s">
        <v>197</v>
      </c>
      <c r="AQ16" s="12">
        <v>2.21</v>
      </c>
      <c r="AR16" s="13">
        <v>0.45</v>
      </c>
      <c r="AS16" s="13">
        <v>0.24</v>
      </c>
      <c r="AT16" s="13">
        <v>0.45</v>
      </c>
      <c r="AU16" s="13">
        <v>2.59</v>
      </c>
      <c r="AV16" s="13">
        <v>0.73</v>
      </c>
      <c r="AW16" s="13">
        <v>0.85</v>
      </c>
      <c r="AX16" s="14">
        <v>0.73</v>
      </c>
    </row>
    <row r="17" spans="42:50" x14ac:dyDescent="0.25">
      <c r="AP17" s="11" t="s">
        <v>197</v>
      </c>
      <c r="AQ17" s="12">
        <v>2.21</v>
      </c>
      <c r="AR17" s="13">
        <v>0.45</v>
      </c>
      <c r="AS17" s="13">
        <v>0.85</v>
      </c>
      <c r="AT17" s="13">
        <v>0.45</v>
      </c>
      <c r="AU17" s="13">
        <v>1.89</v>
      </c>
      <c r="AV17" s="13">
        <v>1.37</v>
      </c>
      <c r="AW17" s="13">
        <v>0.33</v>
      </c>
      <c r="AX17" s="14">
        <v>0.73</v>
      </c>
    </row>
    <row r="18" spans="42:50" x14ac:dyDescent="0.25">
      <c r="AP18" s="11" t="s">
        <v>197</v>
      </c>
      <c r="AQ18" s="12">
        <v>1.89</v>
      </c>
      <c r="AR18" s="13">
        <v>0.45</v>
      </c>
      <c r="AS18" s="13">
        <v>0.24</v>
      </c>
      <c r="AT18" s="13">
        <v>0.53</v>
      </c>
      <c r="AU18" s="13">
        <v>2.59</v>
      </c>
      <c r="AV18" s="13">
        <v>0.73</v>
      </c>
      <c r="AW18" s="13">
        <v>0.85</v>
      </c>
      <c r="AX18" s="14">
        <v>0.73</v>
      </c>
    </row>
    <row r="19" spans="42:50" x14ac:dyDescent="0.25">
      <c r="AP19" s="11" t="s">
        <v>198</v>
      </c>
      <c r="AQ19" s="12">
        <v>2.21</v>
      </c>
      <c r="AR19" s="13">
        <v>0.45</v>
      </c>
      <c r="AS19" s="13">
        <v>0.24</v>
      </c>
      <c r="AT19" s="13">
        <v>0.45</v>
      </c>
      <c r="AU19" s="13">
        <v>2.59</v>
      </c>
      <c r="AV19" s="13">
        <v>0.73</v>
      </c>
      <c r="AW19" s="13">
        <v>0.39</v>
      </c>
      <c r="AX19" s="14">
        <v>0.73</v>
      </c>
    </row>
    <row r="20" spans="42:50" x14ac:dyDescent="0.25">
      <c r="AP20" s="11" t="s">
        <v>198</v>
      </c>
      <c r="AQ20" s="12">
        <v>0.85</v>
      </c>
      <c r="AR20" s="13">
        <v>0.39</v>
      </c>
      <c r="AS20" s="13">
        <v>0.11</v>
      </c>
      <c r="AT20" s="13">
        <v>1.61</v>
      </c>
      <c r="AU20" s="13">
        <v>1.89</v>
      </c>
      <c r="AV20" s="13">
        <v>1.17</v>
      </c>
      <c r="AW20" s="13">
        <v>38.57</v>
      </c>
      <c r="AX20" s="14">
        <v>0.45</v>
      </c>
    </row>
    <row r="21" spans="42:50" x14ac:dyDescent="0.25">
      <c r="AP21" s="11" t="s">
        <v>198</v>
      </c>
      <c r="AQ21" s="12">
        <v>2.21</v>
      </c>
      <c r="AR21" s="13">
        <v>0.45</v>
      </c>
      <c r="AS21" s="13">
        <v>0.13</v>
      </c>
      <c r="AT21" s="13">
        <v>0.45</v>
      </c>
      <c r="AU21" s="13">
        <v>2.59</v>
      </c>
      <c r="AV21" s="13">
        <v>1.17</v>
      </c>
      <c r="AW21" s="13">
        <v>32.9</v>
      </c>
      <c r="AX21" s="14">
        <v>0.73</v>
      </c>
    </row>
    <row r="22" spans="42:50" x14ac:dyDescent="0.25">
      <c r="AP22" s="11" t="s">
        <v>198</v>
      </c>
      <c r="AQ22" s="12">
        <v>2.21</v>
      </c>
      <c r="AR22" s="13">
        <v>0.45</v>
      </c>
      <c r="AS22" s="13">
        <v>0.24</v>
      </c>
      <c r="AT22" s="13">
        <v>0.53</v>
      </c>
      <c r="AU22" s="13">
        <v>2.59</v>
      </c>
      <c r="AV22" s="13">
        <v>1.37</v>
      </c>
      <c r="AW22" s="13">
        <v>0.85</v>
      </c>
      <c r="AX22" s="14">
        <v>0.73</v>
      </c>
    </row>
    <row r="23" spans="42:50" x14ac:dyDescent="0.25">
      <c r="AP23" s="11" t="s">
        <v>198</v>
      </c>
      <c r="AQ23" s="12">
        <v>1.89</v>
      </c>
      <c r="AR23" s="13">
        <v>0.45</v>
      </c>
      <c r="AS23" s="13">
        <v>0.24</v>
      </c>
      <c r="AT23" s="13">
        <v>0.45</v>
      </c>
      <c r="AU23" s="13">
        <v>2.59</v>
      </c>
      <c r="AV23" s="13">
        <v>0.73</v>
      </c>
      <c r="AW23" s="13">
        <v>0.85</v>
      </c>
      <c r="AX23" s="14">
        <v>0.73</v>
      </c>
    </row>
    <row r="24" spans="42:50" x14ac:dyDescent="0.25">
      <c r="AP24" s="11" t="s">
        <v>199</v>
      </c>
      <c r="AQ24" s="12">
        <v>2.21</v>
      </c>
      <c r="AR24" s="13">
        <v>0.45</v>
      </c>
      <c r="AS24" s="13">
        <v>0.24</v>
      </c>
      <c r="AT24" s="13">
        <v>0.45</v>
      </c>
      <c r="AU24" s="13">
        <v>0.73</v>
      </c>
      <c r="AV24" s="13">
        <v>0.73</v>
      </c>
      <c r="AW24" s="13">
        <v>0.85</v>
      </c>
      <c r="AX24" s="14">
        <v>0.73</v>
      </c>
    </row>
    <row r="25" spans="42:50" x14ac:dyDescent="0.25">
      <c r="AP25" s="11" t="s">
        <v>199</v>
      </c>
      <c r="AQ25" s="12">
        <v>2.21</v>
      </c>
      <c r="AR25" s="13">
        <v>0.39</v>
      </c>
      <c r="AS25" s="13">
        <v>0.24</v>
      </c>
      <c r="AT25" s="13">
        <v>0.45</v>
      </c>
      <c r="AU25" s="13">
        <v>2.59</v>
      </c>
      <c r="AV25" s="13">
        <v>0.73</v>
      </c>
      <c r="AW25" s="13">
        <v>0.85</v>
      </c>
      <c r="AX25" s="14">
        <v>0.73</v>
      </c>
    </row>
    <row r="26" spans="42:50" x14ac:dyDescent="0.25">
      <c r="AP26" s="11" t="s">
        <v>199</v>
      </c>
      <c r="AQ26" s="12">
        <v>2.21</v>
      </c>
      <c r="AR26" s="13">
        <v>0.45</v>
      </c>
      <c r="AS26" s="13">
        <v>0.24</v>
      </c>
      <c r="AT26" s="13">
        <v>0.45</v>
      </c>
      <c r="AU26" s="13">
        <v>2.59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199</v>
      </c>
      <c r="AQ27" s="12">
        <v>2.21</v>
      </c>
      <c r="AR27" s="13">
        <v>0.45</v>
      </c>
      <c r="AS27" s="13">
        <v>0.28000000000000003</v>
      </c>
      <c r="AT27" s="13">
        <v>0.53</v>
      </c>
      <c r="AU27" s="13">
        <v>2.59</v>
      </c>
      <c r="AV27" s="13">
        <v>0.62</v>
      </c>
      <c r="AW27" s="13">
        <v>0.85</v>
      </c>
      <c r="AX27" s="14">
        <v>0.73</v>
      </c>
    </row>
    <row r="28" spans="42:50" x14ac:dyDescent="0.25">
      <c r="AP28" s="11" t="s">
        <v>199</v>
      </c>
      <c r="AQ28" s="12">
        <v>1.89</v>
      </c>
      <c r="AR28" s="13">
        <v>0.45</v>
      </c>
      <c r="AS28" s="13">
        <v>0.24</v>
      </c>
      <c r="AT28" s="13">
        <v>0.53</v>
      </c>
      <c r="AU28" s="13">
        <v>2.59</v>
      </c>
      <c r="AV28" s="13">
        <v>0.73</v>
      </c>
      <c r="AW28" s="13">
        <v>0.85</v>
      </c>
      <c r="AX28" s="14">
        <v>0.62</v>
      </c>
    </row>
    <row r="29" spans="42:50" x14ac:dyDescent="0.25">
      <c r="AP29" s="11" t="s">
        <v>200</v>
      </c>
      <c r="AQ29" s="12">
        <v>2.21</v>
      </c>
      <c r="AR29" s="13">
        <v>0.45</v>
      </c>
      <c r="AS29" s="13">
        <v>0.2</v>
      </c>
      <c r="AT29" s="13">
        <v>0.45</v>
      </c>
      <c r="AU29" s="13">
        <v>2.59</v>
      </c>
      <c r="AV29" s="13">
        <v>0.73</v>
      </c>
      <c r="AW29" s="13">
        <v>0.85</v>
      </c>
      <c r="AX29" s="14">
        <v>0.73</v>
      </c>
    </row>
    <row r="30" spans="42:50" x14ac:dyDescent="0.25">
      <c r="AP30" s="11" t="s">
        <v>200</v>
      </c>
      <c r="AQ30" s="12">
        <v>0</v>
      </c>
      <c r="AR30" s="13">
        <v>0.45</v>
      </c>
      <c r="AS30" s="13">
        <v>0.13</v>
      </c>
      <c r="AT30" s="13">
        <v>4.8899999999999997</v>
      </c>
      <c r="AU30" s="13">
        <v>1.89</v>
      </c>
      <c r="AV30" s="13">
        <v>1.17</v>
      </c>
      <c r="AW30" s="13">
        <v>0.45</v>
      </c>
      <c r="AX30" s="14">
        <v>0.53</v>
      </c>
    </row>
    <row r="31" spans="42:50" x14ac:dyDescent="0.25">
      <c r="AP31" s="11" t="s">
        <v>200</v>
      </c>
      <c r="AQ31" s="12">
        <v>1.89</v>
      </c>
      <c r="AR31" s="13">
        <v>0.53</v>
      </c>
      <c r="AS31" s="13">
        <v>0.24</v>
      </c>
      <c r="AT31" s="13">
        <v>0.53</v>
      </c>
      <c r="AU31" s="13">
        <v>2.59</v>
      </c>
      <c r="AV31" s="13">
        <v>0.73</v>
      </c>
      <c r="AW31" s="13">
        <v>0.33</v>
      </c>
      <c r="AX31" s="14">
        <v>0.73</v>
      </c>
    </row>
    <row r="32" spans="42:50" x14ac:dyDescent="0.25">
      <c r="AP32" s="11" t="s">
        <v>200</v>
      </c>
      <c r="AQ32" s="12">
        <v>1.89</v>
      </c>
      <c r="AR32" s="13">
        <v>0.45</v>
      </c>
      <c r="AS32" s="13">
        <v>0.24</v>
      </c>
      <c r="AT32" s="13">
        <v>0.45</v>
      </c>
      <c r="AU32" s="13">
        <v>2.21</v>
      </c>
      <c r="AV32" s="13">
        <v>0.73</v>
      </c>
      <c r="AW32" s="13">
        <v>0.85</v>
      </c>
      <c r="AX32" s="14">
        <v>0.73</v>
      </c>
    </row>
    <row r="33" spans="42:50" x14ac:dyDescent="0.25">
      <c r="AP33" s="11" t="s">
        <v>200</v>
      </c>
      <c r="AQ33" s="12">
        <v>1.89</v>
      </c>
      <c r="AR33" s="13">
        <v>0.53</v>
      </c>
      <c r="AS33" s="13">
        <v>0.24</v>
      </c>
      <c r="AT33" s="13">
        <v>0.53</v>
      </c>
      <c r="AU33" s="13">
        <v>0.73</v>
      </c>
      <c r="AV33" s="13">
        <v>0.73</v>
      </c>
      <c r="AW33" s="13">
        <v>0.85</v>
      </c>
      <c r="AX33" s="14">
        <v>0.73</v>
      </c>
    </row>
    <row r="34" spans="42:50" x14ac:dyDescent="0.25">
      <c r="AP34" s="11" t="s">
        <v>201</v>
      </c>
      <c r="AQ34" s="12">
        <v>2.21</v>
      </c>
      <c r="AR34" s="13">
        <v>0.45</v>
      </c>
      <c r="AS34" s="13">
        <v>0.28000000000000003</v>
      </c>
      <c r="AT34" s="13">
        <v>0.53</v>
      </c>
      <c r="AU34" s="13">
        <v>0.73</v>
      </c>
      <c r="AV34" s="13">
        <v>0.73</v>
      </c>
      <c r="AW34" s="13">
        <v>0.85</v>
      </c>
      <c r="AX34" s="14">
        <v>0.45</v>
      </c>
    </row>
    <row r="35" spans="42:50" x14ac:dyDescent="0.25">
      <c r="AP35" s="11" t="s">
        <v>201</v>
      </c>
      <c r="AQ35" s="12">
        <v>1.89</v>
      </c>
      <c r="AR35" s="13">
        <v>0.45</v>
      </c>
      <c r="AS35" s="13">
        <v>0.24</v>
      </c>
      <c r="AT35" s="13">
        <v>0.45</v>
      </c>
      <c r="AU35" s="13">
        <v>2.59</v>
      </c>
      <c r="AV35" s="13">
        <v>0.73</v>
      </c>
      <c r="AW35" s="13">
        <v>0.85</v>
      </c>
      <c r="AX35" s="14">
        <v>0.73</v>
      </c>
    </row>
    <row r="36" spans="42:50" x14ac:dyDescent="0.25">
      <c r="AP36" s="11" t="s">
        <v>201</v>
      </c>
      <c r="AQ36" s="12">
        <v>0</v>
      </c>
      <c r="AR36" s="13">
        <v>0.45</v>
      </c>
      <c r="AS36" s="13">
        <v>0.13</v>
      </c>
      <c r="AT36" s="13">
        <v>0.53</v>
      </c>
      <c r="AU36" s="13">
        <v>2.59</v>
      </c>
      <c r="AV36" s="13">
        <v>0.73</v>
      </c>
      <c r="AW36" s="13">
        <v>0.85</v>
      </c>
      <c r="AX36" s="14">
        <v>0.62</v>
      </c>
    </row>
    <row r="37" spans="42:50" x14ac:dyDescent="0.25">
      <c r="AP37" s="11" t="s">
        <v>201</v>
      </c>
      <c r="AQ37" s="12">
        <v>0.85</v>
      </c>
      <c r="AR37" s="13">
        <v>0.45</v>
      </c>
      <c r="AS37" s="13">
        <v>0.13</v>
      </c>
      <c r="AT37" s="13">
        <v>1.89</v>
      </c>
      <c r="AU37" s="13">
        <v>1.61</v>
      </c>
      <c r="AV37" s="13">
        <v>0.73</v>
      </c>
      <c r="AW37" s="13">
        <v>0.85</v>
      </c>
      <c r="AX37" s="14">
        <v>0.73</v>
      </c>
    </row>
    <row r="38" spans="42:50" x14ac:dyDescent="0.25">
      <c r="AP38" s="11" t="s">
        <v>201</v>
      </c>
      <c r="AQ38" s="12">
        <v>1.89</v>
      </c>
      <c r="AR38" s="13">
        <v>0.39</v>
      </c>
      <c r="AS38" s="13">
        <v>0.24</v>
      </c>
      <c r="AT38" s="13">
        <v>0.45</v>
      </c>
      <c r="AU38" s="13">
        <v>2.21</v>
      </c>
      <c r="AV38" s="13">
        <v>1.17</v>
      </c>
      <c r="AW38" s="13">
        <v>0.85</v>
      </c>
      <c r="AX38" s="14">
        <v>0.53</v>
      </c>
    </row>
    <row r="39" spans="42:50" x14ac:dyDescent="0.25">
      <c r="AP39" s="11" t="s">
        <v>202</v>
      </c>
      <c r="AQ39" s="12">
        <v>2.21</v>
      </c>
      <c r="AR39" s="13">
        <v>0.45</v>
      </c>
      <c r="AS39" s="13">
        <v>0.24</v>
      </c>
      <c r="AT39" s="13">
        <v>0.45</v>
      </c>
      <c r="AU39" s="13">
        <v>2.59</v>
      </c>
      <c r="AV39" s="13">
        <v>0.73</v>
      </c>
      <c r="AW39" s="13">
        <v>0.85</v>
      </c>
      <c r="AX39" s="14">
        <v>0.73</v>
      </c>
    </row>
    <row r="40" spans="42:50" x14ac:dyDescent="0.25">
      <c r="AP40" s="11" t="s">
        <v>202</v>
      </c>
      <c r="AQ40" s="12">
        <v>0.73</v>
      </c>
      <c r="AR40" s="13">
        <v>0.53</v>
      </c>
      <c r="AS40" s="13">
        <v>0.13</v>
      </c>
      <c r="AT40" s="13">
        <v>1.89</v>
      </c>
      <c r="AU40" s="13">
        <v>1.61</v>
      </c>
      <c r="AV40" s="13">
        <v>4.18</v>
      </c>
      <c r="AW40" s="13">
        <v>0.39</v>
      </c>
      <c r="AX40" s="14">
        <v>0.45</v>
      </c>
    </row>
    <row r="41" spans="42:50" x14ac:dyDescent="0.25">
      <c r="AP41" s="11" t="s">
        <v>202</v>
      </c>
      <c r="AQ41" s="12">
        <v>2.21</v>
      </c>
      <c r="AR41" s="13">
        <v>0.45</v>
      </c>
      <c r="AS41" s="13">
        <v>0.24</v>
      </c>
      <c r="AT41" s="13">
        <v>0.45</v>
      </c>
      <c r="AU41" s="13">
        <v>2.59</v>
      </c>
      <c r="AV41" s="13">
        <v>0.85</v>
      </c>
      <c r="AW41" s="13">
        <v>0.85</v>
      </c>
      <c r="AX41" s="14">
        <v>0.73</v>
      </c>
    </row>
    <row r="42" spans="42:50" x14ac:dyDescent="0.25">
      <c r="AP42" s="11" t="s">
        <v>202</v>
      </c>
      <c r="AQ42" s="12">
        <v>1.89</v>
      </c>
      <c r="AR42" s="13">
        <v>0.45</v>
      </c>
      <c r="AS42" s="13">
        <v>0.24</v>
      </c>
      <c r="AT42" s="13">
        <v>0.53</v>
      </c>
      <c r="AU42" s="13">
        <v>2.59</v>
      </c>
      <c r="AV42" s="13">
        <v>4.18</v>
      </c>
      <c r="AW42" s="13">
        <v>0.85</v>
      </c>
      <c r="AX42" s="14">
        <v>0.73</v>
      </c>
    </row>
    <row r="43" spans="42:50" x14ac:dyDescent="0.25">
      <c r="AP43" s="11" t="s">
        <v>202</v>
      </c>
      <c r="AQ43" s="12">
        <v>2.21</v>
      </c>
      <c r="AR43" s="13">
        <v>0.45</v>
      </c>
      <c r="AS43" s="13">
        <v>0.24</v>
      </c>
      <c r="AT43" s="13">
        <v>0.53</v>
      </c>
      <c r="AU43" s="13">
        <v>2.59</v>
      </c>
      <c r="AV43" s="13">
        <v>0.73</v>
      </c>
      <c r="AW43" s="13">
        <v>0.85</v>
      </c>
      <c r="AX43" s="14">
        <v>0.53</v>
      </c>
    </row>
    <row r="44" spans="42:50" x14ac:dyDescent="0.25">
      <c r="AP44" s="11" t="s">
        <v>203</v>
      </c>
      <c r="AQ44" s="12">
        <v>1.89</v>
      </c>
      <c r="AR44" s="13">
        <v>0.45</v>
      </c>
      <c r="AS44" s="13">
        <v>0.24</v>
      </c>
      <c r="AT44" s="13">
        <v>0.45</v>
      </c>
      <c r="AU44" s="13">
        <v>1.61</v>
      </c>
      <c r="AV44" s="13">
        <v>0.85</v>
      </c>
      <c r="AW44" s="13">
        <v>0.85</v>
      </c>
      <c r="AX44" s="14">
        <v>0.73</v>
      </c>
    </row>
    <row r="45" spans="42:50" x14ac:dyDescent="0.25">
      <c r="AP45" s="11" t="s">
        <v>203</v>
      </c>
      <c r="AQ45" s="12">
        <v>1.89</v>
      </c>
      <c r="AR45" s="13">
        <v>0.45</v>
      </c>
      <c r="AS45" s="13">
        <v>0.13</v>
      </c>
      <c r="AT45" s="13">
        <v>0.53</v>
      </c>
      <c r="AU45" s="13">
        <v>0.73</v>
      </c>
      <c r="AV45" s="13">
        <v>0.73</v>
      </c>
      <c r="AW45" s="13">
        <v>0.85</v>
      </c>
      <c r="AX45" s="14">
        <v>0.62</v>
      </c>
    </row>
    <row r="46" spans="42:50" x14ac:dyDescent="0.25">
      <c r="AP46" s="11" t="s">
        <v>203</v>
      </c>
      <c r="AQ46" s="12">
        <v>2.21</v>
      </c>
      <c r="AR46" s="13">
        <v>0.45</v>
      </c>
      <c r="AS46" s="13">
        <v>0.2</v>
      </c>
      <c r="AT46" s="13">
        <v>0.45</v>
      </c>
      <c r="AU46" s="13">
        <v>2.59</v>
      </c>
      <c r="AV46" s="13">
        <v>1.17</v>
      </c>
      <c r="AW46" s="13">
        <v>0.85</v>
      </c>
      <c r="AX46" s="14">
        <v>0.45</v>
      </c>
    </row>
    <row r="47" spans="42:50" x14ac:dyDescent="0.25">
      <c r="AP47" s="11" t="s">
        <v>203</v>
      </c>
      <c r="AQ47" s="12">
        <v>2.21</v>
      </c>
      <c r="AR47" s="13">
        <v>0.45</v>
      </c>
      <c r="AS47" s="13">
        <v>0.24</v>
      </c>
      <c r="AT47" s="13">
        <v>0.53</v>
      </c>
      <c r="AU47" s="13">
        <v>2.59</v>
      </c>
      <c r="AV47" s="13">
        <v>0.73</v>
      </c>
      <c r="AW47" s="13">
        <v>0.85</v>
      </c>
      <c r="AX47" s="14">
        <v>0.73</v>
      </c>
    </row>
    <row r="48" spans="42:50" x14ac:dyDescent="0.25">
      <c r="AP48" s="11" t="s">
        <v>203</v>
      </c>
      <c r="AQ48" s="12">
        <v>1.89</v>
      </c>
      <c r="AR48" s="13">
        <v>0.53</v>
      </c>
      <c r="AS48" s="13">
        <v>0.24</v>
      </c>
      <c r="AT48" s="13">
        <v>0.45</v>
      </c>
      <c r="AU48" s="13">
        <v>2.59</v>
      </c>
      <c r="AV48" s="13">
        <v>0.73</v>
      </c>
      <c r="AW48" s="13">
        <v>0.85</v>
      </c>
      <c r="AX48" s="14">
        <v>0.73</v>
      </c>
    </row>
    <row r="49" spans="42:50" x14ac:dyDescent="0.25">
      <c r="AP49" s="11" t="s">
        <v>204</v>
      </c>
      <c r="AQ49" s="12">
        <v>2.21</v>
      </c>
      <c r="AR49" s="13">
        <v>0.45</v>
      </c>
      <c r="AS49" s="13">
        <v>0.11</v>
      </c>
      <c r="AT49" s="13">
        <v>0.53</v>
      </c>
      <c r="AU49" s="13">
        <v>2.59</v>
      </c>
      <c r="AV49" s="13">
        <v>1.37</v>
      </c>
      <c r="AW49" s="13">
        <v>0.85</v>
      </c>
      <c r="AX49" s="14">
        <v>0.53</v>
      </c>
    </row>
    <row r="50" spans="42:50" x14ac:dyDescent="0.25">
      <c r="AP50" s="11" t="s">
        <v>204</v>
      </c>
      <c r="AQ50" s="12">
        <v>0</v>
      </c>
      <c r="AR50" s="13">
        <v>0.53</v>
      </c>
      <c r="AS50" s="13">
        <v>0.13</v>
      </c>
      <c r="AT50" s="13">
        <v>1.89</v>
      </c>
      <c r="AU50" s="13">
        <v>1.61</v>
      </c>
      <c r="AV50" s="13">
        <v>4.18</v>
      </c>
      <c r="AW50" s="13">
        <v>0.33</v>
      </c>
      <c r="AX50" s="14">
        <v>0.45</v>
      </c>
    </row>
    <row r="51" spans="42:50" x14ac:dyDescent="0.25">
      <c r="AP51" s="11" t="s">
        <v>204</v>
      </c>
      <c r="AQ51" s="12">
        <v>2.21</v>
      </c>
      <c r="AR51" s="13">
        <v>0.45</v>
      </c>
      <c r="AS51" s="13">
        <v>0.24</v>
      </c>
      <c r="AT51" s="13">
        <v>0.45</v>
      </c>
      <c r="AU51" s="13">
        <v>2.59</v>
      </c>
      <c r="AV51" s="13">
        <v>0.73</v>
      </c>
      <c r="AW51" s="13">
        <v>0.85</v>
      </c>
      <c r="AX51" s="14">
        <v>0.53</v>
      </c>
    </row>
    <row r="52" spans="42:50" x14ac:dyDescent="0.25">
      <c r="AP52" s="11" t="s">
        <v>204</v>
      </c>
      <c r="AQ52" s="12">
        <v>2.21</v>
      </c>
      <c r="AR52" s="13">
        <v>0.45</v>
      </c>
      <c r="AS52" s="13">
        <v>0.24</v>
      </c>
      <c r="AT52" s="13">
        <v>0.45</v>
      </c>
      <c r="AU52" s="13">
        <v>2.59</v>
      </c>
      <c r="AV52" s="13">
        <v>0.73</v>
      </c>
      <c r="AW52" s="13">
        <v>0.85</v>
      </c>
      <c r="AX52" s="14">
        <v>0.73</v>
      </c>
    </row>
    <row r="53" spans="42:50" x14ac:dyDescent="0.25">
      <c r="AP53" s="11" t="s">
        <v>204</v>
      </c>
      <c r="AQ53" s="12">
        <v>0.85</v>
      </c>
      <c r="AR53" s="13">
        <v>0.45</v>
      </c>
      <c r="AS53" s="13">
        <v>0.11</v>
      </c>
      <c r="AT53" s="13">
        <v>4.8899999999999997</v>
      </c>
      <c r="AU53" s="13">
        <v>2.59</v>
      </c>
      <c r="AV53" s="13">
        <v>0.73</v>
      </c>
      <c r="AW53" s="13">
        <v>38.57</v>
      </c>
      <c r="AX53" s="14">
        <v>0.73</v>
      </c>
    </row>
    <row r="54" spans="42:50" x14ac:dyDescent="0.25">
      <c r="AP54" s="11" t="s">
        <v>205</v>
      </c>
      <c r="AQ54" s="12">
        <v>0</v>
      </c>
      <c r="AR54" s="13">
        <v>0.53</v>
      </c>
      <c r="AS54" s="13">
        <v>0.24</v>
      </c>
      <c r="AT54" s="13">
        <v>0.53</v>
      </c>
      <c r="AU54" s="13">
        <v>2.59</v>
      </c>
      <c r="AV54" s="13">
        <v>0.73</v>
      </c>
      <c r="AW54" s="13">
        <v>0.85</v>
      </c>
      <c r="AX54" s="14">
        <v>0.73</v>
      </c>
    </row>
    <row r="55" spans="42:50" x14ac:dyDescent="0.25">
      <c r="AP55" s="11" t="s">
        <v>205</v>
      </c>
      <c r="AQ55" s="12">
        <v>1.89</v>
      </c>
      <c r="AR55" s="13">
        <v>0</v>
      </c>
      <c r="AS55" s="13">
        <v>0.24</v>
      </c>
      <c r="AT55" s="13">
        <v>0.45</v>
      </c>
      <c r="AU55" s="13">
        <v>2.59</v>
      </c>
      <c r="AV55" s="13">
        <v>4.8899999999999997</v>
      </c>
      <c r="AW55" s="13">
        <v>0.85</v>
      </c>
      <c r="AX55" s="14">
        <v>0.73</v>
      </c>
    </row>
    <row r="56" spans="42:50" x14ac:dyDescent="0.25">
      <c r="AP56" s="11" t="s">
        <v>205</v>
      </c>
      <c r="AQ56" s="12">
        <v>1.89</v>
      </c>
      <c r="AR56" s="13">
        <v>0.85</v>
      </c>
      <c r="AS56" s="13">
        <v>0.24</v>
      </c>
      <c r="AT56" s="13">
        <v>0.45</v>
      </c>
      <c r="AU56" s="13">
        <v>2.59</v>
      </c>
      <c r="AV56" s="13">
        <v>0.73</v>
      </c>
      <c r="AW56" s="13">
        <v>0.85</v>
      </c>
      <c r="AX56" s="14">
        <v>0.53</v>
      </c>
    </row>
    <row r="57" spans="42:50" x14ac:dyDescent="0.25">
      <c r="AP57" s="11" t="s">
        <v>205</v>
      </c>
      <c r="AQ57" s="12">
        <v>2.59</v>
      </c>
      <c r="AR57" s="13">
        <v>0.45</v>
      </c>
      <c r="AS57" s="13">
        <v>0.24</v>
      </c>
      <c r="AT57" s="13">
        <v>1.89</v>
      </c>
      <c r="AU57" s="13">
        <v>2.59</v>
      </c>
      <c r="AV57" s="13">
        <v>0.73</v>
      </c>
      <c r="AW57" s="13">
        <v>0.39</v>
      </c>
      <c r="AX57" s="14">
        <v>0.73</v>
      </c>
    </row>
    <row r="58" spans="42:50" x14ac:dyDescent="0.25">
      <c r="AP58" s="11" t="s">
        <v>205</v>
      </c>
      <c r="AQ58" s="12">
        <v>2.21</v>
      </c>
      <c r="AR58" s="13">
        <v>0.45</v>
      </c>
      <c r="AS58" s="13">
        <v>0.24</v>
      </c>
      <c r="AT58" s="13">
        <v>0.45</v>
      </c>
      <c r="AU58" s="13">
        <v>2.59</v>
      </c>
      <c r="AV58" s="13">
        <v>0.73</v>
      </c>
      <c r="AW58" s="13">
        <v>0.33</v>
      </c>
      <c r="AX58" s="14">
        <v>0.73</v>
      </c>
    </row>
    <row r="59" spans="42:50" x14ac:dyDescent="0.25">
      <c r="AP59" s="11" t="s">
        <v>206</v>
      </c>
      <c r="AQ59" s="12">
        <v>0</v>
      </c>
      <c r="AR59" s="13">
        <v>0.45</v>
      </c>
      <c r="AS59" s="13">
        <v>0.24</v>
      </c>
      <c r="AT59" s="13">
        <v>0.53</v>
      </c>
      <c r="AU59" s="13">
        <v>2.59</v>
      </c>
      <c r="AV59" s="13">
        <v>0.73</v>
      </c>
      <c r="AW59" s="13">
        <v>0.85</v>
      </c>
      <c r="AX59" s="14">
        <v>0.53</v>
      </c>
    </row>
    <row r="60" spans="42:50" x14ac:dyDescent="0.25">
      <c r="AP60" s="11" t="s">
        <v>206</v>
      </c>
      <c r="AQ60" s="12">
        <v>0.85</v>
      </c>
      <c r="AR60" s="13">
        <v>0.53</v>
      </c>
      <c r="AS60" s="13">
        <v>0.13</v>
      </c>
      <c r="AT60" s="13">
        <v>1.89</v>
      </c>
      <c r="AU60" s="13">
        <v>1.89</v>
      </c>
      <c r="AV60" s="13">
        <v>4.8899999999999997</v>
      </c>
      <c r="AW60" s="13">
        <v>0.39</v>
      </c>
      <c r="AX60" s="14">
        <v>0.45</v>
      </c>
    </row>
    <row r="61" spans="42:50" x14ac:dyDescent="0.25">
      <c r="AP61" s="11" t="s">
        <v>206</v>
      </c>
      <c r="AQ61" s="12">
        <v>2.21</v>
      </c>
      <c r="AR61" s="13">
        <v>0.39</v>
      </c>
      <c r="AS61" s="13">
        <v>0.73</v>
      </c>
      <c r="AT61" s="13">
        <v>1.89</v>
      </c>
      <c r="AU61" s="13">
        <v>2.59</v>
      </c>
      <c r="AV61" s="13">
        <v>0.73</v>
      </c>
      <c r="AW61" s="13">
        <v>0.85</v>
      </c>
      <c r="AX61" s="14">
        <v>0.73</v>
      </c>
    </row>
    <row r="62" spans="42:50" x14ac:dyDescent="0.25">
      <c r="AP62" s="11" t="s">
        <v>206</v>
      </c>
      <c r="AQ62" s="12">
        <v>1.89</v>
      </c>
      <c r="AR62" s="13">
        <v>0.45</v>
      </c>
      <c r="AS62" s="13">
        <v>0.28000000000000003</v>
      </c>
      <c r="AT62" s="13">
        <v>5.74</v>
      </c>
      <c r="AU62" s="13">
        <v>2.21</v>
      </c>
      <c r="AV62" s="13">
        <v>0.73</v>
      </c>
      <c r="AW62" s="13">
        <v>0.85</v>
      </c>
      <c r="AX62" s="14">
        <v>0.73</v>
      </c>
    </row>
    <row r="63" spans="42:50" ht="15.75" thickBot="1" x14ac:dyDescent="0.3">
      <c r="AP63" s="11" t="s">
        <v>206</v>
      </c>
      <c r="AQ63" s="12">
        <v>0.85</v>
      </c>
      <c r="AR63" s="13">
        <v>0.45</v>
      </c>
      <c r="AS63" s="13">
        <v>0.24</v>
      </c>
      <c r="AT63" s="13">
        <v>0.45</v>
      </c>
      <c r="AU63" s="13">
        <v>1.89</v>
      </c>
      <c r="AV63" s="13">
        <v>0.85</v>
      </c>
      <c r="AW63" s="13">
        <v>0.85</v>
      </c>
      <c r="AX63" s="14">
        <v>0.73</v>
      </c>
    </row>
    <row r="64" spans="42:50" x14ac:dyDescent="0.25">
      <c r="AP64" s="7" t="s">
        <v>227</v>
      </c>
      <c r="AQ64" s="8">
        <v>1.9759259259259201</v>
      </c>
      <c r="AR64" s="9">
        <v>0.46172413793103401</v>
      </c>
      <c r="AS64" s="9">
        <v>0.233833333333333</v>
      </c>
      <c r="AT64" s="9">
        <v>1.0721666666666601</v>
      </c>
      <c r="AU64" s="9">
        <v>2.25</v>
      </c>
      <c r="AV64" s="9">
        <v>1.12866666666666</v>
      </c>
      <c r="AW64" s="9">
        <v>2.5513333333333299</v>
      </c>
      <c r="AX64" s="10">
        <v>0.65149999999999997</v>
      </c>
    </row>
    <row r="65" spans="42:50" x14ac:dyDescent="0.25">
      <c r="AP65" s="11" t="s">
        <v>228</v>
      </c>
      <c r="AQ65" s="12">
        <v>0.43899936099893799</v>
      </c>
      <c r="AR65" s="13">
        <v>6.2260241673337199E-2</v>
      </c>
      <c r="AS65" s="13">
        <v>0.115066526651131</v>
      </c>
      <c r="AT65" s="13">
        <v>1.30814001756522</v>
      </c>
      <c r="AU65" s="13">
        <v>0.536768106355062</v>
      </c>
      <c r="AV65" s="13">
        <v>1.0281203993480299</v>
      </c>
      <c r="AW65" s="13">
        <v>7.8547337036691101</v>
      </c>
      <c r="AX65" s="14">
        <v>0.106424073091257</v>
      </c>
    </row>
    <row r="66" spans="42:50" x14ac:dyDescent="0.25">
      <c r="AP66" s="11" t="s">
        <v>229</v>
      </c>
      <c r="AQ66" s="12">
        <v>2.4149252869248601</v>
      </c>
      <c r="AR66" s="13">
        <v>0.52398437960437105</v>
      </c>
      <c r="AS66" s="13">
        <v>0.34889985998446499</v>
      </c>
      <c r="AT66" s="13">
        <v>2.3803066842318898</v>
      </c>
      <c r="AU66" s="13">
        <v>2.7867681063550598</v>
      </c>
      <c r="AV66" s="13">
        <v>2.1567870660146902</v>
      </c>
      <c r="AW66" s="13">
        <v>10.4060670370024</v>
      </c>
      <c r="AX66" s="14">
        <v>0.75792407309125698</v>
      </c>
    </row>
    <row r="67" spans="42:50" x14ac:dyDescent="0.25">
      <c r="AP67" s="11" t="s">
        <v>230</v>
      </c>
      <c r="AQ67" s="12">
        <v>1.5369265649269801</v>
      </c>
      <c r="AR67" s="13">
        <v>0.39946389625769702</v>
      </c>
      <c r="AS67" s="13">
        <v>0.11876680668220101</v>
      </c>
      <c r="AT67" s="13">
        <v>-0.235973350898561</v>
      </c>
      <c r="AU67" s="13">
        <v>1.71323189364493</v>
      </c>
      <c r="AV67" s="13">
        <v>0.100546267318635</v>
      </c>
      <c r="AW67" s="13">
        <v>-5.3034003703357797</v>
      </c>
      <c r="AX67" s="14">
        <v>0.54507592690874196</v>
      </c>
    </row>
    <row r="68" spans="42:50" ht="15.75" thickBot="1" x14ac:dyDescent="0.3">
      <c r="AP68" s="15" t="s">
        <v>231</v>
      </c>
      <c r="AQ68" s="16">
        <v>2.0986956521739102</v>
      </c>
      <c r="AR68" s="17">
        <v>0.44999999999999901</v>
      </c>
      <c r="AS68" s="17">
        <v>0.222407407407407</v>
      </c>
      <c r="AT68" s="17">
        <v>0.70963636363636295</v>
      </c>
      <c r="AU68" s="17">
        <v>2.4655102040816299</v>
      </c>
      <c r="AV68" s="17">
        <v>0.825454545454544</v>
      </c>
      <c r="AW68" s="17">
        <v>0.75508771929824603</v>
      </c>
      <c r="AX68" s="18">
        <v>0.71690476190476204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232</v>
      </c>
      <c r="AQ70" s="29">
        <v>1.95</v>
      </c>
      <c r="AR70" s="29">
        <v>3.4</v>
      </c>
      <c r="AS70" s="29">
        <v>4.83</v>
      </c>
      <c r="AT70" s="29">
        <v>5.42</v>
      </c>
      <c r="AU70" s="29">
        <v>3.92</v>
      </c>
      <c r="AV70" s="29">
        <v>4.3499999999999996</v>
      </c>
      <c r="AW70" s="29">
        <v>1.86</v>
      </c>
      <c r="AX70" s="30">
        <v>2.73</v>
      </c>
    </row>
    <row r="71" spans="42:50" x14ac:dyDescent="0.25">
      <c r="AP71" s="31" t="s">
        <v>233</v>
      </c>
      <c r="AQ71" s="32">
        <f t="shared" ref="AQ71:AX71" si="0">AQ70-AQ68</f>
        <v>-0.14869565217391023</v>
      </c>
      <c r="AR71" s="32">
        <f t="shared" si="0"/>
        <v>2.9500000000000011</v>
      </c>
      <c r="AS71" s="32">
        <f t="shared" si="0"/>
        <v>4.6075925925925931</v>
      </c>
      <c r="AT71" s="32">
        <f t="shared" si="0"/>
        <v>4.7103636363636365</v>
      </c>
      <c r="AU71" s="32">
        <f t="shared" si="0"/>
        <v>1.45448979591837</v>
      </c>
      <c r="AV71" s="32">
        <f t="shared" si="0"/>
        <v>3.5245454545454558</v>
      </c>
      <c r="AW71" s="32">
        <f t="shared" si="0"/>
        <v>1.104912280701754</v>
      </c>
      <c r="AX71" s="33">
        <f t="shared" si="0"/>
        <v>2.013095238095238</v>
      </c>
    </row>
    <row r="72" spans="42:50" ht="15.75" thickBot="1" x14ac:dyDescent="0.3">
      <c r="AP72" s="34" t="s">
        <v>234</v>
      </c>
      <c r="AQ72" s="35">
        <f t="shared" ref="AQ72:AX72" si="1">(AQ71/AQ68)*100</f>
        <v>-7.0851460534492237</v>
      </c>
      <c r="AR72" s="35">
        <f t="shared" si="1"/>
        <v>655.55555555555725</v>
      </c>
      <c r="AS72" s="35">
        <f t="shared" si="1"/>
        <v>2071.6902581182389</v>
      </c>
      <c r="AT72" s="35">
        <f t="shared" si="1"/>
        <v>663.7714578529343</v>
      </c>
      <c r="AU72" s="35">
        <f t="shared" si="1"/>
        <v>58.993460806224832</v>
      </c>
      <c r="AV72" s="35">
        <f t="shared" si="1"/>
        <v>426.98237885462646</v>
      </c>
      <c r="AW72" s="35">
        <f t="shared" si="1"/>
        <v>146.32899628252773</v>
      </c>
      <c r="AX72" s="36">
        <f t="shared" si="1"/>
        <v>280.8037196944536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235</v>
      </c>
      <c r="AQ74" s="29">
        <v>1.94</v>
      </c>
      <c r="AR74" s="29">
        <v>3.45</v>
      </c>
      <c r="AS74" s="29">
        <v>4.8499999999999996</v>
      </c>
      <c r="AT74" s="29">
        <v>5.37</v>
      </c>
      <c r="AU74" s="29">
        <v>3.93</v>
      </c>
      <c r="AV74" s="29">
        <v>4.3499999999999996</v>
      </c>
      <c r="AW74" s="29">
        <v>1.76</v>
      </c>
      <c r="AX74" s="30">
        <v>2.64</v>
      </c>
    </row>
    <row r="75" spans="42:50" x14ac:dyDescent="0.25">
      <c r="AP75" s="31" t="s">
        <v>233</v>
      </c>
      <c r="AQ75" s="32">
        <f t="shared" ref="AQ75:AX75" si="2">AQ74-AQ68</f>
        <v>-0.15869565217391024</v>
      </c>
      <c r="AR75" s="32">
        <f t="shared" si="2"/>
        <v>3.0000000000000013</v>
      </c>
      <c r="AS75" s="32">
        <f t="shared" si="2"/>
        <v>4.6275925925925927</v>
      </c>
      <c r="AT75" s="32">
        <f t="shared" si="2"/>
        <v>4.6603636363636376</v>
      </c>
      <c r="AU75" s="32">
        <f t="shared" si="2"/>
        <v>1.4644897959183703</v>
      </c>
      <c r="AV75" s="32">
        <f t="shared" si="2"/>
        <v>3.5245454545454558</v>
      </c>
      <c r="AW75" s="32">
        <f t="shared" si="2"/>
        <v>1.0049122807017539</v>
      </c>
      <c r="AX75" s="33">
        <f t="shared" si="2"/>
        <v>1.9230952380952382</v>
      </c>
    </row>
    <row r="76" spans="42:50" ht="15.75" thickBot="1" x14ac:dyDescent="0.3">
      <c r="AP76" s="34" t="s">
        <v>234</v>
      </c>
      <c r="AQ76" s="35">
        <f t="shared" ref="AQ76:AX76" si="3">(AQ75/AQ68)*100</f>
        <v>-7.5616324839443552</v>
      </c>
      <c r="AR76" s="35">
        <f t="shared" si="3"/>
        <v>666.66666666666833</v>
      </c>
      <c r="AS76" s="35">
        <f t="shared" si="3"/>
        <v>2080.6827643630345</v>
      </c>
      <c r="AT76" s="35">
        <f t="shared" si="3"/>
        <v>656.72559569561952</v>
      </c>
      <c r="AU76" s="35">
        <f t="shared" si="3"/>
        <v>59.39905636950602</v>
      </c>
      <c r="AV76" s="35">
        <f t="shared" si="3"/>
        <v>426.98237885462646</v>
      </c>
      <c r="AW76" s="35">
        <f t="shared" si="3"/>
        <v>133.08550185873591</v>
      </c>
      <c r="AX76" s="36">
        <f t="shared" si="3"/>
        <v>268.24975091331783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236</v>
      </c>
      <c r="AQ78" s="41">
        <v>1.87</v>
      </c>
      <c r="AR78" s="29">
        <v>3.49</v>
      </c>
      <c r="AS78" s="29">
        <v>4.88</v>
      </c>
      <c r="AT78" s="29">
        <v>5.41</v>
      </c>
      <c r="AU78" s="29">
        <v>3.97</v>
      </c>
      <c r="AV78" s="29">
        <v>4.4000000000000004</v>
      </c>
      <c r="AW78" s="29">
        <v>1.76</v>
      </c>
      <c r="AX78" s="30">
        <v>2.66</v>
      </c>
    </row>
    <row r="79" spans="42:50" x14ac:dyDescent="0.25">
      <c r="AP79" s="31" t="s">
        <v>233</v>
      </c>
      <c r="AQ79" s="42">
        <f>AQ78-AQ68</f>
        <v>-0.22869565217391008</v>
      </c>
      <c r="AR79" s="32">
        <f t="shared" ref="AR79:AX79" si="4">AR78-AR68</f>
        <v>3.0400000000000014</v>
      </c>
      <c r="AS79" s="32">
        <f t="shared" si="4"/>
        <v>4.657592592592593</v>
      </c>
      <c r="AT79" s="32">
        <f t="shared" si="4"/>
        <v>4.7003636363636367</v>
      </c>
      <c r="AU79" s="32">
        <f t="shared" si="4"/>
        <v>1.5044897959183703</v>
      </c>
      <c r="AV79" s="32">
        <f t="shared" si="4"/>
        <v>3.5745454545454565</v>
      </c>
      <c r="AW79" s="32">
        <f t="shared" si="4"/>
        <v>1.0049122807017539</v>
      </c>
      <c r="AX79" s="33">
        <f t="shared" si="4"/>
        <v>1.9430952380952382</v>
      </c>
    </row>
    <row r="80" spans="42:50" ht="15.75" thickBot="1" x14ac:dyDescent="0.3">
      <c r="AP80" s="34" t="s">
        <v>234</v>
      </c>
      <c r="AQ80" s="43">
        <f>(AQ79/AQ68)*100</f>
        <v>-10.897037497410274</v>
      </c>
      <c r="AR80" s="35">
        <f t="shared" ref="AR80:AX80" si="5">(AR79/AR68)*100</f>
        <v>675.55555555555736</v>
      </c>
      <c r="AS80" s="35">
        <f t="shared" si="5"/>
        <v>2094.1715237302287</v>
      </c>
      <c r="AT80" s="35">
        <f t="shared" si="5"/>
        <v>662.36228542147137</v>
      </c>
      <c r="AU80" s="35">
        <f t="shared" si="5"/>
        <v>61.021438622630761</v>
      </c>
      <c r="AV80" s="35">
        <f t="shared" si="5"/>
        <v>433.03964757709349</v>
      </c>
      <c r="AW80" s="35">
        <f t="shared" si="5"/>
        <v>133.08550185873591</v>
      </c>
      <c r="AX80" s="36">
        <f t="shared" si="5"/>
        <v>271.03952175357023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A41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28515625" style="3" bestFit="1" customWidth="1"/>
    <col min="44" max="44" width="6.5703125" style="3" bestFit="1" customWidth="1"/>
    <col min="45" max="46" width="7.5703125" style="3" bestFit="1" customWidth="1"/>
    <col min="47" max="47" width="5.5703125" style="3" bestFit="1" customWidth="1"/>
    <col min="48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76</v>
      </c>
      <c r="AQ4" s="8">
        <v>1.89</v>
      </c>
      <c r="AR4" s="9">
        <v>0.53</v>
      </c>
      <c r="AS4" s="9">
        <v>0.24</v>
      </c>
      <c r="AT4" s="9">
        <v>0.45</v>
      </c>
      <c r="AU4" s="9">
        <v>2.59</v>
      </c>
      <c r="AV4" s="9">
        <v>0.73</v>
      </c>
      <c r="AW4" s="9">
        <v>0.85</v>
      </c>
      <c r="AX4" s="10">
        <v>0.73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77</v>
      </c>
      <c r="AQ5" s="12">
        <v>2.21</v>
      </c>
      <c r="AR5" s="13">
        <v>0.45</v>
      </c>
      <c r="AS5" s="13">
        <v>0.28000000000000003</v>
      </c>
      <c r="AT5" s="13">
        <v>0.45</v>
      </c>
      <c r="AU5" s="13">
        <v>2.59</v>
      </c>
      <c r="AV5" s="13">
        <v>0.73</v>
      </c>
      <c r="AW5" s="13">
        <v>0.85</v>
      </c>
      <c r="AX5" s="14">
        <v>0.73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78</v>
      </c>
      <c r="AQ6" s="12">
        <v>1.89</v>
      </c>
      <c r="AR6" s="13">
        <v>0.45</v>
      </c>
      <c r="AS6" s="13">
        <v>0.24</v>
      </c>
      <c r="AT6" s="13">
        <v>0.45</v>
      </c>
      <c r="AU6" s="13">
        <v>2.59</v>
      </c>
      <c r="AV6" s="13">
        <v>0.73</v>
      </c>
      <c r="AW6" s="13">
        <v>0.85</v>
      </c>
      <c r="AX6" s="14">
        <v>0.45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79</v>
      </c>
      <c r="AQ7" s="12">
        <v>0.85</v>
      </c>
      <c r="AR7" s="13">
        <v>0.53</v>
      </c>
      <c r="AS7" s="13">
        <v>0.13</v>
      </c>
      <c r="AT7" s="13">
        <v>1.89</v>
      </c>
      <c r="AU7" s="13">
        <v>1.89</v>
      </c>
      <c r="AV7" s="13">
        <v>1.17</v>
      </c>
      <c r="AW7" s="13">
        <v>0.33</v>
      </c>
      <c r="AX7" s="14">
        <v>0.45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80</v>
      </c>
      <c r="AQ8" s="12">
        <v>1.89</v>
      </c>
      <c r="AR8" s="13">
        <v>0.45</v>
      </c>
      <c r="AS8" s="13">
        <v>0.24</v>
      </c>
      <c r="AT8" s="13">
        <v>0.53</v>
      </c>
      <c r="AU8" s="13">
        <v>2.59</v>
      </c>
      <c r="AV8" s="13">
        <v>0.73</v>
      </c>
      <c r="AW8" s="13">
        <v>0.85</v>
      </c>
      <c r="AX8" s="14">
        <v>0.62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81</v>
      </c>
      <c r="AQ9" s="12">
        <v>2.21</v>
      </c>
      <c r="AR9" s="13">
        <v>0.45</v>
      </c>
      <c r="AS9" s="13">
        <v>0.24</v>
      </c>
      <c r="AT9" s="13">
        <v>0.45</v>
      </c>
      <c r="AU9" s="13">
        <v>1.61</v>
      </c>
      <c r="AV9" s="13">
        <v>0.73</v>
      </c>
      <c r="AW9" s="13">
        <v>0.85</v>
      </c>
      <c r="AX9" s="14">
        <v>0.73</v>
      </c>
    </row>
    <row r="10" spans="2:80" x14ac:dyDescent="0.25">
      <c r="AP10" s="11" t="s">
        <v>82</v>
      </c>
      <c r="AQ10" s="12">
        <v>2.21</v>
      </c>
      <c r="AR10" s="13">
        <v>0.45</v>
      </c>
      <c r="AS10" s="13">
        <v>0.28000000000000003</v>
      </c>
      <c r="AT10" s="13">
        <v>0.53</v>
      </c>
      <c r="AU10" s="13">
        <v>1.89</v>
      </c>
      <c r="AV10" s="13">
        <v>1.17</v>
      </c>
      <c r="AW10" s="13">
        <v>0.85</v>
      </c>
      <c r="AX10" s="14">
        <v>0.73</v>
      </c>
    </row>
    <row r="11" spans="2:80" x14ac:dyDescent="0.25">
      <c r="AP11" s="11" t="s">
        <v>83</v>
      </c>
      <c r="AQ11" s="12">
        <v>2.21</v>
      </c>
      <c r="AR11" s="13">
        <v>0.45</v>
      </c>
      <c r="AS11" s="13">
        <v>0.24</v>
      </c>
      <c r="AT11" s="13">
        <v>0.53</v>
      </c>
      <c r="AU11" s="13">
        <v>2.59</v>
      </c>
      <c r="AV11" s="13">
        <v>0.73</v>
      </c>
      <c r="AW11" s="13">
        <v>0.85</v>
      </c>
      <c r="AX11" s="14">
        <v>0.45</v>
      </c>
    </row>
    <row r="12" spans="2:80" x14ac:dyDescent="0.25">
      <c r="AP12" s="11" t="s">
        <v>84</v>
      </c>
      <c r="AQ12" s="12">
        <v>2.21</v>
      </c>
      <c r="AR12" s="13">
        <v>0.45</v>
      </c>
      <c r="AS12" s="13">
        <v>0.24</v>
      </c>
      <c r="AT12" s="13">
        <v>0.45</v>
      </c>
      <c r="AU12" s="13">
        <v>2.59</v>
      </c>
      <c r="AV12" s="13">
        <v>0.85</v>
      </c>
      <c r="AW12" s="13">
        <v>0.85</v>
      </c>
      <c r="AX12" s="14">
        <v>0.73</v>
      </c>
    </row>
    <row r="13" spans="2:80" x14ac:dyDescent="0.25">
      <c r="AP13" s="11" t="s">
        <v>85</v>
      </c>
      <c r="AQ13" s="12">
        <v>2.21</v>
      </c>
      <c r="AR13" s="13">
        <v>0.45</v>
      </c>
      <c r="AS13" s="13">
        <v>0.24</v>
      </c>
      <c r="AT13" s="13">
        <v>4.8899999999999997</v>
      </c>
      <c r="AU13" s="13">
        <v>2.59</v>
      </c>
      <c r="AV13" s="13">
        <v>0.73</v>
      </c>
      <c r="AW13" s="13">
        <v>0.39</v>
      </c>
      <c r="AX13" s="14">
        <v>0.73</v>
      </c>
    </row>
    <row r="14" spans="2:80" x14ac:dyDescent="0.25">
      <c r="AP14" s="11" t="s">
        <v>86</v>
      </c>
      <c r="AQ14" s="12">
        <v>2.21</v>
      </c>
      <c r="AR14" s="13">
        <v>0.39</v>
      </c>
      <c r="AS14" s="13">
        <v>0.13</v>
      </c>
      <c r="AT14" s="13">
        <v>0.53</v>
      </c>
      <c r="AU14" s="13">
        <v>2.59</v>
      </c>
      <c r="AV14" s="13">
        <v>0.73</v>
      </c>
      <c r="AW14" s="13">
        <v>0.85</v>
      </c>
      <c r="AX14" s="14">
        <v>0.73</v>
      </c>
    </row>
    <row r="15" spans="2:80" x14ac:dyDescent="0.25">
      <c r="AP15" s="11" t="s">
        <v>87</v>
      </c>
      <c r="AQ15" s="12">
        <v>2.21</v>
      </c>
      <c r="AR15" s="13">
        <v>0</v>
      </c>
      <c r="AS15" s="13">
        <v>0.24</v>
      </c>
      <c r="AT15" s="13">
        <v>0.45</v>
      </c>
      <c r="AU15" s="13">
        <v>1.61</v>
      </c>
      <c r="AV15" s="13">
        <v>0.73</v>
      </c>
      <c r="AW15" s="13">
        <v>0.85</v>
      </c>
      <c r="AX15" s="14">
        <v>0.73</v>
      </c>
    </row>
    <row r="16" spans="2:80" x14ac:dyDescent="0.25">
      <c r="AP16" s="11" t="s">
        <v>88</v>
      </c>
      <c r="AQ16" s="12">
        <v>2.21</v>
      </c>
      <c r="AR16" s="13">
        <v>0.45</v>
      </c>
      <c r="AS16" s="13">
        <v>0.13</v>
      </c>
      <c r="AT16" s="13">
        <v>0.53</v>
      </c>
      <c r="AU16" s="13">
        <v>2.59</v>
      </c>
      <c r="AV16" s="13">
        <v>0.73</v>
      </c>
      <c r="AW16" s="13">
        <v>0.85</v>
      </c>
      <c r="AX16" s="14">
        <v>0.73</v>
      </c>
    </row>
    <row r="17" spans="42:50" x14ac:dyDescent="0.25">
      <c r="AP17" s="11" t="s">
        <v>89</v>
      </c>
      <c r="AQ17" s="12">
        <v>0.73</v>
      </c>
      <c r="AR17" s="13">
        <v>0.45</v>
      </c>
      <c r="AS17" s="13">
        <v>0.13</v>
      </c>
      <c r="AT17" s="13">
        <v>1.89</v>
      </c>
      <c r="AU17" s="13">
        <v>1.89</v>
      </c>
      <c r="AV17" s="13">
        <v>1.37</v>
      </c>
      <c r="AW17" s="13">
        <v>0.85</v>
      </c>
      <c r="AX17" s="14">
        <v>0.45</v>
      </c>
    </row>
    <row r="18" spans="42:50" x14ac:dyDescent="0.25">
      <c r="AP18" s="11" t="s">
        <v>90</v>
      </c>
      <c r="AQ18" s="12">
        <v>0.85</v>
      </c>
      <c r="AR18" s="13">
        <v>0.45</v>
      </c>
      <c r="AS18" s="13">
        <v>0.13</v>
      </c>
      <c r="AT18" s="13">
        <v>1.89</v>
      </c>
      <c r="AU18" s="13">
        <v>1.89</v>
      </c>
      <c r="AV18" s="13">
        <v>1.37</v>
      </c>
      <c r="AW18" s="13">
        <v>0.39</v>
      </c>
      <c r="AX18" s="14">
        <v>0.45</v>
      </c>
    </row>
    <row r="19" spans="42:50" x14ac:dyDescent="0.25">
      <c r="AP19" s="11" t="s">
        <v>91</v>
      </c>
      <c r="AQ19" s="12">
        <v>0.85</v>
      </c>
      <c r="AR19" s="13">
        <v>0.53</v>
      </c>
      <c r="AS19" s="13">
        <v>0.24</v>
      </c>
      <c r="AT19" s="13">
        <v>0.45</v>
      </c>
      <c r="AU19" s="13">
        <v>1.61</v>
      </c>
      <c r="AV19" s="13">
        <v>0.73</v>
      </c>
      <c r="AW19" s="13">
        <v>0.85</v>
      </c>
      <c r="AX19" s="14">
        <v>0.73</v>
      </c>
    </row>
    <row r="20" spans="42:50" x14ac:dyDescent="0.25">
      <c r="AP20" s="11" t="s">
        <v>92</v>
      </c>
      <c r="AQ20" s="12">
        <v>2.21</v>
      </c>
      <c r="AR20" s="13">
        <v>0.45</v>
      </c>
      <c r="AS20" s="13">
        <v>0.24</v>
      </c>
      <c r="AT20" s="13">
        <v>1.89</v>
      </c>
      <c r="AU20" s="13">
        <v>2.59</v>
      </c>
      <c r="AV20" s="13">
        <v>0.73</v>
      </c>
      <c r="AW20" s="13">
        <v>0.85</v>
      </c>
      <c r="AX20" s="14">
        <v>0.53</v>
      </c>
    </row>
    <row r="21" spans="42:50" x14ac:dyDescent="0.25">
      <c r="AP21" s="11" t="s">
        <v>93</v>
      </c>
      <c r="AQ21" s="12">
        <v>2.21</v>
      </c>
      <c r="AR21" s="13">
        <v>0.45</v>
      </c>
      <c r="AS21" s="13">
        <v>0.24</v>
      </c>
      <c r="AT21" s="13">
        <v>0.45</v>
      </c>
      <c r="AU21" s="13">
        <v>1.89</v>
      </c>
      <c r="AV21" s="13">
        <v>0.62</v>
      </c>
      <c r="AW21" s="13">
        <v>38.57</v>
      </c>
      <c r="AX21" s="14">
        <v>0.73</v>
      </c>
    </row>
    <row r="22" spans="42:50" x14ac:dyDescent="0.25">
      <c r="AP22" s="11" t="s">
        <v>94</v>
      </c>
      <c r="AQ22" s="12">
        <v>1.89</v>
      </c>
      <c r="AR22" s="13">
        <v>0.45</v>
      </c>
      <c r="AS22" s="13">
        <v>0.24</v>
      </c>
      <c r="AT22" s="13">
        <v>0.45</v>
      </c>
      <c r="AU22" s="13">
        <v>1.89</v>
      </c>
      <c r="AV22" s="13">
        <v>0.73</v>
      </c>
      <c r="AW22" s="13">
        <v>0.85</v>
      </c>
      <c r="AX22" s="14">
        <v>0.73</v>
      </c>
    </row>
    <row r="23" spans="42:50" x14ac:dyDescent="0.25">
      <c r="AP23" s="11" t="s">
        <v>95</v>
      </c>
      <c r="AQ23" s="12">
        <v>1.89</v>
      </c>
      <c r="AR23" s="13">
        <v>0.45</v>
      </c>
      <c r="AS23" s="13">
        <v>0.24</v>
      </c>
      <c r="AT23" s="13">
        <v>0.53</v>
      </c>
      <c r="AU23" s="13">
        <v>2.59</v>
      </c>
      <c r="AV23" s="13">
        <v>0.73</v>
      </c>
      <c r="AW23" s="13">
        <v>0.85</v>
      </c>
      <c r="AX23" s="14">
        <v>0.73</v>
      </c>
    </row>
    <row r="24" spans="42:50" x14ac:dyDescent="0.25">
      <c r="AP24" s="11" t="s">
        <v>96</v>
      </c>
      <c r="AQ24" s="12">
        <v>2.21</v>
      </c>
      <c r="AR24" s="13">
        <v>0.45</v>
      </c>
      <c r="AS24" s="13">
        <v>0.24</v>
      </c>
      <c r="AT24" s="13">
        <v>0.53</v>
      </c>
      <c r="AU24" s="13">
        <v>2.59</v>
      </c>
      <c r="AV24" s="13">
        <v>0.73</v>
      </c>
      <c r="AW24" s="13">
        <v>0.85</v>
      </c>
      <c r="AX24" s="14">
        <v>0.73</v>
      </c>
    </row>
    <row r="25" spans="42:50" x14ac:dyDescent="0.25">
      <c r="AP25" s="11" t="s">
        <v>97</v>
      </c>
      <c r="AQ25" s="12">
        <v>2.21</v>
      </c>
      <c r="AR25" s="13">
        <v>0.45</v>
      </c>
      <c r="AS25" s="13">
        <v>0.28000000000000003</v>
      </c>
      <c r="AT25" s="13">
        <v>0.45</v>
      </c>
      <c r="AU25" s="13">
        <v>2.59</v>
      </c>
      <c r="AV25" s="13">
        <v>0.85</v>
      </c>
      <c r="AW25" s="13">
        <v>0.85</v>
      </c>
      <c r="AX25" s="14">
        <v>0.73</v>
      </c>
    </row>
    <row r="26" spans="42:50" x14ac:dyDescent="0.25">
      <c r="AP26" s="11" t="s">
        <v>98</v>
      </c>
      <c r="AQ26" s="12">
        <v>1.89</v>
      </c>
      <c r="AR26" s="13">
        <v>0.39</v>
      </c>
      <c r="AS26" s="13">
        <v>0.13</v>
      </c>
      <c r="AT26" s="13">
        <v>0.45</v>
      </c>
      <c r="AU26" s="13">
        <v>2.59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99</v>
      </c>
      <c r="AQ27" s="12">
        <v>0</v>
      </c>
      <c r="AR27" s="13">
        <v>0.53</v>
      </c>
      <c r="AS27" s="13">
        <v>0.13</v>
      </c>
      <c r="AT27" s="13">
        <v>1.89</v>
      </c>
      <c r="AU27" s="13">
        <v>1.89</v>
      </c>
      <c r="AV27" s="13">
        <v>1.37</v>
      </c>
      <c r="AW27" s="13">
        <v>0.39</v>
      </c>
      <c r="AX27" s="14">
        <v>0.53</v>
      </c>
    </row>
    <row r="28" spans="42:50" x14ac:dyDescent="0.25">
      <c r="AP28" s="11" t="s">
        <v>100</v>
      </c>
      <c r="AQ28" s="12">
        <v>0</v>
      </c>
      <c r="AR28" s="13">
        <v>0.45</v>
      </c>
      <c r="AS28" s="13">
        <v>0.13</v>
      </c>
      <c r="AT28" s="13">
        <v>1.89</v>
      </c>
      <c r="AU28" s="13">
        <v>1.89</v>
      </c>
      <c r="AV28" s="13">
        <v>1.17</v>
      </c>
      <c r="AW28" s="13">
        <v>45.2</v>
      </c>
      <c r="AX28" s="14">
        <v>0.53</v>
      </c>
    </row>
    <row r="29" spans="42:50" x14ac:dyDescent="0.25">
      <c r="AP29" s="11" t="s">
        <v>101</v>
      </c>
      <c r="AQ29" s="12">
        <v>0</v>
      </c>
      <c r="AR29" s="13">
        <v>0.45</v>
      </c>
      <c r="AS29" s="13">
        <v>0.24</v>
      </c>
      <c r="AT29" s="13">
        <v>0.53</v>
      </c>
      <c r="AU29" s="13">
        <v>2.59</v>
      </c>
      <c r="AV29" s="13">
        <v>0</v>
      </c>
      <c r="AW29" s="13">
        <v>0.85</v>
      </c>
      <c r="AX29" s="14">
        <v>0.73</v>
      </c>
    </row>
    <row r="30" spans="42:50" x14ac:dyDescent="0.25">
      <c r="AP30" s="11" t="s">
        <v>102</v>
      </c>
      <c r="AQ30" s="12">
        <v>2.21</v>
      </c>
      <c r="AR30" s="13">
        <v>0.45</v>
      </c>
      <c r="AS30" s="13">
        <v>0.24</v>
      </c>
      <c r="AT30" s="13">
        <v>0.45</v>
      </c>
      <c r="AU30" s="13">
        <v>1.61</v>
      </c>
      <c r="AV30" s="13">
        <v>0.85</v>
      </c>
      <c r="AW30" s="13">
        <v>0.85</v>
      </c>
      <c r="AX30" s="14">
        <v>0.73</v>
      </c>
    </row>
    <row r="31" spans="42:50" x14ac:dyDescent="0.25">
      <c r="AP31" s="11" t="s">
        <v>103</v>
      </c>
      <c r="AQ31" s="12">
        <v>2.21</v>
      </c>
      <c r="AR31" s="13">
        <v>0.45</v>
      </c>
      <c r="AS31" s="13">
        <v>0.24</v>
      </c>
      <c r="AT31" s="13">
        <v>0.53</v>
      </c>
      <c r="AU31" s="13">
        <v>2.59</v>
      </c>
      <c r="AV31" s="13">
        <v>1.37</v>
      </c>
      <c r="AW31" s="13">
        <v>0.85</v>
      </c>
      <c r="AX31" s="14">
        <v>0.73</v>
      </c>
    </row>
    <row r="32" spans="42:50" x14ac:dyDescent="0.25">
      <c r="AP32" s="11" t="s">
        <v>104</v>
      </c>
      <c r="AQ32" s="12">
        <v>2.21</v>
      </c>
      <c r="AR32" s="13">
        <v>0.39</v>
      </c>
      <c r="AS32" s="13">
        <v>0.24</v>
      </c>
      <c r="AT32" s="13">
        <v>0.53</v>
      </c>
      <c r="AU32" s="13">
        <v>1.89</v>
      </c>
      <c r="AV32" s="13">
        <v>0.73</v>
      </c>
      <c r="AW32" s="13">
        <v>0.85</v>
      </c>
      <c r="AX32" s="14">
        <v>0.73</v>
      </c>
    </row>
    <row r="33" spans="42:50" x14ac:dyDescent="0.25">
      <c r="AP33" s="11" t="s">
        <v>105</v>
      </c>
      <c r="AQ33" s="12">
        <v>1.89</v>
      </c>
      <c r="AR33" s="13">
        <v>0.45</v>
      </c>
      <c r="AS33" s="13">
        <v>0.28000000000000003</v>
      </c>
      <c r="AT33" s="13">
        <v>0.53</v>
      </c>
      <c r="AU33" s="13">
        <v>1.61</v>
      </c>
      <c r="AV33" s="13">
        <v>0.73</v>
      </c>
      <c r="AW33" s="13">
        <v>0.85</v>
      </c>
      <c r="AX33" s="14">
        <v>0.73</v>
      </c>
    </row>
    <row r="34" spans="42:50" x14ac:dyDescent="0.25">
      <c r="AP34" s="11" t="s">
        <v>106</v>
      </c>
      <c r="AQ34" s="12">
        <v>2.21</v>
      </c>
      <c r="AR34" s="13">
        <v>0.45</v>
      </c>
      <c r="AS34" s="13">
        <v>0.24</v>
      </c>
      <c r="AT34" s="13">
        <v>0.53</v>
      </c>
      <c r="AU34" s="13">
        <v>2.59</v>
      </c>
      <c r="AV34" s="13">
        <v>0.73</v>
      </c>
      <c r="AW34" s="13">
        <v>0.85</v>
      </c>
      <c r="AX34" s="14">
        <v>0.73</v>
      </c>
    </row>
    <row r="35" spans="42:50" x14ac:dyDescent="0.25">
      <c r="AP35" s="11" t="s">
        <v>107</v>
      </c>
      <c r="AQ35" s="12">
        <v>2.21</v>
      </c>
      <c r="AR35" s="13">
        <v>0.45</v>
      </c>
      <c r="AS35" s="13">
        <v>0.24</v>
      </c>
      <c r="AT35" s="13">
        <v>0.53</v>
      </c>
      <c r="AU35" s="13">
        <v>2.21</v>
      </c>
      <c r="AV35" s="13">
        <v>0.73</v>
      </c>
      <c r="AW35" s="13">
        <v>0.85</v>
      </c>
      <c r="AX35" s="14">
        <v>0.73</v>
      </c>
    </row>
    <row r="36" spans="42:50" x14ac:dyDescent="0.25">
      <c r="AP36" s="11" t="s">
        <v>108</v>
      </c>
      <c r="AQ36" s="12">
        <v>1.89</v>
      </c>
      <c r="AR36" s="13">
        <v>0.45</v>
      </c>
      <c r="AS36" s="13">
        <v>0.24</v>
      </c>
      <c r="AT36" s="13">
        <v>0.53</v>
      </c>
      <c r="AU36" s="13">
        <v>1.89</v>
      </c>
      <c r="AV36" s="13">
        <v>0.73</v>
      </c>
      <c r="AW36" s="13">
        <v>0.85</v>
      </c>
      <c r="AX36" s="14">
        <v>0.73</v>
      </c>
    </row>
    <row r="37" spans="42:50" x14ac:dyDescent="0.25">
      <c r="AP37" s="11" t="s">
        <v>109</v>
      </c>
      <c r="AQ37" s="12">
        <v>2.21</v>
      </c>
      <c r="AR37" s="13">
        <v>0.45</v>
      </c>
      <c r="AS37" s="13">
        <v>0.24</v>
      </c>
      <c r="AT37" s="13">
        <v>0.45</v>
      </c>
      <c r="AU37" s="13">
        <v>1.89</v>
      </c>
      <c r="AV37" s="13">
        <v>0.73</v>
      </c>
      <c r="AW37" s="13">
        <v>0.85</v>
      </c>
      <c r="AX37" s="14">
        <v>0.73</v>
      </c>
    </row>
    <row r="38" spans="42:50" x14ac:dyDescent="0.25">
      <c r="AP38" s="11" t="s">
        <v>110</v>
      </c>
      <c r="AQ38" s="12">
        <v>0.73</v>
      </c>
      <c r="AR38" s="13">
        <v>0.53</v>
      </c>
      <c r="AS38" s="13">
        <v>0.28000000000000003</v>
      </c>
      <c r="AT38" s="13">
        <v>1.89</v>
      </c>
      <c r="AU38" s="13">
        <v>1.89</v>
      </c>
      <c r="AV38" s="13">
        <v>1.17</v>
      </c>
      <c r="AW38" s="13">
        <v>0.39</v>
      </c>
      <c r="AX38" s="14">
        <v>0.53</v>
      </c>
    </row>
    <row r="39" spans="42:50" x14ac:dyDescent="0.25">
      <c r="AP39" s="11" t="s">
        <v>111</v>
      </c>
      <c r="AQ39" s="12">
        <v>2.21</v>
      </c>
      <c r="AR39" s="13">
        <v>0.45</v>
      </c>
      <c r="AS39" s="13">
        <v>0.24</v>
      </c>
      <c r="AT39" s="13">
        <v>0.45</v>
      </c>
      <c r="AU39" s="13">
        <v>2.21</v>
      </c>
      <c r="AV39" s="13">
        <v>0.73</v>
      </c>
      <c r="AW39" s="13">
        <v>0.85</v>
      </c>
      <c r="AX39" s="14">
        <v>0.53</v>
      </c>
    </row>
    <row r="40" spans="42:50" x14ac:dyDescent="0.25">
      <c r="AP40" s="11" t="s">
        <v>112</v>
      </c>
      <c r="AQ40" s="12">
        <v>2.21</v>
      </c>
      <c r="AR40" s="13">
        <v>0.45</v>
      </c>
      <c r="AS40" s="13">
        <v>0.24</v>
      </c>
      <c r="AT40" s="13">
        <v>1.89</v>
      </c>
      <c r="AU40" s="13">
        <v>1.89</v>
      </c>
      <c r="AV40" s="13">
        <v>0.85</v>
      </c>
      <c r="AW40" s="13">
        <v>0.85</v>
      </c>
      <c r="AX40" s="14">
        <v>0.62</v>
      </c>
    </row>
    <row r="41" spans="42:50" x14ac:dyDescent="0.25">
      <c r="AP41" s="11" t="s">
        <v>113</v>
      </c>
      <c r="AQ41" s="12">
        <v>2.21</v>
      </c>
      <c r="AR41" s="13">
        <v>0.45</v>
      </c>
      <c r="AS41" s="13">
        <v>0.13</v>
      </c>
      <c r="AT41" s="13">
        <v>0.45</v>
      </c>
      <c r="AU41" s="13">
        <v>2.59</v>
      </c>
      <c r="AV41" s="13">
        <v>0.73</v>
      </c>
      <c r="AW41" s="13">
        <v>0.85</v>
      </c>
      <c r="AX41" s="14">
        <v>0.73</v>
      </c>
    </row>
    <row r="42" spans="42:50" x14ac:dyDescent="0.25">
      <c r="AP42" s="11" t="s">
        <v>114</v>
      </c>
      <c r="AQ42" s="12">
        <v>2.21</v>
      </c>
      <c r="AR42" s="13">
        <v>0.45</v>
      </c>
      <c r="AS42" s="13">
        <v>0.24</v>
      </c>
      <c r="AT42" s="13">
        <v>1.89</v>
      </c>
      <c r="AU42" s="13">
        <v>2.59</v>
      </c>
      <c r="AV42" s="13">
        <v>4.18</v>
      </c>
      <c r="AW42" s="13">
        <v>0.85</v>
      </c>
      <c r="AX42" s="14">
        <v>0.73</v>
      </c>
    </row>
    <row r="43" spans="42:50" x14ac:dyDescent="0.25">
      <c r="AP43" s="11" t="s">
        <v>115</v>
      </c>
      <c r="AQ43" s="12">
        <v>2.21</v>
      </c>
      <c r="AR43" s="13">
        <v>0.45</v>
      </c>
      <c r="AS43" s="13">
        <v>0.13</v>
      </c>
      <c r="AT43" s="13">
        <v>2.21</v>
      </c>
      <c r="AU43" s="13">
        <v>2.59</v>
      </c>
      <c r="AV43" s="13">
        <v>1.17</v>
      </c>
      <c r="AW43" s="13">
        <v>45.2</v>
      </c>
      <c r="AX43" s="14">
        <v>0.73</v>
      </c>
    </row>
    <row r="44" spans="42:50" x14ac:dyDescent="0.25">
      <c r="AP44" s="11" t="s">
        <v>116</v>
      </c>
      <c r="AQ44" s="12">
        <v>0.85</v>
      </c>
      <c r="AR44" s="13">
        <v>0.45</v>
      </c>
      <c r="AS44" s="13">
        <v>0.24</v>
      </c>
      <c r="AT44" s="13">
        <v>0.45</v>
      </c>
      <c r="AU44" s="13">
        <v>2.59</v>
      </c>
      <c r="AV44" s="13">
        <v>1.17</v>
      </c>
      <c r="AW44" s="13">
        <v>0.85</v>
      </c>
      <c r="AX44" s="14">
        <v>0.73</v>
      </c>
    </row>
    <row r="45" spans="42:50" x14ac:dyDescent="0.25">
      <c r="AP45" s="11" t="s">
        <v>117</v>
      </c>
      <c r="AQ45" s="12">
        <v>2.21</v>
      </c>
      <c r="AR45" s="13">
        <v>0.45</v>
      </c>
      <c r="AS45" s="13">
        <v>0.24</v>
      </c>
      <c r="AT45" s="13">
        <v>0.45</v>
      </c>
      <c r="AU45" s="13">
        <v>0.73</v>
      </c>
      <c r="AV45" s="13">
        <v>0.73</v>
      </c>
      <c r="AW45" s="13">
        <v>0.85</v>
      </c>
      <c r="AX45" s="14">
        <v>0.62</v>
      </c>
    </row>
    <row r="46" spans="42:50" x14ac:dyDescent="0.25">
      <c r="AP46" s="11" t="s">
        <v>118</v>
      </c>
      <c r="AQ46" s="12">
        <v>2.21</v>
      </c>
      <c r="AR46" s="13">
        <v>0.45</v>
      </c>
      <c r="AS46" s="13">
        <v>0.24</v>
      </c>
      <c r="AT46" s="13">
        <v>0.45</v>
      </c>
      <c r="AU46" s="13">
        <v>2.59</v>
      </c>
      <c r="AV46" s="13">
        <v>0.73</v>
      </c>
      <c r="AW46" s="13">
        <v>0.85</v>
      </c>
      <c r="AX46" s="14">
        <v>0.73</v>
      </c>
    </row>
    <row r="47" spans="42:50" x14ac:dyDescent="0.25">
      <c r="AP47" s="11" t="s">
        <v>119</v>
      </c>
      <c r="AQ47" s="12">
        <v>0.85</v>
      </c>
      <c r="AR47" s="13">
        <v>0.45</v>
      </c>
      <c r="AS47" s="13">
        <v>0.24</v>
      </c>
      <c r="AT47" s="13">
        <v>0.45</v>
      </c>
      <c r="AU47" s="13">
        <v>1.89</v>
      </c>
      <c r="AV47" s="13">
        <v>0.73</v>
      </c>
      <c r="AW47" s="13">
        <v>0.85</v>
      </c>
      <c r="AX47" s="14">
        <v>0.62</v>
      </c>
    </row>
    <row r="48" spans="42:50" x14ac:dyDescent="0.25">
      <c r="AP48" s="11" t="s">
        <v>120</v>
      </c>
      <c r="AQ48" s="12">
        <v>0.85</v>
      </c>
      <c r="AR48" s="13">
        <v>0.45</v>
      </c>
      <c r="AS48" s="13">
        <v>0.13</v>
      </c>
      <c r="AT48" s="13">
        <v>1.89</v>
      </c>
      <c r="AU48" s="13">
        <v>1.89</v>
      </c>
      <c r="AV48" s="13">
        <v>0.62</v>
      </c>
      <c r="AW48" s="13">
        <v>0.39</v>
      </c>
      <c r="AX48" s="14">
        <v>0.45</v>
      </c>
    </row>
    <row r="49" spans="42:50" x14ac:dyDescent="0.25">
      <c r="AP49" s="11" t="s">
        <v>121</v>
      </c>
      <c r="AQ49" s="12">
        <v>2.21</v>
      </c>
      <c r="AR49" s="13">
        <v>0.53</v>
      </c>
      <c r="AS49" s="13">
        <v>0.28000000000000003</v>
      </c>
      <c r="AT49" s="13">
        <v>0.45</v>
      </c>
      <c r="AU49" s="13">
        <v>2.59</v>
      </c>
      <c r="AV49" s="13">
        <v>0.73</v>
      </c>
      <c r="AW49" s="13">
        <v>0.85</v>
      </c>
      <c r="AX49" s="14">
        <v>0.73</v>
      </c>
    </row>
    <row r="50" spans="42:50" x14ac:dyDescent="0.25">
      <c r="AP50" s="11" t="s">
        <v>122</v>
      </c>
      <c r="AQ50" s="12">
        <v>2.21</v>
      </c>
      <c r="AR50" s="13">
        <v>0.45</v>
      </c>
      <c r="AS50" s="13">
        <v>0.24</v>
      </c>
      <c r="AT50" s="13">
        <v>0.45</v>
      </c>
      <c r="AU50" s="13">
        <v>1.89</v>
      </c>
      <c r="AV50" s="13">
        <v>0.73</v>
      </c>
      <c r="AW50" s="13">
        <v>0.33</v>
      </c>
      <c r="AX50" s="14">
        <v>0.73</v>
      </c>
    </row>
    <row r="51" spans="42:50" x14ac:dyDescent="0.25">
      <c r="AP51" s="11" t="s">
        <v>123</v>
      </c>
      <c r="AQ51" s="12">
        <v>2.21</v>
      </c>
      <c r="AR51" s="13">
        <v>0.53</v>
      </c>
      <c r="AS51" s="13">
        <v>0.24</v>
      </c>
      <c r="AT51" s="13">
        <v>0.45</v>
      </c>
      <c r="AU51" s="13">
        <v>2.21</v>
      </c>
      <c r="AV51" s="13">
        <v>0.73</v>
      </c>
      <c r="AW51" s="13">
        <v>0.85</v>
      </c>
      <c r="AX51" s="14">
        <v>0.53</v>
      </c>
    </row>
    <row r="52" spans="42:50" x14ac:dyDescent="0.25">
      <c r="AP52" s="11" t="s">
        <v>124</v>
      </c>
      <c r="AQ52" s="12">
        <v>0</v>
      </c>
      <c r="AR52" s="13">
        <v>0.45</v>
      </c>
      <c r="AS52" s="13">
        <v>0.24</v>
      </c>
      <c r="AT52" s="13">
        <v>1.89</v>
      </c>
      <c r="AU52" s="13">
        <v>2.59</v>
      </c>
      <c r="AV52" s="13">
        <v>0.73</v>
      </c>
      <c r="AW52" s="13">
        <v>0.85</v>
      </c>
      <c r="AX52" s="14">
        <v>0.45</v>
      </c>
    </row>
    <row r="53" spans="42:50" x14ac:dyDescent="0.25">
      <c r="AP53" s="11" t="s">
        <v>125</v>
      </c>
      <c r="AQ53" s="12">
        <v>2.21</v>
      </c>
      <c r="AR53" s="13">
        <v>0.45</v>
      </c>
      <c r="AS53" s="13">
        <v>0.24</v>
      </c>
      <c r="AT53" s="13">
        <v>0.53</v>
      </c>
      <c r="AU53" s="13">
        <v>2.59</v>
      </c>
      <c r="AV53" s="13">
        <v>0.73</v>
      </c>
      <c r="AW53" s="13">
        <v>0.85</v>
      </c>
      <c r="AX53" s="14">
        <v>0.73</v>
      </c>
    </row>
    <row r="54" spans="42:50" x14ac:dyDescent="0.25">
      <c r="AP54" s="11" t="s">
        <v>126</v>
      </c>
      <c r="AQ54" s="12">
        <v>1.89</v>
      </c>
      <c r="AR54" s="13">
        <v>0.53</v>
      </c>
      <c r="AS54" s="13">
        <v>0.24</v>
      </c>
      <c r="AT54" s="13">
        <v>1.89</v>
      </c>
      <c r="AU54" s="13">
        <v>2.59</v>
      </c>
      <c r="AV54" s="13">
        <v>0.85</v>
      </c>
      <c r="AW54" s="13">
        <v>0.85</v>
      </c>
      <c r="AX54" s="14">
        <v>0.73</v>
      </c>
    </row>
    <row r="55" spans="42:50" x14ac:dyDescent="0.25">
      <c r="AP55" s="11" t="s">
        <v>127</v>
      </c>
      <c r="AQ55" s="12">
        <v>2.21</v>
      </c>
      <c r="AR55" s="13">
        <v>0.45</v>
      </c>
      <c r="AS55" s="13">
        <v>0.24</v>
      </c>
      <c r="AT55" s="13">
        <v>1.89</v>
      </c>
      <c r="AU55" s="13">
        <v>2.59</v>
      </c>
      <c r="AV55" s="13">
        <v>0.73</v>
      </c>
      <c r="AW55" s="13">
        <v>0.85</v>
      </c>
      <c r="AX55" s="14">
        <v>0.73</v>
      </c>
    </row>
    <row r="56" spans="42:50" x14ac:dyDescent="0.25">
      <c r="AP56" s="11" t="s">
        <v>128</v>
      </c>
      <c r="AQ56" s="12">
        <v>0.85</v>
      </c>
      <c r="AR56" s="13">
        <v>0.45</v>
      </c>
      <c r="AS56" s="13">
        <v>0.24</v>
      </c>
      <c r="AT56" s="13">
        <v>0.53</v>
      </c>
      <c r="AU56" s="13">
        <v>2.59</v>
      </c>
      <c r="AV56" s="13">
        <v>0.73</v>
      </c>
      <c r="AW56" s="13">
        <v>0.85</v>
      </c>
      <c r="AX56" s="14">
        <v>0.73</v>
      </c>
    </row>
    <row r="57" spans="42:50" x14ac:dyDescent="0.25">
      <c r="AP57" s="11" t="s">
        <v>129</v>
      </c>
      <c r="AQ57" s="12">
        <v>1.89</v>
      </c>
      <c r="AR57" s="13">
        <v>0.45</v>
      </c>
      <c r="AS57" s="13">
        <v>0.13</v>
      </c>
      <c r="AT57" s="13">
        <v>0.53</v>
      </c>
      <c r="AU57" s="13">
        <v>2.59</v>
      </c>
      <c r="AV57" s="13">
        <v>0.73</v>
      </c>
      <c r="AW57" s="13">
        <v>0.85</v>
      </c>
      <c r="AX57" s="14">
        <v>0.73</v>
      </c>
    </row>
    <row r="58" spans="42:50" x14ac:dyDescent="0.25">
      <c r="AP58" s="11" t="s">
        <v>130</v>
      </c>
      <c r="AQ58" s="12">
        <v>0</v>
      </c>
      <c r="AR58" s="13">
        <v>0.45</v>
      </c>
      <c r="AS58" s="13">
        <v>0.13</v>
      </c>
      <c r="AT58" s="13">
        <v>1.89</v>
      </c>
      <c r="AU58" s="13">
        <v>0.85</v>
      </c>
      <c r="AV58" s="13">
        <v>1.17</v>
      </c>
      <c r="AW58" s="13">
        <v>0.39</v>
      </c>
      <c r="AX58" s="14">
        <v>0.45</v>
      </c>
    </row>
    <row r="59" spans="42:50" x14ac:dyDescent="0.25">
      <c r="AP59" s="11" t="s">
        <v>131</v>
      </c>
      <c r="AQ59" s="12">
        <v>2.21</v>
      </c>
      <c r="AR59" s="13">
        <v>0.45</v>
      </c>
      <c r="AS59" s="13">
        <v>0.24</v>
      </c>
      <c r="AT59" s="13">
        <v>0.53</v>
      </c>
      <c r="AU59" s="13">
        <v>2.59</v>
      </c>
      <c r="AV59" s="13">
        <v>0.73</v>
      </c>
      <c r="AW59" s="13">
        <v>0.85</v>
      </c>
      <c r="AX59" s="14">
        <v>0.73</v>
      </c>
    </row>
    <row r="60" spans="42:50" x14ac:dyDescent="0.25">
      <c r="AP60" s="11" t="s">
        <v>132</v>
      </c>
      <c r="AQ60" s="12">
        <v>1.89</v>
      </c>
      <c r="AR60" s="13">
        <v>0</v>
      </c>
      <c r="AS60" s="13">
        <v>0.24</v>
      </c>
      <c r="AT60" s="13">
        <v>0.45</v>
      </c>
      <c r="AU60" s="13">
        <v>2.59</v>
      </c>
      <c r="AV60" s="13">
        <v>0.73</v>
      </c>
      <c r="AW60" s="13">
        <v>0.85</v>
      </c>
      <c r="AX60" s="14">
        <v>0.73</v>
      </c>
    </row>
    <row r="61" spans="42:50" x14ac:dyDescent="0.25">
      <c r="AP61" s="11" t="s">
        <v>133</v>
      </c>
      <c r="AQ61" s="12">
        <v>2.21</v>
      </c>
      <c r="AR61" s="13">
        <v>0.45</v>
      </c>
      <c r="AS61" s="13">
        <v>0.2</v>
      </c>
      <c r="AT61" s="13">
        <v>0.53</v>
      </c>
      <c r="AU61" s="13">
        <v>2.59</v>
      </c>
      <c r="AV61" s="13">
        <v>1.17</v>
      </c>
      <c r="AW61" s="13">
        <v>0.39</v>
      </c>
      <c r="AX61" s="14">
        <v>0.73</v>
      </c>
    </row>
    <row r="62" spans="42:50" ht="15.75" thickBot="1" x14ac:dyDescent="0.3">
      <c r="AP62" s="11" t="s">
        <v>134</v>
      </c>
      <c r="AQ62" s="12">
        <v>2.21</v>
      </c>
      <c r="AR62" s="13">
        <v>0.45</v>
      </c>
      <c r="AS62" s="13">
        <v>0.24</v>
      </c>
      <c r="AT62" s="13">
        <v>1.89</v>
      </c>
      <c r="AU62" s="13">
        <v>2.59</v>
      </c>
      <c r="AV62" s="13">
        <v>0.73</v>
      </c>
      <c r="AW62" s="13">
        <v>0.85</v>
      </c>
      <c r="AX62" s="14">
        <v>0.53</v>
      </c>
    </row>
    <row r="63" spans="42:50" x14ac:dyDescent="0.25">
      <c r="AP63" s="7" t="s">
        <v>227</v>
      </c>
      <c r="AQ63" s="8">
        <v>1.9137037037036999</v>
      </c>
      <c r="AR63" s="9">
        <v>0.45807017543859602</v>
      </c>
      <c r="AS63" s="9">
        <v>0.21915254237288101</v>
      </c>
      <c r="AT63" s="9">
        <v>0.946949152542373</v>
      </c>
      <c r="AU63" s="9">
        <v>2.2367796610169499</v>
      </c>
      <c r="AV63" s="9">
        <v>0.90086206896551602</v>
      </c>
      <c r="AW63" s="9">
        <v>2.9205084745762599</v>
      </c>
      <c r="AX63" s="10">
        <v>0.66084745762711805</v>
      </c>
    </row>
    <row r="64" spans="42:50" x14ac:dyDescent="0.25">
      <c r="AP64" s="11" t="s">
        <v>228</v>
      </c>
      <c r="AQ64" s="12">
        <v>0.50394112051830497</v>
      </c>
      <c r="AR64" s="13">
        <v>3.1977985656321199E-2</v>
      </c>
      <c r="AS64" s="13">
        <v>4.9206866531768902E-2</v>
      </c>
      <c r="AT64" s="13">
        <v>0.81787499404805797</v>
      </c>
      <c r="AU64" s="13">
        <v>0.45475432249030201</v>
      </c>
      <c r="AV64" s="13">
        <v>0.48231941227550401</v>
      </c>
      <c r="AW64" s="13">
        <v>9.3025712544889192</v>
      </c>
      <c r="AX64" s="14">
        <v>0.106838832139154</v>
      </c>
    </row>
    <row r="65" spans="42:50" x14ac:dyDescent="0.25">
      <c r="AP65" s="11" t="s">
        <v>229</v>
      </c>
      <c r="AQ65" s="12">
        <v>2.4176448242220001</v>
      </c>
      <c r="AR65" s="13">
        <v>0.490048161094917</v>
      </c>
      <c r="AS65" s="13">
        <v>0.26835940890464999</v>
      </c>
      <c r="AT65" s="13">
        <v>1.76482414659043</v>
      </c>
      <c r="AU65" s="13">
        <v>2.69153398350725</v>
      </c>
      <c r="AV65" s="13">
        <v>1.3831814812410199</v>
      </c>
      <c r="AW65" s="13">
        <v>12.2230797290651</v>
      </c>
      <c r="AX65" s="14">
        <v>0.76768628976627196</v>
      </c>
    </row>
    <row r="66" spans="42:50" x14ac:dyDescent="0.25">
      <c r="AP66" s="11" t="s">
        <v>230</v>
      </c>
      <c r="AQ66" s="12">
        <v>1.4097625831853899</v>
      </c>
      <c r="AR66" s="13">
        <v>0.42609218978227398</v>
      </c>
      <c r="AS66" s="13">
        <v>0.169945675841112</v>
      </c>
      <c r="AT66" s="13">
        <v>0.129074158494314</v>
      </c>
      <c r="AU66" s="13">
        <v>1.78202533852664</v>
      </c>
      <c r="AV66" s="13">
        <v>0.418542656690012</v>
      </c>
      <c r="AW66" s="13">
        <v>-6.3820627799126504</v>
      </c>
      <c r="AX66" s="14">
        <v>0.55400862548796403</v>
      </c>
    </row>
    <row r="67" spans="42:50" ht="15.75" thickBot="1" x14ac:dyDescent="0.3">
      <c r="AP67" s="15" t="s">
        <v>231</v>
      </c>
      <c r="AQ67" s="16">
        <v>2.1317777777777698</v>
      </c>
      <c r="AR67" s="17">
        <v>0.44999999999999901</v>
      </c>
      <c r="AS67" s="17">
        <v>0.23899999999999999</v>
      </c>
      <c r="AT67" s="17">
        <v>0.48619047619047601</v>
      </c>
      <c r="AU67" s="17">
        <v>2.3526923076922999</v>
      </c>
      <c r="AV67" s="17">
        <v>0.84333333333333205</v>
      </c>
      <c r="AW67" s="17">
        <v>0.77392857142857197</v>
      </c>
      <c r="AX67" s="18">
        <v>0.72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232</v>
      </c>
      <c r="AQ69" s="29">
        <v>1.95</v>
      </c>
      <c r="AR69" s="29">
        <v>3.4</v>
      </c>
      <c r="AS69" s="29">
        <v>4.83</v>
      </c>
      <c r="AT69" s="29">
        <v>5.42</v>
      </c>
      <c r="AU69" s="29">
        <v>3.92</v>
      </c>
      <c r="AV69" s="29">
        <v>4.3499999999999996</v>
      </c>
      <c r="AW69" s="29">
        <v>1.86</v>
      </c>
      <c r="AX69" s="30">
        <v>2.73</v>
      </c>
    </row>
    <row r="70" spans="42:50" x14ac:dyDescent="0.25">
      <c r="AP70" s="31" t="s">
        <v>233</v>
      </c>
      <c r="AQ70" s="32">
        <f t="shared" ref="AQ70:AX70" si="0">AQ69-AQ67</f>
        <v>-0.18177777777776982</v>
      </c>
      <c r="AR70" s="32">
        <f t="shared" si="0"/>
        <v>2.9500000000000011</v>
      </c>
      <c r="AS70" s="32">
        <f t="shared" si="0"/>
        <v>4.5910000000000002</v>
      </c>
      <c r="AT70" s="32">
        <f t="shared" si="0"/>
        <v>4.9338095238095239</v>
      </c>
      <c r="AU70" s="32">
        <f t="shared" si="0"/>
        <v>1.5673076923077001</v>
      </c>
      <c r="AV70" s="32">
        <f t="shared" si="0"/>
        <v>3.5066666666666677</v>
      </c>
      <c r="AW70" s="32">
        <f t="shared" si="0"/>
        <v>1.0860714285714281</v>
      </c>
      <c r="AX70" s="33">
        <f t="shared" si="0"/>
        <v>2.0099999999999998</v>
      </c>
    </row>
    <row r="71" spans="42:50" ht="15.75" thickBot="1" x14ac:dyDescent="0.3">
      <c r="AP71" s="34" t="s">
        <v>234</v>
      </c>
      <c r="AQ71" s="35">
        <f t="shared" ref="AQ71:AX71" si="1">(AQ70/AQ67)*100</f>
        <v>-8.527050974668688</v>
      </c>
      <c r="AR71" s="35">
        <f t="shared" si="1"/>
        <v>655.55555555555725</v>
      </c>
      <c r="AS71" s="35">
        <f t="shared" si="1"/>
        <v>1920.9205020920504</v>
      </c>
      <c r="AT71" s="35">
        <f t="shared" si="1"/>
        <v>1014.7894221351621</v>
      </c>
      <c r="AU71" s="35">
        <f t="shared" si="1"/>
        <v>66.617623017819739</v>
      </c>
      <c r="AV71" s="35">
        <f t="shared" si="1"/>
        <v>415.81027667984267</v>
      </c>
      <c r="AW71" s="35">
        <f t="shared" si="1"/>
        <v>140.33225657591123</v>
      </c>
      <c r="AX71" s="36">
        <f t="shared" si="1"/>
        <v>279.16666666666663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235</v>
      </c>
      <c r="AQ73" s="29">
        <v>1.94</v>
      </c>
      <c r="AR73" s="29">
        <v>3.45</v>
      </c>
      <c r="AS73" s="29">
        <v>4.8499999999999996</v>
      </c>
      <c r="AT73" s="29">
        <v>5.37</v>
      </c>
      <c r="AU73" s="29">
        <v>3.93</v>
      </c>
      <c r="AV73" s="29">
        <v>4.3499999999999996</v>
      </c>
      <c r="AW73" s="29">
        <v>1.76</v>
      </c>
      <c r="AX73" s="30">
        <v>2.64</v>
      </c>
    </row>
    <row r="74" spans="42:50" x14ac:dyDescent="0.25">
      <c r="AP74" s="31" t="s">
        <v>233</v>
      </c>
      <c r="AQ74" s="32">
        <f t="shared" ref="AQ74:AX74" si="2">AQ73-AQ67</f>
        <v>-0.19177777777776983</v>
      </c>
      <c r="AR74" s="32">
        <f t="shared" si="2"/>
        <v>3.0000000000000013</v>
      </c>
      <c r="AS74" s="32">
        <f t="shared" si="2"/>
        <v>4.6109999999999998</v>
      </c>
      <c r="AT74" s="32">
        <f t="shared" si="2"/>
        <v>4.883809523809524</v>
      </c>
      <c r="AU74" s="32">
        <f t="shared" si="2"/>
        <v>1.5773076923077003</v>
      </c>
      <c r="AV74" s="32">
        <f t="shared" si="2"/>
        <v>3.5066666666666677</v>
      </c>
      <c r="AW74" s="32">
        <f t="shared" si="2"/>
        <v>0.98607142857142804</v>
      </c>
      <c r="AX74" s="33">
        <f t="shared" si="2"/>
        <v>1.9200000000000002</v>
      </c>
    </row>
    <row r="75" spans="42:50" ht="15.75" thickBot="1" x14ac:dyDescent="0.3">
      <c r="AP75" s="34" t="s">
        <v>234</v>
      </c>
      <c r="AQ75" s="35">
        <f t="shared" ref="AQ75:AX75" si="3">(AQ74/AQ67)*100</f>
        <v>-8.9961430209524398</v>
      </c>
      <c r="AR75" s="35">
        <f t="shared" si="3"/>
        <v>666.66666666666833</v>
      </c>
      <c r="AS75" s="35">
        <f t="shared" si="3"/>
        <v>1929.2887029288704</v>
      </c>
      <c r="AT75" s="35">
        <f t="shared" si="3"/>
        <v>1004.5053868756125</v>
      </c>
      <c r="AU75" s="35">
        <f t="shared" si="3"/>
        <v>67.04266797449786</v>
      </c>
      <c r="AV75" s="35">
        <f t="shared" si="3"/>
        <v>415.81027667984267</v>
      </c>
      <c r="AW75" s="35">
        <f t="shared" si="3"/>
        <v>127.4111675126902</v>
      </c>
      <c r="AX75" s="36">
        <f t="shared" si="3"/>
        <v>266.66666666666669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236</v>
      </c>
      <c r="AQ77" s="41">
        <v>1.87</v>
      </c>
      <c r="AR77" s="29">
        <v>3.49</v>
      </c>
      <c r="AS77" s="29">
        <v>4.88</v>
      </c>
      <c r="AT77" s="29">
        <v>5.41</v>
      </c>
      <c r="AU77" s="29">
        <v>3.97</v>
      </c>
      <c r="AV77" s="29">
        <v>4.4000000000000004</v>
      </c>
      <c r="AW77" s="29">
        <v>1.76</v>
      </c>
      <c r="AX77" s="30">
        <v>2.66</v>
      </c>
    </row>
    <row r="78" spans="42:50" x14ac:dyDescent="0.25">
      <c r="AP78" s="31" t="s">
        <v>233</v>
      </c>
      <c r="AQ78" s="42">
        <f>AQ77-AQ67</f>
        <v>-0.26177777777776967</v>
      </c>
      <c r="AR78" s="32">
        <f t="shared" ref="AR78:AX78" si="4">AR77-AR67</f>
        <v>3.0400000000000014</v>
      </c>
      <c r="AS78" s="32">
        <f t="shared" si="4"/>
        <v>4.641</v>
      </c>
      <c r="AT78" s="32">
        <f t="shared" si="4"/>
        <v>4.9238095238095241</v>
      </c>
      <c r="AU78" s="32">
        <f t="shared" si="4"/>
        <v>1.6173076923077003</v>
      </c>
      <c r="AV78" s="32">
        <f t="shared" si="4"/>
        <v>3.5566666666666684</v>
      </c>
      <c r="AW78" s="32">
        <f t="shared" si="4"/>
        <v>0.98607142857142804</v>
      </c>
      <c r="AX78" s="33">
        <f t="shared" si="4"/>
        <v>1.9400000000000002</v>
      </c>
    </row>
    <row r="79" spans="42:50" ht="15.75" thickBot="1" x14ac:dyDescent="0.3">
      <c r="AP79" s="34" t="s">
        <v>234</v>
      </c>
      <c r="AQ79" s="43">
        <f>(AQ78/AQ67)*100</f>
        <v>-12.279787344938683</v>
      </c>
      <c r="AR79" s="35">
        <f t="shared" ref="AR79:AX79" si="5">(AR78/AR67)*100</f>
        <v>675.55555555555736</v>
      </c>
      <c r="AS79" s="35">
        <f t="shared" si="5"/>
        <v>1941.8410041841003</v>
      </c>
      <c r="AT79" s="35">
        <f t="shared" si="5"/>
        <v>1012.7326150832522</v>
      </c>
      <c r="AU79" s="35">
        <f t="shared" si="5"/>
        <v>68.742847801210317</v>
      </c>
      <c r="AV79" s="35">
        <f t="shared" si="5"/>
        <v>421.73913043478342</v>
      </c>
      <c r="AW79" s="35">
        <f t="shared" si="5"/>
        <v>127.4111675126902</v>
      </c>
      <c r="AX79" s="36">
        <f t="shared" si="5"/>
        <v>269.44444444444446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topLeftCell="AH22" workbookViewId="0">
      <selection activeCell="AP58" sqref="AP58:AX6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285156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5.5703125" style="3" bestFit="1" customWidth="1"/>
    <col min="48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207</v>
      </c>
      <c r="AQ4" s="8">
        <v>0</v>
      </c>
      <c r="AR4" s="9">
        <v>0.45</v>
      </c>
      <c r="AS4" s="9">
        <v>0.24</v>
      </c>
      <c r="AT4" s="9">
        <v>0.53</v>
      </c>
      <c r="AU4" s="9">
        <v>2.21</v>
      </c>
      <c r="AV4" s="9">
        <v>0.73</v>
      </c>
      <c r="AW4" s="9">
        <v>0.85</v>
      </c>
      <c r="AX4" s="10">
        <v>0.73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207</v>
      </c>
      <c r="AQ5" s="12">
        <v>2.21</v>
      </c>
      <c r="AR5" s="13">
        <v>0.45</v>
      </c>
      <c r="AS5" s="13">
        <v>0.24</v>
      </c>
      <c r="AT5" s="13">
        <v>0.45</v>
      </c>
      <c r="AU5" s="13">
        <v>1.61</v>
      </c>
      <c r="AV5" s="13">
        <v>0.73</v>
      </c>
      <c r="AW5" s="13">
        <v>0.85</v>
      </c>
      <c r="AX5" s="14">
        <v>0.73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207</v>
      </c>
      <c r="AQ6" s="12">
        <v>2.21</v>
      </c>
      <c r="AR6" s="13">
        <v>0.45</v>
      </c>
      <c r="AS6" s="13">
        <v>0.85</v>
      </c>
      <c r="AT6" s="13">
        <v>0.53</v>
      </c>
      <c r="AU6" s="13">
        <v>2.59</v>
      </c>
      <c r="AV6" s="13">
        <v>1.17</v>
      </c>
      <c r="AW6" s="13">
        <v>0.33</v>
      </c>
      <c r="AX6" s="14">
        <v>0.85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207</v>
      </c>
      <c r="AQ7" s="12">
        <v>1.89</v>
      </c>
      <c r="AR7" s="13">
        <v>0.53</v>
      </c>
      <c r="AS7" s="13">
        <v>0.24</v>
      </c>
      <c r="AT7" s="13">
        <v>0.45</v>
      </c>
      <c r="AU7" s="13">
        <v>2.59</v>
      </c>
      <c r="AV7" s="13">
        <v>0.73</v>
      </c>
      <c r="AW7" s="13">
        <v>0.85</v>
      </c>
      <c r="AX7" s="14">
        <v>0.73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207</v>
      </c>
      <c r="AQ8" s="12">
        <v>2.21</v>
      </c>
      <c r="AR8" s="13">
        <v>0.45</v>
      </c>
      <c r="AS8" s="13">
        <v>0.24</v>
      </c>
      <c r="AT8" s="13">
        <v>0.53</v>
      </c>
      <c r="AU8" s="13">
        <v>2.21</v>
      </c>
      <c r="AV8" s="13">
        <v>0.73</v>
      </c>
      <c r="AW8" s="13">
        <v>0.39</v>
      </c>
      <c r="AX8" s="14">
        <v>0.73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208</v>
      </c>
      <c r="AQ9" s="12">
        <v>1.89</v>
      </c>
      <c r="AR9" s="13">
        <v>0.45</v>
      </c>
      <c r="AS9" s="13">
        <v>0.24</v>
      </c>
      <c r="AT9" s="13">
        <v>0.45</v>
      </c>
      <c r="AU9" s="13">
        <v>2.59</v>
      </c>
      <c r="AV9" s="13">
        <v>0.73</v>
      </c>
      <c r="AW9" s="13">
        <v>0.85</v>
      </c>
      <c r="AX9" s="14">
        <v>0.45</v>
      </c>
    </row>
    <row r="10" spans="2:80" x14ac:dyDescent="0.25">
      <c r="AP10" s="11" t="s">
        <v>208</v>
      </c>
      <c r="AQ10" s="12">
        <v>0.85</v>
      </c>
      <c r="AR10" s="13">
        <v>0.53</v>
      </c>
      <c r="AS10" s="13">
        <v>0.13</v>
      </c>
      <c r="AT10" s="13">
        <v>1.89</v>
      </c>
      <c r="AU10" s="13">
        <v>1.89</v>
      </c>
      <c r="AV10" s="13">
        <v>1.17</v>
      </c>
      <c r="AW10" s="13">
        <v>0.33</v>
      </c>
      <c r="AX10" s="14">
        <v>0.45</v>
      </c>
    </row>
    <row r="11" spans="2:80" x14ac:dyDescent="0.25">
      <c r="AP11" s="11" t="s">
        <v>208</v>
      </c>
      <c r="AQ11" s="12">
        <v>1.89</v>
      </c>
      <c r="AR11" s="13">
        <v>0.45</v>
      </c>
      <c r="AS11" s="13">
        <v>0.24</v>
      </c>
      <c r="AT11" s="13">
        <v>0.53</v>
      </c>
      <c r="AU11" s="13">
        <v>2.59</v>
      </c>
      <c r="AV11" s="13">
        <v>0.73</v>
      </c>
      <c r="AW11" s="13">
        <v>0.85</v>
      </c>
      <c r="AX11" s="14">
        <v>0.62</v>
      </c>
    </row>
    <row r="12" spans="2:80" x14ac:dyDescent="0.25">
      <c r="AP12" s="11" t="s">
        <v>208</v>
      </c>
      <c r="AQ12" s="12">
        <v>2.21</v>
      </c>
      <c r="AR12" s="13">
        <v>0.45</v>
      </c>
      <c r="AS12" s="13">
        <v>0.24</v>
      </c>
      <c r="AT12" s="13">
        <v>0.45</v>
      </c>
      <c r="AU12" s="13">
        <v>1.61</v>
      </c>
      <c r="AV12" s="13">
        <v>0.73</v>
      </c>
      <c r="AW12" s="13">
        <v>0.85</v>
      </c>
      <c r="AX12" s="14">
        <v>0.73</v>
      </c>
    </row>
    <row r="13" spans="2:80" x14ac:dyDescent="0.25">
      <c r="AP13" s="11" t="s">
        <v>208</v>
      </c>
      <c r="AQ13" s="12">
        <v>2.21</v>
      </c>
      <c r="AR13" s="13">
        <v>0.45</v>
      </c>
      <c r="AS13" s="13">
        <v>0.28000000000000003</v>
      </c>
      <c r="AT13" s="13">
        <v>0.45</v>
      </c>
      <c r="AU13" s="13">
        <v>2.59</v>
      </c>
      <c r="AV13" s="13">
        <v>0.73</v>
      </c>
      <c r="AW13" s="13">
        <v>0.85</v>
      </c>
      <c r="AX13" s="14">
        <v>0.73</v>
      </c>
    </row>
    <row r="14" spans="2:80" x14ac:dyDescent="0.25">
      <c r="AP14" s="11" t="s">
        <v>209</v>
      </c>
      <c r="AQ14" s="12">
        <v>2.21</v>
      </c>
      <c r="AR14" s="13">
        <v>0.45</v>
      </c>
      <c r="AS14" s="13">
        <v>0.24</v>
      </c>
      <c r="AT14" s="13">
        <v>0.53</v>
      </c>
      <c r="AU14" s="13">
        <v>2.59</v>
      </c>
      <c r="AV14" s="13">
        <v>0.73</v>
      </c>
      <c r="AW14" s="13">
        <v>0.85</v>
      </c>
      <c r="AX14" s="14">
        <v>0.45</v>
      </c>
    </row>
    <row r="15" spans="2:80" x14ac:dyDescent="0.25">
      <c r="AP15" s="11" t="s">
        <v>209</v>
      </c>
      <c r="AQ15" s="12">
        <v>2.21</v>
      </c>
      <c r="AR15" s="13">
        <v>0.45</v>
      </c>
      <c r="AS15" s="13">
        <v>0.24</v>
      </c>
      <c r="AT15" s="13">
        <v>0.45</v>
      </c>
      <c r="AU15" s="13">
        <v>2.59</v>
      </c>
      <c r="AV15" s="13">
        <v>0.85</v>
      </c>
      <c r="AW15" s="13">
        <v>0.85</v>
      </c>
      <c r="AX15" s="14">
        <v>0.73</v>
      </c>
    </row>
    <row r="16" spans="2:80" x14ac:dyDescent="0.25">
      <c r="AP16" s="11" t="s">
        <v>209</v>
      </c>
      <c r="AQ16" s="12">
        <v>2.21</v>
      </c>
      <c r="AR16" s="13">
        <v>0.45</v>
      </c>
      <c r="AS16" s="13">
        <v>0.24</v>
      </c>
      <c r="AT16" s="13">
        <v>4.8899999999999997</v>
      </c>
      <c r="AU16" s="13">
        <v>2.59</v>
      </c>
      <c r="AV16" s="13">
        <v>0.73</v>
      </c>
      <c r="AW16" s="13">
        <v>0.39</v>
      </c>
      <c r="AX16" s="14">
        <v>0.73</v>
      </c>
    </row>
    <row r="17" spans="42:50" x14ac:dyDescent="0.25">
      <c r="AP17" s="11" t="s">
        <v>209</v>
      </c>
      <c r="AQ17" s="12">
        <v>2.21</v>
      </c>
      <c r="AR17" s="13">
        <v>0.39</v>
      </c>
      <c r="AS17" s="13">
        <v>0.13</v>
      </c>
      <c r="AT17" s="13">
        <v>0.53</v>
      </c>
      <c r="AU17" s="13">
        <v>2.59</v>
      </c>
      <c r="AV17" s="13">
        <v>0.73</v>
      </c>
      <c r="AW17" s="13">
        <v>0.85</v>
      </c>
      <c r="AX17" s="14">
        <v>0.73</v>
      </c>
    </row>
    <row r="18" spans="42:50" x14ac:dyDescent="0.25">
      <c r="AP18" s="11" t="s">
        <v>209</v>
      </c>
      <c r="AQ18" s="12">
        <v>2.21</v>
      </c>
      <c r="AR18" s="13">
        <v>0.45</v>
      </c>
      <c r="AS18" s="13">
        <v>0.28000000000000003</v>
      </c>
      <c r="AT18" s="13">
        <v>0.53</v>
      </c>
      <c r="AU18" s="13">
        <v>1.89</v>
      </c>
      <c r="AV18" s="13">
        <v>1.17</v>
      </c>
      <c r="AW18" s="13">
        <v>0.85</v>
      </c>
      <c r="AX18" s="14">
        <v>0.73</v>
      </c>
    </row>
    <row r="19" spans="42:50" x14ac:dyDescent="0.25">
      <c r="AP19" s="11" t="s">
        <v>210</v>
      </c>
      <c r="AQ19" s="12">
        <v>2.21</v>
      </c>
      <c r="AR19" s="13">
        <v>0.45</v>
      </c>
      <c r="AS19" s="13">
        <v>0.13</v>
      </c>
      <c r="AT19" s="13">
        <v>0.53</v>
      </c>
      <c r="AU19" s="13">
        <v>2.59</v>
      </c>
      <c r="AV19" s="13">
        <v>0.73</v>
      </c>
      <c r="AW19" s="13">
        <v>0.85</v>
      </c>
      <c r="AX19" s="14">
        <v>0.73</v>
      </c>
    </row>
    <row r="20" spans="42:50" x14ac:dyDescent="0.25">
      <c r="AP20" s="11" t="s">
        <v>210</v>
      </c>
      <c r="AQ20" s="12">
        <v>0.73</v>
      </c>
      <c r="AR20" s="13">
        <v>0.45</v>
      </c>
      <c r="AS20" s="13">
        <v>0.13</v>
      </c>
      <c r="AT20" s="13">
        <v>1.89</v>
      </c>
      <c r="AU20" s="13">
        <v>1.89</v>
      </c>
      <c r="AV20" s="13">
        <v>1.37</v>
      </c>
      <c r="AW20" s="13">
        <v>0.85</v>
      </c>
      <c r="AX20" s="14">
        <v>0.45</v>
      </c>
    </row>
    <row r="21" spans="42:50" x14ac:dyDescent="0.25">
      <c r="AP21" s="11" t="s">
        <v>210</v>
      </c>
      <c r="AQ21" s="12">
        <v>0.85</v>
      </c>
      <c r="AR21" s="13">
        <v>0.45</v>
      </c>
      <c r="AS21" s="13">
        <v>0.13</v>
      </c>
      <c r="AT21" s="13">
        <v>1.89</v>
      </c>
      <c r="AU21" s="13">
        <v>1.89</v>
      </c>
      <c r="AV21" s="13">
        <v>1.37</v>
      </c>
      <c r="AW21" s="13">
        <v>0.39</v>
      </c>
      <c r="AX21" s="14">
        <v>0.45</v>
      </c>
    </row>
    <row r="22" spans="42:50" x14ac:dyDescent="0.25">
      <c r="AP22" s="11" t="s">
        <v>210</v>
      </c>
      <c r="AQ22" s="12">
        <v>0.85</v>
      </c>
      <c r="AR22" s="13">
        <v>0.53</v>
      </c>
      <c r="AS22" s="13">
        <v>0.24</v>
      </c>
      <c r="AT22" s="13">
        <v>0.45</v>
      </c>
      <c r="AU22" s="13">
        <v>1.61</v>
      </c>
      <c r="AV22" s="13">
        <v>0.73</v>
      </c>
      <c r="AW22" s="13">
        <v>0.85</v>
      </c>
      <c r="AX22" s="14">
        <v>0.73</v>
      </c>
    </row>
    <row r="23" spans="42:50" x14ac:dyDescent="0.25">
      <c r="AP23" s="11" t="s">
        <v>210</v>
      </c>
      <c r="AQ23" s="12">
        <v>2.21</v>
      </c>
      <c r="AR23" s="13">
        <v>0</v>
      </c>
      <c r="AS23" s="13">
        <v>0.24</v>
      </c>
      <c r="AT23" s="13">
        <v>0.45</v>
      </c>
      <c r="AU23" s="13">
        <v>1.61</v>
      </c>
      <c r="AV23" s="13">
        <v>0.73</v>
      </c>
      <c r="AW23" s="13">
        <v>0.85</v>
      </c>
      <c r="AX23" s="14">
        <v>0.73</v>
      </c>
    </row>
    <row r="24" spans="42:50" x14ac:dyDescent="0.25">
      <c r="AP24" s="11" t="s">
        <v>211</v>
      </c>
      <c r="AQ24" s="12">
        <v>2.21</v>
      </c>
      <c r="AR24" s="13">
        <v>0.45</v>
      </c>
      <c r="AS24" s="13">
        <v>0.24</v>
      </c>
      <c r="AT24" s="13">
        <v>0.45</v>
      </c>
      <c r="AU24" s="13">
        <v>1.89</v>
      </c>
      <c r="AV24" s="13">
        <v>0.62</v>
      </c>
      <c r="AW24" s="13">
        <v>38.57</v>
      </c>
      <c r="AX24" s="14">
        <v>0.73</v>
      </c>
    </row>
    <row r="25" spans="42:50" x14ac:dyDescent="0.25">
      <c r="AP25" s="11" t="s">
        <v>211</v>
      </c>
      <c r="AQ25" s="12">
        <v>1.89</v>
      </c>
      <c r="AR25" s="13">
        <v>0.45</v>
      </c>
      <c r="AS25" s="13">
        <v>0.24</v>
      </c>
      <c r="AT25" s="13">
        <v>0.45</v>
      </c>
      <c r="AU25" s="13">
        <v>1.89</v>
      </c>
      <c r="AV25" s="13">
        <v>0.73</v>
      </c>
      <c r="AW25" s="13">
        <v>0.85</v>
      </c>
      <c r="AX25" s="14">
        <v>0.73</v>
      </c>
    </row>
    <row r="26" spans="42:50" x14ac:dyDescent="0.25">
      <c r="AP26" s="11" t="s">
        <v>211</v>
      </c>
      <c r="AQ26" s="12">
        <v>1.89</v>
      </c>
      <c r="AR26" s="13">
        <v>0.45</v>
      </c>
      <c r="AS26" s="13">
        <v>0.24</v>
      </c>
      <c r="AT26" s="13">
        <v>0.53</v>
      </c>
      <c r="AU26" s="13">
        <v>2.59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211</v>
      </c>
      <c r="AQ27" s="12">
        <v>2.21</v>
      </c>
      <c r="AR27" s="13">
        <v>0.45</v>
      </c>
      <c r="AS27" s="13">
        <v>0.24</v>
      </c>
      <c r="AT27" s="13">
        <v>0.53</v>
      </c>
      <c r="AU27" s="13">
        <v>2.59</v>
      </c>
      <c r="AV27" s="13">
        <v>0.73</v>
      </c>
      <c r="AW27" s="13">
        <v>0.85</v>
      </c>
      <c r="AX27" s="14">
        <v>0.73</v>
      </c>
    </row>
    <row r="28" spans="42:50" x14ac:dyDescent="0.25">
      <c r="AP28" s="11" t="s">
        <v>211</v>
      </c>
      <c r="AQ28" s="12">
        <v>2.21</v>
      </c>
      <c r="AR28" s="13">
        <v>0.45</v>
      </c>
      <c r="AS28" s="13">
        <v>0.24</v>
      </c>
      <c r="AT28" s="13">
        <v>1.89</v>
      </c>
      <c r="AU28" s="13">
        <v>2.59</v>
      </c>
      <c r="AV28" s="13">
        <v>0.73</v>
      </c>
      <c r="AW28" s="13">
        <v>0.85</v>
      </c>
      <c r="AX28" s="14">
        <v>0.53</v>
      </c>
    </row>
    <row r="29" spans="42:50" x14ac:dyDescent="0.25">
      <c r="AP29" s="11" t="s">
        <v>212</v>
      </c>
      <c r="AQ29" s="12">
        <v>1.89</v>
      </c>
      <c r="AR29" s="13">
        <v>0.39</v>
      </c>
      <c r="AS29" s="13">
        <v>0.13</v>
      </c>
      <c r="AT29" s="13">
        <v>0.45</v>
      </c>
      <c r="AU29" s="13">
        <v>2.59</v>
      </c>
      <c r="AV29" s="13">
        <v>0.73</v>
      </c>
      <c r="AW29" s="13">
        <v>0.85</v>
      </c>
      <c r="AX29" s="14">
        <v>0.73</v>
      </c>
    </row>
    <row r="30" spans="42:50" x14ac:dyDescent="0.25">
      <c r="AP30" s="11" t="s">
        <v>212</v>
      </c>
      <c r="AQ30" s="12">
        <v>0</v>
      </c>
      <c r="AR30" s="13">
        <v>0.53</v>
      </c>
      <c r="AS30" s="13">
        <v>0.13</v>
      </c>
      <c r="AT30" s="13">
        <v>1.89</v>
      </c>
      <c r="AU30" s="13">
        <v>1.89</v>
      </c>
      <c r="AV30" s="13">
        <v>1.37</v>
      </c>
      <c r="AW30" s="13">
        <v>0.39</v>
      </c>
      <c r="AX30" s="14">
        <v>0.53</v>
      </c>
    </row>
    <row r="31" spans="42:50" x14ac:dyDescent="0.25">
      <c r="AP31" s="11" t="s">
        <v>212</v>
      </c>
      <c r="AQ31" s="12">
        <v>0</v>
      </c>
      <c r="AR31" s="13">
        <v>0.45</v>
      </c>
      <c r="AS31" s="13">
        <v>0.13</v>
      </c>
      <c r="AT31" s="13">
        <v>1.89</v>
      </c>
      <c r="AU31" s="13">
        <v>1.89</v>
      </c>
      <c r="AV31" s="13">
        <v>1.17</v>
      </c>
      <c r="AW31" s="13">
        <v>45.2</v>
      </c>
      <c r="AX31" s="14">
        <v>0.53</v>
      </c>
    </row>
    <row r="32" spans="42:50" x14ac:dyDescent="0.25">
      <c r="AP32" s="11" t="s">
        <v>212</v>
      </c>
      <c r="AQ32" s="12">
        <v>2.21</v>
      </c>
      <c r="AR32" s="13">
        <v>0.45</v>
      </c>
      <c r="AS32" s="13">
        <v>0.24</v>
      </c>
      <c r="AT32" s="13">
        <v>0.53</v>
      </c>
      <c r="AU32" s="13">
        <v>2.59</v>
      </c>
      <c r="AV32" s="13">
        <v>0.73</v>
      </c>
      <c r="AW32" s="13">
        <v>0.85</v>
      </c>
      <c r="AX32" s="14">
        <v>0.73</v>
      </c>
    </row>
    <row r="33" spans="42:50" x14ac:dyDescent="0.25">
      <c r="AP33" s="11" t="s">
        <v>212</v>
      </c>
      <c r="AQ33" s="12">
        <v>2.21</v>
      </c>
      <c r="AR33" s="13">
        <v>0.45</v>
      </c>
      <c r="AS33" s="13">
        <v>0.28000000000000003</v>
      </c>
      <c r="AT33" s="13">
        <v>0.45</v>
      </c>
      <c r="AU33" s="13">
        <v>2.59</v>
      </c>
      <c r="AV33" s="13">
        <v>0.85</v>
      </c>
      <c r="AW33" s="13">
        <v>0.85</v>
      </c>
      <c r="AX33" s="14">
        <v>0.73</v>
      </c>
    </row>
    <row r="34" spans="42:50" x14ac:dyDescent="0.25">
      <c r="AP34" s="11" t="s">
        <v>213</v>
      </c>
      <c r="AQ34" s="12">
        <v>2.21</v>
      </c>
      <c r="AR34" s="13">
        <v>0.45</v>
      </c>
      <c r="AS34" s="13">
        <v>0.24</v>
      </c>
      <c r="AT34" s="13">
        <v>0.53</v>
      </c>
      <c r="AU34" s="13">
        <v>2.59</v>
      </c>
      <c r="AV34" s="13">
        <v>1.37</v>
      </c>
      <c r="AW34" s="13">
        <v>0.85</v>
      </c>
      <c r="AX34" s="14">
        <v>0.73</v>
      </c>
    </row>
    <row r="35" spans="42:50" x14ac:dyDescent="0.25">
      <c r="AP35" s="11" t="s">
        <v>213</v>
      </c>
      <c r="AQ35" s="12">
        <v>2.21</v>
      </c>
      <c r="AR35" s="13">
        <v>0.39</v>
      </c>
      <c r="AS35" s="13">
        <v>0.24</v>
      </c>
      <c r="AT35" s="13">
        <v>0.53</v>
      </c>
      <c r="AU35" s="13">
        <v>1.89</v>
      </c>
      <c r="AV35" s="13">
        <v>0.73</v>
      </c>
      <c r="AW35" s="13">
        <v>0.85</v>
      </c>
      <c r="AX35" s="14">
        <v>0.73</v>
      </c>
    </row>
    <row r="36" spans="42:50" x14ac:dyDescent="0.25">
      <c r="AP36" s="11" t="s">
        <v>213</v>
      </c>
      <c r="AQ36" s="12">
        <v>1.89</v>
      </c>
      <c r="AR36" s="13">
        <v>0.45</v>
      </c>
      <c r="AS36" s="13">
        <v>0.28000000000000003</v>
      </c>
      <c r="AT36" s="13">
        <v>0.53</v>
      </c>
      <c r="AU36" s="13">
        <v>1.61</v>
      </c>
      <c r="AV36" s="13">
        <v>0.73</v>
      </c>
      <c r="AW36" s="13">
        <v>0.85</v>
      </c>
      <c r="AX36" s="14">
        <v>0.73</v>
      </c>
    </row>
    <row r="37" spans="42:50" x14ac:dyDescent="0.25">
      <c r="AP37" s="11" t="s">
        <v>213</v>
      </c>
      <c r="AQ37" s="12">
        <v>0</v>
      </c>
      <c r="AR37" s="13">
        <v>0.45</v>
      </c>
      <c r="AS37" s="13">
        <v>0.24</v>
      </c>
      <c r="AT37" s="13">
        <v>0.53</v>
      </c>
      <c r="AU37" s="13">
        <v>2.59</v>
      </c>
      <c r="AV37" s="13">
        <v>0</v>
      </c>
      <c r="AW37" s="13">
        <v>0.85</v>
      </c>
      <c r="AX37" s="14">
        <v>0.73</v>
      </c>
    </row>
    <row r="38" spans="42:50" x14ac:dyDescent="0.25">
      <c r="AP38" s="11" t="s">
        <v>213</v>
      </c>
      <c r="AQ38" s="12">
        <v>2.21</v>
      </c>
      <c r="AR38" s="13">
        <v>0.45</v>
      </c>
      <c r="AS38" s="13">
        <v>0.24</v>
      </c>
      <c r="AT38" s="13">
        <v>0.45</v>
      </c>
      <c r="AU38" s="13">
        <v>1.61</v>
      </c>
      <c r="AV38" s="13">
        <v>0.85</v>
      </c>
      <c r="AW38" s="13">
        <v>0.85</v>
      </c>
      <c r="AX38" s="14">
        <v>0.73</v>
      </c>
    </row>
    <row r="39" spans="42:50" x14ac:dyDescent="0.25">
      <c r="AP39" s="11" t="s">
        <v>214</v>
      </c>
      <c r="AQ39" s="12">
        <v>1.89</v>
      </c>
      <c r="AR39" s="13">
        <v>0.45</v>
      </c>
      <c r="AS39" s="13">
        <v>0.24</v>
      </c>
      <c r="AT39" s="13">
        <v>0.53</v>
      </c>
      <c r="AU39" s="13">
        <v>1.89</v>
      </c>
      <c r="AV39" s="13">
        <v>0.73</v>
      </c>
      <c r="AW39" s="13">
        <v>0.85</v>
      </c>
      <c r="AX39" s="14">
        <v>0.73</v>
      </c>
    </row>
    <row r="40" spans="42:50" x14ac:dyDescent="0.25">
      <c r="AP40" s="11" t="s">
        <v>214</v>
      </c>
      <c r="AQ40" s="12">
        <v>2.21</v>
      </c>
      <c r="AR40" s="13">
        <v>0.45</v>
      </c>
      <c r="AS40" s="13">
        <v>0.24</v>
      </c>
      <c r="AT40" s="13">
        <v>0.45</v>
      </c>
      <c r="AU40" s="13">
        <v>1.89</v>
      </c>
      <c r="AV40" s="13">
        <v>0.73</v>
      </c>
      <c r="AW40" s="13">
        <v>0.85</v>
      </c>
      <c r="AX40" s="14">
        <v>0.73</v>
      </c>
    </row>
    <row r="41" spans="42:50" x14ac:dyDescent="0.25">
      <c r="AP41" s="11" t="s">
        <v>214</v>
      </c>
      <c r="AQ41" s="12">
        <v>0.73</v>
      </c>
      <c r="AR41" s="13">
        <v>0.53</v>
      </c>
      <c r="AS41" s="13">
        <v>0.28000000000000003</v>
      </c>
      <c r="AT41" s="13">
        <v>1.89</v>
      </c>
      <c r="AU41" s="13">
        <v>1.89</v>
      </c>
      <c r="AV41" s="13">
        <v>1.17</v>
      </c>
      <c r="AW41" s="13">
        <v>0.39</v>
      </c>
      <c r="AX41" s="14">
        <v>0.53</v>
      </c>
    </row>
    <row r="42" spans="42:50" x14ac:dyDescent="0.25">
      <c r="AP42" s="11" t="s">
        <v>214</v>
      </c>
      <c r="AQ42" s="12">
        <v>2.21</v>
      </c>
      <c r="AR42" s="13">
        <v>0.45</v>
      </c>
      <c r="AS42" s="13">
        <v>0.24</v>
      </c>
      <c r="AT42" s="13">
        <v>0.53</v>
      </c>
      <c r="AU42" s="13">
        <v>2.59</v>
      </c>
      <c r="AV42" s="13">
        <v>0.73</v>
      </c>
      <c r="AW42" s="13">
        <v>0.85</v>
      </c>
      <c r="AX42" s="14">
        <v>0.73</v>
      </c>
    </row>
    <row r="43" spans="42:50" ht="15.75" thickBot="1" x14ac:dyDescent="0.3">
      <c r="AP43" s="11" t="s">
        <v>214</v>
      </c>
      <c r="AQ43" s="12">
        <v>2.21</v>
      </c>
      <c r="AR43" s="13">
        <v>0.45</v>
      </c>
      <c r="AS43" s="13">
        <v>0.24</v>
      </c>
      <c r="AT43" s="13">
        <v>0.53</v>
      </c>
      <c r="AU43" s="13">
        <v>2.21</v>
      </c>
      <c r="AV43" s="13">
        <v>0.73</v>
      </c>
      <c r="AW43" s="13">
        <v>0.85</v>
      </c>
      <c r="AX43" s="14">
        <v>0.73</v>
      </c>
    </row>
    <row r="44" spans="42:50" x14ac:dyDescent="0.25">
      <c r="AP44" s="7" t="s">
        <v>227</v>
      </c>
      <c r="AQ44" s="8">
        <v>1.94333333333333</v>
      </c>
      <c r="AR44" s="9">
        <v>0.45564102564102499</v>
      </c>
      <c r="AS44" s="9">
        <v>0.23824999999999999</v>
      </c>
      <c r="AT44" s="9">
        <v>0.84899999999999998</v>
      </c>
      <c r="AU44" s="9">
        <v>2.2044999999999999</v>
      </c>
      <c r="AV44" s="9">
        <v>0.85846153846153805</v>
      </c>
      <c r="AW44" s="9">
        <v>2.8182499999999902</v>
      </c>
      <c r="AX44" s="10">
        <v>0.67525000000000002</v>
      </c>
    </row>
    <row r="45" spans="42:50" x14ac:dyDescent="0.25">
      <c r="AP45" s="11" t="s">
        <v>228</v>
      </c>
      <c r="AQ45" s="12">
        <v>0.47693465660053103</v>
      </c>
      <c r="AR45" s="13">
        <v>3.2643754795568303E-2</v>
      </c>
      <c r="AS45" s="13">
        <v>0.10917617643057401</v>
      </c>
      <c r="AT45" s="13">
        <v>0.836300783211399</v>
      </c>
      <c r="AU45" s="13">
        <v>0.39150957842688799</v>
      </c>
      <c r="AV45" s="13">
        <v>0.227478243102088</v>
      </c>
      <c r="AW45" s="13">
        <v>8.99494215865227</v>
      </c>
      <c r="AX45" s="14">
        <v>0.107074448399232</v>
      </c>
    </row>
    <row r="46" spans="42:50" x14ac:dyDescent="0.25">
      <c r="AP46" s="11" t="s">
        <v>229</v>
      </c>
      <c r="AQ46" s="12">
        <v>2.4202679899338602</v>
      </c>
      <c r="AR46" s="13">
        <v>0.48828478043659301</v>
      </c>
      <c r="AS46" s="13">
        <v>0.347426176430574</v>
      </c>
      <c r="AT46" s="13">
        <v>1.68530078321139</v>
      </c>
      <c r="AU46" s="13">
        <v>2.5960095784268802</v>
      </c>
      <c r="AV46" s="13">
        <v>1.08593978156362</v>
      </c>
      <c r="AW46" s="13">
        <v>11.8131921586522</v>
      </c>
      <c r="AX46" s="14">
        <v>0.78232444839923299</v>
      </c>
    </row>
    <row r="47" spans="42:50" x14ac:dyDescent="0.25">
      <c r="AP47" s="11" t="s">
        <v>230</v>
      </c>
      <c r="AQ47" s="12">
        <v>1.4663986767328001</v>
      </c>
      <c r="AR47" s="13">
        <v>0.42299727084545702</v>
      </c>
      <c r="AS47" s="13">
        <v>0.12907382356942501</v>
      </c>
      <c r="AT47" s="13">
        <v>1.2699216788601E-2</v>
      </c>
      <c r="AU47" s="13">
        <v>1.8129904215731101</v>
      </c>
      <c r="AV47" s="13">
        <v>0.63098329535944997</v>
      </c>
      <c r="AW47" s="13">
        <v>-6.1766921586522701</v>
      </c>
      <c r="AX47" s="14">
        <v>0.56817555160076705</v>
      </c>
    </row>
    <row r="48" spans="42:50" ht="15.75" thickBot="1" x14ac:dyDescent="0.3">
      <c r="AP48" s="15" t="s">
        <v>231</v>
      </c>
      <c r="AQ48" s="16">
        <v>2.1274193548387101</v>
      </c>
      <c r="AR48" s="17">
        <v>0.44999999999999901</v>
      </c>
      <c r="AS48" s="17">
        <v>0.222564102564102</v>
      </c>
      <c r="AT48" s="17">
        <v>0.494999999999999</v>
      </c>
      <c r="AU48" s="17">
        <v>2.3094117647058798</v>
      </c>
      <c r="AV48" s="17">
        <v>0.74241379310344802</v>
      </c>
      <c r="AW48" s="17">
        <v>0.76210526315789495</v>
      </c>
      <c r="AX48" s="18">
        <v>0.72633333333333305</v>
      </c>
    </row>
    <row r="49" spans="42:50" ht="15.75" thickBot="1" x14ac:dyDescent="0.3">
      <c r="AQ49" s="27"/>
      <c r="AR49" s="27"/>
      <c r="AS49" s="27"/>
      <c r="AT49" s="27"/>
      <c r="AU49" s="27"/>
      <c r="AV49" s="27"/>
      <c r="AW49" s="27"/>
      <c r="AX49" s="27"/>
    </row>
    <row r="50" spans="42:50" ht="45" x14ac:dyDescent="0.25">
      <c r="AP50" s="28" t="s">
        <v>232</v>
      </c>
      <c r="AQ50" s="29">
        <v>1.95</v>
      </c>
      <c r="AR50" s="29">
        <v>3.4</v>
      </c>
      <c r="AS50" s="29">
        <v>4.83</v>
      </c>
      <c r="AT50" s="29">
        <v>5.42</v>
      </c>
      <c r="AU50" s="29">
        <v>3.92</v>
      </c>
      <c r="AV50" s="29">
        <v>4.3499999999999996</v>
      </c>
      <c r="AW50" s="29">
        <v>1.86</v>
      </c>
      <c r="AX50" s="30">
        <v>2.73</v>
      </c>
    </row>
    <row r="51" spans="42:50" x14ac:dyDescent="0.25">
      <c r="AP51" s="31" t="s">
        <v>233</v>
      </c>
      <c r="AQ51" s="32">
        <f t="shared" ref="AQ51:AX51" si="0">AQ50-AQ48</f>
        <v>-0.17741935483871019</v>
      </c>
      <c r="AR51" s="32">
        <f t="shared" si="0"/>
        <v>2.9500000000000011</v>
      </c>
      <c r="AS51" s="32">
        <f t="shared" si="0"/>
        <v>4.6074358974358978</v>
      </c>
      <c r="AT51" s="32">
        <f t="shared" si="0"/>
        <v>4.9250000000000007</v>
      </c>
      <c r="AU51" s="32">
        <f t="shared" si="0"/>
        <v>1.6105882352941201</v>
      </c>
      <c r="AV51" s="32">
        <f t="shared" si="0"/>
        <v>3.6075862068965519</v>
      </c>
      <c r="AW51" s="32">
        <f t="shared" si="0"/>
        <v>1.0978947368421053</v>
      </c>
      <c r="AX51" s="33">
        <f t="shared" si="0"/>
        <v>2.0036666666666667</v>
      </c>
    </row>
    <row r="52" spans="42:50" ht="15.75" thickBot="1" x14ac:dyDescent="0.3">
      <c r="AP52" s="34" t="s">
        <v>234</v>
      </c>
      <c r="AQ52" s="35">
        <f t="shared" ref="AQ52:AX52" si="1">(AQ51/AQ48)*100</f>
        <v>-8.3396512509477088</v>
      </c>
      <c r="AR52" s="35">
        <f t="shared" si="1"/>
        <v>655.55555555555725</v>
      </c>
      <c r="AS52" s="35">
        <f t="shared" si="1"/>
        <v>2070.161290322586</v>
      </c>
      <c r="AT52" s="35">
        <f t="shared" si="1"/>
        <v>994.94949494949708</v>
      </c>
      <c r="AU52" s="35">
        <f t="shared" si="1"/>
        <v>69.740193581253365</v>
      </c>
      <c r="AV52" s="35">
        <f t="shared" si="1"/>
        <v>485.92661402693932</v>
      </c>
      <c r="AW52" s="35">
        <f t="shared" si="1"/>
        <v>144.06077348066296</v>
      </c>
      <c r="AX52" s="36">
        <f t="shared" si="1"/>
        <v>275.86048646167978</v>
      </c>
    </row>
    <row r="53" spans="42:50" ht="15.75" thickBot="1" x14ac:dyDescent="0.3">
      <c r="AP53" s="37"/>
      <c r="AQ53" s="32"/>
      <c r="AR53" s="32"/>
      <c r="AS53" s="32"/>
      <c r="AT53" s="32"/>
      <c r="AU53" s="32"/>
      <c r="AV53" s="32"/>
      <c r="AW53" s="32"/>
      <c r="AX53" s="32"/>
    </row>
    <row r="54" spans="42:50" ht="30" x14ac:dyDescent="0.25">
      <c r="AP54" s="28" t="s">
        <v>235</v>
      </c>
      <c r="AQ54" s="29">
        <v>1.94</v>
      </c>
      <c r="AR54" s="29">
        <v>3.45</v>
      </c>
      <c r="AS54" s="29">
        <v>4.8499999999999996</v>
      </c>
      <c r="AT54" s="29">
        <v>5.37</v>
      </c>
      <c r="AU54" s="29">
        <v>3.93</v>
      </c>
      <c r="AV54" s="29">
        <v>4.3499999999999996</v>
      </c>
      <c r="AW54" s="29">
        <v>1.76</v>
      </c>
      <c r="AX54" s="30">
        <v>2.64</v>
      </c>
    </row>
    <row r="55" spans="42:50" x14ac:dyDescent="0.25">
      <c r="AP55" s="31" t="s">
        <v>233</v>
      </c>
      <c r="AQ55" s="32">
        <f t="shared" ref="AQ55:AX55" si="2">AQ54-AQ48</f>
        <v>-0.18741935483871019</v>
      </c>
      <c r="AR55" s="32">
        <f t="shared" si="2"/>
        <v>3.0000000000000013</v>
      </c>
      <c r="AS55" s="32">
        <f t="shared" si="2"/>
        <v>4.6274358974358973</v>
      </c>
      <c r="AT55" s="32">
        <f t="shared" si="2"/>
        <v>4.8750000000000009</v>
      </c>
      <c r="AU55" s="32">
        <f t="shared" si="2"/>
        <v>1.6205882352941203</v>
      </c>
      <c r="AV55" s="32">
        <f t="shared" si="2"/>
        <v>3.6075862068965519</v>
      </c>
      <c r="AW55" s="32">
        <f t="shared" si="2"/>
        <v>0.99789473684210506</v>
      </c>
      <c r="AX55" s="33">
        <f t="shared" si="2"/>
        <v>1.9136666666666671</v>
      </c>
    </row>
    <row r="56" spans="42:50" ht="15.75" thickBot="1" x14ac:dyDescent="0.3">
      <c r="AP56" s="34" t="s">
        <v>234</v>
      </c>
      <c r="AQ56" s="35">
        <f t="shared" ref="AQ56:AX56" si="3">(AQ55/AQ48)*100</f>
        <v>-8.809704321455671</v>
      </c>
      <c r="AR56" s="35">
        <f t="shared" si="3"/>
        <v>666.66666666666833</v>
      </c>
      <c r="AS56" s="35">
        <f t="shared" si="3"/>
        <v>2079.147465437793</v>
      </c>
      <c r="AT56" s="35">
        <f t="shared" si="3"/>
        <v>984.84848484848703</v>
      </c>
      <c r="AU56" s="35">
        <f t="shared" si="3"/>
        <v>70.173204279164736</v>
      </c>
      <c r="AV56" s="35">
        <f t="shared" si="3"/>
        <v>485.92661402693932</v>
      </c>
      <c r="AW56" s="35">
        <f t="shared" si="3"/>
        <v>130.93922651933696</v>
      </c>
      <c r="AX56" s="36">
        <f t="shared" si="3"/>
        <v>263.46948141349259</v>
      </c>
    </row>
    <row r="57" spans="42:50" ht="15.75" thickBot="1" x14ac:dyDescent="0.3">
      <c r="AQ57" s="27"/>
      <c r="AR57" s="27"/>
      <c r="AS57" s="27"/>
      <c r="AT57" s="27"/>
      <c r="AU57" s="27"/>
      <c r="AV57" s="27"/>
      <c r="AW57" s="27"/>
      <c r="AX57" s="27"/>
    </row>
    <row r="58" spans="42:50" ht="45" x14ac:dyDescent="0.25">
      <c r="AP58" s="28" t="s">
        <v>236</v>
      </c>
      <c r="AQ58" s="41">
        <v>1.87</v>
      </c>
      <c r="AR58" s="29">
        <v>3.49</v>
      </c>
      <c r="AS58" s="29">
        <v>4.88</v>
      </c>
      <c r="AT58" s="29">
        <v>5.41</v>
      </c>
      <c r="AU58" s="29">
        <v>3.97</v>
      </c>
      <c r="AV58" s="29">
        <v>4.4000000000000004</v>
      </c>
      <c r="AW58" s="29">
        <v>1.76</v>
      </c>
      <c r="AX58" s="30">
        <v>2.66</v>
      </c>
    </row>
    <row r="59" spans="42:50" x14ac:dyDescent="0.25">
      <c r="AP59" s="31" t="s">
        <v>233</v>
      </c>
      <c r="AQ59" s="42">
        <f>AQ58-AQ48</f>
        <v>-0.25741935483871003</v>
      </c>
      <c r="AR59" s="32">
        <f t="shared" ref="AR59:AX59" si="4">AR58-AR48</f>
        <v>3.0400000000000014</v>
      </c>
      <c r="AS59" s="32">
        <f t="shared" si="4"/>
        <v>4.6574358974358976</v>
      </c>
      <c r="AT59" s="32">
        <f t="shared" si="4"/>
        <v>4.9150000000000009</v>
      </c>
      <c r="AU59" s="32">
        <f t="shared" si="4"/>
        <v>1.6605882352941204</v>
      </c>
      <c r="AV59" s="32">
        <f t="shared" si="4"/>
        <v>3.6575862068965526</v>
      </c>
      <c r="AW59" s="32">
        <f t="shared" si="4"/>
        <v>0.99789473684210506</v>
      </c>
      <c r="AX59" s="33">
        <f t="shared" si="4"/>
        <v>1.9336666666666671</v>
      </c>
    </row>
    <row r="60" spans="42:50" ht="15.75" thickBot="1" x14ac:dyDescent="0.3">
      <c r="AP60" s="34" t="s">
        <v>234</v>
      </c>
      <c r="AQ60" s="43">
        <f>(AQ59/AQ48)*100</f>
        <v>-12.100075815011387</v>
      </c>
      <c r="AR60" s="35">
        <f t="shared" ref="AR60:AX60" si="5">(AR59/AR48)*100</f>
        <v>675.55555555555736</v>
      </c>
      <c r="AS60" s="35">
        <f t="shared" si="5"/>
        <v>2092.6267281106047</v>
      </c>
      <c r="AT60" s="35">
        <f t="shared" si="5"/>
        <v>992.92929292929523</v>
      </c>
      <c r="AU60" s="35">
        <f t="shared" si="5"/>
        <v>71.905247070810191</v>
      </c>
      <c r="AV60" s="35">
        <f t="shared" si="5"/>
        <v>492.66140269391576</v>
      </c>
      <c r="AW60" s="35">
        <f t="shared" si="5"/>
        <v>130.93922651933696</v>
      </c>
      <c r="AX60" s="36">
        <f t="shared" si="5"/>
        <v>266.22303809086753</v>
      </c>
    </row>
    <row r="61" spans="42:50" x14ac:dyDescent="0.25">
      <c r="AQ61" s="27"/>
      <c r="AR61" s="27"/>
      <c r="AS61" s="27"/>
      <c r="AT61" s="27"/>
      <c r="AU61" s="27"/>
      <c r="AV61" s="27"/>
      <c r="AW61" s="27"/>
      <c r="AX61" s="27"/>
    </row>
    <row r="62" spans="42:50" x14ac:dyDescent="0.25">
      <c r="AQ62" s="27"/>
      <c r="AR62" s="27"/>
      <c r="AS62" s="27"/>
      <c r="AT62" s="27"/>
      <c r="AU62" s="27"/>
      <c r="AV62" s="27"/>
      <c r="AW62" s="27"/>
      <c r="AX62" s="27"/>
    </row>
    <row r="63" spans="42:50" x14ac:dyDescent="0.25">
      <c r="AQ63" s="27"/>
      <c r="AR63" s="27"/>
      <c r="AS63" s="27"/>
      <c r="AT63" s="27"/>
      <c r="AU63" s="27"/>
      <c r="AV63" s="27"/>
      <c r="AW63" s="27"/>
      <c r="AX63" s="27"/>
    </row>
    <row r="64" spans="42:50" x14ac:dyDescent="0.25">
      <c r="AQ64" s="27"/>
      <c r="AR64" s="27"/>
      <c r="AS64" s="27"/>
      <c r="AT64" s="27"/>
      <c r="AU64" s="27"/>
      <c r="AV64" s="27"/>
      <c r="AW64" s="27"/>
      <c r="AX64" s="27"/>
    </row>
    <row r="65" spans="43:50" x14ac:dyDescent="0.25">
      <c r="AQ65" s="27"/>
      <c r="AR65" s="27"/>
      <c r="AS65" s="27"/>
      <c r="AT65" s="27"/>
      <c r="AU65" s="27"/>
      <c r="AV65" s="27"/>
      <c r="AW65" s="27"/>
      <c r="AX65" s="27"/>
    </row>
    <row r="66" spans="43:50" x14ac:dyDescent="0.25">
      <c r="AQ66" s="27"/>
      <c r="AR66" s="27"/>
      <c r="AS66" s="27"/>
      <c r="AT66" s="27"/>
      <c r="AU66" s="27"/>
      <c r="AV66" s="27"/>
      <c r="AW66" s="27"/>
      <c r="AX66" s="27"/>
    </row>
    <row r="67" spans="43:50" x14ac:dyDescent="0.25">
      <c r="AQ67" s="27"/>
      <c r="AR67" s="27"/>
      <c r="AS67" s="27"/>
      <c r="AT67" s="27"/>
      <c r="AU67" s="27"/>
      <c r="AV67" s="27"/>
      <c r="AW67" s="27"/>
      <c r="AX67" s="27"/>
    </row>
    <row r="68" spans="43:50" x14ac:dyDescent="0.25">
      <c r="AQ68" s="27"/>
      <c r="AR68" s="27"/>
      <c r="AS68" s="27"/>
      <c r="AT68" s="27"/>
      <c r="AU68" s="27"/>
      <c r="AV68" s="27"/>
      <c r="AW68" s="27"/>
      <c r="AX68" s="27"/>
    </row>
    <row r="69" spans="43:50" x14ac:dyDescent="0.25">
      <c r="AQ69" s="27"/>
      <c r="AR69" s="27"/>
      <c r="AS69" s="27"/>
      <c r="AT69" s="27"/>
      <c r="AU69" s="27"/>
      <c r="AV69" s="27"/>
      <c r="AW69" s="27"/>
      <c r="AX69" s="27"/>
    </row>
    <row r="70" spans="43:50" x14ac:dyDescent="0.25">
      <c r="AQ70" s="27"/>
      <c r="AR70" s="27"/>
      <c r="AS70" s="27"/>
      <c r="AT70" s="27"/>
      <c r="AU70" s="27"/>
      <c r="AV70" s="27"/>
      <c r="AW70" s="27"/>
      <c r="AX70" s="27"/>
    </row>
    <row r="71" spans="43:50" x14ac:dyDescent="0.25">
      <c r="AQ71" s="27"/>
      <c r="AR71" s="27"/>
      <c r="AS71" s="27"/>
      <c r="AT71" s="27"/>
      <c r="AU71" s="27"/>
      <c r="AV71" s="27"/>
      <c r="AW71" s="27"/>
      <c r="AX71" s="27"/>
    </row>
    <row r="72" spans="43:50" x14ac:dyDescent="0.25">
      <c r="AQ72" s="27"/>
      <c r="AR72" s="27"/>
      <c r="AS72" s="27"/>
      <c r="AT72" s="27"/>
      <c r="AU72" s="27"/>
      <c r="AV72" s="27"/>
      <c r="AW72" s="27"/>
      <c r="AX72" s="27"/>
    </row>
    <row r="73" spans="43:50" x14ac:dyDescent="0.25">
      <c r="AQ73" s="27"/>
      <c r="AR73" s="27"/>
      <c r="AS73" s="27"/>
      <c r="AT73" s="27"/>
      <c r="AU73" s="27"/>
      <c r="AV73" s="27"/>
      <c r="AW73" s="27"/>
      <c r="AX73" s="27"/>
    </row>
    <row r="74" spans="43:50" x14ac:dyDescent="0.25">
      <c r="AQ74" s="27"/>
      <c r="AR74" s="27"/>
      <c r="AS74" s="27"/>
      <c r="AT74" s="27"/>
      <c r="AU74" s="27"/>
      <c r="AV74" s="27"/>
      <c r="AW74" s="27"/>
      <c r="AX74" s="27"/>
    </row>
    <row r="75" spans="43:50" x14ac:dyDescent="0.25">
      <c r="AQ75" s="27"/>
      <c r="AR75" s="27"/>
      <c r="AS75" s="27"/>
      <c r="AT75" s="27"/>
      <c r="AU75" s="27"/>
      <c r="AV75" s="27"/>
      <c r="AW75" s="27"/>
      <c r="AX75" s="27"/>
    </row>
    <row r="76" spans="43:50" x14ac:dyDescent="0.25">
      <c r="AQ76" s="27"/>
      <c r="AR76" s="27"/>
      <c r="AS76" s="27"/>
      <c r="AT76" s="27"/>
      <c r="AU76" s="27"/>
      <c r="AV76" s="27"/>
      <c r="AW76" s="27"/>
      <c r="AX76" s="27"/>
    </row>
    <row r="77" spans="43:50" x14ac:dyDescent="0.25">
      <c r="AQ77" s="27"/>
      <c r="AR77" s="27"/>
      <c r="AS77" s="27"/>
      <c r="AT77" s="27"/>
      <c r="AU77" s="27"/>
      <c r="AV77" s="27"/>
      <c r="AW77" s="27"/>
      <c r="AX77" s="27"/>
    </row>
    <row r="78" spans="43:50" x14ac:dyDescent="0.25">
      <c r="AQ78" s="27"/>
      <c r="AR78" s="27"/>
      <c r="AS78" s="27"/>
      <c r="AT78" s="27"/>
      <c r="AU78" s="27"/>
      <c r="AV78" s="27"/>
      <c r="AW78" s="27"/>
      <c r="AX78" s="27"/>
    </row>
    <row r="79" spans="43:50" x14ac:dyDescent="0.25">
      <c r="AQ79" s="27"/>
      <c r="AR79" s="27"/>
      <c r="AS79" s="27"/>
      <c r="AT79" s="27"/>
      <c r="AU79" s="27"/>
      <c r="AV79" s="27"/>
      <c r="AW79" s="27"/>
      <c r="AX79" s="27"/>
    </row>
    <row r="80" spans="43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A33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285156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5.5703125" style="3" bestFit="1" customWidth="1"/>
    <col min="48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135</v>
      </c>
      <c r="AQ4" s="8">
        <v>0</v>
      </c>
      <c r="AR4" s="9">
        <v>0.45</v>
      </c>
      <c r="AS4" s="9">
        <v>0.85</v>
      </c>
      <c r="AT4" s="9">
        <v>1.89</v>
      </c>
      <c r="AU4" s="9">
        <v>1.89</v>
      </c>
      <c r="AV4" s="9">
        <v>0.73</v>
      </c>
      <c r="AW4" s="9">
        <v>0.39</v>
      </c>
      <c r="AX4" s="10">
        <v>0.45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136</v>
      </c>
      <c r="AQ5" s="12">
        <v>1.89</v>
      </c>
      <c r="AR5" s="13">
        <v>0.45</v>
      </c>
      <c r="AS5" s="13">
        <v>0.24</v>
      </c>
      <c r="AT5" s="13">
        <v>0.53</v>
      </c>
      <c r="AU5" s="13">
        <v>2.59</v>
      </c>
      <c r="AV5" s="13">
        <v>0.73</v>
      </c>
      <c r="AW5" s="13">
        <v>0</v>
      </c>
      <c r="AX5" s="14">
        <v>0.45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137</v>
      </c>
      <c r="AQ6" s="12">
        <v>1.89</v>
      </c>
      <c r="AR6" s="13">
        <v>0.45</v>
      </c>
      <c r="AS6" s="13">
        <v>0.24</v>
      </c>
      <c r="AT6" s="13">
        <v>0.45</v>
      </c>
      <c r="AU6" s="13">
        <v>2.59</v>
      </c>
      <c r="AV6" s="13">
        <v>0.73</v>
      </c>
      <c r="AW6" s="13">
        <v>0.85</v>
      </c>
      <c r="AX6" s="14">
        <v>0.53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138</v>
      </c>
      <c r="AQ7" s="12">
        <v>2.21</v>
      </c>
      <c r="AR7" s="13">
        <v>0.45</v>
      </c>
      <c r="AS7" s="13">
        <v>0.24</v>
      </c>
      <c r="AT7" s="13">
        <v>0.45</v>
      </c>
      <c r="AU7" s="13">
        <v>2.21</v>
      </c>
      <c r="AV7" s="13">
        <v>0.73</v>
      </c>
      <c r="AW7" s="13">
        <v>0.85</v>
      </c>
      <c r="AX7" s="14">
        <v>0.73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139</v>
      </c>
      <c r="AQ8" s="12">
        <v>2.21</v>
      </c>
      <c r="AR8" s="13">
        <v>0.45</v>
      </c>
      <c r="AS8" s="13">
        <v>0.24</v>
      </c>
      <c r="AT8" s="13">
        <v>1.61</v>
      </c>
      <c r="AU8" s="13">
        <v>2.59</v>
      </c>
      <c r="AV8" s="13">
        <v>0.73</v>
      </c>
      <c r="AW8" s="13">
        <v>0.85</v>
      </c>
      <c r="AX8" s="14">
        <v>0.62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140</v>
      </c>
      <c r="AQ9" s="12">
        <v>0.85</v>
      </c>
      <c r="AR9" s="13">
        <v>0</v>
      </c>
      <c r="AS9" s="13">
        <v>0.24</v>
      </c>
      <c r="AT9" s="13">
        <v>1.89</v>
      </c>
      <c r="AU9" s="13">
        <v>2.59</v>
      </c>
      <c r="AV9" s="13">
        <v>0.73</v>
      </c>
      <c r="AW9" s="13">
        <v>0.85</v>
      </c>
      <c r="AX9" s="14">
        <v>0.73</v>
      </c>
    </row>
    <row r="10" spans="2:80" x14ac:dyDescent="0.25">
      <c r="AP10" s="11" t="s">
        <v>141</v>
      </c>
      <c r="AQ10" s="12">
        <v>1.89</v>
      </c>
      <c r="AR10" s="13">
        <v>0.39</v>
      </c>
      <c r="AS10" s="13">
        <v>0.24</v>
      </c>
      <c r="AT10" s="13">
        <v>0.45</v>
      </c>
      <c r="AU10" s="13">
        <v>2.59</v>
      </c>
      <c r="AV10" s="13">
        <v>0.73</v>
      </c>
      <c r="AW10" s="13">
        <v>0.85</v>
      </c>
      <c r="AX10" s="14">
        <v>0.45</v>
      </c>
    </row>
    <row r="11" spans="2:80" x14ac:dyDescent="0.25">
      <c r="AP11" s="11" t="s">
        <v>142</v>
      </c>
      <c r="AQ11" s="12">
        <v>2.21</v>
      </c>
      <c r="AR11" s="13">
        <v>0.45</v>
      </c>
      <c r="AS11" s="13">
        <v>0.24</v>
      </c>
      <c r="AT11" s="13">
        <v>4.8899999999999997</v>
      </c>
      <c r="AU11" s="13">
        <v>2.59</v>
      </c>
      <c r="AV11" s="13">
        <v>0.73</v>
      </c>
      <c r="AW11" s="13">
        <v>38.57</v>
      </c>
      <c r="AX11" s="14">
        <v>0.53</v>
      </c>
    </row>
    <row r="12" spans="2:80" x14ac:dyDescent="0.25">
      <c r="AP12" s="11" t="s">
        <v>143</v>
      </c>
      <c r="AQ12" s="12">
        <v>2.21</v>
      </c>
      <c r="AR12" s="13">
        <v>0.53</v>
      </c>
      <c r="AS12" s="13">
        <v>0.28000000000000003</v>
      </c>
      <c r="AT12" s="13">
        <v>0.53</v>
      </c>
      <c r="AU12" s="13">
        <v>2.59</v>
      </c>
      <c r="AV12" s="13">
        <v>0.73</v>
      </c>
      <c r="AW12" s="13">
        <v>0.85</v>
      </c>
      <c r="AX12" s="14">
        <v>0.53</v>
      </c>
    </row>
    <row r="13" spans="2:80" x14ac:dyDescent="0.25">
      <c r="AP13" s="11" t="s">
        <v>144</v>
      </c>
      <c r="AQ13" s="12">
        <v>2.21</v>
      </c>
      <c r="AR13" s="13">
        <v>0.45</v>
      </c>
      <c r="AS13" s="13">
        <v>0.24</v>
      </c>
      <c r="AT13" s="13">
        <v>0.53</v>
      </c>
      <c r="AU13" s="13">
        <v>2.59</v>
      </c>
      <c r="AV13" s="13">
        <v>4.8899999999999997</v>
      </c>
      <c r="AW13" s="13">
        <v>0.85</v>
      </c>
      <c r="AX13" s="14">
        <v>0.73</v>
      </c>
    </row>
    <row r="14" spans="2:80" x14ac:dyDescent="0.25">
      <c r="AP14" s="11" t="s">
        <v>145</v>
      </c>
      <c r="AQ14" s="12">
        <v>0</v>
      </c>
      <c r="AR14" s="13">
        <v>0.53</v>
      </c>
      <c r="AS14" s="13">
        <v>0.13</v>
      </c>
      <c r="AT14" s="13">
        <v>4.8899999999999997</v>
      </c>
      <c r="AU14" s="13">
        <v>1.61</v>
      </c>
      <c r="AV14" s="13">
        <v>1.17</v>
      </c>
      <c r="AW14" s="13">
        <v>0.33</v>
      </c>
      <c r="AX14" s="14">
        <v>0.62</v>
      </c>
    </row>
    <row r="15" spans="2:80" x14ac:dyDescent="0.25">
      <c r="AP15" s="11" t="s">
        <v>146</v>
      </c>
      <c r="AQ15" s="12">
        <v>2.59</v>
      </c>
      <c r="AR15" s="13">
        <v>0.45</v>
      </c>
      <c r="AS15" s="13">
        <v>0.24</v>
      </c>
      <c r="AT15" s="13">
        <v>0.45</v>
      </c>
      <c r="AU15" s="13">
        <v>2.59</v>
      </c>
      <c r="AV15" s="13">
        <v>1.17</v>
      </c>
      <c r="AW15" s="13">
        <v>0.33</v>
      </c>
      <c r="AX15" s="14">
        <v>0.73</v>
      </c>
    </row>
    <row r="16" spans="2:80" x14ac:dyDescent="0.25">
      <c r="AP16" s="11" t="s">
        <v>147</v>
      </c>
      <c r="AQ16" s="12">
        <v>2.21</v>
      </c>
      <c r="AR16" s="13">
        <v>0.39</v>
      </c>
      <c r="AS16" s="13">
        <v>0.13</v>
      </c>
      <c r="AT16" s="13">
        <v>0.45</v>
      </c>
      <c r="AU16" s="13">
        <v>2.59</v>
      </c>
      <c r="AV16" s="13">
        <v>0.73</v>
      </c>
      <c r="AW16" s="13">
        <v>0.85</v>
      </c>
      <c r="AX16" s="14">
        <v>0.73</v>
      </c>
    </row>
    <row r="17" spans="42:50" x14ac:dyDescent="0.25">
      <c r="AP17" s="11" t="s">
        <v>148</v>
      </c>
      <c r="AQ17" s="12">
        <v>1.89</v>
      </c>
      <c r="AR17" s="13">
        <v>0.53</v>
      </c>
      <c r="AS17" s="13">
        <v>0.13</v>
      </c>
      <c r="AT17" s="13">
        <v>0.45</v>
      </c>
      <c r="AU17" s="13">
        <v>2.21</v>
      </c>
      <c r="AV17" s="13">
        <v>0.73</v>
      </c>
      <c r="AW17" s="13">
        <v>0.85</v>
      </c>
      <c r="AX17" s="14">
        <v>0.73</v>
      </c>
    </row>
    <row r="18" spans="42:50" x14ac:dyDescent="0.25">
      <c r="AP18" s="11" t="s">
        <v>149</v>
      </c>
      <c r="AQ18" s="12">
        <v>2.21</v>
      </c>
      <c r="AR18" s="13">
        <v>0.45</v>
      </c>
      <c r="AS18" s="13">
        <v>0.24</v>
      </c>
      <c r="AT18" s="13">
        <v>0.45</v>
      </c>
      <c r="AU18" s="13">
        <v>2.59</v>
      </c>
      <c r="AV18" s="13">
        <v>0.73</v>
      </c>
      <c r="AW18" s="13">
        <v>0.39</v>
      </c>
      <c r="AX18" s="14">
        <v>0.85</v>
      </c>
    </row>
    <row r="19" spans="42:50" x14ac:dyDescent="0.25">
      <c r="AP19" s="11" t="s">
        <v>150</v>
      </c>
      <c r="AQ19" s="12">
        <v>2.21</v>
      </c>
      <c r="AR19" s="13">
        <v>0.45</v>
      </c>
      <c r="AS19" s="13">
        <v>0.13</v>
      </c>
      <c r="AT19" s="13">
        <v>0.53</v>
      </c>
      <c r="AU19" s="13">
        <v>2.59</v>
      </c>
      <c r="AV19" s="13">
        <v>0.73</v>
      </c>
      <c r="AW19" s="13">
        <v>0.85</v>
      </c>
      <c r="AX19" s="14">
        <v>0.73</v>
      </c>
    </row>
    <row r="20" spans="42:50" x14ac:dyDescent="0.25">
      <c r="AP20" s="11" t="s">
        <v>151</v>
      </c>
      <c r="AQ20" s="12">
        <v>2.21</v>
      </c>
      <c r="AR20" s="13">
        <v>0.45</v>
      </c>
      <c r="AS20" s="13">
        <v>0.24</v>
      </c>
      <c r="AT20" s="13">
        <v>0.53</v>
      </c>
      <c r="AU20" s="13">
        <v>0.85</v>
      </c>
      <c r="AV20" s="13">
        <v>0.73</v>
      </c>
      <c r="AW20" s="13">
        <v>0.85</v>
      </c>
      <c r="AX20" s="14">
        <v>0.62</v>
      </c>
    </row>
    <row r="21" spans="42:50" x14ac:dyDescent="0.25">
      <c r="AP21" s="11" t="s">
        <v>152</v>
      </c>
      <c r="AQ21" s="12">
        <v>2.21</v>
      </c>
      <c r="AR21" s="13">
        <v>0.39</v>
      </c>
      <c r="AS21" s="13">
        <v>0.28000000000000003</v>
      </c>
      <c r="AT21" s="13">
        <v>0.45</v>
      </c>
      <c r="AU21" s="13">
        <v>2.59</v>
      </c>
      <c r="AV21" s="13">
        <v>0.73</v>
      </c>
      <c r="AW21" s="13">
        <v>0.85</v>
      </c>
      <c r="AX21" s="14">
        <v>0.85</v>
      </c>
    </row>
    <row r="22" spans="42:50" x14ac:dyDescent="0.25">
      <c r="AP22" s="11" t="s">
        <v>153</v>
      </c>
      <c r="AQ22" s="12">
        <v>2.21</v>
      </c>
      <c r="AR22" s="13">
        <v>0.45</v>
      </c>
      <c r="AS22" s="13">
        <v>0.24</v>
      </c>
      <c r="AT22" s="13">
        <v>4.8899999999999997</v>
      </c>
      <c r="AU22" s="13">
        <v>2.59</v>
      </c>
      <c r="AV22" s="13">
        <v>0.73</v>
      </c>
      <c r="AW22" s="13">
        <v>0.85</v>
      </c>
      <c r="AX22" s="14">
        <v>0.45</v>
      </c>
    </row>
    <row r="23" spans="42:50" x14ac:dyDescent="0.25">
      <c r="AP23" s="11" t="s">
        <v>154</v>
      </c>
      <c r="AQ23" s="12">
        <v>2.21</v>
      </c>
      <c r="AR23" s="13">
        <v>0.45</v>
      </c>
      <c r="AS23" s="13">
        <v>0.24</v>
      </c>
      <c r="AT23" s="13">
        <v>0.45</v>
      </c>
      <c r="AU23" s="13">
        <v>2.59</v>
      </c>
      <c r="AV23" s="13">
        <v>0.73</v>
      </c>
      <c r="AW23" s="13">
        <v>0.85</v>
      </c>
      <c r="AX23" s="14">
        <v>0.73</v>
      </c>
    </row>
    <row r="24" spans="42:50" x14ac:dyDescent="0.25">
      <c r="AP24" s="11" t="s">
        <v>155</v>
      </c>
      <c r="AQ24" s="12">
        <v>0.85</v>
      </c>
      <c r="AR24" s="13">
        <v>0.45</v>
      </c>
      <c r="AS24" s="13">
        <v>0.11</v>
      </c>
      <c r="AT24" s="13">
        <v>1.89</v>
      </c>
      <c r="AU24" s="13">
        <v>0.73</v>
      </c>
      <c r="AV24" s="13">
        <v>1.37</v>
      </c>
      <c r="AW24" s="13">
        <v>0.85</v>
      </c>
      <c r="AX24" s="14">
        <v>0.45</v>
      </c>
    </row>
    <row r="25" spans="42:50" x14ac:dyDescent="0.25">
      <c r="AP25" s="11" t="s">
        <v>156</v>
      </c>
      <c r="AQ25" s="12">
        <v>2.21</v>
      </c>
      <c r="AR25" s="13">
        <v>0.45</v>
      </c>
      <c r="AS25" s="13">
        <v>0.24</v>
      </c>
      <c r="AT25" s="13">
        <v>0.53</v>
      </c>
      <c r="AU25" s="13">
        <v>2.59</v>
      </c>
      <c r="AV25" s="13">
        <v>0.73</v>
      </c>
      <c r="AW25" s="13">
        <v>0.85</v>
      </c>
      <c r="AX25" s="14">
        <v>0.73</v>
      </c>
    </row>
    <row r="26" spans="42:50" x14ac:dyDescent="0.25">
      <c r="AP26" s="11" t="s">
        <v>157</v>
      </c>
      <c r="AQ26" s="12">
        <v>2.21</v>
      </c>
      <c r="AR26" s="13">
        <v>0.45</v>
      </c>
      <c r="AS26" s="13">
        <v>0.24</v>
      </c>
      <c r="AT26" s="13">
        <v>0.45</v>
      </c>
      <c r="AU26" s="13">
        <v>2.59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158</v>
      </c>
      <c r="AQ27" s="12">
        <v>1.89</v>
      </c>
      <c r="AR27" s="13">
        <v>0.45</v>
      </c>
      <c r="AS27" s="13">
        <v>0.28000000000000003</v>
      </c>
      <c r="AT27" s="13">
        <v>0.53</v>
      </c>
      <c r="AU27" s="13">
        <v>2.59</v>
      </c>
      <c r="AV27" s="13">
        <v>0.73</v>
      </c>
      <c r="AW27" s="13">
        <v>0.33</v>
      </c>
      <c r="AX27" s="14">
        <v>0.73</v>
      </c>
    </row>
    <row r="28" spans="42:50" x14ac:dyDescent="0.25">
      <c r="AP28" s="11" t="s">
        <v>159</v>
      </c>
      <c r="AQ28" s="12">
        <v>2.59</v>
      </c>
      <c r="AR28" s="13">
        <v>0.45</v>
      </c>
      <c r="AS28" s="13">
        <v>0.13</v>
      </c>
      <c r="AT28" s="13">
        <v>0.53</v>
      </c>
      <c r="AU28" s="13">
        <v>2.59</v>
      </c>
      <c r="AV28" s="13">
        <v>0.73</v>
      </c>
      <c r="AW28" s="13">
        <v>0.85</v>
      </c>
      <c r="AX28" s="14">
        <v>0.73</v>
      </c>
    </row>
    <row r="29" spans="42:50" x14ac:dyDescent="0.25">
      <c r="AP29" s="11" t="s">
        <v>160</v>
      </c>
      <c r="AQ29" s="12">
        <v>2.21</v>
      </c>
      <c r="AR29" s="13">
        <v>0.53</v>
      </c>
      <c r="AS29" s="13">
        <v>0.24</v>
      </c>
      <c r="AT29" s="13">
        <v>0.53</v>
      </c>
      <c r="AU29" s="13">
        <v>2.59</v>
      </c>
      <c r="AV29" s="13">
        <v>0.73</v>
      </c>
      <c r="AW29" s="13">
        <v>0.85</v>
      </c>
      <c r="AX29" s="14">
        <v>0.53</v>
      </c>
    </row>
    <row r="30" spans="42:50" x14ac:dyDescent="0.25">
      <c r="AP30" s="11" t="s">
        <v>161</v>
      </c>
      <c r="AQ30" s="12">
        <v>2.21</v>
      </c>
      <c r="AR30" s="13">
        <v>0.45</v>
      </c>
      <c r="AS30" s="13">
        <v>0.24</v>
      </c>
      <c r="AT30" s="13">
        <v>0.45</v>
      </c>
      <c r="AU30" s="13">
        <v>2.59</v>
      </c>
      <c r="AV30" s="13">
        <v>0.73</v>
      </c>
      <c r="AW30" s="13">
        <v>0.85</v>
      </c>
      <c r="AX30" s="14">
        <v>0.73</v>
      </c>
    </row>
    <row r="31" spans="42:50" x14ac:dyDescent="0.25">
      <c r="AP31" s="11" t="s">
        <v>162</v>
      </c>
      <c r="AQ31" s="12">
        <v>2.21</v>
      </c>
      <c r="AR31" s="13">
        <v>0.45</v>
      </c>
      <c r="AS31" s="13">
        <v>0.24</v>
      </c>
      <c r="AT31" s="13">
        <v>0.53</v>
      </c>
      <c r="AU31" s="13">
        <v>2.59</v>
      </c>
      <c r="AV31" s="13">
        <v>0.73</v>
      </c>
      <c r="AW31" s="13">
        <v>0.85</v>
      </c>
      <c r="AX31" s="14">
        <v>0.73</v>
      </c>
    </row>
    <row r="32" spans="42:50" x14ac:dyDescent="0.25">
      <c r="AP32" s="11" t="s">
        <v>163</v>
      </c>
      <c r="AQ32" s="12">
        <v>2.21</v>
      </c>
      <c r="AR32" s="13">
        <v>0.45</v>
      </c>
      <c r="AS32" s="13">
        <v>0.24</v>
      </c>
      <c r="AT32" s="13">
        <v>0.45</v>
      </c>
      <c r="AU32" s="13">
        <v>2.59</v>
      </c>
      <c r="AV32" s="13">
        <v>1.37</v>
      </c>
      <c r="AW32" s="13">
        <v>0.85</v>
      </c>
      <c r="AX32" s="14">
        <v>0.39</v>
      </c>
    </row>
    <row r="33" spans="42:50" x14ac:dyDescent="0.25">
      <c r="AP33" s="11" t="s">
        <v>164</v>
      </c>
      <c r="AQ33" s="12">
        <v>2.21</v>
      </c>
      <c r="AR33" s="13">
        <v>0.39</v>
      </c>
      <c r="AS33" s="13">
        <v>0.24</v>
      </c>
      <c r="AT33" s="13">
        <v>0.53</v>
      </c>
      <c r="AU33" s="13">
        <v>0.73</v>
      </c>
      <c r="AV33" s="13">
        <v>0.73</v>
      </c>
      <c r="AW33" s="13">
        <v>0.85</v>
      </c>
      <c r="AX33" s="14">
        <v>0.73</v>
      </c>
    </row>
    <row r="34" spans="42:50" x14ac:dyDescent="0.25">
      <c r="AP34" s="11" t="s">
        <v>165</v>
      </c>
      <c r="AQ34" s="12">
        <v>0</v>
      </c>
      <c r="AR34" s="13">
        <v>0.53</v>
      </c>
      <c r="AS34" s="13">
        <v>0.13</v>
      </c>
      <c r="AT34" s="13">
        <v>1.89</v>
      </c>
      <c r="AU34" s="13">
        <v>1.89</v>
      </c>
      <c r="AV34" s="13">
        <v>1.37</v>
      </c>
      <c r="AW34" s="13">
        <v>0.33</v>
      </c>
      <c r="AX34" s="14">
        <v>0.62</v>
      </c>
    </row>
    <row r="35" spans="42:50" x14ac:dyDescent="0.25">
      <c r="AP35" s="11" t="s">
        <v>166</v>
      </c>
      <c r="AQ35" s="12">
        <v>1.89</v>
      </c>
      <c r="AR35" s="13">
        <v>0.45</v>
      </c>
      <c r="AS35" s="13">
        <v>0.24</v>
      </c>
      <c r="AT35" s="13">
        <v>1.89</v>
      </c>
      <c r="AU35" s="13">
        <v>2.59</v>
      </c>
      <c r="AV35" s="13">
        <v>0.73</v>
      </c>
      <c r="AW35" s="13">
        <v>0.85</v>
      </c>
      <c r="AX35" s="14">
        <v>0.73</v>
      </c>
    </row>
    <row r="36" spans="42:50" x14ac:dyDescent="0.25">
      <c r="AP36" s="11" t="s">
        <v>167</v>
      </c>
      <c r="AQ36" s="12">
        <v>0.85</v>
      </c>
      <c r="AR36" s="13">
        <v>0.45</v>
      </c>
      <c r="AS36" s="13">
        <v>0.28000000000000003</v>
      </c>
      <c r="AT36" s="13">
        <v>4.8899999999999997</v>
      </c>
      <c r="AU36" s="13">
        <v>1.89</v>
      </c>
      <c r="AV36" s="13">
        <v>0.73</v>
      </c>
      <c r="AW36" s="13">
        <v>0.85</v>
      </c>
      <c r="AX36" s="14">
        <v>0.73</v>
      </c>
    </row>
    <row r="37" spans="42:50" x14ac:dyDescent="0.25">
      <c r="AP37" s="11" t="s">
        <v>168</v>
      </c>
      <c r="AQ37" s="12">
        <v>2.21</v>
      </c>
      <c r="AR37" s="13">
        <v>0.45</v>
      </c>
      <c r="AS37" s="13">
        <v>0.24</v>
      </c>
      <c r="AT37" s="13">
        <v>0.53</v>
      </c>
      <c r="AU37" s="13">
        <v>1.61</v>
      </c>
      <c r="AV37" s="13">
        <v>0.73</v>
      </c>
      <c r="AW37" s="13">
        <v>0.85</v>
      </c>
      <c r="AX37" s="14">
        <v>0.62</v>
      </c>
    </row>
    <row r="38" spans="42:50" x14ac:dyDescent="0.25">
      <c r="AP38" s="11" t="s">
        <v>169</v>
      </c>
      <c r="AQ38" s="12">
        <v>2.21</v>
      </c>
      <c r="AR38" s="13">
        <v>0.45</v>
      </c>
      <c r="AS38" s="13">
        <v>0.28000000000000003</v>
      </c>
      <c r="AT38" s="13">
        <v>0.45</v>
      </c>
      <c r="AU38" s="13">
        <v>2.59</v>
      </c>
      <c r="AV38" s="13">
        <v>4.8899999999999997</v>
      </c>
      <c r="AW38" s="13">
        <v>0.39</v>
      </c>
      <c r="AX38" s="14">
        <v>0.73</v>
      </c>
    </row>
    <row r="39" spans="42:50" x14ac:dyDescent="0.25">
      <c r="AP39" s="11" t="s">
        <v>170</v>
      </c>
      <c r="AQ39" s="12">
        <v>2.21</v>
      </c>
      <c r="AR39" s="13">
        <v>0.45</v>
      </c>
      <c r="AS39" s="13">
        <v>0.24</v>
      </c>
      <c r="AT39" s="13">
        <v>0.53</v>
      </c>
      <c r="AU39" s="13">
        <v>2.59</v>
      </c>
      <c r="AV39" s="13">
        <v>0.73</v>
      </c>
      <c r="AW39" s="13">
        <v>0.85</v>
      </c>
      <c r="AX39" s="14">
        <v>0.73</v>
      </c>
    </row>
    <row r="40" spans="42:50" x14ac:dyDescent="0.25">
      <c r="AP40" s="11" t="s">
        <v>171</v>
      </c>
      <c r="AQ40" s="12">
        <v>1.89</v>
      </c>
      <c r="AR40" s="13">
        <v>0.45</v>
      </c>
      <c r="AS40" s="13">
        <v>0.24</v>
      </c>
      <c r="AT40" s="13">
        <v>1.89</v>
      </c>
      <c r="AU40" s="13">
        <v>2.59</v>
      </c>
      <c r="AV40" s="13">
        <v>0.73</v>
      </c>
      <c r="AW40" s="13">
        <v>0.85</v>
      </c>
      <c r="AX40" s="14">
        <v>0.73</v>
      </c>
    </row>
    <row r="41" spans="42:50" x14ac:dyDescent="0.25">
      <c r="AP41" s="11" t="s">
        <v>172</v>
      </c>
      <c r="AQ41" s="12">
        <v>0.85</v>
      </c>
      <c r="AR41" s="13">
        <v>0.45</v>
      </c>
      <c r="AS41" s="13">
        <v>0.24</v>
      </c>
      <c r="AT41" s="13">
        <v>0.53</v>
      </c>
      <c r="AU41" s="13">
        <v>2.59</v>
      </c>
      <c r="AV41" s="13">
        <v>0.73</v>
      </c>
      <c r="AW41" s="13">
        <v>0.33</v>
      </c>
      <c r="AX41" s="14">
        <v>0.45</v>
      </c>
    </row>
    <row r="42" spans="42:50" x14ac:dyDescent="0.25">
      <c r="AP42" s="11" t="s">
        <v>173</v>
      </c>
      <c r="AQ42" s="12">
        <v>2.21</v>
      </c>
      <c r="AR42" s="13">
        <v>0.45</v>
      </c>
      <c r="AS42" s="13">
        <v>0.24</v>
      </c>
      <c r="AT42" s="13">
        <v>0.45</v>
      </c>
      <c r="AU42" s="13">
        <v>2.59</v>
      </c>
      <c r="AV42" s="13">
        <v>0.73</v>
      </c>
      <c r="AW42" s="13">
        <v>0.85</v>
      </c>
      <c r="AX42" s="14">
        <v>0.73</v>
      </c>
    </row>
    <row r="43" spans="42:50" x14ac:dyDescent="0.25">
      <c r="AP43" s="11" t="s">
        <v>174</v>
      </c>
      <c r="AQ43" s="12">
        <v>1.89</v>
      </c>
      <c r="AR43" s="13">
        <v>0.45</v>
      </c>
      <c r="AS43" s="13">
        <v>0.24</v>
      </c>
      <c r="AT43" s="13">
        <v>0.53</v>
      </c>
      <c r="AU43" s="13">
        <v>2.59</v>
      </c>
      <c r="AV43" s="13">
        <v>0.85</v>
      </c>
      <c r="AW43" s="13">
        <v>0.85</v>
      </c>
      <c r="AX43" s="14">
        <v>0.53</v>
      </c>
    </row>
    <row r="44" spans="42:50" x14ac:dyDescent="0.25">
      <c r="AP44" s="11" t="s">
        <v>175</v>
      </c>
      <c r="AQ44" s="12">
        <v>0.85</v>
      </c>
      <c r="AR44" s="13">
        <v>0</v>
      </c>
      <c r="AS44" s="13">
        <v>0.13</v>
      </c>
      <c r="AT44" s="13">
        <v>1.89</v>
      </c>
      <c r="AU44" s="13">
        <v>1.89</v>
      </c>
      <c r="AV44" s="13">
        <v>1.17</v>
      </c>
      <c r="AW44" s="13">
        <v>0.39</v>
      </c>
      <c r="AX44" s="14">
        <v>0.45</v>
      </c>
    </row>
    <row r="45" spans="42:50" x14ac:dyDescent="0.25">
      <c r="AP45" s="11" t="s">
        <v>176</v>
      </c>
      <c r="AQ45" s="12">
        <v>2.21</v>
      </c>
      <c r="AR45" s="13">
        <v>0.45</v>
      </c>
      <c r="AS45" s="13">
        <v>0.24</v>
      </c>
      <c r="AT45" s="13">
        <v>0.45</v>
      </c>
      <c r="AU45" s="13">
        <v>1.89</v>
      </c>
      <c r="AV45" s="13">
        <v>0.73</v>
      </c>
      <c r="AW45" s="13">
        <v>0.85</v>
      </c>
      <c r="AX45" s="14">
        <v>0.73</v>
      </c>
    </row>
    <row r="46" spans="42:50" x14ac:dyDescent="0.25">
      <c r="AP46" s="11" t="s">
        <v>177</v>
      </c>
      <c r="AQ46" s="12">
        <v>2.21</v>
      </c>
      <c r="AR46" s="13">
        <v>0.45</v>
      </c>
      <c r="AS46" s="13">
        <v>0.24</v>
      </c>
      <c r="AT46" s="13">
        <v>0.45</v>
      </c>
      <c r="AU46" s="13">
        <v>2.59</v>
      </c>
      <c r="AV46" s="13">
        <v>1.37</v>
      </c>
      <c r="AW46" s="13">
        <v>0.85</v>
      </c>
      <c r="AX46" s="14">
        <v>0.73</v>
      </c>
    </row>
    <row r="47" spans="42:50" x14ac:dyDescent="0.25">
      <c r="AP47" s="11" t="s">
        <v>178</v>
      </c>
      <c r="AQ47" s="12">
        <v>2.21</v>
      </c>
      <c r="AR47" s="13">
        <v>0.45</v>
      </c>
      <c r="AS47" s="13">
        <v>0.24</v>
      </c>
      <c r="AT47" s="13">
        <v>0.53</v>
      </c>
      <c r="AU47" s="13">
        <v>2.59</v>
      </c>
      <c r="AV47" s="13">
        <v>0.85</v>
      </c>
      <c r="AW47" s="13">
        <v>45.2</v>
      </c>
      <c r="AX47" s="14">
        <v>0.62</v>
      </c>
    </row>
    <row r="48" spans="42:50" x14ac:dyDescent="0.25">
      <c r="AP48" s="11" t="s">
        <v>179</v>
      </c>
      <c r="AQ48" s="12">
        <v>2.21</v>
      </c>
      <c r="AR48" s="13">
        <v>0.53</v>
      </c>
      <c r="AS48" s="13">
        <v>0.24</v>
      </c>
      <c r="AT48" s="13">
        <v>0.53</v>
      </c>
      <c r="AU48" s="13">
        <v>2.59</v>
      </c>
      <c r="AV48" s="13">
        <v>0.73</v>
      </c>
      <c r="AW48" s="13">
        <v>0.33</v>
      </c>
      <c r="AX48" s="14">
        <v>0.73</v>
      </c>
    </row>
    <row r="49" spans="42:50" x14ac:dyDescent="0.25">
      <c r="AP49" s="11" t="s">
        <v>180</v>
      </c>
      <c r="AQ49" s="12">
        <v>2.21</v>
      </c>
      <c r="AR49" s="13">
        <v>0.45</v>
      </c>
      <c r="AS49" s="13">
        <v>0.24</v>
      </c>
      <c r="AT49" s="13">
        <v>0.53</v>
      </c>
      <c r="AU49" s="13">
        <v>2.59</v>
      </c>
      <c r="AV49" s="13">
        <v>0.85</v>
      </c>
      <c r="AW49" s="13">
        <v>0.39</v>
      </c>
      <c r="AX49" s="14">
        <v>0.85</v>
      </c>
    </row>
    <row r="50" spans="42:50" x14ac:dyDescent="0.25">
      <c r="AP50" s="11" t="s">
        <v>181</v>
      </c>
      <c r="AQ50" s="12">
        <v>2.21</v>
      </c>
      <c r="AR50" s="13">
        <v>0.45</v>
      </c>
      <c r="AS50" s="13">
        <v>0.24</v>
      </c>
      <c r="AT50" s="13">
        <v>0.45</v>
      </c>
      <c r="AU50" s="13">
        <v>2.59</v>
      </c>
      <c r="AV50" s="13">
        <v>0.73</v>
      </c>
      <c r="AW50" s="13">
        <v>0.85</v>
      </c>
      <c r="AX50" s="14">
        <v>0.53</v>
      </c>
    </row>
    <row r="51" spans="42:50" x14ac:dyDescent="0.25">
      <c r="AP51" s="11" t="s">
        <v>182</v>
      </c>
      <c r="AQ51" s="12">
        <v>2.21</v>
      </c>
      <c r="AR51" s="13">
        <v>0.45</v>
      </c>
      <c r="AS51" s="13">
        <v>0.28000000000000003</v>
      </c>
      <c r="AT51" s="13">
        <v>1.61</v>
      </c>
      <c r="AU51" s="13">
        <v>2.59</v>
      </c>
      <c r="AV51" s="13">
        <v>1.37</v>
      </c>
      <c r="AW51" s="13">
        <v>0.85</v>
      </c>
      <c r="AX51" s="14">
        <v>0.62</v>
      </c>
    </row>
    <row r="52" spans="42:50" x14ac:dyDescent="0.25">
      <c r="AP52" s="11" t="s">
        <v>183</v>
      </c>
      <c r="AQ52" s="12">
        <v>1.89</v>
      </c>
      <c r="AR52" s="13">
        <v>0.45</v>
      </c>
      <c r="AS52" s="13">
        <v>0.24</v>
      </c>
      <c r="AT52" s="13">
        <v>0.45</v>
      </c>
      <c r="AU52" s="13">
        <v>2.59</v>
      </c>
      <c r="AV52" s="13">
        <v>0.73</v>
      </c>
      <c r="AW52" s="13">
        <v>0.85</v>
      </c>
      <c r="AX52" s="14">
        <v>0.73</v>
      </c>
    </row>
    <row r="53" spans="42:50" x14ac:dyDescent="0.25">
      <c r="AP53" s="11" t="s">
        <v>184</v>
      </c>
      <c r="AQ53" s="12">
        <v>2.21</v>
      </c>
      <c r="AR53" s="13">
        <v>0.45</v>
      </c>
      <c r="AS53" s="13">
        <v>0.24</v>
      </c>
      <c r="AT53" s="13">
        <v>0.45</v>
      </c>
      <c r="AU53" s="13">
        <v>2.21</v>
      </c>
      <c r="AV53" s="13">
        <v>0.85</v>
      </c>
      <c r="AW53" s="13">
        <v>0.85</v>
      </c>
      <c r="AX53" s="14">
        <v>0.73</v>
      </c>
    </row>
    <row r="54" spans="42:50" x14ac:dyDescent="0.25">
      <c r="AP54" s="11" t="s">
        <v>185</v>
      </c>
      <c r="AQ54" s="12">
        <v>0.85</v>
      </c>
      <c r="AR54" s="13">
        <v>0.53</v>
      </c>
      <c r="AS54" s="13">
        <v>0.13</v>
      </c>
      <c r="AT54" s="13">
        <v>1.89</v>
      </c>
      <c r="AU54" s="13">
        <v>1.89</v>
      </c>
      <c r="AV54" s="13">
        <v>0</v>
      </c>
      <c r="AW54" s="13">
        <v>0.33</v>
      </c>
      <c r="AX54" s="14">
        <v>0.53</v>
      </c>
    </row>
    <row r="55" spans="42:50" x14ac:dyDescent="0.25">
      <c r="AP55" s="11" t="s">
        <v>186</v>
      </c>
      <c r="AQ55" s="12">
        <v>1.89</v>
      </c>
      <c r="AR55" s="13">
        <v>0.45</v>
      </c>
      <c r="AS55" s="13">
        <v>0.24</v>
      </c>
      <c r="AT55" s="13">
        <v>1.89</v>
      </c>
      <c r="AU55" s="13">
        <v>1.89</v>
      </c>
      <c r="AV55" s="13">
        <v>1.37</v>
      </c>
      <c r="AW55" s="13">
        <v>0.85</v>
      </c>
      <c r="AX55" s="14">
        <v>0.73</v>
      </c>
    </row>
    <row r="56" spans="42:50" x14ac:dyDescent="0.25">
      <c r="AP56" s="11" t="s">
        <v>187</v>
      </c>
      <c r="AQ56" s="12">
        <v>2.21</v>
      </c>
      <c r="AR56" s="13">
        <v>0.45</v>
      </c>
      <c r="AS56" s="13">
        <v>0.13</v>
      </c>
      <c r="AT56" s="13">
        <v>0.45</v>
      </c>
      <c r="AU56" s="13">
        <v>2.21</v>
      </c>
      <c r="AV56" s="13">
        <v>0.73</v>
      </c>
      <c r="AW56" s="13">
        <v>0.85</v>
      </c>
      <c r="AX56" s="14">
        <v>0.62</v>
      </c>
    </row>
    <row r="57" spans="42:50" x14ac:dyDescent="0.25">
      <c r="AP57" s="11" t="s">
        <v>188</v>
      </c>
      <c r="AQ57" s="12">
        <v>0.85</v>
      </c>
      <c r="AR57" s="13">
        <v>0.45</v>
      </c>
      <c r="AS57" s="13">
        <v>0.24</v>
      </c>
      <c r="AT57" s="13">
        <v>0.45</v>
      </c>
      <c r="AU57" s="13">
        <v>2.59</v>
      </c>
      <c r="AV57" s="13">
        <v>0.73</v>
      </c>
      <c r="AW57" s="13">
        <v>0.85</v>
      </c>
      <c r="AX57" s="14">
        <v>0.73</v>
      </c>
    </row>
    <row r="58" spans="42:50" x14ac:dyDescent="0.25">
      <c r="AP58" s="11" t="s">
        <v>189</v>
      </c>
      <c r="AQ58" s="12">
        <v>2.21</v>
      </c>
      <c r="AR58" s="13">
        <v>0.39</v>
      </c>
      <c r="AS58" s="13">
        <v>0.24</v>
      </c>
      <c r="AT58" s="13">
        <v>0.45</v>
      </c>
      <c r="AU58" s="13">
        <v>2.59</v>
      </c>
      <c r="AV58" s="13">
        <v>0.73</v>
      </c>
      <c r="AW58" s="13">
        <v>0.85</v>
      </c>
      <c r="AX58" s="14">
        <v>0.53</v>
      </c>
    </row>
    <row r="59" spans="42:50" x14ac:dyDescent="0.25">
      <c r="AP59" s="11" t="s">
        <v>190</v>
      </c>
      <c r="AQ59" s="12">
        <v>2.21</v>
      </c>
      <c r="AR59" s="13">
        <v>0.39</v>
      </c>
      <c r="AS59" s="13">
        <v>0.24</v>
      </c>
      <c r="AT59" s="13">
        <v>0.53</v>
      </c>
      <c r="AU59" s="13">
        <v>2.59</v>
      </c>
      <c r="AV59" s="13">
        <v>0.73</v>
      </c>
      <c r="AW59" s="13">
        <v>0.85</v>
      </c>
      <c r="AX59" s="14">
        <v>0.73</v>
      </c>
    </row>
    <row r="60" spans="42:50" x14ac:dyDescent="0.25">
      <c r="AP60" s="11" t="s">
        <v>191</v>
      </c>
      <c r="AQ60" s="12">
        <v>0.85</v>
      </c>
      <c r="AR60" s="13">
        <v>0.45</v>
      </c>
      <c r="AS60" s="13">
        <v>0.11</v>
      </c>
      <c r="AT60" s="13">
        <v>0.53</v>
      </c>
      <c r="AU60" s="13">
        <v>2.21</v>
      </c>
      <c r="AV60" s="13">
        <v>0.73</v>
      </c>
      <c r="AW60" s="13">
        <v>0.85</v>
      </c>
      <c r="AX60" s="14">
        <v>0.73</v>
      </c>
    </row>
    <row r="61" spans="42:50" x14ac:dyDescent="0.25">
      <c r="AP61" s="11" t="s">
        <v>192</v>
      </c>
      <c r="AQ61" s="12">
        <v>2.21</v>
      </c>
      <c r="AR61" s="13">
        <v>0.45</v>
      </c>
      <c r="AS61" s="13">
        <v>0.13</v>
      </c>
      <c r="AT61" s="13">
        <v>0.53</v>
      </c>
      <c r="AU61" s="13">
        <v>2.59</v>
      </c>
      <c r="AV61" s="13">
        <v>0.73</v>
      </c>
      <c r="AW61" s="13">
        <v>0.85</v>
      </c>
      <c r="AX61" s="14">
        <v>0.73</v>
      </c>
    </row>
    <row r="62" spans="42:50" x14ac:dyDescent="0.25">
      <c r="AP62" s="11" t="s">
        <v>193</v>
      </c>
      <c r="AQ62" s="12">
        <v>2.21</v>
      </c>
      <c r="AR62" s="13">
        <v>0.45</v>
      </c>
      <c r="AS62" s="13">
        <v>0.24</v>
      </c>
      <c r="AT62" s="13">
        <v>0.45</v>
      </c>
      <c r="AU62" s="13">
        <v>2.59</v>
      </c>
      <c r="AV62" s="13">
        <v>0.73</v>
      </c>
      <c r="AW62" s="13">
        <v>0.85</v>
      </c>
      <c r="AX62" s="14">
        <v>0.45</v>
      </c>
    </row>
    <row r="63" spans="42:50" ht="15.75" thickBot="1" x14ac:dyDescent="0.3">
      <c r="AP63" s="11" t="s">
        <v>194</v>
      </c>
      <c r="AQ63" s="12">
        <v>2.21</v>
      </c>
      <c r="AR63" s="13">
        <v>0.45</v>
      </c>
      <c r="AS63" s="13">
        <v>0.2</v>
      </c>
      <c r="AT63" s="13">
        <v>0.45</v>
      </c>
      <c r="AU63" s="13">
        <v>2.59</v>
      </c>
      <c r="AV63" s="13">
        <v>1.37</v>
      </c>
      <c r="AW63" s="13">
        <v>0.85</v>
      </c>
      <c r="AX63" s="14">
        <v>0.73</v>
      </c>
    </row>
    <row r="64" spans="42:50" x14ac:dyDescent="0.25">
      <c r="AP64" s="7" t="s">
        <v>227</v>
      </c>
      <c r="AQ64" s="8">
        <v>1.97631578947368</v>
      </c>
      <c r="AR64" s="9">
        <v>0.45344827586206798</v>
      </c>
      <c r="AS64" s="9">
        <v>0.230833333333333</v>
      </c>
      <c r="AT64" s="9">
        <v>1.02866666666666</v>
      </c>
      <c r="AU64" s="9">
        <v>2.3530000000000002</v>
      </c>
      <c r="AV64" s="9">
        <v>0.97745762711864304</v>
      </c>
      <c r="AW64" s="9">
        <v>2.1403389830508401</v>
      </c>
      <c r="AX64" s="10">
        <v>0.65166666666666595</v>
      </c>
    </row>
    <row r="65" spans="42:50" x14ac:dyDescent="0.25">
      <c r="AP65" s="11" t="s">
        <v>228</v>
      </c>
      <c r="AQ65" s="12">
        <v>0.47751047229793903</v>
      </c>
      <c r="AR65" s="13">
        <v>3.3659129219068697E-2</v>
      </c>
      <c r="AS65" s="13">
        <v>9.4256594228497095E-2</v>
      </c>
      <c r="AT65" s="13">
        <v>1.1565112287488699</v>
      </c>
      <c r="AU65" s="13">
        <v>0.45915610998148798</v>
      </c>
      <c r="AV65" s="13">
        <v>0.76473013567396997</v>
      </c>
      <c r="AW65" s="13">
        <v>7.4724785364904696</v>
      </c>
      <c r="AX65" s="14">
        <v>0.117943018256934</v>
      </c>
    </row>
    <row r="66" spans="42:50" x14ac:dyDescent="0.25">
      <c r="AP66" s="11" t="s">
        <v>229</v>
      </c>
      <c r="AQ66" s="12">
        <v>2.4538262617716202</v>
      </c>
      <c r="AR66" s="13">
        <v>0.48710740508113698</v>
      </c>
      <c r="AS66" s="13">
        <v>0.32508992756183003</v>
      </c>
      <c r="AT66" s="13">
        <v>2.1851778954155301</v>
      </c>
      <c r="AU66" s="13">
        <v>2.81215610998149</v>
      </c>
      <c r="AV66" s="13">
        <v>1.7421877627926099</v>
      </c>
      <c r="AW66" s="13">
        <v>9.6128175195413199</v>
      </c>
      <c r="AX66" s="14">
        <v>0.76960968492360005</v>
      </c>
    </row>
    <row r="67" spans="42:50" x14ac:dyDescent="0.25">
      <c r="AP67" s="11" t="s">
        <v>230</v>
      </c>
      <c r="AQ67" s="12">
        <v>1.4988053171757401</v>
      </c>
      <c r="AR67" s="13">
        <v>0.41978914664299899</v>
      </c>
      <c r="AS67" s="13">
        <v>0.136576739104836</v>
      </c>
      <c r="AT67" s="13">
        <v>-0.12784456208220199</v>
      </c>
      <c r="AU67" s="13">
        <v>1.8938438900185099</v>
      </c>
      <c r="AV67" s="13">
        <v>0.21272749144467301</v>
      </c>
      <c r="AW67" s="13">
        <v>-5.3321395534396299</v>
      </c>
      <c r="AX67" s="14">
        <v>0.53372364840973197</v>
      </c>
    </row>
    <row r="68" spans="42:50" ht="15.75" thickBot="1" x14ac:dyDescent="0.3">
      <c r="AP68" s="15" t="s">
        <v>231</v>
      </c>
      <c r="AQ68" s="16">
        <v>2.1419148936170198</v>
      </c>
      <c r="AR68" s="17">
        <v>0.44999999999999901</v>
      </c>
      <c r="AS68" s="17">
        <v>0.244255319148936</v>
      </c>
      <c r="AT68" s="17">
        <v>0.752857142857143</v>
      </c>
      <c r="AU68" s="17">
        <v>2.5504166666666599</v>
      </c>
      <c r="AV68" s="17">
        <v>0.84017543859649002</v>
      </c>
      <c r="AW68" s="17">
        <v>0.745789473684211</v>
      </c>
      <c r="AX68" s="18">
        <v>0.70799999999999996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232</v>
      </c>
      <c r="AQ70" s="29">
        <v>1.95</v>
      </c>
      <c r="AR70" s="29">
        <v>3.4</v>
      </c>
      <c r="AS70" s="29">
        <v>4.83</v>
      </c>
      <c r="AT70" s="29">
        <v>5.42</v>
      </c>
      <c r="AU70" s="29">
        <v>3.92</v>
      </c>
      <c r="AV70" s="29">
        <v>4.3499999999999996</v>
      </c>
      <c r="AW70" s="29">
        <v>1.86</v>
      </c>
      <c r="AX70" s="30">
        <v>2.73</v>
      </c>
    </row>
    <row r="71" spans="42:50" x14ac:dyDescent="0.25">
      <c r="AP71" s="31" t="s">
        <v>233</v>
      </c>
      <c r="AQ71" s="32">
        <f t="shared" ref="AQ71:AX71" si="0">AQ70-AQ68</f>
        <v>-0.19191489361701985</v>
      </c>
      <c r="AR71" s="32">
        <f t="shared" si="0"/>
        <v>2.9500000000000011</v>
      </c>
      <c r="AS71" s="32">
        <f t="shared" si="0"/>
        <v>4.5857446808510645</v>
      </c>
      <c r="AT71" s="32">
        <f t="shared" si="0"/>
        <v>4.6671428571428573</v>
      </c>
      <c r="AU71" s="32">
        <f t="shared" si="0"/>
        <v>1.36958333333334</v>
      </c>
      <c r="AV71" s="32">
        <f t="shared" si="0"/>
        <v>3.5098245614035095</v>
      </c>
      <c r="AW71" s="32">
        <f t="shared" si="0"/>
        <v>1.1142105263157891</v>
      </c>
      <c r="AX71" s="33">
        <f t="shared" si="0"/>
        <v>2.0220000000000002</v>
      </c>
    </row>
    <row r="72" spans="42:50" ht="15.75" thickBot="1" x14ac:dyDescent="0.3">
      <c r="AP72" s="34" t="s">
        <v>234</v>
      </c>
      <c r="AQ72" s="35">
        <f t="shared" ref="AQ72:AX72" si="1">(AQ71/AQ68)*100</f>
        <v>-8.9599682129730205</v>
      </c>
      <c r="AR72" s="35">
        <f t="shared" si="1"/>
        <v>655.55555555555725</v>
      </c>
      <c r="AS72" s="35">
        <f t="shared" si="1"/>
        <v>1877.4390243902455</v>
      </c>
      <c r="AT72" s="35">
        <f t="shared" si="1"/>
        <v>619.92409867172671</v>
      </c>
      <c r="AU72" s="35">
        <f t="shared" si="1"/>
        <v>53.7003757555959</v>
      </c>
      <c r="AV72" s="35">
        <f t="shared" si="1"/>
        <v>417.74900814366322</v>
      </c>
      <c r="AW72" s="35">
        <f t="shared" si="1"/>
        <v>149.40014114326027</v>
      </c>
      <c r="AX72" s="36">
        <f t="shared" si="1"/>
        <v>285.59322033898309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235</v>
      </c>
      <c r="AQ74" s="29">
        <v>1.94</v>
      </c>
      <c r="AR74" s="29">
        <v>3.45</v>
      </c>
      <c r="AS74" s="29">
        <v>4.8499999999999996</v>
      </c>
      <c r="AT74" s="29">
        <v>5.37</v>
      </c>
      <c r="AU74" s="29">
        <v>3.93</v>
      </c>
      <c r="AV74" s="29">
        <v>4.3499999999999996</v>
      </c>
      <c r="AW74" s="29">
        <v>1.76</v>
      </c>
      <c r="AX74" s="30">
        <v>2.64</v>
      </c>
    </row>
    <row r="75" spans="42:50" x14ac:dyDescent="0.25">
      <c r="AP75" s="31" t="s">
        <v>233</v>
      </c>
      <c r="AQ75" s="32">
        <f t="shared" ref="AQ75:AX75" si="2">AQ74-AQ68</f>
        <v>-0.20191489361701986</v>
      </c>
      <c r="AR75" s="32">
        <f t="shared" si="2"/>
        <v>3.0000000000000013</v>
      </c>
      <c r="AS75" s="32">
        <f t="shared" si="2"/>
        <v>4.605744680851064</v>
      </c>
      <c r="AT75" s="32">
        <f t="shared" si="2"/>
        <v>4.6171428571428574</v>
      </c>
      <c r="AU75" s="32">
        <f t="shared" si="2"/>
        <v>1.3795833333333403</v>
      </c>
      <c r="AV75" s="32">
        <f t="shared" si="2"/>
        <v>3.5098245614035095</v>
      </c>
      <c r="AW75" s="32">
        <f t="shared" si="2"/>
        <v>1.014210526315789</v>
      </c>
      <c r="AX75" s="33">
        <f t="shared" si="2"/>
        <v>1.9320000000000002</v>
      </c>
    </row>
    <row r="76" spans="42:50" ht="15.75" thickBot="1" x14ac:dyDescent="0.3">
      <c r="AP76" s="34" t="s">
        <v>234</v>
      </c>
      <c r="AQ76" s="35">
        <f t="shared" ref="AQ76:AX76" si="3">(AQ75/AQ68)*100</f>
        <v>-9.4268401708552112</v>
      </c>
      <c r="AR76" s="35">
        <f t="shared" si="3"/>
        <v>666.66666666666833</v>
      </c>
      <c r="AS76" s="35">
        <f t="shared" si="3"/>
        <v>1885.6271777003499</v>
      </c>
      <c r="AT76" s="35">
        <f t="shared" si="3"/>
        <v>613.28273244781769</v>
      </c>
      <c r="AU76" s="35">
        <f t="shared" si="3"/>
        <v>54.092468550890793</v>
      </c>
      <c r="AV76" s="35">
        <f t="shared" si="3"/>
        <v>417.74900814366322</v>
      </c>
      <c r="AW76" s="35">
        <f t="shared" si="3"/>
        <v>135.99153140437531</v>
      </c>
      <c r="AX76" s="36">
        <f t="shared" si="3"/>
        <v>272.88135593220341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236</v>
      </c>
      <c r="AQ78" s="41">
        <v>1.87</v>
      </c>
      <c r="AR78" s="29">
        <v>3.49</v>
      </c>
      <c r="AS78" s="29">
        <v>4.88</v>
      </c>
      <c r="AT78" s="29">
        <v>5.41</v>
      </c>
      <c r="AU78" s="29">
        <v>3.97</v>
      </c>
      <c r="AV78" s="29">
        <v>4.4000000000000004</v>
      </c>
      <c r="AW78" s="29">
        <v>1.76</v>
      </c>
      <c r="AX78" s="30">
        <v>2.66</v>
      </c>
    </row>
    <row r="79" spans="42:50" x14ac:dyDescent="0.25">
      <c r="AP79" s="31" t="s">
        <v>233</v>
      </c>
      <c r="AQ79" s="42">
        <f>AQ78-AQ68</f>
        <v>-0.2719148936170197</v>
      </c>
      <c r="AR79" s="32">
        <f t="shared" ref="AR79:AX79" si="4">AR78-AR68</f>
        <v>3.0400000000000014</v>
      </c>
      <c r="AS79" s="32">
        <f t="shared" si="4"/>
        <v>4.6357446808510643</v>
      </c>
      <c r="AT79" s="32">
        <f t="shared" si="4"/>
        <v>4.6571428571428575</v>
      </c>
      <c r="AU79" s="32">
        <f t="shared" si="4"/>
        <v>1.4195833333333403</v>
      </c>
      <c r="AV79" s="32">
        <f t="shared" si="4"/>
        <v>3.5598245614035102</v>
      </c>
      <c r="AW79" s="32">
        <f t="shared" si="4"/>
        <v>1.014210526315789</v>
      </c>
      <c r="AX79" s="33">
        <f t="shared" si="4"/>
        <v>1.9520000000000002</v>
      </c>
    </row>
    <row r="80" spans="42:50" ht="15.75" thickBot="1" x14ac:dyDescent="0.3">
      <c r="AP80" s="34" t="s">
        <v>234</v>
      </c>
      <c r="AQ80" s="43">
        <f>(AQ79/AQ68)*100</f>
        <v>-12.694943876030532</v>
      </c>
      <c r="AR80" s="35">
        <f t="shared" ref="AR80:AX80" si="5">(AR79/AR68)*100</f>
        <v>675.55555555555736</v>
      </c>
      <c r="AS80" s="35">
        <f t="shared" si="5"/>
        <v>1897.9094076655067</v>
      </c>
      <c r="AT80" s="35">
        <f t="shared" si="5"/>
        <v>618.59582542694488</v>
      </c>
      <c r="AU80" s="35">
        <f t="shared" si="5"/>
        <v>55.660839732070343</v>
      </c>
      <c r="AV80" s="35">
        <f t="shared" si="5"/>
        <v>423.70014616830315</v>
      </c>
      <c r="AW80" s="35">
        <f t="shared" si="5"/>
        <v>135.99153140437531</v>
      </c>
      <c r="AX80" s="36">
        <f t="shared" si="5"/>
        <v>275.70621468926555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tabSelected="1" topLeftCell="N1" workbookViewId="0">
      <selection activeCell="AY32" sqref="AY32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285156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5.5703125" style="3" bestFit="1" customWidth="1"/>
    <col min="48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19"/>
      <c r="C4" s="20"/>
      <c r="D4" s="20"/>
      <c r="E4" s="20"/>
      <c r="F4" s="20"/>
      <c r="G4" s="20"/>
      <c r="H4" s="20"/>
      <c r="I4" s="20"/>
      <c r="J4" s="21"/>
      <c r="L4" s="19"/>
      <c r="M4" s="20"/>
      <c r="N4" s="20"/>
      <c r="O4" s="20"/>
      <c r="P4" s="20"/>
      <c r="Q4" s="20"/>
      <c r="R4" s="20"/>
      <c r="S4" s="20"/>
      <c r="T4" s="21"/>
      <c r="V4" s="19"/>
      <c r="W4" s="20"/>
      <c r="X4" s="20"/>
      <c r="Y4" s="20"/>
      <c r="Z4" s="20"/>
      <c r="AA4" s="20"/>
      <c r="AB4" s="20"/>
      <c r="AC4" s="20"/>
      <c r="AD4" s="21"/>
      <c r="AF4" s="19"/>
      <c r="AG4" s="20"/>
      <c r="AH4" s="20"/>
      <c r="AI4" s="20"/>
      <c r="AJ4" s="20"/>
      <c r="AK4" s="20"/>
      <c r="AL4" s="20"/>
      <c r="AM4" s="20"/>
      <c r="AN4" s="21"/>
      <c r="AP4" s="7" t="s">
        <v>215</v>
      </c>
      <c r="AQ4" s="8">
        <v>2.21</v>
      </c>
      <c r="AR4" s="9">
        <v>0.45</v>
      </c>
      <c r="AS4" s="9">
        <v>0.28000000000000003</v>
      </c>
      <c r="AT4" s="9">
        <v>0.53</v>
      </c>
      <c r="AU4" s="9">
        <v>2.59</v>
      </c>
      <c r="AV4" s="9">
        <v>0.62</v>
      </c>
      <c r="AW4" s="9">
        <v>0.39</v>
      </c>
      <c r="AX4" s="10">
        <v>0.73</v>
      </c>
      <c r="AZ4" s="19"/>
      <c r="BA4" s="20"/>
      <c r="BB4" s="20"/>
      <c r="BC4" s="20"/>
      <c r="BD4" s="20"/>
      <c r="BE4" s="20"/>
      <c r="BF4" s="20"/>
      <c r="BG4" s="20"/>
      <c r="BH4" s="21"/>
      <c r="BJ4" s="19"/>
      <c r="BK4" s="20"/>
      <c r="BL4" s="20"/>
      <c r="BM4" s="20"/>
      <c r="BN4" s="20"/>
      <c r="BO4" s="20"/>
      <c r="BP4" s="20"/>
      <c r="BQ4" s="20"/>
      <c r="BR4" s="21"/>
      <c r="BT4" s="19"/>
      <c r="BU4" s="20"/>
      <c r="BV4" s="20"/>
      <c r="BW4" s="20"/>
      <c r="BX4" s="20"/>
      <c r="BY4" s="20"/>
      <c r="BZ4" s="20"/>
      <c r="CA4" s="20"/>
      <c r="CB4" s="21"/>
    </row>
    <row r="5" spans="2:80" x14ac:dyDescent="0.25">
      <c r="B5" s="22"/>
      <c r="C5" s="2"/>
      <c r="D5" s="2"/>
      <c r="E5" s="2"/>
      <c r="F5" s="2"/>
      <c r="G5" s="2"/>
      <c r="H5" s="2"/>
      <c r="I5" s="2"/>
      <c r="J5" s="23"/>
      <c r="L5" s="22"/>
      <c r="M5" s="2"/>
      <c r="N5" s="2"/>
      <c r="O5" s="2"/>
      <c r="P5" s="2"/>
      <c r="Q5" s="2"/>
      <c r="R5" s="2"/>
      <c r="S5" s="2"/>
      <c r="T5" s="23"/>
      <c r="V5" s="22"/>
      <c r="W5" s="2"/>
      <c r="X5" s="2"/>
      <c r="Y5" s="2"/>
      <c r="Z5" s="2"/>
      <c r="AA5" s="2"/>
      <c r="AB5" s="2"/>
      <c r="AC5" s="2"/>
      <c r="AD5" s="23"/>
      <c r="AF5" s="22"/>
      <c r="AG5" s="2"/>
      <c r="AH5" s="2"/>
      <c r="AI5" s="2"/>
      <c r="AJ5" s="2"/>
      <c r="AK5" s="2"/>
      <c r="AL5" s="2"/>
      <c r="AM5" s="2"/>
      <c r="AN5" s="23"/>
      <c r="AP5" s="11" t="s">
        <v>215</v>
      </c>
      <c r="AQ5" s="12">
        <v>2.21</v>
      </c>
      <c r="AR5" s="13">
        <v>0.45</v>
      </c>
      <c r="AS5" s="13">
        <v>0.24</v>
      </c>
      <c r="AT5" s="13">
        <v>0.45</v>
      </c>
      <c r="AU5" s="13">
        <v>1.61</v>
      </c>
      <c r="AV5" s="13">
        <v>0.73</v>
      </c>
      <c r="AW5" s="13">
        <v>0.85</v>
      </c>
      <c r="AX5" s="14">
        <v>0.53</v>
      </c>
      <c r="AZ5" s="22"/>
      <c r="BA5" s="2"/>
      <c r="BB5" s="2"/>
      <c r="BC5" s="2"/>
      <c r="BD5" s="2"/>
      <c r="BE5" s="2"/>
      <c r="BF5" s="2"/>
      <c r="BG5" s="2"/>
      <c r="BH5" s="23"/>
      <c r="BJ5" s="22"/>
      <c r="BK5" s="2"/>
      <c r="BL5" s="2"/>
      <c r="BM5" s="2"/>
      <c r="BN5" s="2"/>
      <c r="BO5" s="2"/>
      <c r="BP5" s="2"/>
      <c r="BQ5" s="2"/>
      <c r="BR5" s="23"/>
      <c r="BT5" s="22"/>
      <c r="BU5" s="2"/>
      <c r="BV5" s="2"/>
      <c r="BW5" s="2"/>
      <c r="BX5" s="2"/>
      <c r="BY5" s="2"/>
      <c r="BZ5" s="2"/>
      <c r="CA5" s="2"/>
      <c r="CB5" s="23"/>
    </row>
    <row r="6" spans="2:80" x14ac:dyDescent="0.25">
      <c r="B6" s="22"/>
      <c r="C6" s="2"/>
      <c r="D6" s="2"/>
      <c r="E6" s="2"/>
      <c r="F6" s="2"/>
      <c r="G6" s="2"/>
      <c r="H6" s="2"/>
      <c r="I6" s="2"/>
      <c r="J6" s="23"/>
      <c r="L6" s="22"/>
      <c r="M6" s="2"/>
      <c r="N6" s="2"/>
      <c r="O6" s="2"/>
      <c r="P6" s="2"/>
      <c r="Q6" s="2"/>
      <c r="R6" s="2"/>
      <c r="S6" s="2"/>
      <c r="T6" s="23"/>
      <c r="V6" s="22"/>
      <c r="W6" s="2"/>
      <c r="X6" s="2"/>
      <c r="Y6" s="2"/>
      <c r="Z6" s="2"/>
      <c r="AA6" s="2"/>
      <c r="AB6" s="2"/>
      <c r="AC6" s="2"/>
      <c r="AD6" s="23"/>
      <c r="AF6" s="22"/>
      <c r="AG6" s="2"/>
      <c r="AH6" s="2"/>
      <c r="AI6" s="2"/>
      <c r="AJ6" s="2"/>
      <c r="AK6" s="2"/>
      <c r="AL6" s="2"/>
      <c r="AM6" s="2"/>
      <c r="AN6" s="23"/>
      <c r="AP6" s="11" t="s">
        <v>215</v>
      </c>
      <c r="AQ6" s="12">
        <v>0.73</v>
      </c>
      <c r="AR6" s="13">
        <v>0.45</v>
      </c>
      <c r="AS6" s="13">
        <v>0.13</v>
      </c>
      <c r="AT6" s="13">
        <v>1.89</v>
      </c>
      <c r="AU6" s="13">
        <v>1.89</v>
      </c>
      <c r="AV6" s="13">
        <v>1.37</v>
      </c>
      <c r="AW6" s="13">
        <v>0.28000000000000003</v>
      </c>
      <c r="AX6" s="14">
        <v>0.45</v>
      </c>
      <c r="AZ6" s="22"/>
      <c r="BA6" s="2"/>
      <c r="BB6" s="2"/>
      <c r="BC6" s="2"/>
      <c r="BD6" s="2"/>
      <c r="BE6" s="2"/>
      <c r="BF6" s="2"/>
      <c r="BG6" s="2"/>
      <c r="BH6" s="23"/>
      <c r="BJ6" s="22"/>
      <c r="BK6" s="2"/>
      <c r="BL6" s="2"/>
      <c r="BM6" s="2"/>
      <c r="BN6" s="2"/>
      <c r="BO6" s="2"/>
      <c r="BP6" s="2"/>
      <c r="BQ6" s="2"/>
      <c r="BR6" s="23"/>
      <c r="BT6" s="22"/>
      <c r="BU6" s="2"/>
      <c r="BV6" s="2"/>
      <c r="BW6" s="2"/>
      <c r="BX6" s="2"/>
      <c r="BY6" s="2"/>
      <c r="BZ6" s="2"/>
      <c r="CA6" s="2"/>
      <c r="CB6" s="23"/>
    </row>
    <row r="7" spans="2:80" x14ac:dyDescent="0.25">
      <c r="B7" s="22"/>
      <c r="C7" s="2"/>
      <c r="D7" s="2"/>
      <c r="E7" s="2"/>
      <c r="F7" s="2"/>
      <c r="G7" s="2"/>
      <c r="H7" s="2"/>
      <c r="I7" s="2"/>
      <c r="J7" s="23"/>
      <c r="L7" s="22"/>
      <c r="M7" s="2"/>
      <c r="N7" s="2"/>
      <c r="O7" s="2"/>
      <c r="P7" s="2"/>
      <c r="Q7" s="2"/>
      <c r="R7" s="2"/>
      <c r="S7" s="2"/>
      <c r="T7" s="23"/>
      <c r="V7" s="22"/>
      <c r="W7" s="2"/>
      <c r="X7" s="2"/>
      <c r="Y7" s="2"/>
      <c r="Z7" s="2"/>
      <c r="AA7" s="2"/>
      <c r="AB7" s="2"/>
      <c r="AC7" s="2"/>
      <c r="AD7" s="23"/>
      <c r="AF7" s="22"/>
      <c r="AG7" s="2"/>
      <c r="AH7" s="2"/>
      <c r="AI7" s="2"/>
      <c r="AJ7" s="2"/>
      <c r="AK7" s="2"/>
      <c r="AL7" s="2"/>
      <c r="AM7" s="2"/>
      <c r="AN7" s="23"/>
      <c r="AP7" s="11" t="s">
        <v>215</v>
      </c>
      <c r="AQ7" s="12">
        <v>0</v>
      </c>
      <c r="AR7" s="13">
        <v>0.45</v>
      </c>
      <c r="AS7" s="13">
        <v>0.85</v>
      </c>
      <c r="AT7" s="13">
        <v>1.89</v>
      </c>
      <c r="AU7" s="13">
        <v>1.89</v>
      </c>
      <c r="AV7" s="13">
        <v>0.73</v>
      </c>
      <c r="AW7" s="13">
        <v>0.39</v>
      </c>
      <c r="AX7" s="14">
        <v>0.45</v>
      </c>
      <c r="AZ7" s="22"/>
      <c r="BA7" s="2"/>
      <c r="BB7" s="2"/>
      <c r="BC7" s="2"/>
      <c r="BD7" s="2"/>
      <c r="BE7" s="2"/>
      <c r="BF7" s="2"/>
      <c r="BG7" s="2"/>
      <c r="BH7" s="23"/>
      <c r="BJ7" s="22"/>
      <c r="BK7" s="2"/>
      <c r="BL7" s="2"/>
      <c r="BM7" s="2"/>
      <c r="BN7" s="2"/>
      <c r="BO7" s="2"/>
      <c r="BP7" s="2"/>
      <c r="BQ7" s="2"/>
      <c r="BR7" s="23"/>
      <c r="BT7" s="22"/>
      <c r="BU7" s="2"/>
      <c r="BV7" s="2"/>
      <c r="BW7" s="2"/>
      <c r="BX7" s="2"/>
      <c r="BY7" s="2"/>
      <c r="BZ7" s="2"/>
      <c r="CA7" s="2"/>
      <c r="CB7" s="23"/>
    </row>
    <row r="8" spans="2:80" ht="15.75" thickBot="1" x14ac:dyDescent="0.3">
      <c r="B8" s="24"/>
      <c r="C8" s="25"/>
      <c r="D8" s="25"/>
      <c r="E8" s="25"/>
      <c r="F8" s="25"/>
      <c r="G8" s="25"/>
      <c r="H8" s="25"/>
      <c r="I8" s="25"/>
      <c r="J8" s="26"/>
      <c r="L8" s="24"/>
      <c r="M8" s="25"/>
      <c r="N8" s="25"/>
      <c r="O8" s="25"/>
      <c r="P8" s="25"/>
      <c r="Q8" s="25"/>
      <c r="R8" s="25"/>
      <c r="S8" s="25"/>
      <c r="T8" s="26"/>
      <c r="V8" s="24"/>
      <c r="W8" s="25"/>
      <c r="X8" s="25"/>
      <c r="Y8" s="25"/>
      <c r="Z8" s="25"/>
      <c r="AA8" s="25"/>
      <c r="AB8" s="25"/>
      <c r="AC8" s="25"/>
      <c r="AD8" s="26"/>
      <c r="AF8" s="24"/>
      <c r="AG8" s="25"/>
      <c r="AH8" s="25"/>
      <c r="AI8" s="25"/>
      <c r="AJ8" s="25"/>
      <c r="AK8" s="25"/>
      <c r="AL8" s="25"/>
      <c r="AM8" s="25"/>
      <c r="AN8" s="26"/>
      <c r="AP8" s="11" t="s">
        <v>215</v>
      </c>
      <c r="AQ8" s="12">
        <v>2.21</v>
      </c>
      <c r="AR8" s="13">
        <v>0.53</v>
      </c>
      <c r="AS8" s="13">
        <v>0.24</v>
      </c>
      <c r="AT8" s="13">
        <v>0.45</v>
      </c>
      <c r="AU8" s="13">
        <v>2.21</v>
      </c>
      <c r="AV8" s="13">
        <v>0.73</v>
      </c>
      <c r="AW8" s="13">
        <v>0.85</v>
      </c>
      <c r="AX8" s="14">
        <v>0.45</v>
      </c>
      <c r="AZ8" s="24"/>
      <c r="BA8" s="25"/>
      <c r="BB8" s="25"/>
      <c r="BC8" s="25"/>
      <c r="BD8" s="25"/>
      <c r="BE8" s="25"/>
      <c r="BF8" s="25"/>
      <c r="BG8" s="25"/>
      <c r="BH8" s="26"/>
      <c r="BJ8" s="24"/>
      <c r="BK8" s="25"/>
      <c r="BL8" s="25"/>
      <c r="BM8" s="25"/>
      <c r="BN8" s="25"/>
      <c r="BO8" s="25"/>
      <c r="BP8" s="25"/>
      <c r="BQ8" s="25"/>
      <c r="BR8" s="26"/>
      <c r="BT8" s="24"/>
      <c r="BU8" s="25"/>
      <c r="BV8" s="25"/>
      <c r="BW8" s="25"/>
      <c r="BX8" s="25"/>
      <c r="BY8" s="25"/>
      <c r="BZ8" s="25"/>
      <c r="CA8" s="25"/>
      <c r="CB8" s="26"/>
    </row>
    <row r="9" spans="2:80" x14ac:dyDescent="0.25">
      <c r="AP9" s="11" t="s">
        <v>216</v>
      </c>
      <c r="AQ9" s="12">
        <v>1.89</v>
      </c>
      <c r="AR9" s="13">
        <v>0.45</v>
      </c>
      <c r="AS9" s="13">
        <v>0.24</v>
      </c>
      <c r="AT9" s="13">
        <v>0.45</v>
      </c>
      <c r="AU9" s="13">
        <v>2.59</v>
      </c>
      <c r="AV9" s="13">
        <v>0.73</v>
      </c>
      <c r="AW9" s="13">
        <v>0.85</v>
      </c>
      <c r="AX9" s="14">
        <v>0.53</v>
      </c>
    </row>
    <row r="10" spans="2:80" x14ac:dyDescent="0.25">
      <c r="AP10" s="11" t="s">
        <v>216</v>
      </c>
      <c r="AQ10" s="12">
        <v>2.21</v>
      </c>
      <c r="AR10" s="13">
        <v>0.45</v>
      </c>
      <c r="AS10" s="13">
        <v>0.24</v>
      </c>
      <c r="AT10" s="13">
        <v>0.45</v>
      </c>
      <c r="AU10" s="13">
        <v>2.21</v>
      </c>
      <c r="AV10" s="13">
        <v>0.73</v>
      </c>
      <c r="AW10" s="13">
        <v>0.85</v>
      </c>
      <c r="AX10" s="14">
        <v>0.73</v>
      </c>
    </row>
    <row r="11" spans="2:80" x14ac:dyDescent="0.25">
      <c r="AP11" s="11" t="s">
        <v>216</v>
      </c>
      <c r="AQ11" s="12">
        <v>2.21</v>
      </c>
      <c r="AR11" s="13">
        <v>0.45</v>
      </c>
      <c r="AS11" s="13">
        <v>0.24</v>
      </c>
      <c r="AT11" s="13">
        <v>1.61</v>
      </c>
      <c r="AU11" s="13">
        <v>2.59</v>
      </c>
      <c r="AV11" s="13">
        <v>0.73</v>
      </c>
      <c r="AW11" s="13">
        <v>0.85</v>
      </c>
      <c r="AX11" s="14">
        <v>0.62</v>
      </c>
    </row>
    <row r="12" spans="2:80" x14ac:dyDescent="0.25">
      <c r="AP12" s="11" t="s">
        <v>216</v>
      </c>
      <c r="AQ12" s="12">
        <v>0.85</v>
      </c>
      <c r="AR12" s="13">
        <v>0</v>
      </c>
      <c r="AS12" s="13">
        <v>0.24</v>
      </c>
      <c r="AT12" s="13">
        <v>1.89</v>
      </c>
      <c r="AU12" s="13">
        <v>2.59</v>
      </c>
      <c r="AV12" s="13">
        <v>0.73</v>
      </c>
      <c r="AW12" s="13">
        <v>0.85</v>
      </c>
      <c r="AX12" s="14">
        <v>0.73</v>
      </c>
    </row>
    <row r="13" spans="2:80" x14ac:dyDescent="0.25">
      <c r="AP13" s="11" t="s">
        <v>216</v>
      </c>
      <c r="AQ13" s="12">
        <v>1.89</v>
      </c>
      <c r="AR13" s="13">
        <v>0.45</v>
      </c>
      <c r="AS13" s="13">
        <v>0.24</v>
      </c>
      <c r="AT13" s="13">
        <v>0.53</v>
      </c>
      <c r="AU13" s="13">
        <v>2.59</v>
      </c>
      <c r="AV13" s="13">
        <v>0.73</v>
      </c>
      <c r="AW13" s="13">
        <v>0</v>
      </c>
      <c r="AX13" s="14">
        <v>0.45</v>
      </c>
    </row>
    <row r="14" spans="2:80" x14ac:dyDescent="0.25">
      <c r="AP14" s="11" t="s">
        <v>217</v>
      </c>
      <c r="AQ14" s="12">
        <v>2.21</v>
      </c>
      <c r="AR14" s="13">
        <v>0.45</v>
      </c>
      <c r="AS14" s="13">
        <v>0.24</v>
      </c>
      <c r="AT14" s="13">
        <v>4.8899999999999997</v>
      </c>
      <c r="AU14" s="13">
        <v>2.59</v>
      </c>
      <c r="AV14" s="13">
        <v>0.73</v>
      </c>
      <c r="AW14" s="13">
        <v>38.57</v>
      </c>
      <c r="AX14" s="14">
        <v>0.53</v>
      </c>
    </row>
    <row r="15" spans="2:80" x14ac:dyDescent="0.25">
      <c r="AP15" s="11" t="s">
        <v>217</v>
      </c>
      <c r="AQ15" s="12">
        <v>2.21</v>
      </c>
      <c r="AR15" s="13">
        <v>0.53</v>
      </c>
      <c r="AS15" s="13">
        <v>0.28000000000000003</v>
      </c>
      <c r="AT15" s="13">
        <v>0.53</v>
      </c>
      <c r="AU15" s="13">
        <v>2.59</v>
      </c>
      <c r="AV15" s="13">
        <v>0.73</v>
      </c>
      <c r="AW15" s="13">
        <v>0.85</v>
      </c>
      <c r="AX15" s="14">
        <v>0.53</v>
      </c>
    </row>
    <row r="16" spans="2:80" x14ac:dyDescent="0.25">
      <c r="AP16" s="11" t="s">
        <v>217</v>
      </c>
      <c r="AQ16" s="12">
        <v>2.21</v>
      </c>
      <c r="AR16" s="13">
        <v>0.45</v>
      </c>
      <c r="AS16" s="13">
        <v>0.24</v>
      </c>
      <c r="AT16" s="13">
        <v>0.53</v>
      </c>
      <c r="AU16" s="13">
        <v>2.59</v>
      </c>
      <c r="AV16" s="13">
        <v>4.8899999999999997</v>
      </c>
      <c r="AW16" s="13">
        <v>0.85</v>
      </c>
      <c r="AX16" s="14">
        <v>0.73</v>
      </c>
    </row>
    <row r="17" spans="42:50" x14ac:dyDescent="0.25">
      <c r="AP17" s="11" t="s">
        <v>217</v>
      </c>
      <c r="AQ17" s="12">
        <v>0</v>
      </c>
      <c r="AR17" s="13">
        <v>0.53</v>
      </c>
      <c r="AS17" s="13">
        <v>0.13</v>
      </c>
      <c r="AT17" s="13">
        <v>4.8899999999999997</v>
      </c>
      <c r="AU17" s="13">
        <v>1.61</v>
      </c>
      <c r="AV17" s="13">
        <v>1.17</v>
      </c>
      <c r="AW17" s="13">
        <v>0.33</v>
      </c>
      <c r="AX17" s="14">
        <v>0.62</v>
      </c>
    </row>
    <row r="18" spans="42:50" x14ac:dyDescent="0.25">
      <c r="AP18" s="11" t="s">
        <v>217</v>
      </c>
      <c r="AQ18" s="12">
        <v>1.89</v>
      </c>
      <c r="AR18" s="13">
        <v>0.39</v>
      </c>
      <c r="AS18" s="13">
        <v>0.24</v>
      </c>
      <c r="AT18" s="13">
        <v>0.45</v>
      </c>
      <c r="AU18" s="13">
        <v>2.59</v>
      </c>
      <c r="AV18" s="13">
        <v>0.73</v>
      </c>
      <c r="AW18" s="13">
        <v>0.85</v>
      </c>
      <c r="AX18" s="14">
        <v>0.45</v>
      </c>
    </row>
    <row r="19" spans="42:50" x14ac:dyDescent="0.25">
      <c r="AP19" s="11" t="s">
        <v>218</v>
      </c>
      <c r="AQ19" s="12">
        <v>2.21</v>
      </c>
      <c r="AR19" s="13">
        <v>0.39</v>
      </c>
      <c r="AS19" s="13">
        <v>0.13</v>
      </c>
      <c r="AT19" s="13">
        <v>0.45</v>
      </c>
      <c r="AU19" s="13">
        <v>2.59</v>
      </c>
      <c r="AV19" s="13">
        <v>0.73</v>
      </c>
      <c r="AW19" s="13">
        <v>0.85</v>
      </c>
      <c r="AX19" s="14">
        <v>0.73</v>
      </c>
    </row>
    <row r="20" spans="42:50" x14ac:dyDescent="0.25">
      <c r="AP20" s="11" t="s">
        <v>218</v>
      </c>
      <c r="AQ20" s="12">
        <v>1.89</v>
      </c>
      <c r="AR20" s="13">
        <v>0.53</v>
      </c>
      <c r="AS20" s="13">
        <v>0.13</v>
      </c>
      <c r="AT20" s="13">
        <v>0.45</v>
      </c>
      <c r="AU20" s="13">
        <v>2.21</v>
      </c>
      <c r="AV20" s="13">
        <v>0.73</v>
      </c>
      <c r="AW20" s="13">
        <v>0.85</v>
      </c>
      <c r="AX20" s="14">
        <v>0.73</v>
      </c>
    </row>
    <row r="21" spans="42:50" x14ac:dyDescent="0.25">
      <c r="AP21" s="11" t="s">
        <v>218</v>
      </c>
      <c r="AQ21" s="12">
        <v>2.21</v>
      </c>
      <c r="AR21" s="13">
        <v>0.45</v>
      </c>
      <c r="AS21" s="13">
        <v>0.24</v>
      </c>
      <c r="AT21" s="13">
        <v>0.45</v>
      </c>
      <c r="AU21" s="13">
        <v>2.59</v>
      </c>
      <c r="AV21" s="13">
        <v>0.73</v>
      </c>
      <c r="AW21" s="13">
        <v>0.39</v>
      </c>
      <c r="AX21" s="14">
        <v>0.85</v>
      </c>
    </row>
    <row r="22" spans="42:50" x14ac:dyDescent="0.25">
      <c r="AP22" s="11" t="s">
        <v>218</v>
      </c>
      <c r="AQ22" s="12">
        <v>2.21</v>
      </c>
      <c r="AR22" s="13">
        <v>0.45</v>
      </c>
      <c r="AS22" s="13">
        <v>0.13</v>
      </c>
      <c r="AT22" s="13">
        <v>0.53</v>
      </c>
      <c r="AU22" s="13">
        <v>2.59</v>
      </c>
      <c r="AV22" s="13">
        <v>0.73</v>
      </c>
      <c r="AW22" s="13">
        <v>0.85</v>
      </c>
      <c r="AX22" s="14">
        <v>0.73</v>
      </c>
    </row>
    <row r="23" spans="42:50" x14ac:dyDescent="0.25">
      <c r="AP23" s="11" t="s">
        <v>218</v>
      </c>
      <c r="AQ23" s="12">
        <v>2.59</v>
      </c>
      <c r="AR23" s="13">
        <v>0.45</v>
      </c>
      <c r="AS23" s="13">
        <v>0.24</v>
      </c>
      <c r="AT23" s="13">
        <v>0.45</v>
      </c>
      <c r="AU23" s="13">
        <v>2.59</v>
      </c>
      <c r="AV23" s="13">
        <v>1.17</v>
      </c>
      <c r="AW23" s="13">
        <v>0.33</v>
      </c>
      <c r="AX23" s="14">
        <v>0.73</v>
      </c>
    </row>
    <row r="24" spans="42:50" x14ac:dyDescent="0.25">
      <c r="AP24" s="11" t="s">
        <v>219</v>
      </c>
      <c r="AQ24" s="12">
        <v>2.21</v>
      </c>
      <c r="AR24" s="13">
        <v>0.39</v>
      </c>
      <c r="AS24" s="13">
        <v>0.28000000000000003</v>
      </c>
      <c r="AT24" s="13">
        <v>0.45</v>
      </c>
      <c r="AU24" s="13">
        <v>2.59</v>
      </c>
      <c r="AV24" s="13">
        <v>0.73</v>
      </c>
      <c r="AW24" s="13">
        <v>0.85</v>
      </c>
      <c r="AX24" s="14">
        <v>0.85</v>
      </c>
    </row>
    <row r="25" spans="42:50" x14ac:dyDescent="0.25">
      <c r="AP25" s="11" t="s">
        <v>219</v>
      </c>
      <c r="AQ25" s="12">
        <v>2.21</v>
      </c>
      <c r="AR25" s="13">
        <v>0.45</v>
      </c>
      <c r="AS25" s="13">
        <v>0.24</v>
      </c>
      <c r="AT25" s="13">
        <v>4.8899999999999997</v>
      </c>
      <c r="AU25" s="13">
        <v>2.59</v>
      </c>
      <c r="AV25" s="13">
        <v>0.73</v>
      </c>
      <c r="AW25" s="13">
        <v>0.85</v>
      </c>
      <c r="AX25" s="14">
        <v>0.45</v>
      </c>
    </row>
    <row r="26" spans="42:50" x14ac:dyDescent="0.25">
      <c r="AP26" s="11" t="s">
        <v>219</v>
      </c>
      <c r="AQ26" s="12">
        <v>2.21</v>
      </c>
      <c r="AR26" s="13">
        <v>0.45</v>
      </c>
      <c r="AS26" s="13">
        <v>0.24</v>
      </c>
      <c r="AT26" s="13">
        <v>0.45</v>
      </c>
      <c r="AU26" s="13">
        <v>2.59</v>
      </c>
      <c r="AV26" s="13">
        <v>0.73</v>
      </c>
      <c r="AW26" s="13">
        <v>0.85</v>
      </c>
      <c r="AX26" s="14">
        <v>0.73</v>
      </c>
    </row>
    <row r="27" spans="42:50" x14ac:dyDescent="0.25">
      <c r="AP27" s="11" t="s">
        <v>219</v>
      </c>
      <c r="AQ27" s="12">
        <v>0.85</v>
      </c>
      <c r="AR27" s="13">
        <v>0.45</v>
      </c>
      <c r="AS27" s="13">
        <v>0.11</v>
      </c>
      <c r="AT27" s="13">
        <v>1.89</v>
      </c>
      <c r="AU27" s="13">
        <v>0.73</v>
      </c>
      <c r="AV27" s="13">
        <v>1.37</v>
      </c>
      <c r="AW27" s="13">
        <v>0.85</v>
      </c>
      <c r="AX27" s="14">
        <v>0.45</v>
      </c>
    </row>
    <row r="28" spans="42:50" x14ac:dyDescent="0.25">
      <c r="AP28" s="11" t="s">
        <v>219</v>
      </c>
      <c r="AQ28" s="12">
        <v>2.21</v>
      </c>
      <c r="AR28" s="13">
        <v>0.45</v>
      </c>
      <c r="AS28" s="13">
        <v>0.24</v>
      </c>
      <c r="AT28" s="13">
        <v>0.53</v>
      </c>
      <c r="AU28" s="13">
        <v>0.85</v>
      </c>
      <c r="AV28" s="13">
        <v>0.73</v>
      </c>
      <c r="AW28" s="13">
        <v>0.85</v>
      </c>
      <c r="AX28" s="14">
        <v>0.62</v>
      </c>
    </row>
    <row r="29" spans="42:50" x14ac:dyDescent="0.25">
      <c r="AP29" s="11" t="s">
        <v>220</v>
      </c>
      <c r="AQ29" s="12">
        <v>2.21</v>
      </c>
      <c r="AR29" s="13">
        <v>0.45</v>
      </c>
      <c r="AS29" s="13">
        <v>0.24</v>
      </c>
      <c r="AT29" s="13">
        <v>0.45</v>
      </c>
      <c r="AU29" s="13">
        <v>2.59</v>
      </c>
      <c r="AV29" s="13">
        <v>0.73</v>
      </c>
      <c r="AW29" s="13">
        <v>0.85</v>
      </c>
      <c r="AX29" s="14">
        <v>0.73</v>
      </c>
    </row>
    <row r="30" spans="42:50" x14ac:dyDescent="0.25">
      <c r="AP30" s="11" t="s">
        <v>220</v>
      </c>
      <c r="AQ30" s="12">
        <v>1.89</v>
      </c>
      <c r="AR30" s="13">
        <v>0.45</v>
      </c>
      <c r="AS30" s="13">
        <v>0.28000000000000003</v>
      </c>
      <c r="AT30" s="13">
        <v>0.53</v>
      </c>
      <c r="AU30" s="13">
        <v>2.59</v>
      </c>
      <c r="AV30" s="13">
        <v>0.73</v>
      </c>
      <c r="AW30" s="13">
        <v>0.33</v>
      </c>
      <c r="AX30" s="14">
        <v>0.73</v>
      </c>
    </row>
    <row r="31" spans="42:50" x14ac:dyDescent="0.25">
      <c r="AP31" s="11" t="s">
        <v>220</v>
      </c>
      <c r="AQ31" s="12">
        <v>2.59</v>
      </c>
      <c r="AR31" s="13">
        <v>0.45</v>
      </c>
      <c r="AS31" s="13">
        <v>0.13</v>
      </c>
      <c r="AT31" s="13">
        <v>0.53</v>
      </c>
      <c r="AU31" s="13">
        <v>2.59</v>
      </c>
      <c r="AV31" s="13">
        <v>0.73</v>
      </c>
      <c r="AW31" s="13">
        <v>0.85</v>
      </c>
      <c r="AX31" s="14">
        <v>0.73</v>
      </c>
    </row>
    <row r="32" spans="42:50" x14ac:dyDescent="0.25">
      <c r="AP32" s="11" t="s">
        <v>220</v>
      </c>
      <c r="AQ32" s="12">
        <v>2.21</v>
      </c>
      <c r="AR32" s="13">
        <v>0.53</v>
      </c>
      <c r="AS32" s="13">
        <v>0.24</v>
      </c>
      <c r="AT32" s="13">
        <v>0.53</v>
      </c>
      <c r="AU32" s="13">
        <v>2.59</v>
      </c>
      <c r="AV32" s="13">
        <v>0.73</v>
      </c>
      <c r="AW32" s="13">
        <v>0.85</v>
      </c>
      <c r="AX32" s="14">
        <v>0.53</v>
      </c>
    </row>
    <row r="33" spans="42:50" x14ac:dyDescent="0.25">
      <c r="AP33" s="11" t="s">
        <v>220</v>
      </c>
      <c r="AQ33" s="12">
        <v>2.21</v>
      </c>
      <c r="AR33" s="13">
        <v>0.45</v>
      </c>
      <c r="AS33" s="13">
        <v>0.24</v>
      </c>
      <c r="AT33" s="13">
        <v>0.53</v>
      </c>
      <c r="AU33" s="13">
        <v>2.59</v>
      </c>
      <c r="AV33" s="13">
        <v>0.73</v>
      </c>
      <c r="AW33" s="13">
        <v>0.85</v>
      </c>
      <c r="AX33" s="14">
        <v>0.73</v>
      </c>
    </row>
    <row r="34" spans="42:50" x14ac:dyDescent="0.25">
      <c r="AP34" s="11" t="s">
        <v>221</v>
      </c>
      <c r="AQ34" s="12">
        <v>2.21</v>
      </c>
      <c r="AR34" s="13">
        <v>0.45</v>
      </c>
      <c r="AS34" s="13">
        <v>0.24</v>
      </c>
      <c r="AT34" s="13">
        <v>0.53</v>
      </c>
      <c r="AU34" s="13">
        <v>2.59</v>
      </c>
      <c r="AV34" s="13">
        <v>0.73</v>
      </c>
      <c r="AW34" s="13">
        <v>0.85</v>
      </c>
      <c r="AX34" s="14">
        <v>0.73</v>
      </c>
    </row>
    <row r="35" spans="42:50" x14ac:dyDescent="0.25">
      <c r="AP35" s="11" t="s">
        <v>221</v>
      </c>
      <c r="AQ35" s="12">
        <v>2.21</v>
      </c>
      <c r="AR35" s="13">
        <v>0.45</v>
      </c>
      <c r="AS35" s="13">
        <v>0.24</v>
      </c>
      <c r="AT35" s="13">
        <v>0.45</v>
      </c>
      <c r="AU35" s="13">
        <v>2.59</v>
      </c>
      <c r="AV35" s="13">
        <v>1.37</v>
      </c>
      <c r="AW35" s="13">
        <v>0.85</v>
      </c>
      <c r="AX35" s="14">
        <v>0.39</v>
      </c>
    </row>
    <row r="36" spans="42:50" x14ac:dyDescent="0.25">
      <c r="AP36" s="11" t="s">
        <v>221</v>
      </c>
      <c r="AQ36" s="12">
        <v>2.21</v>
      </c>
      <c r="AR36" s="13">
        <v>0.39</v>
      </c>
      <c r="AS36" s="13">
        <v>0.24</v>
      </c>
      <c r="AT36" s="13">
        <v>0.53</v>
      </c>
      <c r="AU36" s="13">
        <v>0.73</v>
      </c>
      <c r="AV36" s="13">
        <v>0.73</v>
      </c>
      <c r="AW36" s="13">
        <v>0.85</v>
      </c>
      <c r="AX36" s="14">
        <v>0.73</v>
      </c>
    </row>
    <row r="37" spans="42:50" x14ac:dyDescent="0.25">
      <c r="AP37" s="11" t="s">
        <v>221</v>
      </c>
      <c r="AQ37" s="12">
        <v>0</v>
      </c>
      <c r="AR37" s="13">
        <v>0.53</v>
      </c>
      <c r="AS37" s="13">
        <v>0.13</v>
      </c>
      <c r="AT37" s="13">
        <v>1.89</v>
      </c>
      <c r="AU37" s="13">
        <v>1.89</v>
      </c>
      <c r="AV37" s="13">
        <v>1.37</v>
      </c>
      <c r="AW37" s="13">
        <v>0.33</v>
      </c>
      <c r="AX37" s="14">
        <v>0.62</v>
      </c>
    </row>
    <row r="38" spans="42:50" x14ac:dyDescent="0.25">
      <c r="AP38" s="11" t="s">
        <v>221</v>
      </c>
      <c r="AQ38" s="12">
        <v>2.21</v>
      </c>
      <c r="AR38" s="13">
        <v>0.45</v>
      </c>
      <c r="AS38" s="13">
        <v>0.24</v>
      </c>
      <c r="AT38" s="13">
        <v>0.45</v>
      </c>
      <c r="AU38" s="13">
        <v>2.59</v>
      </c>
      <c r="AV38" s="13">
        <v>0.73</v>
      </c>
      <c r="AW38" s="13">
        <v>0.85</v>
      </c>
      <c r="AX38" s="14">
        <v>0.73</v>
      </c>
    </row>
    <row r="39" spans="42:50" x14ac:dyDescent="0.25">
      <c r="AP39" s="11" t="s">
        <v>222</v>
      </c>
      <c r="AQ39" s="12">
        <v>0.85</v>
      </c>
      <c r="AR39" s="13">
        <v>0.45</v>
      </c>
      <c r="AS39" s="13">
        <v>0.28000000000000003</v>
      </c>
      <c r="AT39" s="13">
        <v>4.8899999999999997</v>
      </c>
      <c r="AU39" s="13">
        <v>1.89</v>
      </c>
      <c r="AV39" s="13">
        <v>0.73</v>
      </c>
      <c r="AW39" s="13">
        <v>0.85</v>
      </c>
      <c r="AX39" s="14">
        <v>0.73</v>
      </c>
    </row>
    <row r="40" spans="42:50" x14ac:dyDescent="0.25">
      <c r="AP40" s="11" t="s">
        <v>222</v>
      </c>
      <c r="AQ40" s="12">
        <v>2.21</v>
      </c>
      <c r="AR40" s="13">
        <v>0.45</v>
      </c>
      <c r="AS40" s="13">
        <v>0.24</v>
      </c>
      <c r="AT40" s="13">
        <v>0.53</v>
      </c>
      <c r="AU40" s="13">
        <v>1.61</v>
      </c>
      <c r="AV40" s="13">
        <v>0.73</v>
      </c>
      <c r="AW40" s="13">
        <v>0.85</v>
      </c>
      <c r="AX40" s="14">
        <v>0.62</v>
      </c>
    </row>
    <row r="41" spans="42:50" x14ac:dyDescent="0.25">
      <c r="AP41" s="11" t="s">
        <v>222</v>
      </c>
      <c r="AQ41" s="12">
        <v>2.21</v>
      </c>
      <c r="AR41" s="13">
        <v>0.45</v>
      </c>
      <c r="AS41" s="13">
        <v>0.28000000000000003</v>
      </c>
      <c r="AT41" s="13">
        <v>0.45</v>
      </c>
      <c r="AU41" s="13">
        <v>2.59</v>
      </c>
      <c r="AV41" s="13">
        <v>4.8899999999999997</v>
      </c>
      <c r="AW41" s="13">
        <v>0.39</v>
      </c>
      <c r="AX41" s="14">
        <v>0.73</v>
      </c>
    </row>
    <row r="42" spans="42:50" x14ac:dyDescent="0.25">
      <c r="AP42" s="11" t="s">
        <v>222</v>
      </c>
      <c r="AQ42" s="12">
        <v>2.21</v>
      </c>
      <c r="AR42" s="13">
        <v>0.45</v>
      </c>
      <c r="AS42" s="13">
        <v>0.24</v>
      </c>
      <c r="AT42" s="13">
        <v>0.53</v>
      </c>
      <c r="AU42" s="13">
        <v>2.59</v>
      </c>
      <c r="AV42" s="13">
        <v>0.73</v>
      </c>
      <c r="AW42" s="13">
        <v>0.85</v>
      </c>
      <c r="AX42" s="14">
        <v>0.73</v>
      </c>
    </row>
    <row r="43" spans="42:50" x14ac:dyDescent="0.25">
      <c r="AP43" s="11" t="s">
        <v>222</v>
      </c>
      <c r="AQ43" s="12">
        <v>1.89</v>
      </c>
      <c r="AR43" s="13">
        <v>0.45</v>
      </c>
      <c r="AS43" s="13">
        <v>0.24</v>
      </c>
      <c r="AT43" s="13">
        <v>1.89</v>
      </c>
      <c r="AU43" s="13">
        <v>2.59</v>
      </c>
      <c r="AV43" s="13">
        <v>0.73</v>
      </c>
      <c r="AW43" s="13">
        <v>0.85</v>
      </c>
      <c r="AX43" s="14">
        <v>0.73</v>
      </c>
    </row>
    <row r="44" spans="42:50" x14ac:dyDescent="0.25">
      <c r="AP44" s="11" t="s">
        <v>223</v>
      </c>
      <c r="AQ44" s="12">
        <v>0.85</v>
      </c>
      <c r="AR44" s="13">
        <v>0.45</v>
      </c>
      <c r="AS44" s="13">
        <v>0.24</v>
      </c>
      <c r="AT44" s="13">
        <v>0.53</v>
      </c>
      <c r="AU44" s="13">
        <v>2.59</v>
      </c>
      <c r="AV44" s="13">
        <v>0.73</v>
      </c>
      <c r="AW44" s="13">
        <v>0.33</v>
      </c>
      <c r="AX44" s="14">
        <v>0.45</v>
      </c>
    </row>
    <row r="45" spans="42:50" x14ac:dyDescent="0.25">
      <c r="AP45" s="11" t="s">
        <v>223</v>
      </c>
      <c r="AQ45" s="12">
        <v>2.21</v>
      </c>
      <c r="AR45" s="13">
        <v>0.45</v>
      </c>
      <c r="AS45" s="13">
        <v>0.24</v>
      </c>
      <c r="AT45" s="13">
        <v>0.45</v>
      </c>
      <c r="AU45" s="13">
        <v>2.59</v>
      </c>
      <c r="AV45" s="13">
        <v>0.73</v>
      </c>
      <c r="AW45" s="13">
        <v>0.85</v>
      </c>
      <c r="AX45" s="14">
        <v>0.73</v>
      </c>
    </row>
    <row r="46" spans="42:50" x14ac:dyDescent="0.25">
      <c r="AP46" s="11" t="s">
        <v>223</v>
      </c>
      <c r="AQ46" s="12">
        <v>1.89</v>
      </c>
      <c r="AR46" s="13">
        <v>0.45</v>
      </c>
      <c r="AS46" s="13">
        <v>0.24</v>
      </c>
      <c r="AT46" s="13">
        <v>0.53</v>
      </c>
      <c r="AU46" s="13">
        <v>2.59</v>
      </c>
      <c r="AV46" s="13">
        <v>0.85</v>
      </c>
      <c r="AW46" s="13">
        <v>0.85</v>
      </c>
      <c r="AX46" s="14">
        <v>0.53</v>
      </c>
    </row>
    <row r="47" spans="42:50" x14ac:dyDescent="0.25">
      <c r="AP47" s="11" t="s">
        <v>223</v>
      </c>
      <c r="AQ47" s="12">
        <v>0.85</v>
      </c>
      <c r="AR47" s="13">
        <v>0</v>
      </c>
      <c r="AS47" s="13">
        <v>0.13</v>
      </c>
      <c r="AT47" s="13">
        <v>1.89</v>
      </c>
      <c r="AU47" s="13">
        <v>1.89</v>
      </c>
      <c r="AV47" s="13">
        <v>1.17</v>
      </c>
      <c r="AW47" s="13">
        <v>0.39</v>
      </c>
      <c r="AX47" s="14">
        <v>0.45</v>
      </c>
    </row>
    <row r="48" spans="42:50" x14ac:dyDescent="0.25">
      <c r="AP48" s="11" t="s">
        <v>223</v>
      </c>
      <c r="AQ48" s="12">
        <v>1.89</v>
      </c>
      <c r="AR48" s="13">
        <v>0.45</v>
      </c>
      <c r="AS48" s="13">
        <v>0.24</v>
      </c>
      <c r="AT48" s="13">
        <v>1.89</v>
      </c>
      <c r="AU48" s="13">
        <v>2.59</v>
      </c>
      <c r="AV48" s="13">
        <v>0.73</v>
      </c>
      <c r="AW48" s="13">
        <v>0.85</v>
      </c>
      <c r="AX48" s="14">
        <v>0.73</v>
      </c>
    </row>
    <row r="49" spans="42:50" x14ac:dyDescent="0.25">
      <c r="AP49" s="11" t="s">
        <v>224</v>
      </c>
      <c r="AQ49" s="12">
        <v>2.21</v>
      </c>
      <c r="AR49" s="13">
        <v>0.45</v>
      </c>
      <c r="AS49" s="13">
        <v>0.24</v>
      </c>
      <c r="AT49" s="13">
        <v>0.45</v>
      </c>
      <c r="AU49" s="13">
        <v>2.59</v>
      </c>
      <c r="AV49" s="13">
        <v>1.37</v>
      </c>
      <c r="AW49" s="13">
        <v>0.85</v>
      </c>
      <c r="AX49" s="14">
        <v>0.73</v>
      </c>
    </row>
    <row r="50" spans="42:50" x14ac:dyDescent="0.25">
      <c r="AP50" s="11" t="s">
        <v>224</v>
      </c>
      <c r="AQ50" s="12">
        <v>2.21</v>
      </c>
      <c r="AR50" s="13">
        <v>0.45</v>
      </c>
      <c r="AS50" s="13">
        <v>0.24</v>
      </c>
      <c r="AT50" s="13">
        <v>0.53</v>
      </c>
      <c r="AU50" s="13">
        <v>2.59</v>
      </c>
      <c r="AV50" s="13">
        <v>0.85</v>
      </c>
      <c r="AW50" s="13">
        <v>45.2</v>
      </c>
      <c r="AX50" s="14">
        <v>0.62</v>
      </c>
    </row>
    <row r="51" spans="42:50" x14ac:dyDescent="0.25">
      <c r="AP51" s="11" t="s">
        <v>224</v>
      </c>
      <c r="AQ51" s="12">
        <v>2.21</v>
      </c>
      <c r="AR51" s="13">
        <v>0.53</v>
      </c>
      <c r="AS51" s="13">
        <v>0.24</v>
      </c>
      <c r="AT51" s="13">
        <v>0.53</v>
      </c>
      <c r="AU51" s="13">
        <v>2.59</v>
      </c>
      <c r="AV51" s="13">
        <v>0.73</v>
      </c>
      <c r="AW51" s="13">
        <v>0.33</v>
      </c>
      <c r="AX51" s="14">
        <v>0.73</v>
      </c>
    </row>
    <row r="52" spans="42:50" x14ac:dyDescent="0.25">
      <c r="AP52" s="11" t="s">
        <v>224</v>
      </c>
      <c r="AQ52" s="12">
        <v>2.21</v>
      </c>
      <c r="AR52" s="13">
        <v>0.45</v>
      </c>
      <c r="AS52" s="13">
        <v>0.24</v>
      </c>
      <c r="AT52" s="13">
        <v>0.53</v>
      </c>
      <c r="AU52" s="13">
        <v>2.59</v>
      </c>
      <c r="AV52" s="13">
        <v>0.85</v>
      </c>
      <c r="AW52" s="13">
        <v>0.39</v>
      </c>
      <c r="AX52" s="14">
        <v>0.85</v>
      </c>
    </row>
    <row r="53" spans="42:50" x14ac:dyDescent="0.25">
      <c r="AP53" s="11" t="s">
        <v>224</v>
      </c>
      <c r="AQ53" s="12">
        <v>2.21</v>
      </c>
      <c r="AR53" s="13">
        <v>0.45</v>
      </c>
      <c r="AS53" s="13">
        <v>0.24</v>
      </c>
      <c r="AT53" s="13">
        <v>0.45</v>
      </c>
      <c r="AU53" s="13">
        <v>1.89</v>
      </c>
      <c r="AV53" s="13">
        <v>0.73</v>
      </c>
      <c r="AW53" s="13">
        <v>0.85</v>
      </c>
      <c r="AX53" s="14">
        <v>0.73</v>
      </c>
    </row>
    <row r="54" spans="42:50" x14ac:dyDescent="0.25">
      <c r="AP54" s="11" t="s">
        <v>225</v>
      </c>
      <c r="AQ54" s="12">
        <v>2.21</v>
      </c>
      <c r="AR54" s="13">
        <v>0.45</v>
      </c>
      <c r="AS54" s="13">
        <v>0.28000000000000003</v>
      </c>
      <c r="AT54" s="13">
        <v>1.61</v>
      </c>
      <c r="AU54" s="13">
        <v>2.59</v>
      </c>
      <c r="AV54" s="13">
        <v>1.37</v>
      </c>
      <c r="AW54" s="13">
        <v>0.85</v>
      </c>
      <c r="AX54" s="14">
        <v>0.62</v>
      </c>
    </row>
    <row r="55" spans="42:50" x14ac:dyDescent="0.25">
      <c r="AP55" s="11" t="s">
        <v>225</v>
      </c>
      <c r="AQ55" s="12">
        <v>1.89</v>
      </c>
      <c r="AR55" s="13">
        <v>0.45</v>
      </c>
      <c r="AS55" s="13">
        <v>0.24</v>
      </c>
      <c r="AT55" s="13">
        <v>0.45</v>
      </c>
      <c r="AU55" s="13">
        <v>2.59</v>
      </c>
      <c r="AV55" s="13">
        <v>0.73</v>
      </c>
      <c r="AW55" s="13">
        <v>0.85</v>
      </c>
      <c r="AX55" s="14">
        <v>0.73</v>
      </c>
    </row>
    <row r="56" spans="42:50" x14ac:dyDescent="0.25">
      <c r="AP56" s="11" t="s">
        <v>225</v>
      </c>
      <c r="AQ56" s="12">
        <v>2.21</v>
      </c>
      <c r="AR56" s="13">
        <v>0.45</v>
      </c>
      <c r="AS56" s="13">
        <v>0.24</v>
      </c>
      <c r="AT56" s="13">
        <v>0.45</v>
      </c>
      <c r="AU56" s="13">
        <v>2.21</v>
      </c>
      <c r="AV56" s="13">
        <v>0.85</v>
      </c>
      <c r="AW56" s="13">
        <v>0.85</v>
      </c>
      <c r="AX56" s="14">
        <v>0.73</v>
      </c>
    </row>
    <row r="57" spans="42:50" x14ac:dyDescent="0.25">
      <c r="AP57" s="11" t="s">
        <v>225</v>
      </c>
      <c r="AQ57" s="12">
        <v>0.85</v>
      </c>
      <c r="AR57" s="13">
        <v>0.53</v>
      </c>
      <c r="AS57" s="13">
        <v>0.13</v>
      </c>
      <c r="AT57" s="13">
        <v>1.89</v>
      </c>
      <c r="AU57" s="13">
        <v>1.89</v>
      </c>
      <c r="AV57" s="13">
        <v>0</v>
      </c>
      <c r="AW57" s="13">
        <v>0.33</v>
      </c>
      <c r="AX57" s="14">
        <v>0.53</v>
      </c>
    </row>
    <row r="58" spans="42:50" x14ac:dyDescent="0.25">
      <c r="AP58" s="11" t="s">
        <v>225</v>
      </c>
      <c r="AQ58" s="12">
        <v>2.21</v>
      </c>
      <c r="AR58" s="13">
        <v>0.45</v>
      </c>
      <c r="AS58" s="13">
        <v>0.24</v>
      </c>
      <c r="AT58" s="13">
        <v>0.45</v>
      </c>
      <c r="AU58" s="13">
        <v>2.59</v>
      </c>
      <c r="AV58" s="13">
        <v>0.73</v>
      </c>
      <c r="AW58" s="13">
        <v>0.85</v>
      </c>
      <c r="AX58" s="14">
        <v>0.53</v>
      </c>
    </row>
    <row r="59" spans="42:50" x14ac:dyDescent="0.25">
      <c r="AP59" s="11" t="s">
        <v>226</v>
      </c>
      <c r="AQ59" s="12">
        <v>2.21</v>
      </c>
      <c r="AR59" s="13">
        <v>0.45</v>
      </c>
      <c r="AS59" s="13">
        <v>0.13</v>
      </c>
      <c r="AT59" s="13">
        <v>0.45</v>
      </c>
      <c r="AU59" s="13">
        <v>2.21</v>
      </c>
      <c r="AV59" s="13">
        <v>0.73</v>
      </c>
      <c r="AW59" s="13">
        <v>0.85</v>
      </c>
      <c r="AX59" s="14">
        <v>0.62</v>
      </c>
    </row>
    <row r="60" spans="42:50" x14ac:dyDescent="0.25">
      <c r="AP60" s="11" t="s">
        <v>226</v>
      </c>
      <c r="AQ60" s="12">
        <v>0.85</v>
      </c>
      <c r="AR60" s="13">
        <v>0.45</v>
      </c>
      <c r="AS60" s="13">
        <v>0.24</v>
      </c>
      <c r="AT60" s="13">
        <v>0.45</v>
      </c>
      <c r="AU60" s="13">
        <v>2.59</v>
      </c>
      <c r="AV60" s="13">
        <v>0.73</v>
      </c>
      <c r="AW60" s="13">
        <v>0.85</v>
      </c>
      <c r="AX60" s="14">
        <v>0.73</v>
      </c>
    </row>
    <row r="61" spans="42:50" x14ac:dyDescent="0.25">
      <c r="AP61" s="11" t="s">
        <v>226</v>
      </c>
      <c r="AQ61" s="12">
        <v>2.21</v>
      </c>
      <c r="AR61" s="13">
        <v>0.39</v>
      </c>
      <c r="AS61" s="13">
        <v>0.24</v>
      </c>
      <c r="AT61" s="13">
        <v>0.45</v>
      </c>
      <c r="AU61" s="13">
        <v>2.59</v>
      </c>
      <c r="AV61" s="13">
        <v>0.73</v>
      </c>
      <c r="AW61" s="13">
        <v>0.85</v>
      </c>
      <c r="AX61" s="14">
        <v>0.53</v>
      </c>
    </row>
    <row r="62" spans="42:50" x14ac:dyDescent="0.25">
      <c r="AP62" s="11" t="s">
        <v>226</v>
      </c>
      <c r="AQ62" s="12">
        <v>0.85</v>
      </c>
      <c r="AR62" s="13">
        <v>0.53</v>
      </c>
      <c r="AS62" s="13">
        <v>0.13</v>
      </c>
      <c r="AT62" s="13">
        <v>1.89</v>
      </c>
      <c r="AU62" s="13">
        <v>1.89</v>
      </c>
      <c r="AV62" s="13">
        <v>0</v>
      </c>
      <c r="AW62" s="13">
        <v>0.33</v>
      </c>
      <c r="AX62" s="14">
        <v>0.53</v>
      </c>
    </row>
    <row r="63" spans="42:50" ht="15.75" thickBot="1" x14ac:dyDescent="0.3">
      <c r="AP63" s="11" t="s">
        <v>226</v>
      </c>
      <c r="AQ63" s="12">
        <v>1.89</v>
      </c>
      <c r="AR63" s="13">
        <v>0.45</v>
      </c>
      <c r="AS63" s="13">
        <v>0.24</v>
      </c>
      <c r="AT63" s="13">
        <v>1.89</v>
      </c>
      <c r="AU63" s="13">
        <v>1.89</v>
      </c>
      <c r="AV63" s="13">
        <v>1.37</v>
      </c>
      <c r="AW63" s="13">
        <v>0.85</v>
      </c>
      <c r="AX63" s="14">
        <v>0.73</v>
      </c>
    </row>
    <row r="64" spans="42:50" x14ac:dyDescent="0.25">
      <c r="AP64" s="7" t="s">
        <v>227</v>
      </c>
      <c r="AQ64" s="8">
        <v>1.9503508771929801</v>
      </c>
      <c r="AR64" s="9">
        <v>0.45724137931034398</v>
      </c>
      <c r="AS64" s="9">
        <v>0.23250000000000001</v>
      </c>
      <c r="AT64" s="9">
        <v>1.0740000000000001</v>
      </c>
      <c r="AU64" s="9">
        <v>2.3133333333333299</v>
      </c>
      <c r="AV64" s="9">
        <v>0.97982758620689503</v>
      </c>
      <c r="AW64" s="9">
        <v>2.11406779661016</v>
      </c>
      <c r="AX64" s="10">
        <v>0.64033333333333298</v>
      </c>
    </row>
    <row r="65" spans="42:50" x14ac:dyDescent="0.25">
      <c r="AP65" s="11" t="s">
        <v>228</v>
      </c>
      <c r="AQ65" s="12">
        <v>0.50362184683003297</v>
      </c>
      <c r="AR65" s="13">
        <v>3.5369629649542197E-2</v>
      </c>
      <c r="AS65" s="13">
        <v>9.3979164357496398E-2</v>
      </c>
      <c r="AT65" s="13">
        <v>1.1627140663120901</v>
      </c>
      <c r="AU65" s="13">
        <v>0.47200517887930898</v>
      </c>
      <c r="AV65" s="13">
        <v>0.77135011814107002</v>
      </c>
      <c r="AW65" s="13">
        <v>7.4778819893236497</v>
      </c>
      <c r="AX65" s="14">
        <v>0.12102295466379701</v>
      </c>
    </row>
    <row r="66" spans="42:50" x14ac:dyDescent="0.25">
      <c r="AP66" s="11" t="s">
        <v>229</v>
      </c>
      <c r="AQ66" s="12">
        <v>2.4539727240230098</v>
      </c>
      <c r="AR66" s="13">
        <v>0.49261100895988602</v>
      </c>
      <c r="AS66" s="13">
        <v>0.32647916435749602</v>
      </c>
      <c r="AT66" s="13">
        <v>2.2367140663120901</v>
      </c>
      <c r="AU66" s="13">
        <v>2.7853385122126402</v>
      </c>
      <c r="AV66" s="13">
        <v>1.7511777043479599</v>
      </c>
      <c r="AW66" s="13">
        <v>9.5919497859338207</v>
      </c>
      <c r="AX66" s="14">
        <v>0.76135628799712995</v>
      </c>
    </row>
    <row r="67" spans="42:50" x14ac:dyDescent="0.25">
      <c r="AP67" s="11" t="s">
        <v>230</v>
      </c>
      <c r="AQ67" s="12">
        <v>1.4467290303629401</v>
      </c>
      <c r="AR67" s="13">
        <v>0.42187174966080199</v>
      </c>
      <c r="AS67" s="13">
        <v>0.138520835642503</v>
      </c>
      <c r="AT67" s="13">
        <v>-8.8714066312090403E-2</v>
      </c>
      <c r="AU67" s="13">
        <v>1.8413281544540201</v>
      </c>
      <c r="AV67" s="13">
        <v>0.20847746806582501</v>
      </c>
      <c r="AW67" s="13">
        <v>-5.3638141927134804</v>
      </c>
      <c r="AX67" s="14">
        <v>0.519310378669535</v>
      </c>
    </row>
    <row r="68" spans="42:50" ht="15.75" thickBot="1" x14ac:dyDescent="0.3">
      <c r="AP68" s="15" t="s">
        <v>231</v>
      </c>
      <c r="AQ68" s="16">
        <v>2.1404347826086898</v>
      </c>
      <c r="AR68" s="17">
        <v>0.44999999999999901</v>
      </c>
      <c r="AS68" s="17">
        <v>0.24595744680851001</v>
      </c>
      <c r="AT68" s="17">
        <v>0.80142857142857105</v>
      </c>
      <c r="AU68" s="17">
        <v>2.43814814814814</v>
      </c>
      <c r="AV68" s="17">
        <v>0.840178571428571</v>
      </c>
      <c r="AW68" s="17">
        <v>0.71859649122807001</v>
      </c>
      <c r="AX68" s="18">
        <v>0.66872340425531895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232</v>
      </c>
      <c r="AQ70" s="29">
        <v>1.95</v>
      </c>
      <c r="AR70" s="29">
        <v>3.4</v>
      </c>
      <c r="AS70" s="29">
        <v>4.83</v>
      </c>
      <c r="AT70" s="29">
        <v>5.42</v>
      </c>
      <c r="AU70" s="29">
        <v>3.92</v>
      </c>
      <c r="AV70" s="29">
        <v>4.3499999999999996</v>
      </c>
      <c r="AW70" s="29">
        <v>1.86</v>
      </c>
      <c r="AX70" s="30">
        <v>2.73</v>
      </c>
    </row>
    <row r="71" spans="42:50" x14ac:dyDescent="0.25">
      <c r="AP71" s="31" t="s">
        <v>233</v>
      </c>
      <c r="AQ71" s="32">
        <f t="shared" ref="AQ71:AX71" si="0">AQ70-AQ68</f>
        <v>-0.19043478260868985</v>
      </c>
      <c r="AR71" s="32">
        <f t="shared" si="0"/>
        <v>2.9500000000000011</v>
      </c>
      <c r="AS71" s="32">
        <f t="shared" si="0"/>
        <v>4.5840425531914901</v>
      </c>
      <c r="AT71" s="32">
        <f t="shared" si="0"/>
        <v>4.6185714285714292</v>
      </c>
      <c r="AU71" s="32">
        <f t="shared" si="0"/>
        <v>1.48185185185186</v>
      </c>
      <c r="AV71" s="32">
        <f t="shared" si="0"/>
        <v>3.5098214285714286</v>
      </c>
      <c r="AW71" s="32">
        <f t="shared" si="0"/>
        <v>1.1414035087719301</v>
      </c>
      <c r="AX71" s="33">
        <f t="shared" si="0"/>
        <v>2.061276595744681</v>
      </c>
    </row>
    <row r="72" spans="42:50" ht="15.75" thickBot="1" x14ac:dyDescent="0.3">
      <c r="AP72" s="34" t="s">
        <v>234</v>
      </c>
      <c r="AQ72" s="35">
        <f t="shared" ref="AQ72:AX72" si="1">(AQ71/AQ68)*100</f>
        <v>-8.8970140158437498</v>
      </c>
      <c r="AR72" s="35">
        <f t="shared" si="1"/>
        <v>655.55555555555725</v>
      </c>
      <c r="AS72" s="35">
        <f t="shared" si="1"/>
        <v>1863.7543252595208</v>
      </c>
      <c r="AT72" s="35">
        <f t="shared" si="1"/>
        <v>576.29233511586483</v>
      </c>
      <c r="AU72" s="35">
        <f t="shared" si="1"/>
        <v>60.777760899286584</v>
      </c>
      <c r="AV72" s="35">
        <f t="shared" si="1"/>
        <v>417.7470775770459</v>
      </c>
      <c r="AW72" s="35">
        <f t="shared" si="1"/>
        <v>158.83789062500006</v>
      </c>
      <c r="AX72" s="36">
        <f t="shared" si="1"/>
        <v>308.24053452115822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235</v>
      </c>
      <c r="AQ74" s="29">
        <v>1.94</v>
      </c>
      <c r="AR74" s="29">
        <v>3.45</v>
      </c>
      <c r="AS74" s="29">
        <v>4.8499999999999996</v>
      </c>
      <c r="AT74" s="29">
        <v>5.37</v>
      </c>
      <c r="AU74" s="29">
        <v>3.93</v>
      </c>
      <c r="AV74" s="29">
        <v>4.3499999999999996</v>
      </c>
      <c r="AW74" s="29">
        <v>1.76</v>
      </c>
      <c r="AX74" s="30">
        <v>2.64</v>
      </c>
    </row>
    <row r="75" spans="42:50" x14ac:dyDescent="0.25">
      <c r="AP75" s="31" t="s">
        <v>233</v>
      </c>
      <c r="AQ75" s="32">
        <f t="shared" ref="AQ75:AX75" si="2">AQ74-AQ68</f>
        <v>-0.20043478260868985</v>
      </c>
      <c r="AR75" s="32">
        <f t="shared" si="2"/>
        <v>3.0000000000000013</v>
      </c>
      <c r="AS75" s="32">
        <f t="shared" si="2"/>
        <v>4.6040425531914897</v>
      </c>
      <c r="AT75" s="32">
        <f t="shared" si="2"/>
        <v>4.5685714285714294</v>
      </c>
      <c r="AU75" s="32">
        <f t="shared" si="2"/>
        <v>1.4918518518518602</v>
      </c>
      <c r="AV75" s="32">
        <f t="shared" si="2"/>
        <v>3.5098214285714286</v>
      </c>
      <c r="AW75" s="32">
        <f t="shared" si="2"/>
        <v>1.04140350877193</v>
      </c>
      <c r="AX75" s="33">
        <f t="shared" si="2"/>
        <v>1.9712765957446812</v>
      </c>
    </row>
    <row r="76" spans="42:50" ht="15.75" thickBot="1" x14ac:dyDescent="0.3">
      <c r="AP76" s="34" t="s">
        <v>234</v>
      </c>
      <c r="AQ76" s="35">
        <f t="shared" ref="AQ76:AX76" si="3">(AQ75/AQ68)*100</f>
        <v>-9.3642088157625007</v>
      </c>
      <c r="AR76" s="35">
        <f t="shared" si="3"/>
        <v>666.66666666666833</v>
      </c>
      <c r="AS76" s="35">
        <f t="shared" si="3"/>
        <v>1871.8858131487939</v>
      </c>
      <c r="AT76" s="35">
        <f t="shared" si="3"/>
        <v>570.05347593582928</v>
      </c>
      <c r="AU76" s="35">
        <f t="shared" si="3"/>
        <v>61.187908248519463</v>
      </c>
      <c r="AV76" s="35">
        <f t="shared" si="3"/>
        <v>417.7470775770459</v>
      </c>
      <c r="AW76" s="35">
        <f t="shared" si="3"/>
        <v>144.92187500000006</v>
      </c>
      <c r="AX76" s="36">
        <f t="shared" si="3"/>
        <v>294.78205536112011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236</v>
      </c>
      <c r="AQ78" s="41">
        <v>1.87</v>
      </c>
      <c r="AR78" s="29">
        <v>3.49</v>
      </c>
      <c r="AS78" s="29">
        <v>4.88</v>
      </c>
      <c r="AT78" s="29">
        <v>5.41</v>
      </c>
      <c r="AU78" s="29">
        <v>3.97</v>
      </c>
      <c r="AV78" s="29">
        <v>4.4000000000000004</v>
      </c>
      <c r="AW78" s="29">
        <v>1.76</v>
      </c>
      <c r="AX78" s="30">
        <v>2.66</v>
      </c>
    </row>
    <row r="79" spans="42:50" x14ac:dyDescent="0.25">
      <c r="AP79" s="31" t="s">
        <v>233</v>
      </c>
      <c r="AQ79" s="42">
        <f>AQ78-AQ68</f>
        <v>-0.27043478260868969</v>
      </c>
      <c r="AR79" s="32">
        <f t="shared" ref="AR79:AX79" si="4">AR78-AR68</f>
        <v>3.0400000000000014</v>
      </c>
      <c r="AS79" s="32">
        <f t="shared" si="4"/>
        <v>4.6340425531914899</v>
      </c>
      <c r="AT79" s="32">
        <f t="shared" si="4"/>
        <v>4.6085714285714294</v>
      </c>
      <c r="AU79" s="32">
        <f t="shared" si="4"/>
        <v>1.5318518518518602</v>
      </c>
      <c r="AV79" s="32">
        <f t="shared" si="4"/>
        <v>3.5598214285714294</v>
      </c>
      <c r="AW79" s="32">
        <f t="shared" si="4"/>
        <v>1.04140350877193</v>
      </c>
      <c r="AX79" s="33">
        <f t="shared" si="4"/>
        <v>1.9912765957446812</v>
      </c>
    </row>
    <row r="80" spans="42:50" ht="15.75" thickBot="1" x14ac:dyDescent="0.3">
      <c r="AP80" s="34" t="s">
        <v>234</v>
      </c>
      <c r="AQ80" s="43">
        <f>(AQ79/AQ68)*100</f>
        <v>-12.634572415193743</v>
      </c>
      <c r="AR80" s="35">
        <f t="shared" ref="AR80:AX80" si="5">(AR79/AR68)*100</f>
        <v>675.55555555555736</v>
      </c>
      <c r="AS80" s="35">
        <f t="shared" si="5"/>
        <v>1884.0830449827042</v>
      </c>
      <c r="AT80" s="35">
        <f t="shared" si="5"/>
        <v>575.04456327985781</v>
      </c>
      <c r="AU80" s="35">
        <f t="shared" si="5"/>
        <v>62.828497645450952</v>
      </c>
      <c r="AV80" s="35">
        <f t="shared" si="5"/>
        <v>423.69819341126498</v>
      </c>
      <c r="AW80" s="35">
        <f t="shared" si="5"/>
        <v>144.92187500000006</v>
      </c>
      <c r="AX80" s="36">
        <f t="shared" si="5"/>
        <v>297.77282850779523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2024-08-11T16:52:49Z</dcterms:modified>
  <cp:category/>
  <cp:contentStatus/>
</cp:coreProperties>
</file>