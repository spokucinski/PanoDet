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07252b09e3988ab8/Doktorat/Radiówka/MCIL/Test Case 1/"/>
    </mc:Choice>
  </mc:AlternateContent>
  <xr:revisionPtr revIDLastSave="116" documentId="11_9D5355BF84DCCE53631DEA188F31F45B3A7E0439" xr6:coauthVersionLast="47" xr6:coauthVersionMax="47" xr10:uidLastSave="{99CE1DD8-8780-44D6-812A-865B52EFAB81}"/>
  <bookViews>
    <workbookView xWindow="25695" yWindow="0" windowWidth="26010" windowHeight="20985" activeTab="5" xr2:uid="{00000000-000D-0000-FFFF-FFFF00000000}"/>
  </bookViews>
  <sheets>
    <sheet name="vol 1, MQTT" sheetId="2" r:id="rId1"/>
    <sheet name="vol 1, Matter" sheetId="3" r:id="rId2"/>
    <sheet name="vol 2, MQTT" sheetId="4" r:id="rId3"/>
    <sheet name="vol 2, Matter" sheetId="5" r:id="rId4"/>
    <sheet name="vol 3, MQTT" sheetId="6" r:id="rId5"/>
    <sheet name="vol 3, Matter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79" i="7" l="1"/>
  <c r="AX80" i="7" s="1"/>
  <c r="AW79" i="7"/>
  <c r="AW80" i="7" s="1"/>
  <c r="AV79" i="7"/>
  <c r="AV80" i="7" s="1"/>
  <c r="AU79" i="7"/>
  <c r="AU80" i="7" s="1"/>
  <c r="AT79" i="7"/>
  <c r="AT80" i="7" s="1"/>
  <c r="AS79" i="7"/>
  <c r="AS80" i="7" s="1"/>
  <c r="AR79" i="7"/>
  <c r="AR80" i="7" s="1"/>
  <c r="AQ79" i="7"/>
  <c r="AQ80" i="7" s="1"/>
  <c r="AX78" i="6"/>
  <c r="AX79" i="6" s="1"/>
  <c r="AW78" i="6"/>
  <c r="AW79" i="6" s="1"/>
  <c r="AV78" i="6"/>
  <c r="AV79" i="6" s="1"/>
  <c r="AU78" i="6"/>
  <c r="AU79" i="6" s="1"/>
  <c r="AT78" i="6"/>
  <c r="AT79" i="6" s="1"/>
  <c r="AS78" i="6"/>
  <c r="AS79" i="6" s="1"/>
  <c r="AR78" i="6"/>
  <c r="AR79" i="6" s="1"/>
  <c r="AQ78" i="6"/>
  <c r="AQ79" i="6" s="1"/>
  <c r="AX79" i="5"/>
  <c r="AX80" i="5" s="1"/>
  <c r="AW79" i="5"/>
  <c r="AW80" i="5" s="1"/>
  <c r="AV79" i="5"/>
  <c r="AV80" i="5" s="1"/>
  <c r="AU79" i="5"/>
  <c r="AU80" i="5" s="1"/>
  <c r="AT79" i="5"/>
  <c r="AT80" i="5" s="1"/>
  <c r="AS79" i="5"/>
  <c r="AS80" i="5" s="1"/>
  <c r="AR79" i="5"/>
  <c r="AR80" i="5" s="1"/>
  <c r="AQ79" i="5"/>
  <c r="AQ80" i="5" s="1"/>
  <c r="AX78" i="4"/>
  <c r="AX79" i="4" s="1"/>
  <c r="AW78" i="4"/>
  <c r="AW79" i="4" s="1"/>
  <c r="AV78" i="4"/>
  <c r="AV79" i="4" s="1"/>
  <c r="AU78" i="4"/>
  <c r="AU79" i="4" s="1"/>
  <c r="AT78" i="4"/>
  <c r="AT79" i="4" s="1"/>
  <c r="AS78" i="4"/>
  <c r="AS79" i="4" s="1"/>
  <c r="AR78" i="4"/>
  <c r="AR79" i="4" s="1"/>
  <c r="AQ78" i="4"/>
  <c r="AQ79" i="4" s="1"/>
  <c r="AX79" i="3"/>
  <c r="AX80" i="3" s="1"/>
  <c r="AW79" i="3"/>
  <c r="AW80" i="3" s="1"/>
  <c r="AV79" i="3"/>
  <c r="AV80" i="3" s="1"/>
  <c r="AU79" i="3"/>
  <c r="AU80" i="3" s="1"/>
  <c r="AT79" i="3"/>
  <c r="AT80" i="3" s="1"/>
  <c r="AS79" i="3"/>
  <c r="AS80" i="3" s="1"/>
  <c r="AR79" i="3"/>
  <c r="AR80" i="3" s="1"/>
  <c r="AQ79" i="3"/>
  <c r="AQ80" i="3" s="1"/>
  <c r="AX78" i="2"/>
  <c r="AX79" i="2" s="1"/>
  <c r="AW78" i="2"/>
  <c r="AW79" i="2" s="1"/>
  <c r="AV78" i="2"/>
  <c r="AV79" i="2" s="1"/>
  <c r="AU78" i="2"/>
  <c r="AU79" i="2" s="1"/>
  <c r="AT78" i="2"/>
  <c r="AT79" i="2" s="1"/>
  <c r="AS78" i="2"/>
  <c r="AS79" i="2" s="1"/>
  <c r="AR78" i="2"/>
  <c r="AR79" i="2" s="1"/>
  <c r="AQ78" i="2"/>
  <c r="AQ79" i="2" s="1"/>
  <c r="AX75" i="7"/>
  <c r="AX76" i="7" s="1"/>
  <c r="AW75" i="7"/>
  <c r="AW76" i="7" s="1"/>
  <c r="AV75" i="7"/>
  <c r="AV76" i="7" s="1"/>
  <c r="AU75" i="7"/>
  <c r="AU76" i="7" s="1"/>
  <c r="AT75" i="7"/>
  <c r="AT76" i="7" s="1"/>
  <c r="AS75" i="7"/>
  <c r="AS76" i="7" s="1"/>
  <c r="AR75" i="7"/>
  <c r="AR76" i="7" s="1"/>
  <c r="AQ75" i="7"/>
  <c r="AQ76" i="7" s="1"/>
  <c r="AX72" i="7"/>
  <c r="AW72" i="7"/>
  <c r="AV72" i="7"/>
  <c r="AU72" i="7"/>
  <c r="AT72" i="7"/>
  <c r="AS72" i="7"/>
  <c r="AR72" i="7"/>
  <c r="AQ72" i="7"/>
  <c r="AX71" i="7"/>
  <c r="AW71" i="7"/>
  <c r="AV71" i="7"/>
  <c r="AU71" i="7"/>
  <c r="AT71" i="7"/>
  <c r="AS71" i="7"/>
  <c r="AR71" i="7"/>
  <c r="AQ71" i="7"/>
  <c r="AX74" i="6"/>
  <c r="AX75" i="6" s="1"/>
  <c r="AW74" i="6"/>
  <c r="AW75" i="6" s="1"/>
  <c r="AV74" i="6"/>
  <c r="AV75" i="6" s="1"/>
  <c r="AU74" i="6"/>
  <c r="AU75" i="6" s="1"/>
  <c r="AT74" i="6"/>
  <c r="AT75" i="6" s="1"/>
  <c r="AS74" i="6"/>
  <c r="AS75" i="6" s="1"/>
  <c r="AR74" i="6"/>
  <c r="AR75" i="6" s="1"/>
  <c r="AQ74" i="6"/>
  <c r="AQ75" i="6" s="1"/>
  <c r="AX71" i="6"/>
  <c r="AW71" i="6"/>
  <c r="AV71" i="6"/>
  <c r="AU71" i="6"/>
  <c r="AT71" i="6"/>
  <c r="AS71" i="6"/>
  <c r="AR71" i="6"/>
  <c r="AQ71" i="6"/>
  <c r="AX70" i="6"/>
  <c r="AW70" i="6"/>
  <c r="AV70" i="6"/>
  <c r="AU70" i="6"/>
  <c r="AT70" i="6"/>
  <c r="AS70" i="6"/>
  <c r="AR70" i="6"/>
  <c r="AQ70" i="6"/>
  <c r="AX75" i="5"/>
  <c r="AX76" i="5" s="1"/>
  <c r="AW75" i="5"/>
  <c r="AW76" i="5" s="1"/>
  <c r="AV75" i="5"/>
  <c r="AV76" i="5" s="1"/>
  <c r="AU75" i="5"/>
  <c r="AU76" i="5" s="1"/>
  <c r="AT75" i="5"/>
  <c r="AT76" i="5" s="1"/>
  <c r="AS75" i="5"/>
  <c r="AS76" i="5" s="1"/>
  <c r="AR75" i="5"/>
  <c r="AR76" i="5" s="1"/>
  <c r="AQ75" i="5"/>
  <c r="AQ76" i="5" s="1"/>
  <c r="AX72" i="5"/>
  <c r="AW72" i="5"/>
  <c r="AV72" i="5"/>
  <c r="AU72" i="5"/>
  <c r="AT72" i="5"/>
  <c r="AS72" i="5"/>
  <c r="AR72" i="5"/>
  <c r="AQ72" i="5"/>
  <c r="AX71" i="5"/>
  <c r="AW71" i="5"/>
  <c r="AV71" i="5"/>
  <c r="AU71" i="5"/>
  <c r="AT71" i="5"/>
  <c r="AS71" i="5"/>
  <c r="AR71" i="5"/>
  <c r="AQ71" i="5"/>
  <c r="AX74" i="4"/>
  <c r="AX75" i="4" s="1"/>
  <c r="AW74" i="4"/>
  <c r="AW75" i="4" s="1"/>
  <c r="AV74" i="4"/>
  <c r="AV75" i="4" s="1"/>
  <c r="AU74" i="4"/>
  <c r="AU75" i="4" s="1"/>
  <c r="AT74" i="4"/>
  <c r="AT75" i="4" s="1"/>
  <c r="AS74" i="4"/>
  <c r="AS75" i="4" s="1"/>
  <c r="AR74" i="4"/>
  <c r="AR75" i="4" s="1"/>
  <c r="AQ74" i="4"/>
  <c r="AQ75" i="4" s="1"/>
  <c r="AX71" i="4"/>
  <c r="AW71" i="4"/>
  <c r="AV71" i="4"/>
  <c r="AU71" i="4"/>
  <c r="AT71" i="4"/>
  <c r="AS71" i="4"/>
  <c r="AR71" i="4"/>
  <c r="AQ71" i="4"/>
  <c r="AX70" i="4"/>
  <c r="AW70" i="4"/>
  <c r="AV70" i="4"/>
  <c r="AU70" i="4"/>
  <c r="AT70" i="4"/>
  <c r="AS70" i="4"/>
  <c r="AR70" i="4"/>
  <c r="AQ70" i="4"/>
  <c r="AX75" i="3"/>
  <c r="AX76" i="3" s="1"/>
  <c r="AW75" i="3"/>
  <c r="AW76" i="3" s="1"/>
  <c r="AV75" i="3"/>
  <c r="AV76" i="3" s="1"/>
  <c r="AU75" i="3"/>
  <c r="AU76" i="3" s="1"/>
  <c r="AT75" i="3"/>
  <c r="AT76" i="3" s="1"/>
  <c r="AS75" i="3"/>
  <c r="AS76" i="3" s="1"/>
  <c r="AR75" i="3"/>
  <c r="AR76" i="3" s="1"/>
  <c r="AQ75" i="3"/>
  <c r="AQ76" i="3" s="1"/>
  <c r="AX72" i="3"/>
  <c r="AW72" i="3"/>
  <c r="AV72" i="3"/>
  <c r="AU72" i="3"/>
  <c r="AT72" i="3"/>
  <c r="AS72" i="3"/>
  <c r="AR72" i="3"/>
  <c r="AQ72" i="3"/>
  <c r="AX71" i="3"/>
  <c r="AW71" i="3"/>
  <c r="AV71" i="3"/>
  <c r="AU71" i="3"/>
  <c r="AT71" i="3"/>
  <c r="AS71" i="3"/>
  <c r="AR71" i="3"/>
  <c r="AQ71" i="3"/>
  <c r="AX74" i="2"/>
  <c r="AX75" i="2" s="1"/>
  <c r="AW74" i="2"/>
  <c r="AW75" i="2" s="1"/>
  <c r="AV74" i="2"/>
  <c r="AV75" i="2" s="1"/>
  <c r="AU74" i="2"/>
  <c r="AU75" i="2" s="1"/>
  <c r="AT74" i="2"/>
  <c r="AT75" i="2" s="1"/>
  <c r="AS74" i="2"/>
  <c r="AS75" i="2" s="1"/>
  <c r="AR74" i="2"/>
  <c r="AR75" i="2" s="1"/>
  <c r="AQ74" i="2"/>
  <c r="AQ75" i="2" s="1"/>
  <c r="AX71" i="2"/>
  <c r="AW71" i="2"/>
  <c r="AV71" i="2"/>
  <c r="AU71" i="2"/>
  <c r="AT71" i="2"/>
  <c r="AS71" i="2"/>
  <c r="AR71" i="2"/>
  <c r="AQ71" i="2"/>
  <c r="AX70" i="2"/>
  <c r="AW70" i="2"/>
  <c r="AV70" i="2"/>
  <c r="AU70" i="2"/>
  <c r="AT70" i="2"/>
  <c r="AS70" i="2"/>
  <c r="AR70" i="2"/>
  <c r="AQ70" i="2"/>
</calcChain>
</file>

<file path=xl/sharedStrings.xml><?xml version="1.0" encoding="utf-8"?>
<sst xmlns="http://schemas.openxmlformats.org/spreadsheetml/2006/main" count="921" uniqueCount="240">
  <si>
    <t>Tracker 1 - UWB_Tracker_1</t>
  </si>
  <si>
    <t>Tracker 1 - UWB_Tracker_2</t>
  </si>
  <si>
    <t>Tracker 1 - UWB_Tracker_3</t>
  </si>
  <si>
    <t>Tracker 1 - UWB_Tracker_4</t>
  </si>
  <si>
    <t>Tracker 5 - BLE_Tracker_1</t>
  </si>
  <si>
    <t>Tracker 6 - BLE_Tracker_2</t>
  </si>
  <si>
    <t>Tracker 7 - BLE_Tracker_3</t>
  </si>
  <si>
    <t>Tracker 8 - BLE_Tracker_4</t>
  </si>
  <si>
    <t>Timestamp</t>
  </si>
  <si>
    <t>A1</t>
  </si>
  <si>
    <t>A2</t>
  </si>
  <si>
    <t>A3</t>
  </si>
  <si>
    <t>A4</t>
  </si>
  <si>
    <t>A5</t>
  </si>
  <si>
    <t>A6</t>
  </si>
  <si>
    <t>A7</t>
  </si>
  <si>
    <t>A8</t>
  </si>
  <si>
    <t>2024-07-20T12:31:11.637583</t>
  </si>
  <si>
    <t>2024-07-20T12:31:12.671255</t>
  </si>
  <si>
    <t>2024-07-20T12:31:13.682739</t>
  </si>
  <si>
    <t>2024-07-20T12:31:14.658637</t>
  </si>
  <si>
    <t>2024-07-20T12:31:15.678475</t>
  </si>
  <si>
    <t>2024-07-20T12:31:16.682467</t>
  </si>
  <si>
    <t>2024-07-20T12:31:17.693180</t>
  </si>
  <si>
    <t>2024-07-20T12:31:18.710837</t>
  </si>
  <si>
    <t>2024-07-20T12:31:19.723204</t>
  </si>
  <si>
    <t>2024-07-20T12:31:20.741230</t>
  </si>
  <si>
    <t>2024-07-20T12:31:21.768530</t>
  </si>
  <si>
    <t>2024-07-20T12:31:22.792371</t>
  </si>
  <si>
    <t>2024-07-20T12:31:23.814441</t>
  </si>
  <si>
    <t>2024-07-20T12:31:24.837041</t>
  </si>
  <si>
    <t>2024-07-20T12:31:25.800994</t>
  </si>
  <si>
    <t>2024-07-20T12:31:26.818281</t>
  </si>
  <si>
    <t>2024-07-20T12:31:27.825225</t>
  </si>
  <si>
    <t>2024-07-20T12:31:28.843807</t>
  </si>
  <si>
    <t>2024-07-20T12:31:29.857353</t>
  </si>
  <si>
    <t>2024-07-20T12:31:30.872523</t>
  </si>
  <si>
    <t>2024-07-20T12:31:31.898242</t>
  </si>
  <si>
    <t>2024-07-20T12:31:32.923177</t>
  </si>
  <si>
    <t>2024-07-20T12:31:33.946276</t>
  </si>
  <si>
    <t>2024-07-20T12:31:34.965589</t>
  </si>
  <si>
    <t>2024-07-20T12:31:35.933032</t>
  </si>
  <si>
    <t>2024-07-20T12:31:36.950097</t>
  </si>
  <si>
    <t>2024-07-20T12:31:37.963390</t>
  </si>
  <si>
    <t>2024-07-20T12:31:38.981003</t>
  </si>
  <si>
    <t>2024-07-20T12:31:39.992555</t>
  </si>
  <si>
    <t>2024-07-20T12:31:41.011744</t>
  </si>
  <si>
    <t>2024-07-20T12:31:42.037691</t>
  </si>
  <si>
    <t>2024-07-20T12:31:43.060419</t>
  </si>
  <si>
    <t>2024-07-20T12:31:44.082747</t>
  </si>
  <si>
    <t>2024-07-20T12:31:45.105266</t>
  </si>
  <si>
    <t>2024-07-20T12:31:46.069457</t>
  </si>
  <si>
    <t>2024-07-20T12:31:47.086896</t>
  </si>
  <si>
    <t>2024-07-20T12:31:48.098133</t>
  </si>
  <si>
    <t>2024-07-20T12:31:49.114386</t>
  </si>
  <si>
    <t>2024-07-20T12:31:50.128399</t>
  </si>
  <si>
    <t>2024-07-20T12:31:51.146994</t>
  </si>
  <si>
    <t>2024-07-20T12:31:52.157013</t>
  </si>
  <si>
    <t>2024-07-20T12:31:53.181106</t>
  </si>
  <si>
    <t>2024-07-20T12:31:54.206561</t>
  </si>
  <si>
    <t>2024-07-20T12:31:55.226773</t>
  </si>
  <si>
    <t>2024-07-20T12:31:56.254864</t>
  </si>
  <si>
    <t>2024-07-20T12:31:57.276634</t>
  </si>
  <si>
    <t>2024-07-20T12:31:58.237767</t>
  </si>
  <si>
    <t>2024-07-20T12:31:59.253720</t>
  </si>
  <si>
    <t>2024-07-20T12:32:00.263191</t>
  </si>
  <si>
    <t>2024-07-20T12:32:01.287015</t>
  </si>
  <si>
    <t>2024-07-20T12:32:02.296905</t>
  </si>
  <si>
    <t>2024-07-20T12:32:03.314046</t>
  </si>
  <si>
    <t>2024-07-20T12:32:04.338887</t>
  </si>
  <si>
    <t>2024-07-20T12:32:05.359347</t>
  </si>
  <si>
    <t>2024-07-20T12:32:06.386360</t>
  </si>
  <si>
    <t>2024-07-20T12:32:07.412212</t>
  </si>
  <si>
    <t>2024-07-20T12:32:08.373766</t>
  </si>
  <si>
    <t>2024-07-20T12:32:09.390115</t>
  </si>
  <si>
    <t>2024-07-20T12:32:10.399149</t>
  </si>
  <si>
    <t>2024-07-20T12:32:27.668548</t>
  </si>
  <si>
    <t>2024-07-20T12:32:28.639853</t>
  </si>
  <si>
    <t>2024-07-20T12:32:29.655037</t>
  </si>
  <si>
    <t>2024-07-20T12:32:30.666904</t>
  </si>
  <si>
    <t>2024-07-20T12:32:31.684985</t>
  </si>
  <si>
    <t>2024-07-20T12:32:32.696849</t>
  </si>
  <si>
    <t>2024-07-20T12:32:33.711715</t>
  </si>
  <si>
    <t>2024-07-20T12:32:34.728835</t>
  </si>
  <si>
    <t>2024-07-20T12:32:35.755843</t>
  </si>
  <si>
    <t>2024-07-20T12:32:36.778435</t>
  </si>
  <si>
    <t>2024-07-20T12:32:37.797866</t>
  </si>
  <si>
    <t>2024-07-20T12:32:38.827577</t>
  </si>
  <si>
    <t>2024-07-20T12:32:39.795240</t>
  </si>
  <si>
    <t>2024-07-20T12:32:40.807176</t>
  </si>
  <si>
    <t>2024-07-20T12:32:41.823326</t>
  </si>
  <si>
    <t>2024-07-20T12:32:42.832891</t>
  </si>
  <si>
    <t>2024-07-20T12:32:43.856053</t>
  </si>
  <si>
    <t>2024-07-20T12:32:44.867794</t>
  </si>
  <si>
    <t>2024-07-20T12:32:45.883747</t>
  </si>
  <si>
    <t>2024-07-20T12:32:46.910075</t>
  </si>
  <si>
    <t>2024-07-20T12:32:47.933672</t>
  </si>
  <si>
    <t>2024-07-20T12:32:48.955966</t>
  </si>
  <si>
    <t>2024-07-20T12:32:49.976198</t>
  </si>
  <si>
    <t>2024-07-20T12:32:50.945835</t>
  </si>
  <si>
    <t>2024-07-20T12:32:51.972320</t>
  </si>
  <si>
    <t>2024-07-20T12:32:52.985968</t>
  </si>
  <si>
    <t>2024-07-20T12:32:53.992377</t>
  </si>
  <si>
    <t>2024-07-20T12:32:55.004909</t>
  </si>
  <si>
    <t>2024-07-20T12:32:56.021582</t>
  </si>
  <si>
    <t>2024-07-20T12:32:57.040588</t>
  </si>
  <si>
    <t>2024-07-20T12:32:58.065900</t>
  </si>
  <si>
    <t>2024-07-20T12:32:59.086395</t>
  </si>
  <si>
    <t>2024-07-20T12:33:00.107914</t>
  </si>
  <si>
    <t>2024-07-20T12:33:01.133241</t>
  </si>
  <si>
    <t>2024-07-20T12:33:02.100319</t>
  </si>
  <si>
    <t>2024-07-20T12:33:03.109913</t>
  </si>
  <si>
    <t>2024-07-20T12:33:04.127554</t>
  </si>
  <si>
    <t>2024-07-20T12:33:05.138940</t>
  </si>
  <si>
    <t>2024-07-20T12:33:06.156229</t>
  </si>
  <si>
    <t>2024-07-20T12:33:07.175968</t>
  </si>
  <si>
    <t>2024-07-20T12:33:08.193532</t>
  </si>
  <si>
    <t>2024-07-20T12:33:09.218320</t>
  </si>
  <si>
    <t>2024-07-20T12:33:10.240043</t>
  </si>
  <si>
    <t>2024-07-20T12:33:11.264339</t>
  </si>
  <si>
    <t>2024-07-20T12:33:12.239626</t>
  </si>
  <si>
    <t>2024-07-20T12:33:13.244260</t>
  </si>
  <si>
    <t>2024-07-20T12:33:14.263721</t>
  </si>
  <si>
    <t>2024-07-20T12:33:15.276839</t>
  </si>
  <si>
    <t>2024-07-20T12:33:16.294520</t>
  </si>
  <si>
    <t>2024-07-20T12:33:17.306995</t>
  </si>
  <si>
    <t>2024-07-20T12:33:18.322256</t>
  </si>
  <si>
    <t>2024-07-20T12:33:19.348145</t>
  </si>
  <si>
    <t>2024-07-20T12:33:20.371007</t>
  </si>
  <si>
    <t>2024-07-20T12:33:21.391268</t>
  </si>
  <si>
    <t>2024-07-20T12:33:22.431974</t>
  </si>
  <si>
    <t>2024-07-20T12:33:23.471540</t>
  </si>
  <si>
    <t>2024-07-20T12:33:24.400028</t>
  </si>
  <si>
    <t>2024-07-20T12:33:25.408828</t>
  </si>
  <si>
    <t>2024-07-20T12:33:26.427174</t>
  </si>
  <si>
    <t>2024-07-20T12:33:48.733486</t>
  </si>
  <si>
    <t>2024-07-20T12:33:49.746431</t>
  </si>
  <si>
    <t>2024-07-20T12:33:50.764128</t>
  </si>
  <si>
    <t>2024-07-20T12:33:51.787259</t>
  </si>
  <si>
    <t>2024-07-20T12:33:52.810502</t>
  </si>
  <si>
    <t>2024-07-20T12:33:53.830873</t>
  </si>
  <si>
    <t>2024-07-20T12:33:54.856417</t>
  </si>
  <si>
    <t>2024-07-20T12:33:55.826362</t>
  </si>
  <si>
    <t>2024-07-20T12:33:56.843816</t>
  </si>
  <si>
    <t>2024-07-20T12:33:57.851830</t>
  </si>
  <si>
    <t>2024-07-20T12:33:58.867857</t>
  </si>
  <si>
    <t>2024-07-20T12:33:59.882469</t>
  </si>
  <si>
    <t>2024-07-20T12:34:00.901042</t>
  </si>
  <si>
    <t>2024-07-20T12:34:01.919035</t>
  </si>
  <si>
    <t>2024-07-20T12:34:02.942647</t>
  </si>
  <si>
    <t>2024-07-20T12:34:03.963147</t>
  </si>
  <si>
    <t>2024-07-20T12:34:04.986650</t>
  </si>
  <si>
    <t>2024-07-20T12:34:05.959574</t>
  </si>
  <si>
    <t>2024-07-20T12:34:06.979570</t>
  </si>
  <si>
    <t>2024-07-20T12:34:07.986420</t>
  </si>
  <si>
    <t>2024-07-20T12:34:09.004796</t>
  </si>
  <si>
    <t>2024-07-20T12:34:10.017700</t>
  </si>
  <si>
    <t>2024-07-20T12:34:11.033266</t>
  </si>
  <si>
    <t>2024-07-20T12:34:12.049222</t>
  </si>
  <si>
    <t>2024-07-20T12:34:13.079123</t>
  </si>
  <si>
    <t>2024-07-20T12:34:14.097084</t>
  </si>
  <si>
    <t>2024-07-20T12:34:15.122623</t>
  </si>
  <si>
    <t>2024-07-20T12:34:16.145691</t>
  </si>
  <si>
    <t>2024-07-20T12:34:17.108267</t>
  </si>
  <si>
    <t>2024-07-20T12:34:18.122531</t>
  </si>
  <si>
    <t>2024-07-20T12:34:19.137866</t>
  </si>
  <si>
    <t>2024-07-20T12:34:20.148956</t>
  </si>
  <si>
    <t>2024-07-20T12:34:21.166033</t>
  </si>
  <si>
    <t>2024-07-20T12:34:22.188984</t>
  </si>
  <si>
    <t>2024-07-20T12:34:23.214392</t>
  </si>
  <si>
    <t>2024-07-20T12:34:24.227479</t>
  </si>
  <si>
    <t>2024-07-20T12:34:25.250378</t>
  </si>
  <si>
    <t>2024-07-20T12:34:26.287484</t>
  </si>
  <si>
    <t>2024-07-20T12:34:27.296811</t>
  </si>
  <si>
    <t>2024-07-20T12:34:28.254688</t>
  </si>
  <si>
    <t>2024-07-20T12:34:29.273658</t>
  </si>
  <si>
    <t>2024-07-20T12:34:30.285665</t>
  </si>
  <si>
    <t>2024-07-20T12:34:31.300328</t>
  </si>
  <si>
    <t>2024-07-20T12:34:32.321912</t>
  </si>
  <si>
    <t>2024-07-20T12:34:33.335242</t>
  </si>
  <si>
    <t>2024-07-20T12:34:34.359609</t>
  </si>
  <si>
    <t>2024-07-20T12:34:35.383447</t>
  </si>
  <si>
    <t>2024-07-20T12:34:36.411587</t>
  </si>
  <si>
    <t>2024-07-20T12:34:37.434222</t>
  </si>
  <si>
    <t>2024-07-20T12:34:38.390948</t>
  </si>
  <si>
    <t>2024-07-20T12:34:39.410153</t>
  </si>
  <si>
    <t>2024-07-20T12:34:40.419648</t>
  </si>
  <si>
    <t>2024-07-20T12:34:41.435280</t>
  </si>
  <si>
    <t>2024-07-20T12:34:42.453350</t>
  </si>
  <si>
    <t>2024-07-20T12:34:43.484989</t>
  </si>
  <si>
    <t>2024-07-20T12:34:44.495580</t>
  </si>
  <si>
    <t>2024-07-20T12:34:45.512893</t>
  </si>
  <si>
    <t>2024-07-20T12:34:46.532325</t>
  </si>
  <si>
    <t>2024-07-20T12:34:47.557888</t>
  </si>
  <si>
    <t>2024-07-20_14-31-14</t>
  </si>
  <si>
    <t>2024-07-20_14-31-19</t>
  </si>
  <si>
    <t>2024-07-20_14-31-24</t>
  </si>
  <si>
    <t>2024-07-20_14-31-29</t>
  </si>
  <si>
    <t>2024-07-20_14-31-34</t>
  </si>
  <si>
    <t>2024-07-20_14-31-39</t>
  </si>
  <si>
    <t>2024-07-20_14-31-44</t>
  </si>
  <si>
    <t>2024-07-20_14-31-49</t>
  </si>
  <si>
    <t>2024-07-20_14-31-54</t>
  </si>
  <si>
    <t>2024-07-20_14-31-59</t>
  </si>
  <si>
    <t>2024-07-20_14-32-04</t>
  </si>
  <si>
    <t>2024-07-20_14-32-09</t>
  </si>
  <si>
    <t>2024-07-20_14-32-30</t>
  </si>
  <si>
    <t>2024-07-20_14-32-35</t>
  </si>
  <si>
    <t>2024-07-20_14-32-40</t>
  </si>
  <si>
    <t>2024-07-20_14-32-45</t>
  </si>
  <si>
    <t>2024-07-20_14-32-50</t>
  </si>
  <si>
    <t>2024-07-20_14-32-55</t>
  </si>
  <si>
    <t>2024-07-20_14-33-00</t>
  </si>
  <si>
    <t>2024-07-20_14-33-05</t>
  </si>
  <si>
    <t>2024-07-20_14-33-10</t>
  </si>
  <si>
    <t>2024-07-20_14-33-15</t>
  </si>
  <si>
    <t>2024-07-20_14-33-20</t>
  </si>
  <si>
    <t>2024-07-20_14-33-25</t>
  </si>
  <si>
    <t>2024-07-20_14-33-51</t>
  </si>
  <si>
    <t>2024-07-20_14-33-56</t>
  </si>
  <si>
    <t>2024-07-20_14-34-01</t>
  </si>
  <si>
    <t>2024-07-20_14-34-06</t>
  </si>
  <si>
    <t>2024-07-20_14-34-11</t>
  </si>
  <si>
    <t>2024-07-20_14-34-16</t>
  </si>
  <si>
    <t>2024-07-20_14-34-21</t>
  </si>
  <si>
    <t>2024-07-20_14-34-26</t>
  </si>
  <si>
    <t>2024-07-20_14-34-31</t>
  </si>
  <si>
    <t>2024-07-20_14-34-36</t>
  </si>
  <si>
    <t>2024-07-20_14-34-41</t>
  </si>
  <si>
    <t>2024-07-20_14-34-46</t>
  </si>
  <si>
    <t>Mean unfiltered</t>
  </si>
  <si>
    <t>Standard Deviation</t>
  </si>
  <si>
    <t>Upper boundary</t>
  </si>
  <si>
    <t>Lower boundary</t>
  </si>
  <si>
    <t>Mean filtered</t>
  </si>
  <si>
    <t>Ground Truth - Laser manual  measurement</t>
  </si>
  <si>
    <t>Error</t>
  </si>
  <si>
    <t>Error %</t>
  </si>
  <si>
    <t>Ground Truth - 3D walk measurement</t>
  </si>
  <si>
    <t>Ground Truth - 3D model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</si>
</sst>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164" fontId="0" fillId="0" borderId="0" xfId="1" applyNumberFormat="1" applyFont="1"/>
    <xf numFmtId="0" fontId="0" fillId="4" borderId="0" xfId="0" applyFill="1"/>
    <xf numFmtId="0" fontId="0" fillId="0" borderId="0" xfId="0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0" fillId="4" borderId="7" xfId="0" applyFill="1" applyBorder="1"/>
    <xf numFmtId="0" fontId="0" fillId="4" borderId="8" xfId="0" applyFill="1" applyBorder="1"/>
    <xf numFmtId="0" fontId="0" fillId="4" borderId="7" xfId="0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3" borderId="2" xfId="1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783-60D9-4FE7-9E36-CDBAEFC0C508}">
  <dimension ref="B1:CB925"/>
  <sheetViews>
    <sheetView topLeftCell="AF39" workbookViewId="0">
      <selection activeCell="AQ63" sqref="AQ63:AX63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3" bestFit="1" customWidth="1"/>
    <col min="43" max="44" width="6.5703125" style="3" bestFit="1" customWidth="1"/>
    <col min="45" max="45" width="7.5703125" style="3" bestFit="1" customWidth="1"/>
    <col min="46" max="46" width="5.5703125" style="3" bestFit="1" customWidth="1"/>
    <col min="47" max="47" width="6.28515625" style="3" bestFit="1" customWidth="1"/>
    <col min="48" max="49" width="5.5703125" style="3" bestFit="1" customWidth="1"/>
    <col min="50" max="50" width="6.285156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41" t="s">
        <v>0</v>
      </c>
      <c r="C2" s="42"/>
      <c r="D2" s="42"/>
      <c r="E2" s="42"/>
      <c r="F2" s="42"/>
      <c r="G2" s="42"/>
      <c r="H2" s="42"/>
      <c r="I2" s="42"/>
      <c r="J2" s="43"/>
      <c r="L2" s="41" t="s">
        <v>1</v>
      </c>
      <c r="M2" s="42"/>
      <c r="N2" s="42"/>
      <c r="O2" s="42"/>
      <c r="P2" s="42"/>
      <c r="Q2" s="42"/>
      <c r="R2" s="42"/>
      <c r="S2" s="42"/>
      <c r="T2" s="43"/>
      <c r="V2" s="41" t="s">
        <v>2</v>
      </c>
      <c r="W2" s="42"/>
      <c r="X2" s="42"/>
      <c r="Y2" s="42"/>
      <c r="Z2" s="42"/>
      <c r="AA2" s="42"/>
      <c r="AB2" s="42"/>
      <c r="AC2" s="42"/>
      <c r="AD2" s="43"/>
      <c r="AF2" s="41" t="s">
        <v>3</v>
      </c>
      <c r="AG2" s="42"/>
      <c r="AH2" s="42"/>
      <c r="AI2" s="42"/>
      <c r="AJ2" s="42"/>
      <c r="AK2" s="42"/>
      <c r="AL2" s="42"/>
      <c r="AM2" s="42"/>
      <c r="AN2" s="43"/>
      <c r="AP2" s="41" t="s">
        <v>4</v>
      </c>
      <c r="AQ2" s="42"/>
      <c r="AR2" s="42"/>
      <c r="AS2" s="42"/>
      <c r="AT2" s="42"/>
      <c r="AU2" s="42"/>
      <c r="AV2" s="42"/>
      <c r="AW2" s="42"/>
      <c r="AX2" s="43"/>
      <c r="AZ2" s="41" t="s">
        <v>5</v>
      </c>
      <c r="BA2" s="42"/>
      <c r="BB2" s="42"/>
      <c r="BC2" s="42"/>
      <c r="BD2" s="42"/>
      <c r="BE2" s="42"/>
      <c r="BF2" s="42"/>
      <c r="BG2" s="42"/>
      <c r="BH2" s="43"/>
      <c r="BJ2" s="41" t="s">
        <v>6</v>
      </c>
      <c r="BK2" s="42"/>
      <c r="BL2" s="42"/>
      <c r="BM2" s="42"/>
      <c r="BN2" s="42"/>
      <c r="BO2" s="42"/>
      <c r="BP2" s="42"/>
      <c r="BQ2" s="42"/>
      <c r="BR2" s="43"/>
      <c r="BT2" s="41" t="s">
        <v>7</v>
      </c>
      <c r="BU2" s="42"/>
      <c r="BV2" s="42"/>
      <c r="BW2" s="42"/>
      <c r="BX2" s="42"/>
      <c r="BY2" s="42"/>
      <c r="BZ2" s="42"/>
      <c r="CA2" s="42"/>
      <c r="CB2" s="43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17</v>
      </c>
      <c r="AQ4" s="11">
        <v>1.61</v>
      </c>
      <c r="AR4" s="12">
        <v>0.45</v>
      </c>
      <c r="AS4" s="12">
        <v>0.17</v>
      </c>
      <c r="AT4" s="12">
        <v>3.04</v>
      </c>
      <c r="AU4" s="12">
        <v>6.72</v>
      </c>
      <c r="AV4" s="12">
        <v>3.56</v>
      </c>
      <c r="AW4" s="12">
        <v>0.28000000000000003</v>
      </c>
      <c r="AX4" s="13">
        <v>0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18</v>
      </c>
      <c r="AQ5" s="17">
        <v>1.89</v>
      </c>
      <c r="AR5" s="18">
        <v>0.45</v>
      </c>
      <c r="AS5" s="18">
        <v>0.15</v>
      </c>
      <c r="AT5" s="18">
        <v>3.04</v>
      </c>
      <c r="AU5" s="18">
        <v>7.88</v>
      </c>
      <c r="AV5" s="18">
        <v>4.18</v>
      </c>
      <c r="AW5" s="18">
        <v>0.85</v>
      </c>
      <c r="AX5" s="19">
        <v>0.85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19</v>
      </c>
      <c r="AQ6" s="17">
        <v>1.89</v>
      </c>
      <c r="AR6" s="18">
        <v>0.45</v>
      </c>
      <c r="AS6" s="18">
        <v>0.17</v>
      </c>
      <c r="AT6" s="18">
        <v>3.04</v>
      </c>
      <c r="AU6" s="18">
        <v>9.24</v>
      </c>
      <c r="AV6" s="18">
        <v>3.56</v>
      </c>
      <c r="AW6" s="18">
        <v>0.17</v>
      </c>
      <c r="AX6" s="19">
        <v>0.85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20</v>
      </c>
      <c r="AQ7" s="17">
        <v>2.59</v>
      </c>
      <c r="AR7" s="18">
        <v>0.45</v>
      </c>
      <c r="AS7" s="18">
        <v>0.15</v>
      </c>
      <c r="AT7" s="18">
        <v>3.04</v>
      </c>
      <c r="AU7" s="18">
        <v>7.88</v>
      </c>
      <c r="AV7" s="18">
        <v>3.56</v>
      </c>
      <c r="AW7" s="18">
        <v>0.33</v>
      </c>
      <c r="AX7" s="19">
        <v>0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21</v>
      </c>
      <c r="AQ8" s="17">
        <v>1.61</v>
      </c>
      <c r="AR8" s="18">
        <v>0.45</v>
      </c>
      <c r="AS8" s="18">
        <v>0.15</v>
      </c>
      <c r="AT8" s="18">
        <v>3.56</v>
      </c>
      <c r="AU8" s="18">
        <v>7.88</v>
      </c>
      <c r="AV8" s="18">
        <v>3.56</v>
      </c>
      <c r="AW8" s="18">
        <v>0.85</v>
      </c>
      <c r="AX8" s="19">
        <v>0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22</v>
      </c>
      <c r="AQ9" s="17">
        <v>1.89</v>
      </c>
      <c r="AR9" s="18">
        <v>0.45</v>
      </c>
      <c r="AS9" s="18">
        <v>0.15</v>
      </c>
      <c r="AT9" s="18">
        <v>3.56</v>
      </c>
      <c r="AU9" s="18">
        <v>7.88</v>
      </c>
      <c r="AV9" s="18">
        <v>3.56</v>
      </c>
      <c r="AW9" s="18">
        <v>0.85</v>
      </c>
      <c r="AX9" s="19">
        <v>0</v>
      </c>
    </row>
    <row r="10" spans="2:80" x14ac:dyDescent="0.25">
      <c r="AP10" s="16" t="s">
        <v>23</v>
      </c>
      <c r="AQ10" s="17">
        <v>2.59</v>
      </c>
      <c r="AR10" s="18">
        <v>0.45</v>
      </c>
      <c r="AS10" s="18">
        <v>0.17</v>
      </c>
      <c r="AT10" s="18">
        <v>4.18</v>
      </c>
      <c r="AU10" s="18">
        <v>7.88</v>
      </c>
      <c r="AV10" s="18">
        <v>4.18</v>
      </c>
      <c r="AW10" s="18">
        <v>0.85</v>
      </c>
      <c r="AX10" s="19">
        <v>0</v>
      </c>
    </row>
    <row r="11" spans="2:80" x14ac:dyDescent="0.25">
      <c r="AP11" s="16" t="s">
        <v>24</v>
      </c>
      <c r="AQ11" s="17">
        <v>1.61</v>
      </c>
      <c r="AR11" s="18">
        <v>0.39</v>
      </c>
      <c r="AS11" s="18">
        <v>0.15</v>
      </c>
      <c r="AT11" s="18">
        <v>3.56</v>
      </c>
      <c r="AU11" s="18">
        <v>7.88</v>
      </c>
      <c r="AV11" s="18">
        <v>3.56</v>
      </c>
      <c r="AW11" s="18">
        <v>0.85</v>
      </c>
      <c r="AX11" s="19">
        <v>0</v>
      </c>
    </row>
    <row r="12" spans="2:80" x14ac:dyDescent="0.25">
      <c r="AP12" s="16" t="s">
        <v>25</v>
      </c>
      <c r="AQ12" s="17">
        <v>1.61</v>
      </c>
      <c r="AR12" s="18">
        <v>0.45</v>
      </c>
      <c r="AS12" s="18">
        <v>0.15</v>
      </c>
      <c r="AT12" s="18">
        <v>3.56</v>
      </c>
      <c r="AU12" s="18">
        <v>7.88</v>
      </c>
      <c r="AV12" s="18">
        <v>3.56</v>
      </c>
      <c r="AW12" s="18">
        <v>0.85</v>
      </c>
      <c r="AX12" s="19">
        <v>0.85</v>
      </c>
    </row>
    <row r="13" spans="2:80" x14ac:dyDescent="0.25">
      <c r="AP13" s="16" t="s">
        <v>26</v>
      </c>
      <c r="AQ13" s="17">
        <v>2.21</v>
      </c>
      <c r="AR13" s="18">
        <v>0.45</v>
      </c>
      <c r="AS13" s="18">
        <v>0.62</v>
      </c>
      <c r="AT13" s="18">
        <v>4.18</v>
      </c>
      <c r="AU13" s="18">
        <v>9.24</v>
      </c>
      <c r="AV13" s="18">
        <v>3.56</v>
      </c>
      <c r="AW13" s="18">
        <v>0.33</v>
      </c>
      <c r="AX13" s="19">
        <v>4.18</v>
      </c>
    </row>
    <row r="14" spans="2:80" x14ac:dyDescent="0.25">
      <c r="AP14" s="16" t="s">
        <v>27</v>
      </c>
      <c r="AQ14" s="17">
        <v>1.61</v>
      </c>
      <c r="AR14" s="18">
        <v>0.45</v>
      </c>
      <c r="AS14" s="18">
        <v>0.15</v>
      </c>
      <c r="AT14" s="18">
        <v>3.04</v>
      </c>
      <c r="AU14" s="18">
        <v>7.88</v>
      </c>
      <c r="AV14" s="18">
        <v>3.04</v>
      </c>
      <c r="AW14" s="18">
        <v>0.33</v>
      </c>
      <c r="AX14" s="19">
        <v>0.85</v>
      </c>
    </row>
    <row r="15" spans="2:80" x14ac:dyDescent="0.25">
      <c r="AP15" s="16" t="s">
        <v>28</v>
      </c>
      <c r="AQ15" s="17">
        <v>1.61</v>
      </c>
      <c r="AR15" s="18">
        <v>0.45</v>
      </c>
      <c r="AS15" s="18">
        <v>0.15</v>
      </c>
      <c r="AT15" s="18">
        <v>3.56</v>
      </c>
      <c r="AU15" s="18">
        <v>7.88</v>
      </c>
      <c r="AV15" s="18">
        <v>3.04</v>
      </c>
      <c r="AW15" s="18">
        <v>0.85</v>
      </c>
      <c r="AX15" s="19">
        <v>0</v>
      </c>
    </row>
    <row r="16" spans="2:80" x14ac:dyDescent="0.25">
      <c r="AP16" s="16" t="s">
        <v>29</v>
      </c>
      <c r="AQ16" s="17">
        <v>1.61</v>
      </c>
      <c r="AR16" s="18">
        <v>0.45</v>
      </c>
      <c r="AS16" s="18">
        <v>0.45</v>
      </c>
      <c r="AT16" s="18">
        <v>3.56</v>
      </c>
      <c r="AU16" s="18">
        <v>7.88</v>
      </c>
      <c r="AV16" s="18">
        <v>3.56</v>
      </c>
      <c r="AW16" s="18">
        <v>0.85</v>
      </c>
      <c r="AX16" s="19">
        <v>4.18</v>
      </c>
    </row>
    <row r="17" spans="42:50" x14ac:dyDescent="0.25">
      <c r="AP17" s="16" t="s">
        <v>30</v>
      </c>
      <c r="AQ17" s="17">
        <v>1.89</v>
      </c>
      <c r="AR17" s="18">
        <v>0.45</v>
      </c>
      <c r="AS17" s="18">
        <v>0.15</v>
      </c>
      <c r="AT17" s="18">
        <v>0.85</v>
      </c>
      <c r="AU17" s="18">
        <v>7.88</v>
      </c>
      <c r="AV17" s="18">
        <v>3.56</v>
      </c>
      <c r="AW17" s="18">
        <v>0.85</v>
      </c>
      <c r="AX17" s="19">
        <v>0</v>
      </c>
    </row>
    <row r="18" spans="42:50" x14ac:dyDescent="0.25">
      <c r="AP18" s="16" t="s">
        <v>31</v>
      </c>
      <c r="AQ18" s="17">
        <v>2.21</v>
      </c>
      <c r="AR18" s="18">
        <v>0.45</v>
      </c>
      <c r="AS18" s="18">
        <v>0.15</v>
      </c>
      <c r="AT18" s="18">
        <v>3.56</v>
      </c>
      <c r="AU18" s="18">
        <v>6.72</v>
      </c>
      <c r="AV18" s="18">
        <v>3.56</v>
      </c>
      <c r="AW18" s="18">
        <v>0.15</v>
      </c>
      <c r="AX18" s="19">
        <v>0</v>
      </c>
    </row>
    <row r="19" spans="42:50" x14ac:dyDescent="0.25">
      <c r="AP19" s="16" t="s">
        <v>32</v>
      </c>
      <c r="AQ19" s="17">
        <v>1.61</v>
      </c>
      <c r="AR19" s="18">
        <v>0.45</v>
      </c>
      <c r="AS19" s="18">
        <v>0.15</v>
      </c>
      <c r="AT19" s="18">
        <v>3.04</v>
      </c>
      <c r="AU19" s="18">
        <v>7.88</v>
      </c>
      <c r="AV19" s="18">
        <v>3.56</v>
      </c>
      <c r="AW19" s="18">
        <v>0.85</v>
      </c>
      <c r="AX19" s="19">
        <v>4.8899999999999997</v>
      </c>
    </row>
    <row r="20" spans="42:50" x14ac:dyDescent="0.25">
      <c r="AP20" s="16" t="s">
        <v>33</v>
      </c>
      <c r="AQ20" s="17">
        <v>1.61</v>
      </c>
      <c r="AR20" s="18">
        <v>0.45</v>
      </c>
      <c r="AS20" s="18">
        <v>0.73</v>
      </c>
      <c r="AT20" s="18">
        <v>3.04</v>
      </c>
      <c r="AU20" s="18">
        <v>7.88</v>
      </c>
      <c r="AV20" s="18">
        <v>4.18</v>
      </c>
      <c r="AW20" s="18">
        <v>0.85</v>
      </c>
      <c r="AX20" s="19">
        <v>0</v>
      </c>
    </row>
    <row r="21" spans="42:50" x14ac:dyDescent="0.25">
      <c r="AP21" s="16" t="s">
        <v>34</v>
      </c>
      <c r="AQ21" s="17">
        <v>1.61</v>
      </c>
      <c r="AR21" s="18">
        <v>0.45</v>
      </c>
      <c r="AS21" s="18">
        <v>0.15</v>
      </c>
      <c r="AT21" s="18">
        <v>3.56</v>
      </c>
      <c r="AU21" s="18">
        <v>7.88</v>
      </c>
      <c r="AV21" s="18">
        <v>2.59</v>
      </c>
      <c r="AW21" s="18">
        <v>0.85</v>
      </c>
      <c r="AX21" s="19">
        <v>0</v>
      </c>
    </row>
    <row r="22" spans="42:50" x14ac:dyDescent="0.25">
      <c r="AP22" s="16" t="s">
        <v>35</v>
      </c>
      <c r="AQ22" s="17">
        <v>1.89</v>
      </c>
      <c r="AR22" s="18">
        <v>0.45</v>
      </c>
      <c r="AS22" s="18">
        <v>0.15</v>
      </c>
      <c r="AT22" s="18">
        <v>0</v>
      </c>
      <c r="AU22" s="18">
        <v>7.88</v>
      </c>
      <c r="AV22" s="18">
        <v>3.56</v>
      </c>
      <c r="AW22" s="18">
        <v>0.85</v>
      </c>
      <c r="AX22" s="19">
        <v>2.59</v>
      </c>
    </row>
    <row r="23" spans="42:50" x14ac:dyDescent="0.25">
      <c r="AP23" s="16" t="s">
        <v>36</v>
      </c>
      <c r="AQ23" s="17">
        <v>2.21</v>
      </c>
      <c r="AR23" s="18">
        <v>0.45</v>
      </c>
      <c r="AS23" s="18">
        <v>0.62</v>
      </c>
      <c r="AT23" s="18">
        <v>0.85</v>
      </c>
      <c r="AU23" s="18">
        <v>7.88</v>
      </c>
      <c r="AV23" s="18">
        <v>2.21</v>
      </c>
      <c r="AW23" s="18">
        <v>0.33</v>
      </c>
      <c r="AX23" s="19">
        <v>4.18</v>
      </c>
    </row>
    <row r="24" spans="42:50" x14ac:dyDescent="0.25">
      <c r="AP24" s="16" t="s">
        <v>37</v>
      </c>
      <c r="AQ24" s="17">
        <v>1.89</v>
      </c>
      <c r="AR24" s="18">
        <v>0.39</v>
      </c>
      <c r="AS24" s="18">
        <v>0.62</v>
      </c>
      <c r="AT24" s="18">
        <v>0.85</v>
      </c>
      <c r="AU24" s="18">
        <v>9.24</v>
      </c>
      <c r="AV24" s="18">
        <v>2.21</v>
      </c>
      <c r="AW24" s="18">
        <v>0.85</v>
      </c>
      <c r="AX24" s="19">
        <v>2.21</v>
      </c>
    </row>
    <row r="25" spans="42:50" x14ac:dyDescent="0.25">
      <c r="AP25" s="16" t="s">
        <v>38</v>
      </c>
      <c r="AQ25" s="17">
        <v>1.89</v>
      </c>
      <c r="AR25" s="18">
        <v>0.45</v>
      </c>
      <c r="AS25" s="18">
        <v>0.15</v>
      </c>
      <c r="AT25" s="18">
        <v>3.04</v>
      </c>
      <c r="AU25" s="18">
        <v>9.24</v>
      </c>
      <c r="AV25" s="18">
        <v>3.56</v>
      </c>
      <c r="AW25" s="18">
        <v>0.85</v>
      </c>
      <c r="AX25" s="19">
        <v>0.85</v>
      </c>
    </row>
    <row r="26" spans="42:50" x14ac:dyDescent="0.25">
      <c r="AP26" s="16" t="s">
        <v>39</v>
      </c>
      <c r="AQ26" s="17">
        <v>1.61</v>
      </c>
      <c r="AR26" s="18">
        <v>0.45</v>
      </c>
      <c r="AS26" s="18">
        <v>0.15</v>
      </c>
      <c r="AT26" s="18">
        <v>3.04</v>
      </c>
      <c r="AU26" s="18">
        <v>7.88</v>
      </c>
      <c r="AV26" s="18">
        <v>4.18</v>
      </c>
      <c r="AW26" s="18">
        <v>0.85</v>
      </c>
      <c r="AX26" s="19">
        <v>4.18</v>
      </c>
    </row>
    <row r="27" spans="42:50" x14ac:dyDescent="0.25">
      <c r="AP27" s="16" t="s">
        <v>40</v>
      </c>
      <c r="AQ27" s="17">
        <v>1.89</v>
      </c>
      <c r="AR27" s="18">
        <v>0.45</v>
      </c>
      <c r="AS27" s="18">
        <v>0.15</v>
      </c>
      <c r="AT27" s="18">
        <v>4.18</v>
      </c>
      <c r="AU27" s="18">
        <v>7.88</v>
      </c>
      <c r="AV27" s="18">
        <v>3.56</v>
      </c>
      <c r="AW27" s="18">
        <v>0.85</v>
      </c>
      <c r="AX27" s="19">
        <v>0.85</v>
      </c>
    </row>
    <row r="28" spans="42:50" x14ac:dyDescent="0.25">
      <c r="AP28" s="16" t="s">
        <v>41</v>
      </c>
      <c r="AQ28" s="17">
        <v>1.61</v>
      </c>
      <c r="AR28" s="18">
        <v>0.45</v>
      </c>
      <c r="AS28" s="18">
        <v>0.17</v>
      </c>
      <c r="AT28" s="18">
        <v>3.04</v>
      </c>
      <c r="AU28" s="18">
        <v>7.88</v>
      </c>
      <c r="AV28" s="18">
        <v>3.56</v>
      </c>
      <c r="AW28" s="18">
        <v>0.85</v>
      </c>
      <c r="AX28" s="19">
        <v>0</v>
      </c>
    </row>
    <row r="29" spans="42:50" x14ac:dyDescent="0.25">
      <c r="AP29" s="16" t="s">
        <v>42</v>
      </c>
      <c r="AQ29" s="17">
        <v>1.61</v>
      </c>
      <c r="AR29" s="18">
        <v>0.45</v>
      </c>
      <c r="AS29" s="18">
        <v>0.17</v>
      </c>
      <c r="AT29" s="18">
        <v>4.18</v>
      </c>
      <c r="AU29" s="18">
        <v>7.88</v>
      </c>
      <c r="AV29" s="18">
        <v>2.21</v>
      </c>
      <c r="AW29" s="18">
        <v>0.85</v>
      </c>
      <c r="AX29" s="19">
        <v>4.18</v>
      </c>
    </row>
    <row r="30" spans="42:50" x14ac:dyDescent="0.25">
      <c r="AP30" s="16" t="s">
        <v>43</v>
      </c>
      <c r="AQ30" s="17">
        <v>1.61</v>
      </c>
      <c r="AR30" s="18">
        <v>0.45</v>
      </c>
      <c r="AS30" s="18">
        <v>0.15</v>
      </c>
      <c r="AT30" s="18">
        <v>3.04</v>
      </c>
      <c r="AU30" s="18">
        <v>7.88</v>
      </c>
      <c r="AV30" s="18">
        <v>4.18</v>
      </c>
      <c r="AW30" s="18">
        <v>0.85</v>
      </c>
      <c r="AX30" s="19">
        <v>0</v>
      </c>
    </row>
    <row r="31" spans="42:50" x14ac:dyDescent="0.25">
      <c r="AP31" s="16" t="s">
        <v>44</v>
      </c>
      <c r="AQ31" s="17">
        <v>1.61</v>
      </c>
      <c r="AR31" s="18">
        <v>0.53</v>
      </c>
      <c r="AS31" s="18">
        <v>0.15</v>
      </c>
      <c r="AT31" s="18">
        <v>3.56</v>
      </c>
      <c r="AU31" s="18">
        <v>9.24</v>
      </c>
      <c r="AV31" s="18">
        <v>3.56</v>
      </c>
      <c r="AW31" s="18">
        <v>0.85</v>
      </c>
      <c r="AX31" s="19">
        <v>0</v>
      </c>
    </row>
    <row r="32" spans="42:50" x14ac:dyDescent="0.25">
      <c r="AP32" s="16" t="s">
        <v>45</v>
      </c>
      <c r="AQ32" s="17">
        <v>1.61</v>
      </c>
      <c r="AR32" s="18">
        <v>0.45</v>
      </c>
      <c r="AS32" s="18">
        <v>0.39</v>
      </c>
      <c r="AT32" s="18">
        <v>3.04</v>
      </c>
      <c r="AU32" s="18">
        <v>7.88</v>
      </c>
      <c r="AV32" s="18">
        <v>3.56</v>
      </c>
      <c r="AW32" s="18">
        <v>0.85</v>
      </c>
      <c r="AX32" s="19">
        <v>0</v>
      </c>
    </row>
    <row r="33" spans="42:50" x14ac:dyDescent="0.25">
      <c r="AP33" s="16" t="s">
        <v>46</v>
      </c>
      <c r="AQ33" s="17">
        <v>1.61</v>
      </c>
      <c r="AR33" s="18">
        <v>0.45</v>
      </c>
      <c r="AS33" s="18">
        <v>0.15</v>
      </c>
      <c r="AT33" s="18">
        <v>3.56</v>
      </c>
      <c r="AU33" s="18">
        <v>9.24</v>
      </c>
      <c r="AV33" s="18">
        <v>3.56</v>
      </c>
      <c r="AW33" s="18">
        <v>0.85</v>
      </c>
      <c r="AX33" s="19">
        <v>0</v>
      </c>
    </row>
    <row r="34" spans="42:50" x14ac:dyDescent="0.25">
      <c r="AP34" s="16" t="s">
        <v>47</v>
      </c>
      <c r="AQ34" s="17">
        <v>2.21</v>
      </c>
      <c r="AR34" s="18">
        <v>0.45</v>
      </c>
      <c r="AS34" s="18">
        <v>0.62</v>
      </c>
      <c r="AT34" s="18">
        <v>4.18</v>
      </c>
      <c r="AU34" s="18">
        <v>7.88</v>
      </c>
      <c r="AV34" s="18">
        <v>2.21</v>
      </c>
      <c r="AW34" s="18">
        <v>0.33</v>
      </c>
      <c r="AX34" s="19">
        <v>4.18</v>
      </c>
    </row>
    <row r="35" spans="42:50" x14ac:dyDescent="0.25">
      <c r="AP35" s="16" t="s">
        <v>48</v>
      </c>
      <c r="AQ35" s="17">
        <v>3.04</v>
      </c>
      <c r="AR35" s="18">
        <v>0.45</v>
      </c>
      <c r="AS35" s="18">
        <v>0.17</v>
      </c>
      <c r="AT35" s="18">
        <v>3.56</v>
      </c>
      <c r="AU35" s="18">
        <v>7.88</v>
      </c>
      <c r="AV35" s="18">
        <v>3.04</v>
      </c>
      <c r="AW35" s="18">
        <v>0.33</v>
      </c>
      <c r="AX35" s="19">
        <v>0</v>
      </c>
    </row>
    <row r="36" spans="42:50" x14ac:dyDescent="0.25">
      <c r="AP36" s="16" t="s">
        <v>49</v>
      </c>
      <c r="AQ36" s="17">
        <v>1.61</v>
      </c>
      <c r="AR36" s="18">
        <v>0.39</v>
      </c>
      <c r="AS36" s="18">
        <v>0.15</v>
      </c>
      <c r="AT36" s="18">
        <v>3.04</v>
      </c>
      <c r="AU36" s="18">
        <v>7.88</v>
      </c>
      <c r="AV36" s="18">
        <v>3.56</v>
      </c>
      <c r="AW36" s="18">
        <v>0.85</v>
      </c>
      <c r="AX36" s="19">
        <v>4.18</v>
      </c>
    </row>
    <row r="37" spans="42:50" x14ac:dyDescent="0.25">
      <c r="AP37" s="16" t="s">
        <v>50</v>
      </c>
      <c r="AQ37" s="17">
        <v>1.61</v>
      </c>
      <c r="AR37" s="18">
        <v>0.45</v>
      </c>
      <c r="AS37" s="18">
        <v>0.62</v>
      </c>
      <c r="AT37" s="18">
        <v>3.56</v>
      </c>
      <c r="AU37" s="18">
        <v>9.24</v>
      </c>
      <c r="AV37" s="18">
        <v>3.56</v>
      </c>
      <c r="AW37" s="18">
        <v>0.85</v>
      </c>
      <c r="AX37" s="19">
        <v>2.59</v>
      </c>
    </row>
    <row r="38" spans="42:50" x14ac:dyDescent="0.25">
      <c r="AP38" s="16" t="s">
        <v>51</v>
      </c>
      <c r="AQ38" s="17">
        <v>1.61</v>
      </c>
      <c r="AR38" s="18">
        <v>0.45</v>
      </c>
      <c r="AS38" s="18">
        <v>0.15</v>
      </c>
      <c r="AT38" s="18">
        <v>3.56</v>
      </c>
      <c r="AU38" s="18">
        <v>7.88</v>
      </c>
      <c r="AV38" s="18">
        <v>3.56</v>
      </c>
      <c r="AW38" s="18">
        <v>0.85</v>
      </c>
      <c r="AX38" s="19">
        <v>0.85</v>
      </c>
    </row>
    <row r="39" spans="42:50" x14ac:dyDescent="0.25">
      <c r="AP39" s="16" t="s">
        <v>52</v>
      </c>
      <c r="AQ39" s="17">
        <v>1.61</v>
      </c>
      <c r="AR39" s="18">
        <v>0.45</v>
      </c>
      <c r="AS39" s="18">
        <v>0.15</v>
      </c>
      <c r="AT39" s="18">
        <v>3.04</v>
      </c>
      <c r="AU39" s="18">
        <v>7.88</v>
      </c>
      <c r="AV39" s="18">
        <v>3.04</v>
      </c>
      <c r="AW39" s="18">
        <v>0.73</v>
      </c>
      <c r="AX39" s="19">
        <v>0.85</v>
      </c>
    </row>
    <row r="40" spans="42:50" x14ac:dyDescent="0.25">
      <c r="AP40" s="16" t="s">
        <v>53</v>
      </c>
      <c r="AQ40" s="17">
        <v>1.89</v>
      </c>
      <c r="AR40" s="18">
        <v>0.45</v>
      </c>
      <c r="AS40" s="18">
        <v>0.15</v>
      </c>
      <c r="AT40" s="18">
        <v>4.18</v>
      </c>
      <c r="AU40" s="18">
        <v>7.88</v>
      </c>
      <c r="AV40" s="18">
        <v>4.18</v>
      </c>
      <c r="AW40" s="18">
        <v>0.85</v>
      </c>
      <c r="AX40" s="19">
        <v>0</v>
      </c>
    </row>
    <row r="41" spans="42:50" x14ac:dyDescent="0.25">
      <c r="AP41" s="16" t="s">
        <v>54</v>
      </c>
      <c r="AQ41" s="17">
        <v>1.89</v>
      </c>
      <c r="AR41" s="18">
        <v>0.45</v>
      </c>
      <c r="AS41" s="18">
        <v>0.15</v>
      </c>
      <c r="AT41" s="18">
        <v>3.04</v>
      </c>
      <c r="AU41" s="18">
        <v>7.88</v>
      </c>
      <c r="AV41" s="18">
        <v>3.56</v>
      </c>
      <c r="AW41" s="18">
        <v>0.85</v>
      </c>
      <c r="AX41" s="19">
        <v>0</v>
      </c>
    </row>
    <row r="42" spans="42:50" x14ac:dyDescent="0.25">
      <c r="AP42" s="16" t="s">
        <v>55</v>
      </c>
      <c r="AQ42" s="17">
        <v>1.61</v>
      </c>
      <c r="AR42" s="18">
        <v>0.45</v>
      </c>
      <c r="AS42" s="18">
        <v>0.15</v>
      </c>
      <c r="AT42" s="18">
        <v>3.56</v>
      </c>
      <c r="AU42" s="18">
        <v>6.72</v>
      </c>
      <c r="AV42" s="18">
        <v>4.18</v>
      </c>
      <c r="AW42" s="18">
        <v>0.85</v>
      </c>
      <c r="AX42" s="19">
        <v>0</v>
      </c>
    </row>
    <row r="43" spans="42:50" x14ac:dyDescent="0.25">
      <c r="AP43" s="16" t="s">
        <v>56</v>
      </c>
      <c r="AQ43" s="17">
        <v>1.61</v>
      </c>
      <c r="AR43" s="18">
        <v>0.39</v>
      </c>
      <c r="AS43" s="18">
        <v>0.15</v>
      </c>
      <c r="AT43" s="18">
        <v>3.56</v>
      </c>
      <c r="AU43" s="18">
        <v>7.88</v>
      </c>
      <c r="AV43" s="18">
        <v>4.18</v>
      </c>
      <c r="AW43" s="18">
        <v>0.85</v>
      </c>
      <c r="AX43" s="19">
        <v>0</v>
      </c>
    </row>
    <row r="44" spans="42:50" x14ac:dyDescent="0.25">
      <c r="AP44" s="16" t="s">
        <v>57</v>
      </c>
      <c r="AQ44" s="17">
        <v>2.21</v>
      </c>
      <c r="AR44" s="18">
        <v>0.39</v>
      </c>
      <c r="AS44" s="18">
        <v>0.85</v>
      </c>
      <c r="AT44" s="18">
        <v>0.85</v>
      </c>
      <c r="AU44" s="18">
        <v>7.88</v>
      </c>
      <c r="AV44" s="18">
        <v>2.21</v>
      </c>
      <c r="AW44" s="18">
        <v>0.33</v>
      </c>
      <c r="AX44" s="19">
        <v>4.18</v>
      </c>
    </row>
    <row r="45" spans="42:50" x14ac:dyDescent="0.25">
      <c r="AP45" s="16" t="s">
        <v>58</v>
      </c>
      <c r="AQ45" s="17">
        <v>2.21</v>
      </c>
      <c r="AR45" s="18">
        <v>0.45</v>
      </c>
      <c r="AS45" s="18">
        <v>0.62</v>
      </c>
      <c r="AT45" s="18">
        <v>3.04</v>
      </c>
      <c r="AU45" s="18">
        <v>6.72</v>
      </c>
      <c r="AV45" s="18">
        <v>1.89</v>
      </c>
      <c r="AW45" s="18">
        <v>0.33</v>
      </c>
      <c r="AX45" s="19">
        <v>2.21</v>
      </c>
    </row>
    <row r="46" spans="42:50" x14ac:dyDescent="0.25">
      <c r="AP46" s="16" t="s">
        <v>59</v>
      </c>
      <c r="AQ46" s="17">
        <v>1.89</v>
      </c>
      <c r="AR46" s="18">
        <v>0.45</v>
      </c>
      <c r="AS46" s="18">
        <v>0.15</v>
      </c>
      <c r="AT46" s="18">
        <v>3.04</v>
      </c>
      <c r="AU46" s="18">
        <v>7.88</v>
      </c>
      <c r="AV46" s="18">
        <v>3.56</v>
      </c>
      <c r="AW46" s="18">
        <v>0.85</v>
      </c>
      <c r="AX46" s="19">
        <v>4.8899999999999997</v>
      </c>
    </row>
    <row r="47" spans="42:50" x14ac:dyDescent="0.25">
      <c r="AP47" s="16" t="s">
        <v>60</v>
      </c>
      <c r="AQ47" s="17">
        <v>1.89</v>
      </c>
      <c r="AR47" s="18">
        <v>0.39</v>
      </c>
      <c r="AS47" s="18">
        <v>0.15</v>
      </c>
      <c r="AT47" s="18">
        <v>3.04</v>
      </c>
      <c r="AU47" s="18">
        <v>7.88</v>
      </c>
      <c r="AV47" s="18">
        <v>3.56</v>
      </c>
      <c r="AW47" s="18">
        <v>0.24</v>
      </c>
      <c r="AX47" s="19">
        <v>0</v>
      </c>
    </row>
    <row r="48" spans="42:50" x14ac:dyDescent="0.25">
      <c r="AP48" s="16" t="s">
        <v>61</v>
      </c>
      <c r="AQ48" s="17">
        <v>1.61</v>
      </c>
      <c r="AR48" s="18">
        <v>0.45</v>
      </c>
      <c r="AS48" s="18">
        <v>0.15</v>
      </c>
      <c r="AT48" s="18">
        <v>3.56</v>
      </c>
      <c r="AU48" s="18">
        <v>7.88</v>
      </c>
      <c r="AV48" s="18">
        <v>3.56</v>
      </c>
      <c r="AW48" s="18">
        <v>0.85</v>
      </c>
      <c r="AX48" s="19">
        <v>0</v>
      </c>
    </row>
    <row r="49" spans="42:50" x14ac:dyDescent="0.25">
      <c r="AP49" s="16" t="s">
        <v>62</v>
      </c>
      <c r="AQ49" s="17">
        <v>1.61</v>
      </c>
      <c r="AR49" s="18">
        <v>0.45</v>
      </c>
      <c r="AS49" s="18">
        <v>0.15</v>
      </c>
      <c r="AT49" s="18">
        <v>3.56</v>
      </c>
      <c r="AU49" s="18">
        <v>7.88</v>
      </c>
      <c r="AV49" s="18">
        <v>2.59</v>
      </c>
      <c r="AW49" s="18">
        <v>0.85</v>
      </c>
      <c r="AX49" s="19">
        <v>0</v>
      </c>
    </row>
    <row r="50" spans="42:50" x14ac:dyDescent="0.25">
      <c r="AP50" s="16" t="s">
        <v>63</v>
      </c>
      <c r="AQ50" s="17">
        <v>1.61</v>
      </c>
      <c r="AR50" s="18">
        <v>0.45</v>
      </c>
      <c r="AS50" s="18">
        <v>0.15</v>
      </c>
      <c r="AT50" s="18">
        <v>3.56</v>
      </c>
      <c r="AU50" s="18">
        <v>7.88</v>
      </c>
      <c r="AV50" s="18">
        <v>1.89</v>
      </c>
      <c r="AW50" s="18">
        <v>0.85</v>
      </c>
      <c r="AX50" s="19">
        <v>0</v>
      </c>
    </row>
    <row r="51" spans="42:50" x14ac:dyDescent="0.25">
      <c r="AP51" s="16" t="s">
        <v>64</v>
      </c>
      <c r="AQ51" s="17">
        <v>1.61</v>
      </c>
      <c r="AR51" s="18">
        <v>0.45</v>
      </c>
      <c r="AS51" s="18">
        <v>0.39</v>
      </c>
      <c r="AT51" s="18">
        <v>3.56</v>
      </c>
      <c r="AU51" s="18">
        <v>7.88</v>
      </c>
      <c r="AV51" s="18">
        <v>3.56</v>
      </c>
      <c r="AW51" s="18">
        <v>0.85</v>
      </c>
      <c r="AX51" s="19">
        <v>0</v>
      </c>
    </row>
    <row r="52" spans="42:50" x14ac:dyDescent="0.25">
      <c r="AP52" s="16" t="s">
        <v>65</v>
      </c>
      <c r="AQ52" s="17">
        <v>1.61</v>
      </c>
      <c r="AR52" s="18">
        <v>0.45</v>
      </c>
      <c r="AS52" s="18">
        <v>0.15</v>
      </c>
      <c r="AT52" s="18">
        <v>3.56</v>
      </c>
      <c r="AU52" s="18">
        <v>6.72</v>
      </c>
      <c r="AV52" s="18">
        <v>2.21</v>
      </c>
      <c r="AW52" s="18">
        <v>0.85</v>
      </c>
      <c r="AX52" s="19">
        <v>0</v>
      </c>
    </row>
    <row r="53" spans="42:50" x14ac:dyDescent="0.25">
      <c r="AP53" s="16" t="s">
        <v>66</v>
      </c>
      <c r="AQ53" s="17">
        <v>1.89</v>
      </c>
      <c r="AR53" s="18">
        <v>0.45</v>
      </c>
      <c r="AS53" s="18">
        <v>0.62</v>
      </c>
      <c r="AT53" s="18">
        <v>3.56</v>
      </c>
      <c r="AU53" s="18">
        <v>7.88</v>
      </c>
      <c r="AV53" s="18">
        <v>3.56</v>
      </c>
      <c r="AW53" s="18">
        <v>0.85</v>
      </c>
      <c r="AX53" s="19">
        <v>4.18</v>
      </c>
    </row>
    <row r="54" spans="42:50" x14ac:dyDescent="0.25">
      <c r="AP54" s="16" t="s">
        <v>67</v>
      </c>
      <c r="AQ54" s="17">
        <v>1.89</v>
      </c>
      <c r="AR54" s="18">
        <v>0.45</v>
      </c>
      <c r="AS54" s="18">
        <v>0.15</v>
      </c>
      <c r="AT54" s="18">
        <v>3.56</v>
      </c>
      <c r="AU54" s="18">
        <v>7.88</v>
      </c>
      <c r="AV54" s="18">
        <v>3.56</v>
      </c>
      <c r="AW54" s="18">
        <v>0.85</v>
      </c>
      <c r="AX54" s="19">
        <v>0</v>
      </c>
    </row>
    <row r="55" spans="42:50" x14ac:dyDescent="0.25">
      <c r="AP55" s="16" t="s">
        <v>68</v>
      </c>
      <c r="AQ55" s="17">
        <v>1.89</v>
      </c>
      <c r="AR55" s="18">
        <v>0.45</v>
      </c>
      <c r="AS55" s="18">
        <v>0.62</v>
      </c>
      <c r="AT55" s="18">
        <v>3.56</v>
      </c>
      <c r="AU55" s="18">
        <v>5.74</v>
      </c>
      <c r="AV55" s="18">
        <v>1.17</v>
      </c>
      <c r="AW55" s="18">
        <v>0.33</v>
      </c>
      <c r="AX55" s="19">
        <v>4.18</v>
      </c>
    </row>
    <row r="56" spans="42:50" x14ac:dyDescent="0.25">
      <c r="AP56" s="16" t="s">
        <v>69</v>
      </c>
      <c r="AQ56" s="17">
        <v>2.21</v>
      </c>
      <c r="AR56" s="18">
        <v>0.45</v>
      </c>
      <c r="AS56" s="18">
        <v>0.15</v>
      </c>
      <c r="AT56" s="18">
        <v>3.56</v>
      </c>
      <c r="AU56" s="18">
        <v>9.24</v>
      </c>
      <c r="AV56" s="18">
        <v>3.56</v>
      </c>
      <c r="AW56" s="18">
        <v>0.85</v>
      </c>
      <c r="AX56" s="19">
        <v>0</v>
      </c>
    </row>
    <row r="57" spans="42:50" x14ac:dyDescent="0.25">
      <c r="AP57" s="16" t="s">
        <v>70</v>
      </c>
      <c r="AQ57" s="17">
        <v>2.21</v>
      </c>
      <c r="AR57" s="18">
        <v>0.53</v>
      </c>
      <c r="AS57" s="18">
        <v>0.15</v>
      </c>
      <c r="AT57" s="18">
        <v>3.56</v>
      </c>
      <c r="AU57" s="18">
        <v>7.88</v>
      </c>
      <c r="AV57" s="18">
        <v>2.21</v>
      </c>
      <c r="AW57" s="18">
        <v>0.85</v>
      </c>
      <c r="AX57" s="19">
        <v>0</v>
      </c>
    </row>
    <row r="58" spans="42:50" x14ac:dyDescent="0.25">
      <c r="AP58" s="16" t="s">
        <v>71</v>
      </c>
      <c r="AQ58" s="17">
        <v>1.89</v>
      </c>
      <c r="AR58" s="18">
        <v>0.45</v>
      </c>
      <c r="AS58" s="18">
        <v>0.45</v>
      </c>
      <c r="AT58" s="18">
        <v>4.18</v>
      </c>
      <c r="AU58" s="18">
        <v>7.88</v>
      </c>
      <c r="AV58" s="18">
        <v>3.56</v>
      </c>
      <c r="AW58" s="18">
        <v>0.85</v>
      </c>
      <c r="AX58" s="19">
        <v>4.18</v>
      </c>
    </row>
    <row r="59" spans="42:50" x14ac:dyDescent="0.25">
      <c r="AP59" s="16" t="s">
        <v>72</v>
      </c>
      <c r="AQ59" s="17">
        <v>1.61</v>
      </c>
      <c r="AR59" s="18">
        <v>0.45</v>
      </c>
      <c r="AS59" s="18">
        <v>0.62</v>
      </c>
      <c r="AT59" s="18">
        <v>3.56</v>
      </c>
      <c r="AU59" s="18">
        <v>7.88</v>
      </c>
      <c r="AV59" s="18">
        <v>3.04</v>
      </c>
      <c r="AW59" s="18">
        <v>0.85</v>
      </c>
      <c r="AX59" s="19">
        <v>0</v>
      </c>
    </row>
    <row r="60" spans="42:50" x14ac:dyDescent="0.25">
      <c r="AP60" s="16" t="s">
        <v>73</v>
      </c>
      <c r="AQ60" s="17">
        <v>3.04</v>
      </c>
      <c r="AR60" s="18">
        <v>0.45</v>
      </c>
      <c r="AS60" s="18">
        <v>0.15</v>
      </c>
      <c r="AT60" s="18">
        <v>3.04</v>
      </c>
      <c r="AU60" s="18">
        <v>7.88</v>
      </c>
      <c r="AV60" s="18">
        <v>3.56</v>
      </c>
      <c r="AW60" s="18">
        <v>0.17</v>
      </c>
      <c r="AX60" s="19">
        <v>0</v>
      </c>
    </row>
    <row r="61" spans="42:50" x14ac:dyDescent="0.25">
      <c r="AP61" s="16" t="s">
        <v>74</v>
      </c>
      <c r="AQ61" s="17">
        <v>1.89</v>
      </c>
      <c r="AR61" s="18">
        <v>0.45</v>
      </c>
      <c r="AS61" s="18">
        <v>0.39</v>
      </c>
      <c r="AT61" s="18">
        <v>3.04</v>
      </c>
      <c r="AU61" s="18">
        <v>7.88</v>
      </c>
      <c r="AV61" s="18">
        <v>4.18</v>
      </c>
      <c r="AW61" s="18">
        <v>0.85</v>
      </c>
      <c r="AX61" s="19">
        <v>0</v>
      </c>
    </row>
    <row r="62" spans="42:50" ht="15.75" thickBot="1" x14ac:dyDescent="0.3">
      <c r="AP62" s="16" t="s">
        <v>75</v>
      </c>
      <c r="AQ62" s="17">
        <v>1.61</v>
      </c>
      <c r="AR62" s="18">
        <v>0.45</v>
      </c>
      <c r="AS62" s="18">
        <v>0.15</v>
      </c>
      <c r="AT62" s="18">
        <v>3.56</v>
      </c>
      <c r="AU62" s="18">
        <v>6.72</v>
      </c>
      <c r="AV62" s="18">
        <v>2.21</v>
      </c>
      <c r="AW62" s="18">
        <v>0.85</v>
      </c>
      <c r="AX62" s="19">
        <v>0</v>
      </c>
    </row>
    <row r="63" spans="42:50" x14ac:dyDescent="0.25">
      <c r="AP63" s="10" t="s">
        <v>230</v>
      </c>
      <c r="AQ63" s="11">
        <v>1.85372881355932</v>
      </c>
      <c r="AR63" s="12">
        <v>0.44661016949152499</v>
      </c>
      <c r="AS63" s="12">
        <v>0.26779661016949102</v>
      </c>
      <c r="AT63" s="12">
        <v>3.2686206896551702</v>
      </c>
      <c r="AU63" s="12">
        <v>7.9101694915254201</v>
      </c>
      <c r="AV63" s="12">
        <v>3.2974576271186402</v>
      </c>
      <c r="AW63" s="12">
        <v>0.71372881355932205</v>
      </c>
      <c r="AX63" s="13">
        <v>2.8864000000000001</v>
      </c>
    </row>
    <row r="64" spans="42:50" x14ac:dyDescent="0.25">
      <c r="AP64" s="16" t="s">
        <v>231</v>
      </c>
      <c r="AQ64" s="17">
        <v>0.33745256191450101</v>
      </c>
      <c r="AR64" s="18">
        <v>2.3907318891532799E-2</v>
      </c>
      <c r="AS64" s="18">
        <v>0.19961885543739599</v>
      </c>
      <c r="AT64" s="18">
        <v>0.74914767264806104</v>
      </c>
      <c r="AU64" s="18">
        <v>0.68142794121552797</v>
      </c>
      <c r="AV64" s="18">
        <v>0.69497614450056999</v>
      </c>
      <c r="AW64" s="18">
        <v>0.24231159590238699</v>
      </c>
      <c r="AX64" s="19">
        <v>1.55823459081102</v>
      </c>
    </row>
    <row r="65" spans="42:50" x14ac:dyDescent="0.25">
      <c r="AP65" s="16" t="s">
        <v>232</v>
      </c>
      <c r="AQ65" s="17">
        <v>2.1911813754738199</v>
      </c>
      <c r="AR65" s="18">
        <v>0.47051748838305701</v>
      </c>
      <c r="AS65" s="18">
        <v>0.46741546560688801</v>
      </c>
      <c r="AT65" s="18">
        <v>4.0177683623032303</v>
      </c>
      <c r="AU65" s="18">
        <v>8.5915974327409508</v>
      </c>
      <c r="AV65" s="18">
        <v>3.99243377161921</v>
      </c>
      <c r="AW65" s="18">
        <v>0.95604040946170898</v>
      </c>
      <c r="AX65" s="19">
        <v>4.4446345908110203</v>
      </c>
    </row>
    <row r="66" spans="42:50" x14ac:dyDescent="0.25">
      <c r="AP66" s="16" t="s">
        <v>233</v>
      </c>
      <c r="AQ66" s="17">
        <v>1.5162762516448201</v>
      </c>
      <c r="AR66" s="18">
        <v>0.42270285059999202</v>
      </c>
      <c r="AS66" s="18">
        <v>6.81777547320951E-2</v>
      </c>
      <c r="AT66" s="18">
        <v>2.51947301700711</v>
      </c>
      <c r="AU66" s="18">
        <v>7.2287415503098904</v>
      </c>
      <c r="AV66" s="18">
        <v>2.60248148261807</v>
      </c>
      <c r="AW66" s="18">
        <v>0.47141721765693501</v>
      </c>
      <c r="AX66" s="19">
        <v>1.3281654091889701</v>
      </c>
    </row>
    <row r="67" spans="42:50" ht="15.75" thickBot="1" x14ac:dyDescent="0.3">
      <c r="AP67" s="23" t="s">
        <v>234</v>
      </c>
      <c r="AQ67" s="24">
        <v>1.7112765957446801</v>
      </c>
      <c r="AR67" s="25">
        <v>0.44999999999999901</v>
      </c>
      <c r="AS67" s="25">
        <v>0.18</v>
      </c>
      <c r="AT67" s="25">
        <v>3.3387234042553202</v>
      </c>
      <c r="AU67" s="25">
        <v>7.8799999999999901</v>
      </c>
      <c r="AV67" s="25">
        <v>3.4897297297297301</v>
      </c>
      <c r="AW67" s="25">
        <v>0.84733333333333405</v>
      </c>
      <c r="AX67" s="26">
        <v>3.7053333333333298</v>
      </c>
    </row>
    <row r="68" spans="42:50" ht="15.75" thickBot="1" x14ac:dyDescent="0.3">
      <c r="AQ68" s="27"/>
      <c r="AR68" s="27"/>
      <c r="AS68" s="27"/>
      <c r="AT68" s="27"/>
      <c r="AU68" s="27"/>
      <c r="AV68" s="27"/>
      <c r="AW68" s="27"/>
      <c r="AX68" s="27"/>
    </row>
    <row r="69" spans="42:50" ht="30" x14ac:dyDescent="0.25">
      <c r="AP69" s="28" t="s">
        <v>235</v>
      </c>
      <c r="AQ69" s="29">
        <v>3.8</v>
      </c>
      <c r="AR69" s="29">
        <v>2.5</v>
      </c>
      <c r="AS69" s="29">
        <v>4.05</v>
      </c>
      <c r="AT69" s="29">
        <v>3.84</v>
      </c>
      <c r="AU69" s="29">
        <v>2.25</v>
      </c>
      <c r="AV69" s="29">
        <v>4.26</v>
      </c>
      <c r="AW69" s="29">
        <v>1.27</v>
      </c>
      <c r="AX69" s="30">
        <v>1.64</v>
      </c>
    </row>
    <row r="70" spans="42:50" x14ac:dyDescent="0.25">
      <c r="AP70" s="31" t="s">
        <v>236</v>
      </c>
      <c r="AQ70" s="32">
        <f t="shared" ref="AQ70:AX70" si="0">AQ69-AQ67</f>
        <v>2.0887234042553198</v>
      </c>
      <c r="AR70" s="32">
        <f t="shared" si="0"/>
        <v>2.0500000000000012</v>
      </c>
      <c r="AS70" s="32">
        <f t="shared" si="0"/>
        <v>3.8699999999999997</v>
      </c>
      <c r="AT70" s="32">
        <f t="shared" si="0"/>
        <v>0.50127659574467964</v>
      </c>
      <c r="AU70" s="32">
        <f t="shared" si="0"/>
        <v>-5.6299999999999901</v>
      </c>
      <c r="AV70" s="32">
        <f t="shared" si="0"/>
        <v>0.77027027027026973</v>
      </c>
      <c r="AW70" s="32">
        <f t="shared" si="0"/>
        <v>0.42266666666666597</v>
      </c>
      <c r="AX70" s="33">
        <f t="shared" si="0"/>
        <v>-2.0653333333333297</v>
      </c>
    </row>
    <row r="71" spans="42:50" ht="15.75" thickBot="1" x14ac:dyDescent="0.3">
      <c r="AP71" s="34" t="s">
        <v>237</v>
      </c>
      <c r="AQ71" s="35">
        <f t="shared" ref="AQ71:AX71" si="1">(AQ70/AQ67)*100</f>
        <v>122.05644659952763</v>
      </c>
      <c r="AR71" s="35">
        <f t="shared" si="1"/>
        <v>455.55555555555679</v>
      </c>
      <c r="AS71" s="35">
        <f t="shared" si="1"/>
        <v>2150</v>
      </c>
      <c r="AT71" s="35">
        <f t="shared" si="1"/>
        <v>15.014019882742758</v>
      </c>
      <c r="AU71" s="35">
        <f t="shared" si="1"/>
        <v>-71.446700507614182</v>
      </c>
      <c r="AV71" s="35">
        <f t="shared" si="1"/>
        <v>22.072490706319687</v>
      </c>
      <c r="AW71" s="35">
        <f t="shared" si="1"/>
        <v>49.881982690794523</v>
      </c>
      <c r="AX71" s="36">
        <f t="shared" si="1"/>
        <v>-55.739474631162246</v>
      </c>
    </row>
    <row r="72" spans="42:50" ht="15.75" thickBot="1" x14ac:dyDescent="0.3">
      <c r="AP72" s="37"/>
      <c r="AQ72" s="32"/>
      <c r="AR72" s="32"/>
      <c r="AS72" s="32"/>
      <c r="AT72" s="32"/>
      <c r="AU72" s="32"/>
      <c r="AV72" s="32"/>
      <c r="AW72" s="32"/>
      <c r="AX72" s="32"/>
    </row>
    <row r="73" spans="42:50" ht="30" x14ac:dyDescent="0.25">
      <c r="AP73" s="28" t="s">
        <v>238</v>
      </c>
      <c r="AQ73" s="29">
        <v>3.62</v>
      </c>
      <c r="AR73" s="29">
        <v>2.38</v>
      </c>
      <c r="AS73" s="29">
        <v>3.96</v>
      </c>
      <c r="AT73" s="29">
        <v>3.68</v>
      </c>
      <c r="AU73" s="29">
        <v>2.14</v>
      </c>
      <c r="AV73" s="29">
        <v>4.1100000000000003</v>
      </c>
      <c r="AW73" s="29">
        <v>1.1399999999999999</v>
      </c>
      <c r="AX73" s="30">
        <v>1.5</v>
      </c>
    </row>
    <row r="74" spans="42:50" x14ac:dyDescent="0.25">
      <c r="AP74" s="31" t="s">
        <v>236</v>
      </c>
      <c r="AQ74" s="32">
        <f t="shared" ref="AQ74:AX74" si="2">AQ73-AQ67</f>
        <v>1.9087234042553201</v>
      </c>
      <c r="AR74" s="32">
        <f t="shared" si="2"/>
        <v>1.9300000000000008</v>
      </c>
      <c r="AS74" s="32">
        <f t="shared" si="2"/>
        <v>3.78</v>
      </c>
      <c r="AT74" s="32">
        <f t="shared" si="2"/>
        <v>0.34127659574467994</v>
      </c>
      <c r="AU74" s="32">
        <f t="shared" si="2"/>
        <v>-5.7399999999999896</v>
      </c>
      <c r="AV74" s="32">
        <f t="shared" si="2"/>
        <v>0.62027027027027026</v>
      </c>
      <c r="AW74" s="32">
        <f t="shared" si="2"/>
        <v>0.29266666666666585</v>
      </c>
      <c r="AX74" s="33">
        <f t="shared" si="2"/>
        <v>-2.2053333333333298</v>
      </c>
    </row>
    <row r="75" spans="42:50" ht="15.75" thickBot="1" x14ac:dyDescent="0.3">
      <c r="AP75" s="34" t="s">
        <v>237</v>
      </c>
      <c r="AQ75" s="35">
        <f>(AQ74/AQ67)*100</f>
        <v>111.53798333955002</v>
      </c>
      <c r="AR75" s="35">
        <f t="shared" ref="AR75:AX75" si="3">(AR74/AR67)*100</f>
        <v>428.88888888889005</v>
      </c>
      <c r="AS75" s="35">
        <f t="shared" si="3"/>
        <v>2100</v>
      </c>
      <c r="AT75" s="35">
        <f t="shared" si="3"/>
        <v>10.221769054295152</v>
      </c>
      <c r="AU75" s="35">
        <f t="shared" si="3"/>
        <v>-72.842639593908586</v>
      </c>
      <c r="AV75" s="35">
        <f t="shared" si="3"/>
        <v>17.774163568773233</v>
      </c>
      <c r="AW75" s="35">
        <f t="shared" si="3"/>
        <v>34.539732494099006</v>
      </c>
      <c r="AX75" s="36">
        <f t="shared" si="3"/>
        <v>-59.517812162648397</v>
      </c>
    </row>
    <row r="76" spans="42:50" ht="15.75" thickBot="1" x14ac:dyDescent="0.3">
      <c r="AQ76" s="27"/>
      <c r="AR76" s="27"/>
      <c r="AS76" s="27"/>
      <c r="AT76" s="27"/>
      <c r="AU76" s="27"/>
      <c r="AV76" s="27"/>
      <c r="AW76" s="27"/>
      <c r="AX76" s="27"/>
    </row>
    <row r="77" spans="42:50" ht="30" x14ac:dyDescent="0.25">
      <c r="AP77" s="28" t="s">
        <v>239</v>
      </c>
      <c r="AQ77" s="38">
        <v>3.55</v>
      </c>
      <c r="AR77" s="29">
        <v>2.44</v>
      </c>
      <c r="AS77" s="29">
        <v>3.99</v>
      </c>
      <c r="AT77" s="29">
        <v>3.75</v>
      </c>
      <c r="AU77" s="29">
        <v>2.2000000000000002</v>
      </c>
      <c r="AV77" s="29">
        <v>4.25</v>
      </c>
      <c r="AW77" s="29">
        <v>1.1599999999999999</v>
      </c>
      <c r="AX77" s="30">
        <v>1.51</v>
      </c>
    </row>
    <row r="78" spans="42:50" x14ac:dyDescent="0.25">
      <c r="AP78" s="31" t="s">
        <v>236</v>
      </c>
      <c r="AQ78" s="39">
        <f>AQ77-AQ67</f>
        <v>1.8387234042553198</v>
      </c>
      <c r="AR78" s="32">
        <f t="shared" ref="AR78:AX78" si="4">AR77-AR67</f>
        <v>1.9900000000000009</v>
      </c>
      <c r="AS78" s="32">
        <f t="shared" si="4"/>
        <v>3.81</v>
      </c>
      <c r="AT78" s="32">
        <f t="shared" si="4"/>
        <v>0.41127659574467978</v>
      </c>
      <c r="AU78" s="32">
        <f t="shared" si="4"/>
        <v>-5.6799999999999899</v>
      </c>
      <c r="AV78" s="32">
        <f t="shared" si="4"/>
        <v>0.76027027027026994</v>
      </c>
      <c r="AW78" s="32">
        <f>AW77-AW67</f>
        <v>0.31266666666666587</v>
      </c>
      <c r="AX78" s="33">
        <f t="shared" si="4"/>
        <v>-2.1953333333333296</v>
      </c>
    </row>
    <row r="79" spans="42:50" ht="15.75" thickBot="1" x14ac:dyDescent="0.3">
      <c r="AP79" s="34" t="s">
        <v>237</v>
      </c>
      <c r="AQ79" s="40">
        <f>(AQ78/AQ67)*100</f>
        <v>107.4474698495587</v>
      </c>
      <c r="AR79" s="35">
        <f t="shared" ref="AR79:AX79" si="5">(AR78/AR67)*100</f>
        <v>442.22222222222342</v>
      </c>
      <c r="AS79" s="35">
        <f t="shared" si="5"/>
        <v>2116.666666666667</v>
      </c>
      <c r="AT79" s="35">
        <f t="shared" si="5"/>
        <v>12.318378791740979</v>
      </c>
      <c r="AU79" s="35">
        <f t="shared" si="5"/>
        <v>-72.081218274111635</v>
      </c>
      <c r="AV79" s="35">
        <f t="shared" si="5"/>
        <v>21.785935563816594</v>
      </c>
      <c r="AW79" s="35">
        <f t="shared" si="5"/>
        <v>36.900078678206008</v>
      </c>
      <c r="AX79" s="36">
        <f t="shared" si="5"/>
        <v>-59.247930910399383</v>
      </c>
    </row>
    <row r="80" spans="42:50" x14ac:dyDescent="0.25">
      <c r="AQ80" s="27"/>
      <c r="AR80" s="27"/>
      <c r="AS80" s="27"/>
      <c r="AT80" s="27"/>
      <c r="AU80" s="27"/>
      <c r="AV80" s="27"/>
      <c r="AW80" s="27"/>
      <c r="AX80" s="27"/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083-E643-4980-BFF4-67EB48D8A0C5}">
  <dimension ref="B1:CB925"/>
  <sheetViews>
    <sheetView topLeftCell="AF36" workbookViewId="0">
      <selection activeCell="AQ64" sqref="AQ64:AX64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1.42578125" style="3" bestFit="1" customWidth="1"/>
    <col min="43" max="44" width="6.5703125" style="3" bestFit="1" customWidth="1"/>
    <col min="45" max="45" width="7.5703125" style="3" bestFit="1" customWidth="1"/>
    <col min="46" max="46" width="5.5703125" style="3" bestFit="1" customWidth="1"/>
    <col min="47" max="47" width="6.28515625" style="3" bestFit="1" customWidth="1"/>
    <col min="48" max="49" width="5.5703125" style="3" bestFit="1" customWidth="1"/>
    <col min="50" max="50" width="6.285156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41" t="s">
        <v>0</v>
      </c>
      <c r="C2" s="42"/>
      <c r="D2" s="42"/>
      <c r="E2" s="42"/>
      <c r="F2" s="42"/>
      <c r="G2" s="42"/>
      <c r="H2" s="42"/>
      <c r="I2" s="42"/>
      <c r="J2" s="43"/>
      <c r="L2" s="41" t="s">
        <v>1</v>
      </c>
      <c r="M2" s="42"/>
      <c r="N2" s="42"/>
      <c r="O2" s="42"/>
      <c r="P2" s="42"/>
      <c r="Q2" s="42"/>
      <c r="R2" s="42"/>
      <c r="S2" s="42"/>
      <c r="T2" s="43"/>
      <c r="V2" s="41" t="s">
        <v>2</v>
      </c>
      <c r="W2" s="42"/>
      <c r="X2" s="42"/>
      <c r="Y2" s="42"/>
      <c r="Z2" s="42"/>
      <c r="AA2" s="42"/>
      <c r="AB2" s="42"/>
      <c r="AC2" s="42"/>
      <c r="AD2" s="43"/>
      <c r="AF2" s="41" t="s">
        <v>3</v>
      </c>
      <c r="AG2" s="42"/>
      <c r="AH2" s="42"/>
      <c r="AI2" s="42"/>
      <c r="AJ2" s="42"/>
      <c r="AK2" s="42"/>
      <c r="AL2" s="42"/>
      <c r="AM2" s="42"/>
      <c r="AN2" s="43"/>
      <c r="AP2" s="41" t="s">
        <v>4</v>
      </c>
      <c r="AQ2" s="42"/>
      <c r="AR2" s="42"/>
      <c r="AS2" s="42"/>
      <c r="AT2" s="42"/>
      <c r="AU2" s="42"/>
      <c r="AV2" s="42"/>
      <c r="AW2" s="42"/>
      <c r="AX2" s="43"/>
      <c r="AZ2" s="41" t="s">
        <v>5</v>
      </c>
      <c r="BA2" s="42"/>
      <c r="BB2" s="42"/>
      <c r="BC2" s="42"/>
      <c r="BD2" s="42"/>
      <c r="BE2" s="42"/>
      <c r="BF2" s="42"/>
      <c r="BG2" s="42"/>
      <c r="BH2" s="43"/>
      <c r="BJ2" s="41" t="s">
        <v>6</v>
      </c>
      <c r="BK2" s="42"/>
      <c r="BL2" s="42"/>
      <c r="BM2" s="42"/>
      <c r="BN2" s="42"/>
      <c r="BO2" s="42"/>
      <c r="BP2" s="42"/>
      <c r="BQ2" s="42"/>
      <c r="BR2" s="43"/>
      <c r="BT2" s="41" t="s">
        <v>7</v>
      </c>
      <c r="BU2" s="42"/>
      <c r="BV2" s="42"/>
      <c r="BW2" s="42"/>
      <c r="BX2" s="42"/>
      <c r="BY2" s="42"/>
      <c r="BZ2" s="42"/>
      <c r="CA2" s="42"/>
      <c r="CB2" s="43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194</v>
      </c>
      <c r="AQ4" s="11">
        <v>1.89</v>
      </c>
      <c r="AR4" s="12">
        <v>0.45</v>
      </c>
      <c r="AS4" s="12">
        <v>0.15</v>
      </c>
      <c r="AT4" s="12">
        <v>4.18</v>
      </c>
      <c r="AU4" s="12">
        <v>7.88</v>
      </c>
      <c r="AV4" s="12">
        <v>3.56</v>
      </c>
      <c r="AW4" s="12">
        <v>0.85</v>
      </c>
      <c r="AX4" s="13">
        <v>4.18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194</v>
      </c>
      <c r="AQ5" s="17">
        <v>2.21</v>
      </c>
      <c r="AR5" s="18">
        <v>0.45</v>
      </c>
      <c r="AS5" s="18">
        <v>0.62</v>
      </c>
      <c r="AT5" s="18">
        <v>4.18</v>
      </c>
      <c r="AU5" s="18">
        <v>7.88</v>
      </c>
      <c r="AV5" s="18">
        <v>2.21</v>
      </c>
      <c r="AW5" s="18">
        <v>0.33</v>
      </c>
      <c r="AX5" s="19">
        <v>4.18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194</v>
      </c>
      <c r="AQ6" s="17">
        <v>1.61</v>
      </c>
      <c r="AR6" s="18">
        <v>0.45</v>
      </c>
      <c r="AS6" s="18">
        <v>0.17</v>
      </c>
      <c r="AT6" s="18">
        <v>3.04</v>
      </c>
      <c r="AU6" s="18">
        <v>6.72</v>
      </c>
      <c r="AV6" s="18">
        <v>3.56</v>
      </c>
      <c r="AW6" s="18">
        <v>0.28000000000000003</v>
      </c>
      <c r="AX6" s="19">
        <v>0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194</v>
      </c>
      <c r="AQ7" s="17">
        <v>1.61</v>
      </c>
      <c r="AR7" s="18">
        <v>0.45</v>
      </c>
      <c r="AS7" s="18">
        <v>0.62</v>
      </c>
      <c r="AT7" s="18">
        <v>3.04</v>
      </c>
      <c r="AU7" s="18">
        <v>7.88</v>
      </c>
      <c r="AV7" s="18">
        <v>3.56</v>
      </c>
      <c r="AW7" s="18">
        <v>0.85</v>
      </c>
      <c r="AX7" s="19">
        <v>0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194</v>
      </c>
      <c r="AQ8" s="17">
        <v>1.89</v>
      </c>
      <c r="AR8" s="18">
        <v>0.45</v>
      </c>
      <c r="AS8" s="18">
        <v>0.17</v>
      </c>
      <c r="AT8" s="18">
        <v>0.85</v>
      </c>
      <c r="AU8" s="18">
        <v>7.88</v>
      </c>
      <c r="AV8" s="18">
        <v>3.56</v>
      </c>
      <c r="AW8" s="18">
        <v>0.85</v>
      </c>
      <c r="AX8" s="19">
        <v>0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195</v>
      </c>
      <c r="AQ9" s="17">
        <v>2.59</v>
      </c>
      <c r="AR9" s="18">
        <v>0.45</v>
      </c>
      <c r="AS9" s="18">
        <v>0.15</v>
      </c>
      <c r="AT9" s="18">
        <v>3.04</v>
      </c>
      <c r="AU9" s="18">
        <v>7.88</v>
      </c>
      <c r="AV9" s="18">
        <v>3.56</v>
      </c>
      <c r="AW9" s="18">
        <v>0.33</v>
      </c>
      <c r="AX9" s="19">
        <v>0</v>
      </c>
    </row>
    <row r="10" spans="2:80" x14ac:dyDescent="0.25">
      <c r="AP10" s="16" t="s">
        <v>195</v>
      </c>
      <c r="AQ10" s="17">
        <v>1.61</v>
      </c>
      <c r="AR10" s="18">
        <v>0.45</v>
      </c>
      <c r="AS10" s="18">
        <v>0.15</v>
      </c>
      <c r="AT10" s="18">
        <v>3.56</v>
      </c>
      <c r="AU10" s="18">
        <v>7.88</v>
      </c>
      <c r="AV10" s="18">
        <v>3.56</v>
      </c>
      <c r="AW10" s="18">
        <v>0.85</v>
      </c>
      <c r="AX10" s="19">
        <v>0</v>
      </c>
    </row>
    <row r="11" spans="2:80" x14ac:dyDescent="0.25">
      <c r="AP11" s="16" t="s">
        <v>195</v>
      </c>
      <c r="AQ11" s="17">
        <v>1.89</v>
      </c>
      <c r="AR11" s="18">
        <v>0.45</v>
      </c>
      <c r="AS11" s="18">
        <v>0.15</v>
      </c>
      <c r="AT11" s="18">
        <v>3.56</v>
      </c>
      <c r="AU11" s="18">
        <v>7.88</v>
      </c>
      <c r="AV11" s="18">
        <v>3.56</v>
      </c>
      <c r="AW11" s="18">
        <v>0.85</v>
      </c>
      <c r="AX11" s="19">
        <v>0</v>
      </c>
    </row>
    <row r="12" spans="2:80" x14ac:dyDescent="0.25">
      <c r="AP12" s="16" t="s">
        <v>195</v>
      </c>
      <c r="AQ12" s="17">
        <v>1.89</v>
      </c>
      <c r="AR12" s="18">
        <v>0.45</v>
      </c>
      <c r="AS12" s="18">
        <v>0.15</v>
      </c>
      <c r="AT12" s="18">
        <v>3.04</v>
      </c>
      <c r="AU12" s="18">
        <v>7.88</v>
      </c>
      <c r="AV12" s="18">
        <v>4.18</v>
      </c>
      <c r="AW12" s="18">
        <v>0.85</v>
      </c>
      <c r="AX12" s="19">
        <v>0.85</v>
      </c>
    </row>
    <row r="13" spans="2:80" x14ac:dyDescent="0.25">
      <c r="AP13" s="16" t="s">
        <v>195</v>
      </c>
      <c r="AQ13" s="17">
        <v>1.89</v>
      </c>
      <c r="AR13" s="18">
        <v>0.45</v>
      </c>
      <c r="AS13" s="18">
        <v>0.17</v>
      </c>
      <c r="AT13" s="18">
        <v>3.04</v>
      </c>
      <c r="AU13" s="18">
        <v>9.24</v>
      </c>
      <c r="AV13" s="18">
        <v>3.56</v>
      </c>
      <c r="AW13" s="18">
        <v>0.17</v>
      </c>
      <c r="AX13" s="19">
        <v>0.85</v>
      </c>
    </row>
    <row r="14" spans="2:80" x14ac:dyDescent="0.25">
      <c r="AP14" s="16" t="s">
        <v>196</v>
      </c>
      <c r="AQ14" s="17">
        <v>1.61</v>
      </c>
      <c r="AR14" s="18">
        <v>0.45</v>
      </c>
      <c r="AS14" s="18">
        <v>0.15</v>
      </c>
      <c r="AT14" s="18">
        <v>3.56</v>
      </c>
      <c r="AU14" s="18">
        <v>7.88</v>
      </c>
      <c r="AV14" s="18">
        <v>3.56</v>
      </c>
      <c r="AW14" s="18">
        <v>0.85</v>
      </c>
      <c r="AX14" s="19">
        <v>0.85</v>
      </c>
    </row>
    <row r="15" spans="2:80" x14ac:dyDescent="0.25">
      <c r="AP15" s="16" t="s">
        <v>196</v>
      </c>
      <c r="AQ15" s="17">
        <v>2.21</v>
      </c>
      <c r="AR15" s="18">
        <v>0.45</v>
      </c>
      <c r="AS15" s="18">
        <v>0.62</v>
      </c>
      <c r="AT15" s="18">
        <v>4.18</v>
      </c>
      <c r="AU15" s="18">
        <v>9.24</v>
      </c>
      <c r="AV15" s="18">
        <v>3.56</v>
      </c>
      <c r="AW15" s="18">
        <v>0.33</v>
      </c>
      <c r="AX15" s="19">
        <v>4.18</v>
      </c>
    </row>
    <row r="16" spans="2:80" x14ac:dyDescent="0.25">
      <c r="AP16" s="16" t="s">
        <v>196</v>
      </c>
      <c r="AQ16" s="17">
        <v>1.61</v>
      </c>
      <c r="AR16" s="18">
        <v>0.45</v>
      </c>
      <c r="AS16" s="18">
        <v>0.15</v>
      </c>
      <c r="AT16" s="18">
        <v>3.04</v>
      </c>
      <c r="AU16" s="18">
        <v>7.88</v>
      </c>
      <c r="AV16" s="18">
        <v>3.04</v>
      </c>
      <c r="AW16" s="18">
        <v>0.33</v>
      </c>
      <c r="AX16" s="19">
        <v>0.85</v>
      </c>
    </row>
    <row r="17" spans="42:50" x14ac:dyDescent="0.25">
      <c r="AP17" s="16" t="s">
        <v>196</v>
      </c>
      <c r="AQ17" s="17">
        <v>2.59</v>
      </c>
      <c r="AR17" s="18">
        <v>0.45</v>
      </c>
      <c r="AS17" s="18">
        <v>0.17</v>
      </c>
      <c r="AT17" s="18">
        <v>4.18</v>
      </c>
      <c r="AU17" s="18">
        <v>7.88</v>
      </c>
      <c r="AV17" s="18">
        <v>4.18</v>
      </c>
      <c r="AW17" s="18">
        <v>0.85</v>
      </c>
      <c r="AX17" s="19">
        <v>0</v>
      </c>
    </row>
    <row r="18" spans="42:50" x14ac:dyDescent="0.25">
      <c r="AP18" s="16" t="s">
        <v>196</v>
      </c>
      <c r="AQ18" s="17">
        <v>1.61</v>
      </c>
      <c r="AR18" s="18">
        <v>0.39</v>
      </c>
      <c r="AS18" s="18">
        <v>0.15</v>
      </c>
      <c r="AT18" s="18">
        <v>3.56</v>
      </c>
      <c r="AU18" s="18">
        <v>7.88</v>
      </c>
      <c r="AV18" s="18">
        <v>3.56</v>
      </c>
      <c r="AW18" s="18">
        <v>0.85</v>
      </c>
      <c r="AX18" s="19">
        <v>0</v>
      </c>
    </row>
    <row r="19" spans="42:50" x14ac:dyDescent="0.25">
      <c r="AP19" s="16" t="s">
        <v>197</v>
      </c>
      <c r="AQ19" s="17">
        <v>1.89</v>
      </c>
      <c r="AR19" s="18">
        <v>0.45</v>
      </c>
      <c r="AS19" s="18">
        <v>0.15</v>
      </c>
      <c r="AT19" s="18">
        <v>0.85</v>
      </c>
      <c r="AU19" s="18">
        <v>7.88</v>
      </c>
      <c r="AV19" s="18">
        <v>3.56</v>
      </c>
      <c r="AW19" s="18">
        <v>0.85</v>
      </c>
      <c r="AX19" s="19">
        <v>0</v>
      </c>
    </row>
    <row r="20" spans="42:50" x14ac:dyDescent="0.25">
      <c r="AP20" s="16" t="s">
        <v>197</v>
      </c>
      <c r="AQ20" s="17">
        <v>2.21</v>
      </c>
      <c r="AR20" s="18">
        <v>0.45</v>
      </c>
      <c r="AS20" s="18">
        <v>0.15</v>
      </c>
      <c r="AT20" s="18">
        <v>3.56</v>
      </c>
      <c r="AU20" s="18">
        <v>6.72</v>
      </c>
      <c r="AV20" s="18">
        <v>3.56</v>
      </c>
      <c r="AW20" s="18">
        <v>0.15</v>
      </c>
      <c r="AX20" s="19">
        <v>0</v>
      </c>
    </row>
    <row r="21" spans="42:50" x14ac:dyDescent="0.25">
      <c r="AP21" s="16" t="s">
        <v>197</v>
      </c>
      <c r="AQ21" s="17">
        <v>1.61</v>
      </c>
      <c r="AR21" s="18">
        <v>0.45</v>
      </c>
      <c r="AS21" s="18">
        <v>0.15</v>
      </c>
      <c r="AT21" s="18">
        <v>3.04</v>
      </c>
      <c r="AU21" s="18">
        <v>7.88</v>
      </c>
      <c r="AV21" s="18">
        <v>3.04</v>
      </c>
      <c r="AW21" s="18">
        <v>0.33</v>
      </c>
      <c r="AX21" s="19">
        <v>0.85</v>
      </c>
    </row>
    <row r="22" spans="42:50" x14ac:dyDescent="0.25">
      <c r="AP22" s="16" t="s">
        <v>197</v>
      </c>
      <c r="AQ22" s="17">
        <v>1.61</v>
      </c>
      <c r="AR22" s="18">
        <v>0.45</v>
      </c>
      <c r="AS22" s="18">
        <v>0.15</v>
      </c>
      <c r="AT22" s="18">
        <v>3.56</v>
      </c>
      <c r="AU22" s="18">
        <v>7.88</v>
      </c>
      <c r="AV22" s="18">
        <v>3.04</v>
      </c>
      <c r="AW22" s="18">
        <v>0.85</v>
      </c>
      <c r="AX22" s="19">
        <v>0</v>
      </c>
    </row>
    <row r="23" spans="42:50" x14ac:dyDescent="0.25">
      <c r="AP23" s="16" t="s">
        <v>197</v>
      </c>
      <c r="AQ23" s="17">
        <v>1.61</v>
      </c>
      <c r="AR23" s="18">
        <v>0.45</v>
      </c>
      <c r="AS23" s="18">
        <v>0.45</v>
      </c>
      <c r="AT23" s="18">
        <v>3.56</v>
      </c>
      <c r="AU23" s="18">
        <v>7.88</v>
      </c>
      <c r="AV23" s="18">
        <v>3.56</v>
      </c>
      <c r="AW23" s="18">
        <v>0.85</v>
      </c>
      <c r="AX23" s="19">
        <v>4.18</v>
      </c>
    </row>
    <row r="24" spans="42:50" x14ac:dyDescent="0.25">
      <c r="AP24" s="16" t="s">
        <v>198</v>
      </c>
      <c r="AQ24" s="17">
        <v>1.89</v>
      </c>
      <c r="AR24" s="18">
        <v>0.45</v>
      </c>
      <c r="AS24" s="18">
        <v>0.15</v>
      </c>
      <c r="AT24" s="18">
        <v>0</v>
      </c>
      <c r="AU24" s="18">
        <v>7.88</v>
      </c>
      <c r="AV24" s="18">
        <v>3.56</v>
      </c>
      <c r="AW24" s="18">
        <v>0.85</v>
      </c>
      <c r="AX24" s="19">
        <v>2.59</v>
      </c>
    </row>
    <row r="25" spans="42:50" x14ac:dyDescent="0.25">
      <c r="AP25" s="16" t="s">
        <v>198</v>
      </c>
      <c r="AQ25" s="17">
        <v>2.21</v>
      </c>
      <c r="AR25" s="18">
        <v>0.45</v>
      </c>
      <c r="AS25" s="18">
        <v>0.62</v>
      </c>
      <c r="AT25" s="18">
        <v>0.85</v>
      </c>
      <c r="AU25" s="18">
        <v>7.88</v>
      </c>
      <c r="AV25" s="18">
        <v>2.21</v>
      </c>
      <c r="AW25" s="18">
        <v>0.33</v>
      </c>
      <c r="AX25" s="19">
        <v>4.18</v>
      </c>
    </row>
    <row r="26" spans="42:50" x14ac:dyDescent="0.25">
      <c r="AP26" s="16" t="s">
        <v>198</v>
      </c>
      <c r="AQ26" s="17">
        <v>1.89</v>
      </c>
      <c r="AR26" s="18">
        <v>0.39</v>
      </c>
      <c r="AS26" s="18">
        <v>0.62</v>
      </c>
      <c r="AT26" s="18">
        <v>0.85</v>
      </c>
      <c r="AU26" s="18">
        <v>9.24</v>
      </c>
      <c r="AV26" s="18">
        <v>2.21</v>
      </c>
      <c r="AW26" s="18">
        <v>0.85</v>
      </c>
      <c r="AX26" s="19">
        <v>2.21</v>
      </c>
    </row>
    <row r="27" spans="42:50" x14ac:dyDescent="0.25">
      <c r="AP27" s="16" t="s">
        <v>198</v>
      </c>
      <c r="AQ27" s="17">
        <v>1.61</v>
      </c>
      <c r="AR27" s="18">
        <v>0.45</v>
      </c>
      <c r="AS27" s="18">
        <v>0.73</v>
      </c>
      <c r="AT27" s="18">
        <v>3.04</v>
      </c>
      <c r="AU27" s="18">
        <v>7.88</v>
      </c>
      <c r="AV27" s="18">
        <v>4.18</v>
      </c>
      <c r="AW27" s="18">
        <v>0.85</v>
      </c>
      <c r="AX27" s="19">
        <v>0</v>
      </c>
    </row>
    <row r="28" spans="42:50" x14ac:dyDescent="0.25">
      <c r="AP28" s="16" t="s">
        <v>198</v>
      </c>
      <c r="AQ28" s="17">
        <v>1.61</v>
      </c>
      <c r="AR28" s="18">
        <v>0.45</v>
      </c>
      <c r="AS28" s="18">
        <v>0.15</v>
      </c>
      <c r="AT28" s="18">
        <v>3.56</v>
      </c>
      <c r="AU28" s="18">
        <v>7.88</v>
      </c>
      <c r="AV28" s="18">
        <v>2.59</v>
      </c>
      <c r="AW28" s="18">
        <v>0.85</v>
      </c>
      <c r="AX28" s="19">
        <v>0</v>
      </c>
    </row>
    <row r="29" spans="42:50" x14ac:dyDescent="0.25">
      <c r="AP29" s="16" t="s">
        <v>199</v>
      </c>
      <c r="AQ29" s="17">
        <v>1.89</v>
      </c>
      <c r="AR29" s="18">
        <v>0.45</v>
      </c>
      <c r="AS29" s="18">
        <v>0.15</v>
      </c>
      <c r="AT29" s="18">
        <v>4.18</v>
      </c>
      <c r="AU29" s="18">
        <v>7.88</v>
      </c>
      <c r="AV29" s="18">
        <v>3.56</v>
      </c>
      <c r="AW29" s="18">
        <v>0.85</v>
      </c>
      <c r="AX29" s="19">
        <v>0.85</v>
      </c>
    </row>
    <row r="30" spans="42:50" x14ac:dyDescent="0.25">
      <c r="AP30" s="16" t="s">
        <v>199</v>
      </c>
      <c r="AQ30" s="17">
        <v>1.61</v>
      </c>
      <c r="AR30" s="18">
        <v>0.45</v>
      </c>
      <c r="AS30" s="18">
        <v>0.17</v>
      </c>
      <c r="AT30" s="18">
        <v>3.04</v>
      </c>
      <c r="AU30" s="18">
        <v>7.88</v>
      </c>
      <c r="AV30" s="18">
        <v>3.56</v>
      </c>
      <c r="AW30" s="18">
        <v>0.85</v>
      </c>
      <c r="AX30" s="19">
        <v>0</v>
      </c>
    </row>
    <row r="31" spans="42:50" x14ac:dyDescent="0.25">
      <c r="AP31" s="16" t="s">
        <v>199</v>
      </c>
      <c r="AQ31" s="17">
        <v>1.61</v>
      </c>
      <c r="AR31" s="18">
        <v>0.45</v>
      </c>
      <c r="AS31" s="18">
        <v>0.17</v>
      </c>
      <c r="AT31" s="18">
        <v>4.18</v>
      </c>
      <c r="AU31" s="18">
        <v>7.88</v>
      </c>
      <c r="AV31" s="18">
        <v>2.21</v>
      </c>
      <c r="AW31" s="18">
        <v>0.85</v>
      </c>
      <c r="AX31" s="19">
        <v>4.18</v>
      </c>
    </row>
    <row r="32" spans="42:50" x14ac:dyDescent="0.25">
      <c r="AP32" s="16" t="s">
        <v>199</v>
      </c>
      <c r="AQ32" s="17">
        <v>1.89</v>
      </c>
      <c r="AR32" s="18">
        <v>0.45</v>
      </c>
      <c r="AS32" s="18">
        <v>0.15</v>
      </c>
      <c r="AT32" s="18">
        <v>3.04</v>
      </c>
      <c r="AU32" s="18">
        <v>9.24</v>
      </c>
      <c r="AV32" s="18">
        <v>3.56</v>
      </c>
      <c r="AW32" s="18">
        <v>0.85</v>
      </c>
      <c r="AX32" s="19">
        <v>0.85</v>
      </c>
    </row>
    <row r="33" spans="42:50" x14ac:dyDescent="0.25">
      <c r="AP33" s="16" t="s">
        <v>199</v>
      </c>
      <c r="AQ33" s="17">
        <v>1.61</v>
      </c>
      <c r="AR33" s="18">
        <v>0.45</v>
      </c>
      <c r="AS33" s="18">
        <v>0.15</v>
      </c>
      <c r="AT33" s="18">
        <v>3.04</v>
      </c>
      <c r="AU33" s="18">
        <v>7.88</v>
      </c>
      <c r="AV33" s="18">
        <v>4.18</v>
      </c>
      <c r="AW33" s="18">
        <v>0.85</v>
      </c>
      <c r="AX33" s="19">
        <v>4.18</v>
      </c>
    </row>
    <row r="34" spans="42:50" x14ac:dyDescent="0.25">
      <c r="AP34" s="16" t="s">
        <v>200</v>
      </c>
      <c r="AQ34" s="17">
        <v>1.61</v>
      </c>
      <c r="AR34" s="18">
        <v>0.45</v>
      </c>
      <c r="AS34" s="18">
        <v>0.39</v>
      </c>
      <c r="AT34" s="18">
        <v>3.04</v>
      </c>
      <c r="AU34" s="18">
        <v>7.88</v>
      </c>
      <c r="AV34" s="18">
        <v>3.56</v>
      </c>
      <c r="AW34" s="18">
        <v>0.85</v>
      </c>
      <c r="AX34" s="19">
        <v>0</v>
      </c>
    </row>
    <row r="35" spans="42:50" x14ac:dyDescent="0.25">
      <c r="AP35" s="16" t="s">
        <v>200</v>
      </c>
      <c r="AQ35" s="17">
        <v>1.61</v>
      </c>
      <c r="AR35" s="18">
        <v>0.45</v>
      </c>
      <c r="AS35" s="18">
        <v>0.15</v>
      </c>
      <c r="AT35" s="18">
        <v>3.56</v>
      </c>
      <c r="AU35" s="18">
        <v>9.24</v>
      </c>
      <c r="AV35" s="18">
        <v>3.56</v>
      </c>
      <c r="AW35" s="18">
        <v>0.85</v>
      </c>
      <c r="AX35" s="19">
        <v>0</v>
      </c>
    </row>
    <row r="36" spans="42:50" x14ac:dyDescent="0.25">
      <c r="AP36" s="16" t="s">
        <v>200</v>
      </c>
      <c r="AQ36" s="17">
        <v>2.21</v>
      </c>
      <c r="AR36" s="18">
        <v>0.45</v>
      </c>
      <c r="AS36" s="18">
        <v>0.62</v>
      </c>
      <c r="AT36" s="18">
        <v>4.18</v>
      </c>
      <c r="AU36" s="18">
        <v>7.88</v>
      </c>
      <c r="AV36" s="18">
        <v>2.21</v>
      </c>
      <c r="AW36" s="18">
        <v>0.33</v>
      </c>
      <c r="AX36" s="19">
        <v>4.18</v>
      </c>
    </row>
    <row r="37" spans="42:50" x14ac:dyDescent="0.25">
      <c r="AP37" s="16" t="s">
        <v>200</v>
      </c>
      <c r="AQ37" s="17">
        <v>1.61</v>
      </c>
      <c r="AR37" s="18">
        <v>0.45</v>
      </c>
      <c r="AS37" s="18">
        <v>0.15</v>
      </c>
      <c r="AT37" s="18">
        <v>3.04</v>
      </c>
      <c r="AU37" s="18">
        <v>7.88</v>
      </c>
      <c r="AV37" s="18">
        <v>4.18</v>
      </c>
      <c r="AW37" s="18">
        <v>0.85</v>
      </c>
      <c r="AX37" s="19">
        <v>0</v>
      </c>
    </row>
    <row r="38" spans="42:50" x14ac:dyDescent="0.25">
      <c r="AP38" s="16" t="s">
        <v>200</v>
      </c>
      <c r="AQ38" s="17">
        <v>1.61</v>
      </c>
      <c r="AR38" s="18">
        <v>0.53</v>
      </c>
      <c r="AS38" s="18">
        <v>0.15</v>
      </c>
      <c r="AT38" s="18">
        <v>3.56</v>
      </c>
      <c r="AU38" s="18">
        <v>9.24</v>
      </c>
      <c r="AV38" s="18">
        <v>3.56</v>
      </c>
      <c r="AW38" s="18">
        <v>0.85</v>
      </c>
      <c r="AX38" s="19">
        <v>0</v>
      </c>
    </row>
    <row r="39" spans="42:50" x14ac:dyDescent="0.25">
      <c r="AP39" s="16" t="s">
        <v>201</v>
      </c>
      <c r="AQ39" s="17">
        <v>1.61</v>
      </c>
      <c r="AR39" s="18">
        <v>0.45</v>
      </c>
      <c r="AS39" s="18">
        <v>0.62</v>
      </c>
      <c r="AT39" s="18">
        <v>3.56</v>
      </c>
      <c r="AU39" s="18">
        <v>9.24</v>
      </c>
      <c r="AV39" s="18">
        <v>3.56</v>
      </c>
      <c r="AW39" s="18">
        <v>0.85</v>
      </c>
      <c r="AX39" s="19">
        <v>2.59</v>
      </c>
    </row>
    <row r="40" spans="42:50" x14ac:dyDescent="0.25">
      <c r="AP40" s="16" t="s">
        <v>201</v>
      </c>
      <c r="AQ40" s="17">
        <v>1.61</v>
      </c>
      <c r="AR40" s="18">
        <v>0.45</v>
      </c>
      <c r="AS40" s="18">
        <v>0.15</v>
      </c>
      <c r="AT40" s="18">
        <v>3.56</v>
      </c>
      <c r="AU40" s="18">
        <v>7.88</v>
      </c>
      <c r="AV40" s="18">
        <v>3.56</v>
      </c>
      <c r="AW40" s="18">
        <v>0.85</v>
      </c>
      <c r="AX40" s="19">
        <v>0.85</v>
      </c>
    </row>
    <row r="41" spans="42:50" x14ac:dyDescent="0.25">
      <c r="AP41" s="16" t="s">
        <v>201</v>
      </c>
      <c r="AQ41" s="17">
        <v>2.21</v>
      </c>
      <c r="AR41" s="18">
        <v>0.45</v>
      </c>
      <c r="AS41" s="18">
        <v>0.62</v>
      </c>
      <c r="AT41" s="18">
        <v>4.18</v>
      </c>
      <c r="AU41" s="18">
        <v>7.88</v>
      </c>
      <c r="AV41" s="18">
        <v>2.21</v>
      </c>
      <c r="AW41" s="18">
        <v>0.33</v>
      </c>
      <c r="AX41" s="19">
        <v>4.18</v>
      </c>
    </row>
    <row r="42" spans="42:50" x14ac:dyDescent="0.25">
      <c r="AP42" s="16" t="s">
        <v>201</v>
      </c>
      <c r="AQ42" s="17">
        <v>3.04</v>
      </c>
      <c r="AR42" s="18">
        <v>0.45</v>
      </c>
      <c r="AS42" s="18">
        <v>0.17</v>
      </c>
      <c r="AT42" s="18">
        <v>3.56</v>
      </c>
      <c r="AU42" s="18">
        <v>7.88</v>
      </c>
      <c r="AV42" s="18">
        <v>3.04</v>
      </c>
      <c r="AW42" s="18">
        <v>0.33</v>
      </c>
      <c r="AX42" s="19">
        <v>0</v>
      </c>
    </row>
    <row r="43" spans="42:50" x14ac:dyDescent="0.25">
      <c r="AP43" s="16" t="s">
        <v>201</v>
      </c>
      <c r="AQ43" s="17">
        <v>1.61</v>
      </c>
      <c r="AR43" s="18">
        <v>0.39</v>
      </c>
      <c r="AS43" s="18">
        <v>0.15</v>
      </c>
      <c r="AT43" s="18">
        <v>3.04</v>
      </c>
      <c r="AU43" s="18">
        <v>7.88</v>
      </c>
      <c r="AV43" s="18">
        <v>3.56</v>
      </c>
      <c r="AW43" s="18">
        <v>0.85</v>
      </c>
      <c r="AX43" s="19">
        <v>4.18</v>
      </c>
    </row>
    <row r="44" spans="42:50" x14ac:dyDescent="0.25">
      <c r="AP44" s="16" t="s">
        <v>202</v>
      </c>
      <c r="AQ44" s="17">
        <v>1.61</v>
      </c>
      <c r="AR44" s="18">
        <v>0.45</v>
      </c>
      <c r="AS44" s="18">
        <v>0.15</v>
      </c>
      <c r="AT44" s="18">
        <v>3.56</v>
      </c>
      <c r="AU44" s="18">
        <v>6.72</v>
      </c>
      <c r="AV44" s="18">
        <v>4.18</v>
      </c>
      <c r="AW44" s="18">
        <v>0.85</v>
      </c>
      <c r="AX44" s="19">
        <v>0</v>
      </c>
    </row>
    <row r="45" spans="42:50" x14ac:dyDescent="0.25">
      <c r="AP45" s="16" t="s">
        <v>202</v>
      </c>
      <c r="AQ45" s="17">
        <v>1.61</v>
      </c>
      <c r="AR45" s="18">
        <v>0.39</v>
      </c>
      <c r="AS45" s="18">
        <v>0.15</v>
      </c>
      <c r="AT45" s="18">
        <v>3.56</v>
      </c>
      <c r="AU45" s="18">
        <v>7.88</v>
      </c>
      <c r="AV45" s="18">
        <v>4.18</v>
      </c>
      <c r="AW45" s="18">
        <v>0.85</v>
      </c>
      <c r="AX45" s="19">
        <v>0</v>
      </c>
    </row>
    <row r="46" spans="42:50" x14ac:dyDescent="0.25">
      <c r="AP46" s="16" t="s">
        <v>202</v>
      </c>
      <c r="AQ46" s="17">
        <v>1.61</v>
      </c>
      <c r="AR46" s="18">
        <v>0.45</v>
      </c>
      <c r="AS46" s="18">
        <v>0.15</v>
      </c>
      <c r="AT46" s="18">
        <v>3.04</v>
      </c>
      <c r="AU46" s="18">
        <v>7.88</v>
      </c>
      <c r="AV46" s="18">
        <v>3.04</v>
      </c>
      <c r="AW46" s="18">
        <v>0.73</v>
      </c>
      <c r="AX46" s="19">
        <v>0.85</v>
      </c>
    </row>
    <row r="47" spans="42:50" x14ac:dyDescent="0.25">
      <c r="AP47" s="16" t="s">
        <v>202</v>
      </c>
      <c r="AQ47" s="17">
        <v>1.89</v>
      </c>
      <c r="AR47" s="18">
        <v>0.45</v>
      </c>
      <c r="AS47" s="18">
        <v>0.15</v>
      </c>
      <c r="AT47" s="18">
        <v>4.18</v>
      </c>
      <c r="AU47" s="18">
        <v>7.88</v>
      </c>
      <c r="AV47" s="18">
        <v>4.18</v>
      </c>
      <c r="AW47" s="18">
        <v>0.85</v>
      </c>
      <c r="AX47" s="19">
        <v>0</v>
      </c>
    </row>
    <row r="48" spans="42:50" x14ac:dyDescent="0.25">
      <c r="AP48" s="16" t="s">
        <v>202</v>
      </c>
      <c r="AQ48" s="17">
        <v>1.89</v>
      </c>
      <c r="AR48" s="18">
        <v>0.45</v>
      </c>
      <c r="AS48" s="18">
        <v>0.15</v>
      </c>
      <c r="AT48" s="18">
        <v>3.04</v>
      </c>
      <c r="AU48" s="18">
        <v>7.88</v>
      </c>
      <c r="AV48" s="18">
        <v>3.56</v>
      </c>
      <c r="AW48" s="18">
        <v>0.85</v>
      </c>
      <c r="AX48" s="19">
        <v>0</v>
      </c>
    </row>
    <row r="49" spans="42:50" x14ac:dyDescent="0.25">
      <c r="AP49" s="16" t="s">
        <v>203</v>
      </c>
      <c r="AQ49" s="17">
        <v>1.89</v>
      </c>
      <c r="AR49" s="18">
        <v>0.39</v>
      </c>
      <c r="AS49" s="18">
        <v>0.15</v>
      </c>
      <c r="AT49" s="18">
        <v>3.04</v>
      </c>
      <c r="AU49" s="18">
        <v>7.88</v>
      </c>
      <c r="AV49" s="18">
        <v>3.56</v>
      </c>
      <c r="AW49" s="18">
        <v>0.24</v>
      </c>
      <c r="AX49" s="19">
        <v>0</v>
      </c>
    </row>
    <row r="50" spans="42:50" x14ac:dyDescent="0.25">
      <c r="AP50" s="16" t="s">
        <v>203</v>
      </c>
      <c r="AQ50" s="17">
        <v>1.61</v>
      </c>
      <c r="AR50" s="18">
        <v>0.45</v>
      </c>
      <c r="AS50" s="18">
        <v>0.15</v>
      </c>
      <c r="AT50" s="18">
        <v>3.56</v>
      </c>
      <c r="AU50" s="18">
        <v>7.88</v>
      </c>
      <c r="AV50" s="18">
        <v>3.56</v>
      </c>
      <c r="AW50" s="18">
        <v>0.85</v>
      </c>
      <c r="AX50" s="19">
        <v>0</v>
      </c>
    </row>
    <row r="51" spans="42:50" x14ac:dyDescent="0.25">
      <c r="AP51" s="16" t="s">
        <v>203</v>
      </c>
      <c r="AQ51" s="17">
        <v>2.21</v>
      </c>
      <c r="AR51" s="18">
        <v>0.39</v>
      </c>
      <c r="AS51" s="18">
        <v>0.85</v>
      </c>
      <c r="AT51" s="18">
        <v>0.85</v>
      </c>
      <c r="AU51" s="18">
        <v>7.88</v>
      </c>
      <c r="AV51" s="18">
        <v>2.21</v>
      </c>
      <c r="AW51" s="18">
        <v>0.33</v>
      </c>
      <c r="AX51" s="19">
        <v>4.18</v>
      </c>
    </row>
    <row r="52" spans="42:50" x14ac:dyDescent="0.25">
      <c r="AP52" s="16" t="s">
        <v>203</v>
      </c>
      <c r="AQ52" s="17">
        <v>2.21</v>
      </c>
      <c r="AR52" s="18">
        <v>0.45</v>
      </c>
      <c r="AS52" s="18">
        <v>0.62</v>
      </c>
      <c r="AT52" s="18">
        <v>3.04</v>
      </c>
      <c r="AU52" s="18">
        <v>6.72</v>
      </c>
      <c r="AV52" s="18">
        <v>1.89</v>
      </c>
      <c r="AW52" s="18">
        <v>0.33</v>
      </c>
      <c r="AX52" s="19">
        <v>2.21</v>
      </c>
    </row>
    <row r="53" spans="42:50" x14ac:dyDescent="0.25">
      <c r="AP53" s="16" t="s">
        <v>203</v>
      </c>
      <c r="AQ53" s="17">
        <v>1.89</v>
      </c>
      <c r="AR53" s="18">
        <v>0.45</v>
      </c>
      <c r="AS53" s="18">
        <v>0.15</v>
      </c>
      <c r="AT53" s="18">
        <v>3.04</v>
      </c>
      <c r="AU53" s="18">
        <v>7.88</v>
      </c>
      <c r="AV53" s="18">
        <v>3.56</v>
      </c>
      <c r="AW53" s="18">
        <v>0.85</v>
      </c>
      <c r="AX53" s="19">
        <v>4.8899999999999997</v>
      </c>
    </row>
    <row r="54" spans="42:50" x14ac:dyDescent="0.25">
      <c r="AP54" s="16" t="s">
        <v>204</v>
      </c>
      <c r="AQ54" s="17">
        <v>1.61</v>
      </c>
      <c r="AR54" s="18">
        <v>0.45</v>
      </c>
      <c r="AS54" s="18">
        <v>0.15</v>
      </c>
      <c r="AT54" s="18">
        <v>3.56</v>
      </c>
      <c r="AU54" s="18">
        <v>6.72</v>
      </c>
      <c r="AV54" s="18">
        <v>2.21</v>
      </c>
      <c r="AW54" s="18">
        <v>0.85</v>
      </c>
      <c r="AX54" s="19">
        <v>0</v>
      </c>
    </row>
    <row r="55" spans="42:50" x14ac:dyDescent="0.25">
      <c r="AP55" s="16" t="s">
        <v>204</v>
      </c>
      <c r="AQ55" s="17">
        <v>1.89</v>
      </c>
      <c r="AR55" s="18">
        <v>0.45</v>
      </c>
      <c r="AS55" s="18">
        <v>0.62</v>
      </c>
      <c r="AT55" s="18">
        <v>3.56</v>
      </c>
      <c r="AU55" s="18">
        <v>7.88</v>
      </c>
      <c r="AV55" s="18">
        <v>3.56</v>
      </c>
      <c r="AW55" s="18">
        <v>0.85</v>
      </c>
      <c r="AX55" s="19">
        <v>4.18</v>
      </c>
    </row>
    <row r="56" spans="42:50" x14ac:dyDescent="0.25">
      <c r="AP56" s="16" t="s">
        <v>204</v>
      </c>
      <c r="AQ56" s="17">
        <v>1.61</v>
      </c>
      <c r="AR56" s="18">
        <v>0.45</v>
      </c>
      <c r="AS56" s="18">
        <v>0.15</v>
      </c>
      <c r="AT56" s="18">
        <v>3.56</v>
      </c>
      <c r="AU56" s="18">
        <v>7.88</v>
      </c>
      <c r="AV56" s="18">
        <v>2.59</v>
      </c>
      <c r="AW56" s="18">
        <v>0.85</v>
      </c>
      <c r="AX56" s="19">
        <v>0</v>
      </c>
    </row>
    <row r="57" spans="42:50" x14ac:dyDescent="0.25">
      <c r="AP57" s="16" t="s">
        <v>204</v>
      </c>
      <c r="AQ57" s="17">
        <v>1.61</v>
      </c>
      <c r="AR57" s="18">
        <v>0.45</v>
      </c>
      <c r="AS57" s="18">
        <v>0.15</v>
      </c>
      <c r="AT57" s="18">
        <v>3.56</v>
      </c>
      <c r="AU57" s="18">
        <v>7.88</v>
      </c>
      <c r="AV57" s="18">
        <v>1.89</v>
      </c>
      <c r="AW57" s="18">
        <v>0.85</v>
      </c>
      <c r="AX57" s="19">
        <v>0</v>
      </c>
    </row>
    <row r="58" spans="42:50" x14ac:dyDescent="0.25">
      <c r="AP58" s="16" t="s">
        <v>204</v>
      </c>
      <c r="AQ58" s="17">
        <v>1.61</v>
      </c>
      <c r="AR58" s="18">
        <v>0.45</v>
      </c>
      <c r="AS58" s="18">
        <v>0.39</v>
      </c>
      <c r="AT58" s="18">
        <v>3.56</v>
      </c>
      <c r="AU58" s="18">
        <v>7.88</v>
      </c>
      <c r="AV58" s="18">
        <v>3.56</v>
      </c>
      <c r="AW58" s="18">
        <v>0.85</v>
      </c>
      <c r="AX58" s="19">
        <v>0</v>
      </c>
    </row>
    <row r="59" spans="42:50" x14ac:dyDescent="0.25">
      <c r="AP59" s="16" t="s">
        <v>205</v>
      </c>
      <c r="AQ59" s="17">
        <v>2.21</v>
      </c>
      <c r="AR59" s="18">
        <v>0.53</v>
      </c>
      <c r="AS59" s="18">
        <v>0.15</v>
      </c>
      <c r="AT59" s="18">
        <v>3.56</v>
      </c>
      <c r="AU59" s="18">
        <v>7.88</v>
      </c>
      <c r="AV59" s="18">
        <v>2.21</v>
      </c>
      <c r="AW59" s="18">
        <v>0.85</v>
      </c>
      <c r="AX59" s="19">
        <v>0</v>
      </c>
    </row>
    <row r="60" spans="42:50" x14ac:dyDescent="0.25">
      <c r="AP60" s="16" t="s">
        <v>205</v>
      </c>
      <c r="AQ60" s="17">
        <v>1.89</v>
      </c>
      <c r="AR60" s="18">
        <v>0.45</v>
      </c>
      <c r="AS60" s="18">
        <v>0.45</v>
      </c>
      <c r="AT60" s="18">
        <v>4.18</v>
      </c>
      <c r="AU60" s="18">
        <v>7.88</v>
      </c>
      <c r="AV60" s="18">
        <v>3.56</v>
      </c>
      <c r="AW60" s="18">
        <v>0.85</v>
      </c>
      <c r="AX60" s="19">
        <v>4.18</v>
      </c>
    </row>
    <row r="61" spans="42:50" x14ac:dyDescent="0.25">
      <c r="AP61" s="16" t="s">
        <v>205</v>
      </c>
      <c r="AQ61" s="17">
        <v>1.89</v>
      </c>
      <c r="AR61" s="18">
        <v>0.45</v>
      </c>
      <c r="AS61" s="18">
        <v>0.15</v>
      </c>
      <c r="AT61" s="18">
        <v>3.56</v>
      </c>
      <c r="AU61" s="18">
        <v>7.88</v>
      </c>
      <c r="AV61" s="18">
        <v>3.56</v>
      </c>
      <c r="AW61" s="18">
        <v>0.85</v>
      </c>
      <c r="AX61" s="19">
        <v>0</v>
      </c>
    </row>
    <row r="62" spans="42:50" x14ac:dyDescent="0.25">
      <c r="AP62" s="16" t="s">
        <v>205</v>
      </c>
      <c r="AQ62" s="17">
        <v>1.89</v>
      </c>
      <c r="AR62" s="18">
        <v>0.45</v>
      </c>
      <c r="AS62" s="18">
        <v>0.62</v>
      </c>
      <c r="AT62" s="18">
        <v>3.56</v>
      </c>
      <c r="AU62" s="18">
        <v>5.74</v>
      </c>
      <c r="AV62" s="18">
        <v>1.17</v>
      </c>
      <c r="AW62" s="18">
        <v>0.33</v>
      </c>
      <c r="AX62" s="19">
        <v>4.18</v>
      </c>
    </row>
    <row r="63" spans="42:50" ht="15.75" thickBot="1" x14ac:dyDescent="0.3">
      <c r="AP63" s="16" t="s">
        <v>205</v>
      </c>
      <c r="AQ63" s="17">
        <v>2.21</v>
      </c>
      <c r="AR63" s="18">
        <v>0.45</v>
      </c>
      <c r="AS63" s="18">
        <v>0.15</v>
      </c>
      <c r="AT63" s="18">
        <v>3.56</v>
      </c>
      <c r="AU63" s="18">
        <v>9.24</v>
      </c>
      <c r="AV63" s="18">
        <v>3.56</v>
      </c>
      <c r="AW63" s="18">
        <v>0.85</v>
      </c>
      <c r="AX63" s="19">
        <v>0</v>
      </c>
    </row>
    <row r="64" spans="42:50" x14ac:dyDescent="0.25">
      <c r="AP64" s="10" t="s">
        <v>230</v>
      </c>
      <c r="AQ64" s="11">
        <v>1.85049999999999</v>
      </c>
      <c r="AR64" s="12">
        <v>0.44666666666666599</v>
      </c>
      <c r="AS64" s="12">
        <v>0.27783333333333299</v>
      </c>
      <c r="AT64" s="12">
        <v>3.2679661016949102</v>
      </c>
      <c r="AU64" s="12">
        <v>7.9289999999999896</v>
      </c>
      <c r="AV64" s="12">
        <v>3.2690000000000001</v>
      </c>
      <c r="AW64" s="12">
        <v>0.70133333333333303</v>
      </c>
      <c r="AX64" s="13">
        <v>2.88071428571428</v>
      </c>
    </row>
    <row r="65" spans="42:50" x14ac:dyDescent="0.25">
      <c r="AP65" s="16" t="s">
        <v>231</v>
      </c>
      <c r="AQ65" s="17">
        <v>0.30294347657607601</v>
      </c>
      <c r="AR65" s="18">
        <v>2.3711225658371599E-2</v>
      </c>
      <c r="AS65" s="18">
        <v>0.20711584251867801</v>
      </c>
      <c r="AT65" s="18">
        <v>0.83025783142799403</v>
      </c>
      <c r="AU65" s="18">
        <v>0.657778331456223</v>
      </c>
      <c r="AV65" s="18">
        <v>0.69426867997915598</v>
      </c>
      <c r="AW65" s="18">
        <v>0.24435265953580701</v>
      </c>
      <c r="AX65" s="19">
        <v>1.5336020357581699</v>
      </c>
    </row>
    <row r="66" spans="42:50" x14ac:dyDescent="0.25">
      <c r="AP66" s="16" t="s">
        <v>232</v>
      </c>
      <c r="AQ66" s="17">
        <v>2.1534434765760699</v>
      </c>
      <c r="AR66" s="18">
        <v>0.47037789232503702</v>
      </c>
      <c r="AS66" s="18">
        <v>0.48494917585201203</v>
      </c>
      <c r="AT66" s="18">
        <v>4.0982239331229096</v>
      </c>
      <c r="AU66" s="18">
        <v>8.5867783314562196</v>
      </c>
      <c r="AV66" s="18">
        <v>3.9632686799791501</v>
      </c>
      <c r="AW66" s="18">
        <v>0.94568599286914101</v>
      </c>
      <c r="AX66" s="19">
        <v>4.4143163214724597</v>
      </c>
    </row>
    <row r="67" spans="42:50" x14ac:dyDescent="0.25">
      <c r="AP67" s="16" t="s">
        <v>233</v>
      </c>
      <c r="AQ67" s="17">
        <v>1.5475565234239199</v>
      </c>
      <c r="AR67" s="18">
        <v>0.42295544100829402</v>
      </c>
      <c r="AS67" s="18">
        <v>7.0717490814654393E-2</v>
      </c>
      <c r="AT67" s="18">
        <v>2.4377082702669202</v>
      </c>
      <c r="AU67" s="18">
        <v>7.2712216685437703</v>
      </c>
      <c r="AV67" s="18">
        <v>2.5747313200208399</v>
      </c>
      <c r="AW67" s="18">
        <v>0.45698067379752599</v>
      </c>
      <c r="AX67" s="19">
        <v>1.3471122499560999</v>
      </c>
    </row>
    <row r="68" spans="42:50" ht="15.75" thickBot="1" x14ac:dyDescent="0.3">
      <c r="AP68" s="23" t="s">
        <v>234</v>
      </c>
      <c r="AQ68" s="24">
        <v>1.71723404255319</v>
      </c>
      <c r="AR68" s="25">
        <v>0.44999999999999901</v>
      </c>
      <c r="AS68" s="25">
        <v>0.17595744680851</v>
      </c>
      <c r="AT68" s="25">
        <v>3.3354545454545401</v>
      </c>
      <c r="AU68" s="25">
        <v>7.8799999999999901</v>
      </c>
      <c r="AV68" s="25">
        <v>3.4464999999999999</v>
      </c>
      <c r="AW68" s="25">
        <v>0.84727272727272795</v>
      </c>
      <c r="AX68" s="26">
        <v>3.7844444444444401</v>
      </c>
    </row>
    <row r="69" spans="42:50" ht="15.75" thickBot="1" x14ac:dyDescent="0.3">
      <c r="AQ69" s="27"/>
      <c r="AR69" s="27"/>
      <c r="AS69" s="27"/>
      <c r="AT69" s="27"/>
      <c r="AU69" s="27"/>
      <c r="AV69" s="27"/>
      <c r="AW69" s="27"/>
      <c r="AX69" s="27"/>
    </row>
    <row r="70" spans="42:50" ht="30" x14ac:dyDescent="0.25">
      <c r="AP70" s="28" t="s">
        <v>235</v>
      </c>
      <c r="AQ70" s="29">
        <v>3.8</v>
      </c>
      <c r="AR70" s="29">
        <v>2.5</v>
      </c>
      <c r="AS70" s="29">
        <v>4.05</v>
      </c>
      <c r="AT70" s="29">
        <v>3.84</v>
      </c>
      <c r="AU70" s="29">
        <v>2.25</v>
      </c>
      <c r="AV70" s="29">
        <v>4.26</v>
      </c>
      <c r="AW70" s="29">
        <v>1.27</v>
      </c>
      <c r="AX70" s="30">
        <v>1.64</v>
      </c>
    </row>
    <row r="71" spans="42:50" x14ac:dyDescent="0.25">
      <c r="AP71" s="31" t="s">
        <v>236</v>
      </c>
      <c r="AQ71" s="32">
        <f t="shared" ref="AQ71:AX71" si="0">AQ70-AQ68</f>
        <v>2.08276595744681</v>
      </c>
      <c r="AR71" s="32">
        <f t="shared" si="0"/>
        <v>2.0500000000000012</v>
      </c>
      <c r="AS71" s="32">
        <f t="shared" si="0"/>
        <v>3.8740425531914897</v>
      </c>
      <c r="AT71" s="32">
        <f t="shared" si="0"/>
        <v>0.50454545454545974</v>
      </c>
      <c r="AU71" s="32">
        <f t="shared" si="0"/>
        <v>-5.6299999999999901</v>
      </c>
      <c r="AV71" s="32">
        <f t="shared" si="0"/>
        <v>0.81349999999999989</v>
      </c>
      <c r="AW71" s="32">
        <f t="shared" si="0"/>
        <v>0.42272727272727206</v>
      </c>
      <c r="AX71" s="33">
        <f t="shared" si="0"/>
        <v>-2.1444444444444404</v>
      </c>
    </row>
    <row r="72" spans="42:50" ht="15.75" thickBot="1" x14ac:dyDescent="0.3">
      <c r="AP72" s="34" t="s">
        <v>237</v>
      </c>
      <c r="AQ72" s="35">
        <f t="shared" ref="AQ72:AX72" si="1">(AQ71/AQ68)*100</f>
        <v>121.28608598686674</v>
      </c>
      <c r="AR72" s="35">
        <f t="shared" si="1"/>
        <v>455.55555555555679</v>
      </c>
      <c r="AS72" s="35">
        <f t="shared" si="1"/>
        <v>2201.6928657799358</v>
      </c>
      <c r="AT72" s="35">
        <f t="shared" si="1"/>
        <v>15.126737530662485</v>
      </c>
      <c r="AU72" s="35">
        <f t="shared" si="1"/>
        <v>-71.446700507614182</v>
      </c>
      <c r="AV72" s="35">
        <f t="shared" si="1"/>
        <v>23.603655882779627</v>
      </c>
      <c r="AW72" s="35">
        <f t="shared" si="1"/>
        <v>49.892703862660824</v>
      </c>
      <c r="AX72" s="36">
        <f t="shared" si="1"/>
        <v>-56.664709336465023</v>
      </c>
    </row>
    <row r="73" spans="42:50" ht="15.75" thickBot="1" x14ac:dyDescent="0.3">
      <c r="AP73" s="37"/>
      <c r="AQ73" s="32"/>
      <c r="AR73" s="32"/>
      <c r="AS73" s="32"/>
      <c r="AT73" s="32"/>
      <c r="AU73" s="32"/>
      <c r="AV73" s="32"/>
      <c r="AW73" s="32"/>
      <c r="AX73" s="32"/>
    </row>
    <row r="74" spans="42:50" ht="30" x14ac:dyDescent="0.25">
      <c r="AP74" s="28" t="s">
        <v>238</v>
      </c>
      <c r="AQ74" s="29">
        <v>3.62</v>
      </c>
      <c r="AR74" s="29">
        <v>2.38</v>
      </c>
      <c r="AS74" s="29">
        <v>3.96</v>
      </c>
      <c r="AT74" s="29">
        <v>3.68</v>
      </c>
      <c r="AU74" s="29">
        <v>2.14</v>
      </c>
      <c r="AV74" s="29">
        <v>4.1100000000000003</v>
      </c>
      <c r="AW74" s="29">
        <v>1.1399999999999999</v>
      </c>
      <c r="AX74" s="30">
        <v>1.5</v>
      </c>
    </row>
    <row r="75" spans="42:50" x14ac:dyDescent="0.25">
      <c r="AP75" s="31" t="s">
        <v>236</v>
      </c>
      <c r="AQ75" s="32">
        <f t="shared" ref="AQ75:AX75" si="2">AQ74-AQ68</f>
        <v>1.9027659574468101</v>
      </c>
      <c r="AR75" s="32">
        <f t="shared" si="2"/>
        <v>1.9300000000000008</v>
      </c>
      <c r="AS75" s="32">
        <f t="shared" si="2"/>
        <v>3.7840425531914899</v>
      </c>
      <c r="AT75" s="32">
        <f t="shared" si="2"/>
        <v>0.34454545454546004</v>
      </c>
      <c r="AU75" s="32">
        <f t="shared" si="2"/>
        <v>-5.7399999999999896</v>
      </c>
      <c r="AV75" s="32">
        <f t="shared" si="2"/>
        <v>0.66350000000000042</v>
      </c>
      <c r="AW75" s="32">
        <f t="shared" si="2"/>
        <v>0.29272727272727195</v>
      </c>
      <c r="AX75" s="33">
        <f t="shared" si="2"/>
        <v>-2.2844444444444401</v>
      </c>
    </row>
    <row r="76" spans="42:50" ht="15.75" thickBot="1" x14ac:dyDescent="0.3">
      <c r="AP76" s="34" t="s">
        <v>237</v>
      </c>
      <c r="AQ76" s="35">
        <f>(AQ75/AQ68)*100</f>
        <v>110.80411349275201</v>
      </c>
      <c r="AR76" s="35">
        <f t="shared" ref="AR76:AX76" si="3">(AR75/AR68)*100</f>
        <v>428.88888888889005</v>
      </c>
      <c r="AS76" s="35">
        <f t="shared" si="3"/>
        <v>2150.5441354292707</v>
      </c>
      <c r="AT76" s="35">
        <f t="shared" si="3"/>
        <v>10.329790133551557</v>
      </c>
      <c r="AU76" s="35">
        <f t="shared" si="3"/>
        <v>-72.842639593908586</v>
      </c>
      <c r="AV76" s="35">
        <f t="shared" si="3"/>
        <v>19.251414478456418</v>
      </c>
      <c r="AW76" s="35">
        <f t="shared" si="3"/>
        <v>34.549356223175849</v>
      </c>
      <c r="AX76" s="36">
        <f t="shared" si="3"/>
        <v>-60.364063417498478</v>
      </c>
    </row>
    <row r="77" spans="42:50" ht="15.75" thickBot="1" x14ac:dyDescent="0.3">
      <c r="AQ77" s="27"/>
      <c r="AR77" s="27"/>
      <c r="AS77" s="27"/>
      <c r="AT77" s="27"/>
      <c r="AU77" s="27"/>
      <c r="AV77" s="27"/>
      <c r="AW77" s="27"/>
      <c r="AX77" s="27"/>
    </row>
    <row r="78" spans="42:50" ht="30" x14ac:dyDescent="0.25">
      <c r="AP78" s="28" t="s">
        <v>239</v>
      </c>
      <c r="AQ78" s="38">
        <v>3.55</v>
      </c>
      <c r="AR78" s="29">
        <v>2.44</v>
      </c>
      <c r="AS78" s="29">
        <v>3.99</v>
      </c>
      <c r="AT78" s="29">
        <v>3.75</v>
      </c>
      <c r="AU78" s="29">
        <v>2.2000000000000002</v>
      </c>
      <c r="AV78" s="29">
        <v>4.25</v>
      </c>
      <c r="AW78" s="29">
        <v>1.1599999999999999</v>
      </c>
      <c r="AX78" s="30">
        <v>1.51</v>
      </c>
    </row>
    <row r="79" spans="42:50" x14ac:dyDescent="0.25">
      <c r="AP79" s="31" t="s">
        <v>236</v>
      </c>
      <c r="AQ79" s="39">
        <f>AQ78-AQ68</f>
        <v>1.8327659574468098</v>
      </c>
      <c r="AR79" s="32">
        <f t="shared" ref="AR79:AX79" si="4">AR78-AR68</f>
        <v>1.9900000000000009</v>
      </c>
      <c r="AS79" s="32">
        <f t="shared" si="4"/>
        <v>3.8140425531914901</v>
      </c>
      <c r="AT79" s="32">
        <f t="shared" si="4"/>
        <v>0.41454545454545988</v>
      </c>
      <c r="AU79" s="32">
        <f t="shared" si="4"/>
        <v>-5.6799999999999899</v>
      </c>
      <c r="AV79" s="32">
        <f t="shared" si="4"/>
        <v>0.8035000000000001</v>
      </c>
      <c r="AW79" s="32">
        <f>AW78-AW68</f>
        <v>0.31272727272727197</v>
      </c>
      <c r="AX79" s="33">
        <f t="shared" si="4"/>
        <v>-2.2744444444444403</v>
      </c>
    </row>
    <row r="80" spans="42:50" ht="15.75" thickBot="1" x14ac:dyDescent="0.3">
      <c r="AP80" s="34" t="s">
        <v>237</v>
      </c>
      <c r="AQ80" s="40">
        <f>(AQ79/AQ68)*100</f>
        <v>106.72779085615183</v>
      </c>
      <c r="AR80" s="35">
        <f t="shared" ref="AR80:AX80" si="5">(AR79/AR68)*100</f>
        <v>442.22222222222342</v>
      </c>
      <c r="AS80" s="35">
        <f t="shared" si="5"/>
        <v>2167.5937122128257</v>
      </c>
      <c r="AT80" s="35">
        <f t="shared" si="5"/>
        <v>12.428454619787587</v>
      </c>
      <c r="AU80" s="35">
        <f t="shared" si="5"/>
        <v>-72.081218274111635</v>
      </c>
      <c r="AV80" s="35">
        <f t="shared" si="5"/>
        <v>23.313506455824754</v>
      </c>
      <c r="AW80" s="35">
        <f t="shared" si="5"/>
        <v>36.90987124463507</v>
      </c>
      <c r="AX80" s="36">
        <f t="shared" si="5"/>
        <v>-60.099823840281822</v>
      </c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4FB4-7F60-4ED5-9C0F-0210F20BA509}">
  <dimension ref="B1:CB925"/>
  <sheetViews>
    <sheetView topLeftCell="AE36" workbookViewId="0">
      <selection activeCell="AQ63" sqref="AQ63:AX63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3" bestFit="1" customWidth="1"/>
    <col min="43" max="44" width="6.5703125" style="3" bestFit="1" customWidth="1"/>
    <col min="45" max="45" width="7.5703125" style="3" bestFit="1" customWidth="1"/>
    <col min="46" max="46" width="5.5703125" style="3" bestFit="1" customWidth="1"/>
    <col min="47" max="47" width="6.28515625" style="3" bestFit="1" customWidth="1"/>
    <col min="48" max="49" width="5.5703125" style="3" bestFit="1" customWidth="1"/>
    <col min="50" max="50" width="6.285156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41" t="s">
        <v>0</v>
      </c>
      <c r="C2" s="42"/>
      <c r="D2" s="42"/>
      <c r="E2" s="42"/>
      <c r="F2" s="42"/>
      <c r="G2" s="42"/>
      <c r="H2" s="42"/>
      <c r="I2" s="42"/>
      <c r="J2" s="43"/>
      <c r="L2" s="41" t="s">
        <v>1</v>
      </c>
      <c r="M2" s="42"/>
      <c r="N2" s="42"/>
      <c r="O2" s="42"/>
      <c r="P2" s="42"/>
      <c r="Q2" s="42"/>
      <c r="R2" s="42"/>
      <c r="S2" s="42"/>
      <c r="T2" s="43"/>
      <c r="V2" s="41" t="s">
        <v>2</v>
      </c>
      <c r="W2" s="42"/>
      <c r="X2" s="42"/>
      <c r="Y2" s="42"/>
      <c r="Z2" s="42"/>
      <c r="AA2" s="42"/>
      <c r="AB2" s="42"/>
      <c r="AC2" s="42"/>
      <c r="AD2" s="43"/>
      <c r="AF2" s="41" t="s">
        <v>3</v>
      </c>
      <c r="AG2" s="42"/>
      <c r="AH2" s="42"/>
      <c r="AI2" s="42"/>
      <c r="AJ2" s="42"/>
      <c r="AK2" s="42"/>
      <c r="AL2" s="42"/>
      <c r="AM2" s="42"/>
      <c r="AN2" s="43"/>
      <c r="AP2" s="41" t="s">
        <v>4</v>
      </c>
      <c r="AQ2" s="42"/>
      <c r="AR2" s="42"/>
      <c r="AS2" s="42"/>
      <c r="AT2" s="42"/>
      <c r="AU2" s="42"/>
      <c r="AV2" s="42"/>
      <c r="AW2" s="42"/>
      <c r="AX2" s="43"/>
      <c r="AZ2" s="41" t="s">
        <v>5</v>
      </c>
      <c r="BA2" s="42"/>
      <c r="BB2" s="42"/>
      <c r="BC2" s="42"/>
      <c r="BD2" s="42"/>
      <c r="BE2" s="42"/>
      <c r="BF2" s="42"/>
      <c r="BG2" s="42"/>
      <c r="BH2" s="43"/>
      <c r="BJ2" s="41" t="s">
        <v>6</v>
      </c>
      <c r="BK2" s="42"/>
      <c r="BL2" s="42"/>
      <c r="BM2" s="42"/>
      <c r="BN2" s="42"/>
      <c r="BO2" s="42"/>
      <c r="BP2" s="42"/>
      <c r="BQ2" s="42"/>
      <c r="BR2" s="43"/>
      <c r="BT2" s="41" t="s">
        <v>7</v>
      </c>
      <c r="BU2" s="42"/>
      <c r="BV2" s="42"/>
      <c r="BW2" s="42"/>
      <c r="BX2" s="42"/>
      <c r="BY2" s="42"/>
      <c r="BZ2" s="42"/>
      <c r="CA2" s="42"/>
      <c r="CB2" s="43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76</v>
      </c>
      <c r="AQ4" s="11">
        <v>2.59</v>
      </c>
      <c r="AR4" s="12">
        <v>0.45</v>
      </c>
      <c r="AS4" s="12">
        <v>0.15</v>
      </c>
      <c r="AT4" s="12">
        <v>3.56</v>
      </c>
      <c r="AU4" s="12">
        <v>5.74</v>
      </c>
      <c r="AV4" s="12">
        <v>3.56</v>
      </c>
      <c r="AW4" s="12">
        <v>0.85</v>
      </c>
      <c r="AX4" s="13">
        <v>0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77</v>
      </c>
      <c r="AQ5" s="17">
        <v>1.89</v>
      </c>
      <c r="AR5" s="18">
        <v>0.45</v>
      </c>
      <c r="AS5" s="18">
        <v>0.62</v>
      </c>
      <c r="AT5" s="18">
        <v>5.74</v>
      </c>
      <c r="AU5" s="18">
        <v>7.88</v>
      </c>
      <c r="AV5" s="18">
        <v>3.56</v>
      </c>
      <c r="AW5" s="18">
        <v>0.85</v>
      </c>
      <c r="AX5" s="19">
        <v>0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78</v>
      </c>
      <c r="AQ6" s="17">
        <v>1.89</v>
      </c>
      <c r="AR6" s="18">
        <v>0.45</v>
      </c>
      <c r="AS6" s="18">
        <v>0.15</v>
      </c>
      <c r="AT6" s="18">
        <v>3.56</v>
      </c>
      <c r="AU6" s="18">
        <v>7.88</v>
      </c>
      <c r="AV6" s="18">
        <v>3.04</v>
      </c>
      <c r="AW6" s="18">
        <v>0.85</v>
      </c>
      <c r="AX6" s="19">
        <v>4.18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79</v>
      </c>
      <c r="AQ7" s="17">
        <v>1.61</v>
      </c>
      <c r="AR7" s="18">
        <v>0.45</v>
      </c>
      <c r="AS7" s="18">
        <v>0.15</v>
      </c>
      <c r="AT7" s="18">
        <v>3.56</v>
      </c>
      <c r="AU7" s="18">
        <v>7.88</v>
      </c>
      <c r="AV7" s="18">
        <v>3.56</v>
      </c>
      <c r="AW7" s="18">
        <v>0.85</v>
      </c>
      <c r="AX7" s="19">
        <v>0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80</v>
      </c>
      <c r="AQ8" s="17">
        <v>1.89</v>
      </c>
      <c r="AR8" s="18">
        <v>0.45</v>
      </c>
      <c r="AS8" s="18">
        <v>0.15</v>
      </c>
      <c r="AT8" s="18">
        <v>3.56</v>
      </c>
      <c r="AU8" s="18">
        <v>7.88</v>
      </c>
      <c r="AV8" s="18">
        <v>3.56</v>
      </c>
      <c r="AW8" s="18">
        <v>0.85</v>
      </c>
      <c r="AX8" s="19">
        <v>0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81</v>
      </c>
      <c r="AQ9" s="17">
        <v>1.61</v>
      </c>
      <c r="AR9" s="18">
        <v>0.45</v>
      </c>
      <c r="AS9" s="18">
        <v>0.15</v>
      </c>
      <c r="AT9" s="18">
        <v>3.04</v>
      </c>
      <c r="AU9" s="18">
        <v>9.24</v>
      </c>
      <c r="AV9" s="18">
        <v>3.56</v>
      </c>
      <c r="AW9" s="18">
        <v>0.85</v>
      </c>
      <c r="AX9" s="19">
        <v>0</v>
      </c>
    </row>
    <row r="10" spans="2:80" x14ac:dyDescent="0.25">
      <c r="AP10" s="16" t="s">
        <v>82</v>
      </c>
      <c r="AQ10" s="17">
        <v>1.89</v>
      </c>
      <c r="AR10" s="18">
        <v>0.45</v>
      </c>
      <c r="AS10" s="18">
        <v>0.17</v>
      </c>
      <c r="AT10" s="18">
        <v>3.04</v>
      </c>
      <c r="AU10" s="18">
        <v>7.88</v>
      </c>
      <c r="AV10" s="18">
        <v>3.56</v>
      </c>
      <c r="AW10" s="18">
        <v>0.85</v>
      </c>
      <c r="AX10" s="19">
        <v>4.18</v>
      </c>
    </row>
    <row r="11" spans="2:80" x14ac:dyDescent="0.25">
      <c r="AP11" s="16" t="s">
        <v>83</v>
      </c>
      <c r="AQ11" s="17">
        <v>2.59</v>
      </c>
      <c r="AR11" s="18">
        <v>0.53</v>
      </c>
      <c r="AS11" s="18">
        <v>0.62</v>
      </c>
      <c r="AT11" s="18">
        <v>3.04</v>
      </c>
      <c r="AU11" s="18">
        <v>7.88</v>
      </c>
      <c r="AV11" s="18">
        <v>3.56</v>
      </c>
      <c r="AW11" s="18">
        <v>0.28000000000000003</v>
      </c>
      <c r="AX11" s="19">
        <v>2.59</v>
      </c>
    </row>
    <row r="12" spans="2:80" x14ac:dyDescent="0.25">
      <c r="AP12" s="16" t="s">
        <v>84</v>
      </c>
      <c r="AQ12" s="17">
        <v>2.59</v>
      </c>
      <c r="AR12" s="18">
        <v>0.53</v>
      </c>
      <c r="AS12" s="18">
        <v>0.62</v>
      </c>
      <c r="AT12" s="18">
        <v>4.18</v>
      </c>
      <c r="AU12" s="18">
        <v>9.24</v>
      </c>
      <c r="AV12" s="18">
        <v>2.21</v>
      </c>
      <c r="AW12" s="18">
        <v>0.28000000000000003</v>
      </c>
      <c r="AX12" s="19">
        <v>4.18</v>
      </c>
    </row>
    <row r="13" spans="2:80" x14ac:dyDescent="0.25">
      <c r="AP13" s="16" t="s">
        <v>85</v>
      </c>
      <c r="AQ13" s="17">
        <v>1.89</v>
      </c>
      <c r="AR13" s="18">
        <v>0.45</v>
      </c>
      <c r="AS13" s="18">
        <v>0.62</v>
      </c>
      <c r="AT13" s="18">
        <v>4.18</v>
      </c>
      <c r="AU13" s="18">
        <v>9.24</v>
      </c>
      <c r="AV13" s="18">
        <v>3.56</v>
      </c>
      <c r="AW13" s="18">
        <v>0.85</v>
      </c>
      <c r="AX13" s="19">
        <v>0</v>
      </c>
    </row>
    <row r="14" spans="2:80" x14ac:dyDescent="0.25">
      <c r="AP14" s="16" t="s">
        <v>86</v>
      </c>
      <c r="AQ14" s="17">
        <v>2.21</v>
      </c>
      <c r="AR14" s="18">
        <v>0.39</v>
      </c>
      <c r="AS14" s="18">
        <v>0.15</v>
      </c>
      <c r="AT14" s="18">
        <v>3.04</v>
      </c>
      <c r="AU14" s="18">
        <v>7.88</v>
      </c>
      <c r="AV14" s="18">
        <v>3.56</v>
      </c>
      <c r="AW14" s="18">
        <v>0.85</v>
      </c>
      <c r="AX14" s="19">
        <v>0</v>
      </c>
    </row>
    <row r="15" spans="2:80" x14ac:dyDescent="0.25">
      <c r="AP15" s="16" t="s">
        <v>87</v>
      </c>
      <c r="AQ15" s="17">
        <v>1.89</v>
      </c>
      <c r="AR15" s="18">
        <v>0.45</v>
      </c>
      <c r="AS15" s="18">
        <v>0.17</v>
      </c>
      <c r="AT15" s="18">
        <v>3.04</v>
      </c>
      <c r="AU15" s="18">
        <v>7.88</v>
      </c>
      <c r="AV15" s="18">
        <v>3.56</v>
      </c>
      <c r="AW15" s="18">
        <v>0.85</v>
      </c>
      <c r="AX15" s="19">
        <v>0</v>
      </c>
    </row>
    <row r="16" spans="2:80" x14ac:dyDescent="0.25">
      <c r="AP16" s="16" t="s">
        <v>88</v>
      </c>
      <c r="AQ16" s="17">
        <v>1.61</v>
      </c>
      <c r="AR16" s="18">
        <v>0.45</v>
      </c>
      <c r="AS16" s="18">
        <v>0.17</v>
      </c>
      <c r="AT16" s="18">
        <v>3.04</v>
      </c>
      <c r="AU16" s="18">
        <v>7.88</v>
      </c>
      <c r="AV16" s="18">
        <v>3.56</v>
      </c>
      <c r="AW16" s="18">
        <v>0.28000000000000003</v>
      </c>
      <c r="AX16" s="19">
        <v>0</v>
      </c>
    </row>
    <row r="17" spans="42:50" x14ac:dyDescent="0.25">
      <c r="AP17" s="16" t="s">
        <v>89</v>
      </c>
      <c r="AQ17" s="17">
        <v>2.59</v>
      </c>
      <c r="AR17" s="18">
        <v>0.45</v>
      </c>
      <c r="AS17" s="18">
        <v>0.15</v>
      </c>
      <c r="AT17" s="18">
        <v>3.04</v>
      </c>
      <c r="AU17" s="18">
        <v>7.88</v>
      </c>
      <c r="AV17" s="18">
        <v>3.04</v>
      </c>
      <c r="AW17" s="18">
        <v>0.85</v>
      </c>
      <c r="AX17" s="19">
        <v>0</v>
      </c>
    </row>
    <row r="18" spans="42:50" x14ac:dyDescent="0.25">
      <c r="AP18" s="16" t="s">
        <v>90</v>
      </c>
      <c r="AQ18" s="17">
        <v>1.61</v>
      </c>
      <c r="AR18" s="18">
        <v>0.39</v>
      </c>
      <c r="AS18" s="18">
        <v>0.15</v>
      </c>
      <c r="AT18" s="18">
        <v>3.04</v>
      </c>
      <c r="AU18" s="18">
        <v>7.88</v>
      </c>
      <c r="AV18" s="18">
        <v>2.21</v>
      </c>
      <c r="AW18" s="18">
        <v>0.73</v>
      </c>
      <c r="AX18" s="19">
        <v>0.85</v>
      </c>
    </row>
    <row r="19" spans="42:50" x14ac:dyDescent="0.25">
      <c r="AP19" s="16" t="s">
        <v>91</v>
      </c>
      <c r="AQ19" s="17">
        <v>1.89</v>
      </c>
      <c r="AR19" s="18">
        <v>0.45</v>
      </c>
      <c r="AS19" s="18">
        <v>0.15</v>
      </c>
      <c r="AT19" s="18">
        <v>4.18</v>
      </c>
      <c r="AU19" s="18">
        <v>7.88</v>
      </c>
      <c r="AV19" s="18">
        <v>2.59</v>
      </c>
      <c r="AW19" s="18">
        <v>0.85</v>
      </c>
      <c r="AX19" s="19">
        <v>0</v>
      </c>
    </row>
    <row r="20" spans="42:50" x14ac:dyDescent="0.25">
      <c r="AP20" s="16" t="s">
        <v>92</v>
      </c>
      <c r="AQ20" s="17">
        <v>1.61</v>
      </c>
      <c r="AR20" s="18">
        <v>0.45</v>
      </c>
      <c r="AS20" s="18">
        <v>0.17</v>
      </c>
      <c r="AT20" s="18">
        <v>3.04</v>
      </c>
      <c r="AU20" s="18">
        <v>7.88</v>
      </c>
      <c r="AV20" s="18">
        <v>1.17</v>
      </c>
      <c r="AW20" s="18">
        <v>0.85</v>
      </c>
      <c r="AX20" s="19">
        <v>0</v>
      </c>
    </row>
    <row r="21" spans="42:50" x14ac:dyDescent="0.25">
      <c r="AP21" s="16" t="s">
        <v>93</v>
      </c>
      <c r="AQ21" s="17">
        <v>1.61</v>
      </c>
      <c r="AR21" s="18">
        <v>0.45</v>
      </c>
      <c r="AS21" s="18">
        <v>0.17</v>
      </c>
      <c r="AT21" s="18">
        <v>3.56</v>
      </c>
      <c r="AU21" s="18">
        <v>6.72</v>
      </c>
      <c r="AV21" s="18">
        <v>4.18</v>
      </c>
      <c r="AW21" s="18">
        <v>0.39</v>
      </c>
      <c r="AX21" s="19">
        <v>0</v>
      </c>
    </row>
    <row r="22" spans="42:50" x14ac:dyDescent="0.25">
      <c r="AP22" s="16" t="s">
        <v>94</v>
      </c>
      <c r="AQ22" s="17">
        <v>3.04</v>
      </c>
      <c r="AR22" s="18">
        <v>0.45</v>
      </c>
      <c r="AS22" s="18">
        <v>0.62</v>
      </c>
      <c r="AT22" s="18">
        <v>4.18</v>
      </c>
      <c r="AU22" s="18">
        <v>7.88</v>
      </c>
      <c r="AV22" s="18">
        <v>3.04</v>
      </c>
      <c r="AW22" s="18">
        <v>0.24</v>
      </c>
      <c r="AX22" s="19">
        <v>4.8899999999999997</v>
      </c>
    </row>
    <row r="23" spans="42:50" x14ac:dyDescent="0.25">
      <c r="AP23" s="16" t="s">
        <v>95</v>
      </c>
      <c r="AQ23" s="17">
        <v>2.59</v>
      </c>
      <c r="AR23" s="18">
        <v>0.45</v>
      </c>
      <c r="AS23" s="18">
        <v>0.62</v>
      </c>
      <c r="AT23" s="18">
        <v>0.85</v>
      </c>
      <c r="AU23" s="18">
        <v>7.88</v>
      </c>
      <c r="AV23" s="18">
        <v>2.21</v>
      </c>
      <c r="AW23" s="18">
        <v>0.28000000000000003</v>
      </c>
      <c r="AX23" s="19">
        <v>2.59</v>
      </c>
    </row>
    <row r="24" spans="42:50" x14ac:dyDescent="0.25">
      <c r="AP24" s="16" t="s">
        <v>96</v>
      </c>
      <c r="AQ24" s="17">
        <v>1.61</v>
      </c>
      <c r="AR24" s="18">
        <v>0.45</v>
      </c>
      <c r="AS24" s="18">
        <v>0.73</v>
      </c>
      <c r="AT24" s="18">
        <v>3.56</v>
      </c>
      <c r="AU24" s="18">
        <v>6.72</v>
      </c>
      <c r="AV24" s="18">
        <v>4.18</v>
      </c>
      <c r="AW24" s="18">
        <v>0.85</v>
      </c>
      <c r="AX24" s="19">
        <v>0</v>
      </c>
    </row>
    <row r="25" spans="42:50" x14ac:dyDescent="0.25">
      <c r="AP25" s="16" t="s">
        <v>97</v>
      </c>
      <c r="AQ25" s="17">
        <v>1.89</v>
      </c>
      <c r="AR25" s="18">
        <v>0.45</v>
      </c>
      <c r="AS25" s="18">
        <v>0.17</v>
      </c>
      <c r="AT25" s="18">
        <v>3.56</v>
      </c>
      <c r="AU25" s="18">
        <v>7.88</v>
      </c>
      <c r="AV25" s="18">
        <v>3.56</v>
      </c>
      <c r="AW25" s="18">
        <v>0.85</v>
      </c>
      <c r="AX25" s="19">
        <v>0.85</v>
      </c>
    </row>
    <row r="26" spans="42:50" x14ac:dyDescent="0.25">
      <c r="AP26" s="16" t="s">
        <v>98</v>
      </c>
      <c r="AQ26" s="17">
        <v>1.89</v>
      </c>
      <c r="AR26" s="18">
        <v>0.45</v>
      </c>
      <c r="AS26" s="18">
        <v>0.15</v>
      </c>
      <c r="AT26" s="18">
        <v>3.04</v>
      </c>
      <c r="AU26" s="18">
        <v>7.88</v>
      </c>
      <c r="AV26" s="18">
        <v>1.17</v>
      </c>
      <c r="AW26" s="18">
        <v>0.85</v>
      </c>
      <c r="AX26" s="19">
        <v>4.18</v>
      </c>
    </row>
    <row r="27" spans="42:50" x14ac:dyDescent="0.25">
      <c r="AP27" s="16" t="s">
        <v>99</v>
      </c>
      <c r="AQ27" s="17">
        <v>1.89</v>
      </c>
      <c r="AR27" s="18">
        <v>0.45</v>
      </c>
      <c r="AS27" s="18">
        <v>0.62</v>
      </c>
      <c r="AT27" s="18">
        <v>0</v>
      </c>
      <c r="AU27" s="18">
        <v>7.88</v>
      </c>
      <c r="AV27" s="18">
        <v>4.18</v>
      </c>
      <c r="AW27" s="18">
        <v>0.85</v>
      </c>
      <c r="AX27" s="19">
        <v>0</v>
      </c>
    </row>
    <row r="28" spans="42:50" x14ac:dyDescent="0.25">
      <c r="AP28" s="16" t="s">
        <v>100</v>
      </c>
      <c r="AQ28" s="17">
        <v>1.37</v>
      </c>
      <c r="AR28" s="18">
        <v>0.45</v>
      </c>
      <c r="AS28" s="18">
        <v>0.15</v>
      </c>
      <c r="AT28" s="18">
        <v>4.18</v>
      </c>
      <c r="AU28" s="18">
        <v>7.88</v>
      </c>
      <c r="AV28" s="18">
        <v>3.56</v>
      </c>
      <c r="AW28" s="18">
        <v>0.85</v>
      </c>
      <c r="AX28" s="19">
        <v>0.73</v>
      </c>
    </row>
    <row r="29" spans="42:50" x14ac:dyDescent="0.25">
      <c r="AP29" s="16" t="s">
        <v>101</v>
      </c>
      <c r="AQ29" s="17">
        <v>1.89</v>
      </c>
      <c r="AR29" s="18">
        <v>0.45</v>
      </c>
      <c r="AS29" s="18">
        <v>0.15</v>
      </c>
      <c r="AT29" s="18">
        <v>3.04</v>
      </c>
      <c r="AU29" s="18">
        <v>7.88</v>
      </c>
      <c r="AV29" s="18">
        <v>4.18</v>
      </c>
      <c r="AW29" s="18">
        <v>0.85</v>
      </c>
      <c r="AX29" s="19">
        <v>0</v>
      </c>
    </row>
    <row r="30" spans="42:50" x14ac:dyDescent="0.25">
      <c r="AP30" s="16" t="s">
        <v>102</v>
      </c>
      <c r="AQ30" s="17">
        <v>1.89</v>
      </c>
      <c r="AR30" s="18">
        <v>0.45</v>
      </c>
      <c r="AS30" s="18">
        <v>0.17</v>
      </c>
      <c r="AT30" s="18">
        <v>3.56</v>
      </c>
      <c r="AU30" s="18">
        <v>7.88</v>
      </c>
      <c r="AV30" s="18">
        <v>1.17</v>
      </c>
      <c r="AW30" s="18">
        <v>0.85</v>
      </c>
      <c r="AX30" s="19">
        <v>2.21</v>
      </c>
    </row>
    <row r="31" spans="42:50" x14ac:dyDescent="0.25">
      <c r="AP31" s="16" t="s">
        <v>103</v>
      </c>
      <c r="AQ31" s="17">
        <v>1.61</v>
      </c>
      <c r="AR31" s="18">
        <v>0.45</v>
      </c>
      <c r="AS31" s="18">
        <v>0.17</v>
      </c>
      <c r="AT31" s="18">
        <v>3.56</v>
      </c>
      <c r="AU31" s="18">
        <v>7.88</v>
      </c>
      <c r="AV31" s="18">
        <v>3.56</v>
      </c>
      <c r="AW31" s="18">
        <v>0.85</v>
      </c>
      <c r="AX31" s="19">
        <v>0</v>
      </c>
    </row>
    <row r="32" spans="42:50" x14ac:dyDescent="0.25">
      <c r="AP32" s="16" t="s">
        <v>104</v>
      </c>
      <c r="AQ32" s="17">
        <v>2.59</v>
      </c>
      <c r="AR32" s="18">
        <v>0.45</v>
      </c>
      <c r="AS32" s="18">
        <v>0.17</v>
      </c>
      <c r="AT32" s="18">
        <v>3.56</v>
      </c>
      <c r="AU32" s="18">
        <v>7.88</v>
      </c>
      <c r="AV32" s="18">
        <v>2.59</v>
      </c>
      <c r="AW32" s="18">
        <v>0.85</v>
      </c>
      <c r="AX32" s="19">
        <v>4.8899999999999997</v>
      </c>
    </row>
    <row r="33" spans="42:50" x14ac:dyDescent="0.25">
      <c r="AP33" s="16" t="s">
        <v>105</v>
      </c>
      <c r="AQ33" s="17">
        <v>2.21</v>
      </c>
      <c r="AR33" s="18">
        <v>0.39</v>
      </c>
      <c r="AS33" s="18">
        <v>0.62</v>
      </c>
      <c r="AT33" s="18">
        <v>4.18</v>
      </c>
      <c r="AU33" s="18">
        <v>9.24</v>
      </c>
      <c r="AV33" s="18">
        <v>2.59</v>
      </c>
      <c r="AW33" s="18">
        <v>0.24</v>
      </c>
      <c r="AX33" s="19">
        <v>2.21</v>
      </c>
    </row>
    <row r="34" spans="42:50" x14ac:dyDescent="0.25">
      <c r="AP34" s="16" t="s">
        <v>106</v>
      </c>
      <c r="AQ34" s="17">
        <v>1.61</v>
      </c>
      <c r="AR34" s="18">
        <v>0.45</v>
      </c>
      <c r="AS34" s="18">
        <v>0.15</v>
      </c>
      <c r="AT34" s="18">
        <v>3.56</v>
      </c>
      <c r="AU34" s="18">
        <v>7.88</v>
      </c>
      <c r="AV34" s="18">
        <v>3.56</v>
      </c>
      <c r="AW34" s="18">
        <v>0.85</v>
      </c>
      <c r="AX34" s="19">
        <v>0</v>
      </c>
    </row>
    <row r="35" spans="42:50" x14ac:dyDescent="0.25">
      <c r="AP35" s="16" t="s">
        <v>107</v>
      </c>
      <c r="AQ35" s="17">
        <v>1.89</v>
      </c>
      <c r="AR35" s="18">
        <v>0.45</v>
      </c>
      <c r="AS35" s="18">
        <v>0.15</v>
      </c>
      <c r="AT35" s="18">
        <v>3.56</v>
      </c>
      <c r="AU35" s="18">
        <v>7.88</v>
      </c>
      <c r="AV35" s="18">
        <v>4.18</v>
      </c>
      <c r="AW35" s="18">
        <v>0.73</v>
      </c>
      <c r="AX35" s="19">
        <v>0.85</v>
      </c>
    </row>
    <row r="36" spans="42:50" x14ac:dyDescent="0.25">
      <c r="AP36" s="16" t="s">
        <v>108</v>
      </c>
      <c r="AQ36" s="17">
        <v>1.89</v>
      </c>
      <c r="AR36" s="18">
        <v>0.45</v>
      </c>
      <c r="AS36" s="18">
        <v>0.17</v>
      </c>
      <c r="AT36" s="18">
        <v>3.04</v>
      </c>
      <c r="AU36" s="18">
        <v>7.88</v>
      </c>
      <c r="AV36" s="18">
        <v>3.56</v>
      </c>
      <c r="AW36" s="18">
        <v>0.85</v>
      </c>
      <c r="AX36" s="19">
        <v>5.74</v>
      </c>
    </row>
    <row r="37" spans="42:50" x14ac:dyDescent="0.25">
      <c r="AP37" s="16" t="s">
        <v>109</v>
      </c>
      <c r="AQ37" s="17">
        <v>1.61</v>
      </c>
      <c r="AR37" s="18">
        <v>0.45</v>
      </c>
      <c r="AS37" s="18">
        <v>0.15</v>
      </c>
      <c r="AT37" s="18">
        <v>3.56</v>
      </c>
      <c r="AU37" s="18">
        <v>7.88</v>
      </c>
      <c r="AV37" s="18">
        <v>3.56</v>
      </c>
      <c r="AW37" s="18">
        <v>0.85</v>
      </c>
      <c r="AX37" s="19">
        <v>0</v>
      </c>
    </row>
    <row r="38" spans="42:50" x14ac:dyDescent="0.25">
      <c r="AP38" s="16" t="s">
        <v>110</v>
      </c>
      <c r="AQ38" s="17">
        <v>1.89</v>
      </c>
      <c r="AR38" s="18">
        <v>0.45</v>
      </c>
      <c r="AS38" s="18">
        <v>0.15</v>
      </c>
      <c r="AT38" s="18">
        <v>3.56</v>
      </c>
      <c r="AU38" s="18">
        <v>7.88</v>
      </c>
      <c r="AV38" s="18">
        <v>1.17</v>
      </c>
      <c r="AW38" s="18">
        <v>0.28000000000000003</v>
      </c>
      <c r="AX38" s="19">
        <v>0</v>
      </c>
    </row>
    <row r="39" spans="42:50" x14ac:dyDescent="0.25">
      <c r="AP39" s="16" t="s">
        <v>111</v>
      </c>
      <c r="AQ39" s="17">
        <v>1.61</v>
      </c>
      <c r="AR39" s="18">
        <v>0.39</v>
      </c>
      <c r="AS39" s="18">
        <v>0.17</v>
      </c>
      <c r="AT39" s="18">
        <v>3.56</v>
      </c>
      <c r="AU39" s="18">
        <v>7.88</v>
      </c>
      <c r="AV39" s="18">
        <v>3.56</v>
      </c>
      <c r="AW39" s="18">
        <v>0.28000000000000003</v>
      </c>
      <c r="AX39" s="19">
        <v>0</v>
      </c>
    </row>
    <row r="40" spans="42:50" x14ac:dyDescent="0.25">
      <c r="AP40" s="16" t="s">
        <v>112</v>
      </c>
      <c r="AQ40" s="17">
        <v>1.61</v>
      </c>
      <c r="AR40" s="18">
        <v>0.39</v>
      </c>
      <c r="AS40" s="18">
        <v>0.17</v>
      </c>
      <c r="AT40" s="18">
        <v>3.04</v>
      </c>
      <c r="AU40" s="18">
        <v>7.88</v>
      </c>
      <c r="AV40" s="18">
        <v>4.18</v>
      </c>
      <c r="AW40" s="18">
        <v>0.85</v>
      </c>
      <c r="AX40" s="19">
        <v>0</v>
      </c>
    </row>
    <row r="41" spans="42:50" x14ac:dyDescent="0.25">
      <c r="AP41" s="16" t="s">
        <v>113</v>
      </c>
      <c r="AQ41" s="17">
        <v>2.59</v>
      </c>
      <c r="AR41" s="18">
        <v>0.45</v>
      </c>
      <c r="AS41" s="18">
        <v>0.17</v>
      </c>
      <c r="AT41" s="18">
        <v>3.56</v>
      </c>
      <c r="AU41" s="18">
        <v>9.24</v>
      </c>
      <c r="AV41" s="18">
        <v>3.56</v>
      </c>
      <c r="AW41" s="18">
        <v>0.85</v>
      </c>
      <c r="AX41" s="19">
        <v>0</v>
      </c>
    </row>
    <row r="42" spans="42:50" x14ac:dyDescent="0.25">
      <c r="AP42" s="16" t="s">
        <v>114</v>
      </c>
      <c r="AQ42" s="17">
        <v>1.61</v>
      </c>
      <c r="AR42" s="18">
        <v>0.45</v>
      </c>
      <c r="AS42" s="18">
        <v>0.15</v>
      </c>
      <c r="AT42" s="18">
        <v>3.56</v>
      </c>
      <c r="AU42" s="18">
        <v>6.72</v>
      </c>
      <c r="AV42" s="18">
        <v>3.56</v>
      </c>
      <c r="AW42" s="18">
        <v>0.85</v>
      </c>
      <c r="AX42" s="19">
        <v>0</v>
      </c>
    </row>
    <row r="43" spans="42:50" x14ac:dyDescent="0.25">
      <c r="AP43" s="16" t="s">
        <v>115</v>
      </c>
      <c r="AQ43" s="17">
        <v>1.61</v>
      </c>
      <c r="AR43" s="18">
        <v>0.45</v>
      </c>
      <c r="AS43" s="18">
        <v>0.15</v>
      </c>
      <c r="AT43" s="18">
        <v>3.04</v>
      </c>
      <c r="AU43" s="18">
        <v>7.88</v>
      </c>
      <c r="AV43" s="18">
        <v>3.56</v>
      </c>
      <c r="AW43" s="18">
        <v>0.33</v>
      </c>
      <c r="AX43" s="19">
        <v>4.18</v>
      </c>
    </row>
    <row r="44" spans="42:50" x14ac:dyDescent="0.25">
      <c r="AP44" s="16" t="s">
        <v>116</v>
      </c>
      <c r="AQ44" s="17">
        <v>1.61</v>
      </c>
      <c r="AR44" s="18">
        <v>0.53</v>
      </c>
      <c r="AS44" s="18">
        <v>0.62</v>
      </c>
      <c r="AT44" s="18">
        <v>4.18</v>
      </c>
      <c r="AU44" s="18">
        <v>10.83</v>
      </c>
      <c r="AV44" s="18">
        <v>2.59</v>
      </c>
      <c r="AW44" s="18">
        <v>0.17</v>
      </c>
      <c r="AX44" s="19">
        <v>2.21</v>
      </c>
    </row>
    <row r="45" spans="42:50" x14ac:dyDescent="0.25">
      <c r="AP45" s="16" t="s">
        <v>117</v>
      </c>
      <c r="AQ45" s="17">
        <v>1.89</v>
      </c>
      <c r="AR45" s="18">
        <v>0.45</v>
      </c>
      <c r="AS45" s="18">
        <v>0.17</v>
      </c>
      <c r="AT45" s="18">
        <v>3.04</v>
      </c>
      <c r="AU45" s="18">
        <v>7.88</v>
      </c>
      <c r="AV45" s="18">
        <v>3.56</v>
      </c>
      <c r="AW45" s="18">
        <v>0.85</v>
      </c>
      <c r="AX45" s="19">
        <v>0.85</v>
      </c>
    </row>
    <row r="46" spans="42:50" x14ac:dyDescent="0.25">
      <c r="AP46" s="16" t="s">
        <v>118</v>
      </c>
      <c r="AQ46" s="17">
        <v>1.89</v>
      </c>
      <c r="AR46" s="18">
        <v>0.39</v>
      </c>
      <c r="AS46" s="18">
        <v>0.62</v>
      </c>
      <c r="AT46" s="18">
        <v>3.04</v>
      </c>
      <c r="AU46" s="18">
        <v>7.88</v>
      </c>
      <c r="AV46" s="18">
        <v>3.56</v>
      </c>
      <c r="AW46" s="18">
        <v>0.33</v>
      </c>
      <c r="AX46" s="19">
        <v>0</v>
      </c>
    </row>
    <row r="47" spans="42:50" x14ac:dyDescent="0.25">
      <c r="AP47" s="16" t="s">
        <v>119</v>
      </c>
      <c r="AQ47" s="17">
        <v>1.89</v>
      </c>
      <c r="AR47" s="18">
        <v>0.45</v>
      </c>
      <c r="AS47" s="18">
        <v>0.17</v>
      </c>
      <c r="AT47" s="18">
        <v>3.56</v>
      </c>
      <c r="AU47" s="18">
        <v>7.88</v>
      </c>
      <c r="AV47" s="18">
        <v>3.56</v>
      </c>
      <c r="AW47" s="18">
        <v>0.85</v>
      </c>
      <c r="AX47" s="19">
        <v>0</v>
      </c>
    </row>
    <row r="48" spans="42:50" x14ac:dyDescent="0.25">
      <c r="AP48" s="16" t="s">
        <v>120</v>
      </c>
      <c r="AQ48" s="17">
        <v>1.61</v>
      </c>
      <c r="AR48" s="18">
        <v>0.45</v>
      </c>
      <c r="AS48" s="18">
        <v>0.15</v>
      </c>
      <c r="AT48" s="18">
        <v>3.56</v>
      </c>
      <c r="AU48" s="18">
        <v>7.88</v>
      </c>
      <c r="AV48" s="18">
        <v>4.18</v>
      </c>
      <c r="AW48" s="18">
        <v>0.85</v>
      </c>
      <c r="AX48" s="19">
        <v>4.18</v>
      </c>
    </row>
    <row r="49" spans="42:50" x14ac:dyDescent="0.25">
      <c r="AP49" s="16" t="s">
        <v>121</v>
      </c>
      <c r="AQ49" s="17">
        <v>1.61</v>
      </c>
      <c r="AR49" s="18">
        <v>0.45</v>
      </c>
      <c r="AS49" s="18">
        <v>0.17</v>
      </c>
      <c r="AT49" s="18">
        <v>3.56</v>
      </c>
      <c r="AU49" s="18">
        <v>7.88</v>
      </c>
      <c r="AV49" s="18">
        <v>3.56</v>
      </c>
      <c r="AW49" s="18">
        <v>0.85</v>
      </c>
      <c r="AX49" s="19">
        <v>0</v>
      </c>
    </row>
    <row r="50" spans="42:50" x14ac:dyDescent="0.25">
      <c r="AP50" s="16" t="s">
        <v>122</v>
      </c>
      <c r="AQ50" s="17">
        <v>1.89</v>
      </c>
      <c r="AR50" s="18">
        <v>0.45</v>
      </c>
      <c r="AS50" s="18">
        <v>0.17</v>
      </c>
      <c r="AT50" s="18">
        <v>3.56</v>
      </c>
      <c r="AU50" s="18">
        <v>7.88</v>
      </c>
      <c r="AV50" s="18">
        <v>3.56</v>
      </c>
      <c r="AW50" s="18">
        <v>0.85</v>
      </c>
      <c r="AX50" s="19">
        <v>0</v>
      </c>
    </row>
    <row r="51" spans="42:50" x14ac:dyDescent="0.25">
      <c r="AP51" s="16" t="s">
        <v>123</v>
      </c>
      <c r="AQ51" s="17">
        <v>1.89</v>
      </c>
      <c r="AR51" s="18">
        <v>0.39</v>
      </c>
      <c r="AS51" s="18">
        <v>0.15</v>
      </c>
      <c r="AT51" s="18">
        <v>3.04</v>
      </c>
      <c r="AU51" s="18">
        <v>7.88</v>
      </c>
      <c r="AV51" s="18">
        <v>2.21</v>
      </c>
      <c r="AW51" s="18">
        <v>0.85</v>
      </c>
      <c r="AX51" s="19">
        <v>0</v>
      </c>
    </row>
    <row r="52" spans="42:50" x14ac:dyDescent="0.25">
      <c r="AP52" s="16" t="s">
        <v>124</v>
      </c>
      <c r="AQ52" s="17">
        <v>1.61</v>
      </c>
      <c r="AR52" s="18">
        <v>0.45</v>
      </c>
      <c r="AS52" s="18">
        <v>0.15</v>
      </c>
      <c r="AT52" s="18">
        <v>3.56</v>
      </c>
      <c r="AU52" s="18">
        <v>7.88</v>
      </c>
      <c r="AV52" s="18">
        <v>3.56</v>
      </c>
      <c r="AW52" s="18">
        <v>0.85</v>
      </c>
      <c r="AX52" s="19">
        <v>0.85</v>
      </c>
    </row>
    <row r="53" spans="42:50" x14ac:dyDescent="0.25">
      <c r="AP53" s="16" t="s">
        <v>125</v>
      </c>
      <c r="AQ53" s="17">
        <v>1.61</v>
      </c>
      <c r="AR53" s="18">
        <v>0.45</v>
      </c>
      <c r="AS53" s="18">
        <v>0.15</v>
      </c>
      <c r="AT53" s="18">
        <v>3.56</v>
      </c>
      <c r="AU53" s="18">
        <v>7.88</v>
      </c>
      <c r="AV53" s="18">
        <v>3.56</v>
      </c>
      <c r="AW53" s="18">
        <v>0.85</v>
      </c>
      <c r="AX53" s="19">
        <v>0</v>
      </c>
    </row>
    <row r="54" spans="42:50" x14ac:dyDescent="0.25">
      <c r="AP54" s="16" t="s">
        <v>126</v>
      </c>
      <c r="AQ54" s="17">
        <v>2.21</v>
      </c>
      <c r="AR54" s="18">
        <v>0.45</v>
      </c>
      <c r="AS54" s="18">
        <v>0.62</v>
      </c>
      <c r="AT54" s="18">
        <v>4.18</v>
      </c>
      <c r="AU54" s="18">
        <v>6.72</v>
      </c>
      <c r="AV54" s="18">
        <v>2.21</v>
      </c>
      <c r="AW54" s="18">
        <v>0.33</v>
      </c>
      <c r="AX54" s="19">
        <v>4.18</v>
      </c>
    </row>
    <row r="55" spans="42:50" x14ac:dyDescent="0.25">
      <c r="AP55" s="16" t="s">
        <v>127</v>
      </c>
      <c r="AQ55" s="17">
        <v>2.21</v>
      </c>
      <c r="AR55" s="18">
        <v>0.45</v>
      </c>
      <c r="AS55" s="18">
        <v>0.62</v>
      </c>
      <c r="AT55" s="18">
        <v>4.18</v>
      </c>
      <c r="AU55" s="18">
        <v>9.24</v>
      </c>
      <c r="AV55" s="18">
        <v>2.59</v>
      </c>
      <c r="AW55" s="18">
        <v>0.33</v>
      </c>
      <c r="AX55" s="19">
        <v>5.74</v>
      </c>
    </row>
    <row r="56" spans="42:50" x14ac:dyDescent="0.25">
      <c r="AP56" s="16" t="s">
        <v>128</v>
      </c>
      <c r="AQ56" s="17">
        <v>1.89</v>
      </c>
      <c r="AR56" s="18">
        <v>0.45</v>
      </c>
      <c r="AS56" s="18">
        <v>0.15</v>
      </c>
      <c r="AT56" s="18">
        <v>0.85</v>
      </c>
      <c r="AU56" s="18">
        <v>7.88</v>
      </c>
      <c r="AV56" s="18">
        <v>3.56</v>
      </c>
      <c r="AW56" s="18">
        <v>0.85</v>
      </c>
      <c r="AX56" s="19">
        <v>4.8899999999999997</v>
      </c>
    </row>
    <row r="57" spans="42:50" x14ac:dyDescent="0.25">
      <c r="AP57" s="16" t="s">
        <v>129</v>
      </c>
      <c r="AQ57" s="17">
        <v>1.89</v>
      </c>
      <c r="AR57" s="18">
        <v>0.45</v>
      </c>
      <c r="AS57" s="18">
        <v>0.39</v>
      </c>
      <c r="AT57" s="18">
        <v>3.56</v>
      </c>
      <c r="AU57" s="18">
        <v>6.72</v>
      </c>
      <c r="AV57" s="18">
        <v>3.56</v>
      </c>
      <c r="AW57" s="18">
        <v>0.33</v>
      </c>
      <c r="AX57" s="19">
        <v>0.85</v>
      </c>
    </row>
    <row r="58" spans="42:50" x14ac:dyDescent="0.25">
      <c r="AP58" s="16" t="s">
        <v>130</v>
      </c>
      <c r="AQ58" s="17">
        <v>1.61</v>
      </c>
      <c r="AR58" s="18">
        <v>0.45</v>
      </c>
      <c r="AS58" s="18">
        <v>0.62</v>
      </c>
      <c r="AT58" s="18">
        <v>3.04</v>
      </c>
      <c r="AU58" s="18">
        <v>7.88</v>
      </c>
      <c r="AV58" s="18">
        <v>3.56</v>
      </c>
      <c r="AW58" s="18">
        <v>0.85</v>
      </c>
      <c r="AX58" s="19">
        <v>0</v>
      </c>
    </row>
    <row r="59" spans="42:50" x14ac:dyDescent="0.25">
      <c r="AP59" s="16" t="s">
        <v>131</v>
      </c>
      <c r="AQ59" s="17">
        <v>1.61</v>
      </c>
      <c r="AR59" s="18">
        <v>0.45</v>
      </c>
      <c r="AS59" s="18">
        <v>0.15</v>
      </c>
      <c r="AT59" s="18">
        <v>3.04</v>
      </c>
      <c r="AU59" s="18">
        <v>6.72</v>
      </c>
      <c r="AV59" s="18">
        <v>2.21</v>
      </c>
      <c r="AW59" s="18">
        <v>0.85</v>
      </c>
      <c r="AX59" s="19">
        <v>0</v>
      </c>
    </row>
    <row r="60" spans="42:50" x14ac:dyDescent="0.25">
      <c r="AP60" s="16" t="s">
        <v>132</v>
      </c>
      <c r="AQ60" s="17">
        <v>1.61</v>
      </c>
      <c r="AR60" s="18">
        <v>0.45</v>
      </c>
      <c r="AS60" s="18">
        <v>0.15</v>
      </c>
      <c r="AT60" s="18">
        <v>3.04</v>
      </c>
      <c r="AU60" s="18">
        <v>7.88</v>
      </c>
      <c r="AV60" s="18">
        <v>3.56</v>
      </c>
      <c r="AW60" s="18">
        <v>0.85</v>
      </c>
      <c r="AX60" s="19">
        <v>0.85</v>
      </c>
    </row>
    <row r="61" spans="42:50" x14ac:dyDescent="0.25">
      <c r="AP61" s="16" t="s">
        <v>133</v>
      </c>
      <c r="AQ61" s="17">
        <v>1.61</v>
      </c>
      <c r="AR61" s="18">
        <v>0.45</v>
      </c>
      <c r="AS61" s="18">
        <v>0.15</v>
      </c>
      <c r="AT61" s="18">
        <v>3.04</v>
      </c>
      <c r="AU61" s="18">
        <v>7.88</v>
      </c>
      <c r="AV61" s="18">
        <v>3.56</v>
      </c>
      <c r="AW61" s="18">
        <v>0.85</v>
      </c>
      <c r="AX61" s="19">
        <v>0</v>
      </c>
    </row>
    <row r="62" spans="42:50" ht="15.75" thickBot="1" x14ac:dyDescent="0.3">
      <c r="AP62" s="16" t="s">
        <v>134</v>
      </c>
      <c r="AQ62" s="17">
        <v>1.61</v>
      </c>
      <c r="AR62" s="18">
        <v>0.45</v>
      </c>
      <c r="AS62" s="18">
        <v>0.17</v>
      </c>
      <c r="AT62" s="18">
        <v>3.04</v>
      </c>
      <c r="AU62" s="18">
        <v>7.88</v>
      </c>
      <c r="AV62" s="18">
        <v>3.56</v>
      </c>
      <c r="AW62" s="18">
        <v>0.33</v>
      </c>
      <c r="AX62" s="19">
        <v>0</v>
      </c>
    </row>
    <row r="63" spans="42:50" x14ac:dyDescent="0.25">
      <c r="AP63" s="10" t="s">
        <v>230</v>
      </c>
      <c r="AQ63" s="11">
        <v>1.8915254237288099</v>
      </c>
      <c r="AR63" s="12">
        <v>0.446949152542372</v>
      </c>
      <c r="AS63" s="12">
        <v>0.27355932203389799</v>
      </c>
      <c r="AT63" s="12">
        <v>3.4031034482758602</v>
      </c>
      <c r="AU63" s="12">
        <v>7.9140677966101602</v>
      </c>
      <c r="AV63" s="12">
        <v>3.2255932203389799</v>
      </c>
      <c r="AW63" s="12">
        <v>0.69508474576271195</v>
      </c>
      <c r="AX63" s="13">
        <v>2.9559999999999902</v>
      </c>
    </row>
    <row r="64" spans="42:50" x14ac:dyDescent="0.25">
      <c r="AP64" s="16" t="s">
        <v>231</v>
      </c>
      <c r="AQ64" s="17">
        <v>0.35208730407757799</v>
      </c>
      <c r="AR64" s="18">
        <v>2.7262331203909199E-2</v>
      </c>
      <c r="AS64" s="18">
        <v>0.20051427703396901</v>
      </c>
      <c r="AT64" s="18">
        <v>0.687590011403025</v>
      </c>
      <c r="AU64" s="18">
        <v>0.740874697528211</v>
      </c>
      <c r="AV64" s="18">
        <v>0.77450973270561996</v>
      </c>
      <c r="AW64" s="18">
        <v>0.247114691558914</v>
      </c>
      <c r="AX64" s="19">
        <v>1.7337681505899201</v>
      </c>
    </row>
    <row r="65" spans="42:50" x14ac:dyDescent="0.25">
      <c r="AP65" s="16" t="s">
        <v>232</v>
      </c>
      <c r="AQ65" s="17">
        <v>2.24361272780639</v>
      </c>
      <c r="AR65" s="18">
        <v>0.47421148374628103</v>
      </c>
      <c r="AS65" s="18">
        <v>0.474073599067868</v>
      </c>
      <c r="AT65" s="18">
        <v>4.0906934596788798</v>
      </c>
      <c r="AU65" s="18">
        <v>8.6549424941383801</v>
      </c>
      <c r="AV65" s="18">
        <v>4.0001029530445997</v>
      </c>
      <c r="AW65" s="18">
        <v>0.94219943732162603</v>
      </c>
      <c r="AX65" s="19">
        <v>4.68976815058992</v>
      </c>
    </row>
    <row r="66" spans="42:50" x14ac:dyDescent="0.25">
      <c r="AP66" s="16" t="s">
        <v>233</v>
      </c>
      <c r="AQ66" s="17">
        <v>1.5394381196512299</v>
      </c>
      <c r="AR66" s="18">
        <v>0.41968682133846302</v>
      </c>
      <c r="AS66" s="18">
        <v>7.3045044999928505E-2</v>
      </c>
      <c r="AT66" s="18">
        <v>2.71551343687283</v>
      </c>
      <c r="AU66" s="18">
        <v>7.1731930990819501</v>
      </c>
      <c r="AV66" s="18">
        <v>2.45108348763336</v>
      </c>
      <c r="AW66" s="18">
        <v>0.44797005420379699</v>
      </c>
      <c r="AX66" s="19">
        <v>1.2222318494100699</v>
      </c>
    </row>
    <row r="67" spans="42:50" ht="15.75" thickBot="1" x14ac:dyDescent="0.3">
      <c r="AP67" s="23" t="s">
        <v>234</v>
      </c>
      <c r="AQ67" s="24">
        <v>1.7811999999999899</v>
      </c>
      <c r="AR67" s="25">
        <v>0.44999999999999901</v>
      </c>
      <c r="AS67" s="25">
        <v>0.163333333333333</v>
      </c>
      <c r="AT67" s="25">
        <v>3.3113043478260802</v>
      </c>
      <c r="AU67" s="25">
        <v>7.8799999999999901</v>
      </c>
      <c r="AV67" s="25">
        <v>3.40738095238095</v>
      </c>
      <c r="AW67" s="25">
        <v>0.84441860465116303</v>
      </c>
      <c r="AX67" s="26">
        <v>3.4224999999999999</v>
      </c>
    </row>
    <row r="68" spans="42:50" ht="15.75" thickBot="1" x14ac:dyDescent="0.3">
      <c r="AQ68" s="27"/>
      <c r="AR68" s="27"/>
      <c r="AS68" s="27"/>
      <c r="AT68" s="27"/>
      <c r="AU68" s="27"/>
      <c r="AV68" s="27"/>
      <c r="AW68" s="27"/>
      <c r="AX68" s="27"/>
    </row>
    <row r="69" spans="42:50" ht="30" x14ac:dyDescent="0.25">
      <c r="AP69" s="28" t="s">
        <v>235</v>
      </c>
      <c r="AQ69" s="29">
        <v>3.8</v>
      </c>
      <c r="AR69" s="29">
        <v>2.5</v>
      </c>
      <c r="AS69" s="29">
        <v>4.05</v>
      </c>
      <c r="AT69" s="29">
        <v>3.84</v>
      </c>
      <c r="AU69" s="29">
        <v>2.25</v>
      </c>
      <c r="AV69" s="29">
        <v>4.26</v>
      </c>
      <c r="AW69" s="29">
        <v>1.27</v>
      </c>
      <c r="AX69" s="30">
        <v>1.64</v>
      </c>
    </row>
    <row r="70" spans="42:50" x14ac:dyDescent="0.25">
      <c r="AP70" s="31" t="s">
        <v>236</v>
      </c>
      <c r="AQ70" s="32">
        <f t="shared" ref="AQ70:AX70" si="0">AQ69-AQ67</f>
        <v>2.0188000000000099</v>
      </c>
      <c r="AR70" s="32">
        <f t="shared" si="0"/>
        <v>2.0500000000000012</v>
      </c>
      <c r="AS70" s="32">
        <f t="shared" si="0"/>
        <v>3.8866666666666667</v>
      </c>
      <c r="AT70" s="32">
        <f t="shared" si="0"/>
        <v>0.52869565217391967</v>
      </c>
      <c r="AU70" s="32">
        <f t="shared" si="0"/>
        <v>-5.6299999999999901</v>
      </c>
      <c r="AV70" s="32">
        <f t="shared" si="0"/>
        <v>0.85261904761904983</v>
      </c>
      <c r="AW70" s="32">
        <f t="shared" si="0"/>
        <v>0.42558139534883699</v>
      </c>
      <c r="AX70" s="33">
        <f t="shared" si="0"/>
        <v>-1.7825</v>
      </c>
    </row>
    <row r="71" spans="42:50" ht="15.75" thickBot="1" x14ac:dyDescent="0.3">
      <c r="AP71" s="34" t="s">
        <v>237</v>
      </c>
      <c r="AQ71" s="35">
        <f t="shared" ref="AQ71:AX71" si="1">(AQ70/AQ67)*100</f>
        <v>113.33932180552557</v>
      </c>
      <c r="AR71" s="35">
        <f t="shared" si="1"/>
        <v>455.55555555555679</v>
      </c>
      <c r="AS71" s="35">
        <f t="shared" si="1"/>
        <v>2379.591836734699</v>
      </c>
      <c r="AT71" s="35">
        <f t="shared" si="1"/>
        <v>15.96638655462208</v>
      </c>
      <c r="AU71" s="35">
        <f t="shared" si="1"/>
        <v>-71.446700507614182</v>
      </c>
      <c r="AV71" s="35">
        <f t="shared" si="1"/>
        <v>25.022709803647626</v>
      </c>
      <c r="AW71" s="35">
        <f t="shared" si="1"/>
        <v>50.399339025061927</v>
      </c>
      <c r="AX71" s="36">
        <f t="shared" si="1"/>
        <v>-52.081811541271009</v>
      </c>
    </row>
    <row r="72" spans="42:50" ht="15.75" thickBot="1" x14ac:dyDescent="0.3">
      <c r="AP72" s="37"/>
      <c r="AQ72" s="32"/>
      <c r="AR72" s="32"/>
      <c r="AS72" s="32"/>
      <c r="AT72" s="32"/>
      <c r="AU72" s="32"/>
      <c r="AV72" s="32"/>
      <c r="AW72" s="32"/>
      <c r="AX72" s="32"/>
    </row>
    <row r="73" spans="42:50" ht="30" x14ac:dyDescent="0.25">
      <c r="AP73" s="28" t="s">
        <v>238</v>
      </c>
      <c r="AQ73" s="29">
        <v>3.62</v>
      </c>
      <c r="AR73" s="29">
        <v>2.38</v>
      </c>
      <c r="AS73" s="29">
        <v>3.96</v>
      </c>
      <c r="AT73" s="29">
        <v>3.68</v>
      </c>
      <c r="AU73" s="29">
        <v>2.14</v>
      </c>
      <c r="AV73" s="29">
        <v>4.1100000000000003</v>
      </c>
      <c r="AW73" s="29">
        <v>1.1399999999999999</v>
      </c>
      <c r="AX73" s="30">
        <v>1.5</v>
      </c>
    </row>
    <row r="74" spans="42:50" x14ac:dyDescent="0.25">
      <c r="AP74" s="31" t="s">
        <v>236</v>
      </c>
      <c r="AQ74" s="32">
        <f t="shared" ref="AQ74:AX74" si="2">AQ73-AQ67</f>
        <v>1.8388000000000102</v>
      </c>
      <c r="AR74" s="32">
        <f t="shared" si="2"/>
        <v>1.9300000000000008</v>
      </c>
      <c r="AS74" s="32">
        <f t="shared" si="2"/>
        <v>3.7966666666666669</v>
      </c>
      <c r="AT74" s="32">
        <f t="shared" si="2"/>
        <v>0.36869565217391997</v>
      </c>
      <c r="AU74" s="32">
        <f t="shared" si="2"/>
        <v>-5.7399999999999896</v>
      </c>
      <c r="AV74" s="32">
        <f t="shared" si="2"/>
        <v>0.70261904761905036</v>
      </c>
      <c r="AW74" s="32">
        <f t="shared" si="2"/>
        <v>0.29558139534883687</v>
      </c>
      <c r="AX74" s="33">
        <f t="shared" si="2"/>
        <v>-1.9224999999999999</v>
      </c>
    </row>
    <row r="75" spans="42:50" ht="15.75" thickBot="1" x14ac:dyDescent="0.3">
      <c r="AP75" s="34" t="s">
        <v>237</v>
      </c>
      <c r="AQ75" s="35">
        <f>(AQ74/AQ67)*100</f>
        <v>103.23377498315858</v>
      </c>
      <c r="AR75" s="35">
        <f t="shared" ref="AR75:AX75" si="3">(AR74/AR67)*100</f>
        <v>428.88888888889005</v>
      </c>
      <c r="AS75" s="35">
        <f t="shared" si="3"/>
        <v>2324.4897959183722</v>
      </c>
      <c r="AT75" s="35">
        <f t="shared" si="3"/>
        <v>11.134453781512837</v>
      </c>
      <c r="AU75" s="35">
        <f t="shared" si="3"/>
        <v>-72.842639593908586</v>
      </c>
      <c r="AV75" s="35">
        <f t="shared" si="3"/>
        <v>20.620501711969908</v>
      </c>
      <c r="AW75" s="35">
        <f t="shared" si="3"/>
        <v>35.004131093362659</v>
      </c>
      <c r="AX75" s="36">
        <f t="shared" si="3"/>
        <v>-56.17238860482103</v>
      </c>
    </row>
    <row r="76" spans="42:50" ht="15.75" thickBot="1" x14ac:dyDescent="0.3">
      <c r="AQ76" s="27"/>
      <c r="AR76" s="27"/>
      <c r="AS76" s="27"/>
      <c r="AT76" s="27"/>
      <c r="AU76" s="27"/>
      <c r="AV76" s="27"/>
      <c r="AW76" s="27"/>
      <c r="AX76" s="27"/>
    </row>
    <row r="77" spans="42:50" ht="30" x14ac:dyDescent="0.25">
      <c r="AP77" s="28" t="s">
        <v>239</v>
      </c>
      <c r="AQ77" s="38">
        <v>3.55</v>
      </c>
      <c r="AR77" s="29">
        <v>2.44</v>
      </c>
      <c r="AS77" s="29">
        <v>3.99</v>
      </c>
      <c r="AT77" s="29">
        <v>3.75</v>
      </c>
      <c r="AU77" s="29">
        <v>2.2000000000000002</v>
      </c>
      <c r="AV77" s="29">
        <v>4.25</v>
      </c>
      <c r="AW77" s="29">
        <v>1.1599999999999999</v>
      </c>
      <c r="AX77" s="30">
        <v>1.51</v>
      </c>
    </row>
    <row r="78" spans="42:50" x14ac:dyDescent="0.25">
      <c r="AP78" s="31" t="s">
        <v>236</v>
      </c>
      <c r="AQ78" s="39">
        <f>AQ77-AQ67</f>
        <v>1.7688000000000099</v>
      </c>
      <c r="AR78" s="32">
        <f t="shared" ref="AR78:AX78" si="4">AR77-AR67</f>
        <v>1.9900000000000009</v>
      </c>
      <c r="AS78" s="32">
        <f t="shared" si="4"/>
        <v>3.8266666666666671</v>
      </c>
      <c r="AT78" s="32">
        <f t="shared" si="4"/>
        <v>0.43869565217391981</v>
      </c>
      <c r="AU78" s="32">
        <f t="shared" si="4"/>
        <v>-5.6799999999999899</v>
      </c>
      <c r="AV78" s="32">
        <f t="shared" si="4"/>
        <v>0.84261904761905004</v>
      </c>
      <c r="AW78" s="32">
        <f>AW77-AW67</f>
        <v>0.31558139534883689</v>
      </c>
      <c r="AX78" s="33">
        <f t="shared" si="4"/>
        <v>-1.9124999999999999</v>
      </c>
    </row>
    <row r="79" spans="42:50" ht="15.75" thickBot="1" x14ac:dyDescent="0.3">
      <c r="AP79" s="34" t="s">
        <v>237</v>
      </c>
      <c r="AQ79" s="40">
        <f>(AQ78/AQ67)*100</f>
        <v>99.303840107793619</v>
      </c>
      <c r="AR79" s="35">
        <f t="shared" ref="AR79:AX79" si="5">(AR78/AR67)*100</f>
        <v>442.22222222222342</v>
      </c>
      <c r="AS79" s="35">
        <f t="shared" si="5"/>
        <v>2342.8571428571481</v>
      </c>
      <c r="AT79" s="35">
        <f t="shared" si="5"/>
        <v>13.248424369748129</v>
      </c>
      <c r="AU79" s="35">
        <f t="shared" si="5"/>
        <v>-72.081218274111635</v>
      </c>
      <c r="AV79" s="35">
        <f t="shared" si="5"/>
        <v>24.729229264202452</v>
      </c>
      <c r="AW79" s="35">
        <f t="shared" si="5"/>
        <v>37.37262462131639</v>
      </c>
      <c r="AX79" s="36">
        <f t="shared" si="5"/>
        <v>-55.88020452885317</v>
      </c>
    </row>
    <row r="80" spans="42:50" x14ac:dyDescent="0.25">
      <c r="AQ80" s="27"/>
      <c r="AR80" s="27"/>
      <c r="AS80" s="27"/>
      <c r="AT80" s="27"/>
      <c r="AU80" s="27"/>
      <c r="AV80" s="27"/>
      <c r="AW80" s="27"/>
      <c r="AX80" s="27"/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8220-4CED-4E5D-A71E-9BDBB5FBF345}">
  <dimension ref="B1:CB925"/>
  <sheetViews>
    <sheetView topLeftCell="Y31" workbookViewId="0">
      <selection activeCell="AQ64" sqref="AQ64:AX64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1.42578125" style="3" bestFit="1" customWidth="1"/>
    <col min="43" max="44" width="6.5703125" style="3" bestFit="1" customWidth="1"/>
    <col min="45" max="45" width="7.5703125" style="3" bestFit="1" customWidth="1"/>
    <col min="46" max="46" width="5.5703125" style="3" bestFit="1" customWidth="1"/>
    <col min="47" max="47" width="6.28515625" style="3" bestFit="1" customWidth="1"/>
    <col min="48" max="49" width="5.5703125" style="3" bestFit="1" customWidth="1"/>
    <col min="50" max="50" width="6.285156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41" t="s">
        <v>0</v>
      </c>
      <c r="C2" s="42"/>
      <c r="D2" s="42"/>
      <c r="E2" s="42"/>
      <c r="F2" s="42"/>
      <c r="G2" s="42"/>
      <c r="H2" s="42"/>
      <c r="I2" s="42"/>
      <c r="J2" s="43"/>
      <c r="L2" s="41" t="s">
        <v>1</v>
      </c>
      <c r="M2" s="42"/>
      <c r="N2" s="42"/>
      <c r="O2" s="42"/>
      <c r="P2" s="42"/>
      <c r="Q2" s="42"/>
      <c r="R2" s="42"/>
      <c r="S2" s="42"/>
      <c r="T2" s="43"/>
      <c r="V2" s="41" t="s">
        <v>2</v>
      </c>
      <c r="W2" s="42"/>
      <c r="X2" s="42"/>
      <c r="Y2" s="42"/>
      <c r="Z2" s="42"/>
      <c r="AA2" s="42"/>
      <c r="AB2" s="42"/>
      <c r="AC2" s="42"/>
      <c r="AD2" s="43"/>
      <c r="AF2" s="41" t="s">
        <v>3</v>
      </c>
      <c r="AG2" s="42"/>
      <c r="AH2" s="42"/>
      <c r="AI2" s="42"/>
      <c r="AJ2" s="42"/>
      <c r="AK2" s="42"/>
      <c r="AL2" s="42"/>
      <c r="AM2" s="42"/>
      <c r="AN2" s="43"/>
      <c r="AP2" s="41" t="s">
        <v>4</v>
      </c>
      <c r="AQ2" s="42"/>
      <c r="AR2" s="42"/>
      <c r="AS2" s="42"/>
      <c r="AT2" s="42"/>
      <c r="AU2" s="42"/>
      <c r="AV2" s="42"/>
      <c r="AW2" s="42"/>
      <c r="AX2" s="43"/>
      <c r="AZ2" s="41" t="s">
        <v>5</v>
      </c>
      <c r="BA2" s="42"/>
      <c r="BB2" s="42"/>
      <c r="BC2" s="42"/>
      <c r="BD2" s="42"/>
      <c r="BE2" s="42"/>
      <c r="BF2" s="42"/>
      <c r="BG2" s="42"/>
      <c r="BH2" s="43"/>
      <c r="BJ2" s="41" t="s">
        <v>6</v>
      </c>
      <c r="BK2" s="42"/>
      <c r="BL2" s="42"/>
      <c r="BM2" s="42"/>
      <c r="BN2" s="42"/>
      <c r="BO2" s="42"/>
      <c r="BP2" s="42"/>
      <c r="BQ2" s="42"/>
      <c r="BR2" s="43"/>
      <c r="BT2" s="41" t="s">
        <v>7</v>
      </c>
      <c r="BU2" s="42"/>
      <c r="BV2" s="42"/>
      <c r="BW2" s="42"/>
      <c r="BX2" s="42"/>
      <c r="BY2" s="42"/>
      <c r="BZ2" s="42"/>
      <c r="CA2" s="42"/>
      <c r="CB2" s="43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206</v>
      </c>
      <c r="AQ4" s="11">
        <v>1.89</v>
      </c>
      <c r="AR4" s="12">
        <v>0.45</v>
      </c>
      <c r="AS4" s="12">
        <v>0.15</v>
      </c>
      <c r="AT4" s="12">
        <v>3.56</v>
      </c>
      <c r="AU4" s="12">
        <v>7.88</v>
      </c>
      <c r="AV4" s="12">
        <v>2.21</v>
      </c>
      <c r="AW4" s="12">
        <v>0.85</v>
      </c>
      <c r="AX4" s="13">
        <v>4.18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206</v>
      </c>
      <c r="AQ5" s="17">
        <v>1.61</v>
      </c>
      <c r="AR5" s="18">
        <v>0.45</v>
      </c>
      <c r="AS5" s="18">
        <v>0.15</v>
      </c>
      <c r="AT5" s="18">
        <v>3.04</v>
      </c>
      <c r="AU5" s="18">
        <v>7.88</v>
      </c>
      <c r="AV5" s="18">
        <v>3.56</v>
      </c>
      <c r="AW5" s="18">
        <v>0.85</v>
      </c>
      <c r="AX5" s="19">
        <v>1.89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206</v>
      </c>
      <c r="AQ6" s="17">
        <v>2.59</v>
      </c>
      <c r="AR6" s="18">
        <v>0.45</v>
      </c>
      <c r="AS6" s="18">
        <v>0.15</v>
      </c>
      <c r="AT6" s="18">
        <v>3.56</v>
      </c>
      <c r="AU6" s="18">
        <v>5.74</v>
      </c>
      <c r="AV6" s="18">
        <v>3.56</v>
      </c>
      <c r="AW6" s="18">
        <v>0.85</v>
      </c>
      <c r="AX6" s="19">
        <v>0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206</v>
      </c>
      <c r="AQ7" s="17">
        <v>1.89</v>
      </c>
      <c r="AR7" s="18">
        <v>0.45</v>
      </c>
      <c r="AS7" s="18">
        <v>0.15</v>
      </c>
      <c r="AT7" s="18">
        <v>3.04</v>
      </c>
      <c r="AU7" s="18">
        <v>7.88</v>
      </c>
      <c r="AV7" s="18">
        <v>3.56</v>
      </c>
      <c r="AW7" s="18">
        <v>0.85</v>
      </c>
      <c r="AX7" s="19">
        <v>0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206</v>
      </c>
      <c r="AQ8" s="17">
        <v>2.59</v>
      </c>
      <c r="AR8" s="18">
        <v>0.45</v>
      </c>
      <c r="AS8" s="18">
        <v>0.62</v>
      </c>
      <c r="AT8" s="18">
        <v>4.8899999999999997</v>
      </c>
      <c r="AU8" s="18">
        <v>7.88</v>
      </c>
      <c r="AV8" s="18">
        <v>3.56</v>
      </c>
      <c r="AW8" s="18">
        <v>0.33</v>
      </c>
      <c r="AX8" s="19">
        <v>4.18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207</v>
      </c>
      <c r="AQ9" s="17">
        <v>1.61</v>
      </c>
      <c r="AR9" s="18">
        <v>0.45</v>
      </c>
      <c r="AS9" s="18">
        <v>0.15</v>
      </c>
      <c r="AT9" s="18">
        <v>3.56</v>
      </c>
      <c r="AU9" s="18">
        <v>7.88</v>
      </c>
      <c r="AV9" s="18">
        <v>3.56</v>
      </c>
      <c r="AW9" s="18">
        <v>0.85</v>
      </c>
      <c r="AX9" s="19">
        <v>0</v>
      </c>
    </row>
    <row r="10" spans="2:80" x14ac:dyDescent="0.25">
      <c r="AP10" s="16" t="s">
        <v>207</v>
      </c>
      <c r="AQ10" s="17">
        <v>1.89</v>
      </c>
      <c r="AR10" s="18">
        <v>0.45</v>
      </c>
      <c r="AS10" s="18">
        <v>0.15</v>
      </c>
      <c r="AT10" s="18">
        <v>3.56</v>
      </c>
      <c r="AU10" s="18">
        <v>7.88</v>
      </c>
      <c r="AV10" s="18">
        <v>3.56</v>
      </c>
      <c r="AW10" s="18">
        <v>0.85</v>
      </c>
      <c r="AX10" s="19">
        <v>0</v>
      </c>
    </row>
    <row r="11" spans="2:80" x14ac:dyDescent="0.25">
      <c r="AP11" s="16" t="s">
        <v>207</v>
      </c>
      <c r="AQ11" s="17">
        <v>1.61</v>
      </c>
      <c r="AR11" s="18">
        <v>0.45</v>
      </c>
      <c r="AS11" s="18">
        <v>0.15</v>
      </c>
      <c r="AT11" s="18">
        <v>3.04</v>
      </c>
      <c r="AU11" s="18">
        <v>9.24</v>
      </c>
      <c r="AV11" s="18">
        <v>3.56</v>
      </c>
      <c r="AW11" s="18">
        <v>0.85</v>
      </c>
      <c r="AX11" s="19">
        <v>0</v>
      </c>
    </row>
    <row r="12" spans="2:80" x14ac:dyDescent="0.25">
      <c r="AP12" s="16" t="s">
        <v>207</v>
      </c>
      <c r="AQ12" s="17">
        <v>1.89</v>
      </c>
      <c r="AR12" s="18">
        <v>0.45</v>
      </c>
      <c r="AS12" s="18">
        <v>0.62</v>
      </c>
      <c r="AT12" s="18">
        <v>5.74</v>
      </c>
      <c r="AU12" s="18">
        <v>7.88</v>
      </c>
      <c r="AV12" s="18">
        <v>3.56</v>
      </c>
      <c r="AW12" s="18">
        <v>0.85</v>
      </c>
      <c r="AX12" s="19">
        <v>0</v>
      </c>
    </row>
    <row r="13" spans="2:80" x14ac:dyDescent="0.25">
      <c r="AP13" s="16" t="s">
        <v>207</v>
      </c>
      <c r="AQ13" s="17">
        <v>1.89</v>
      </c>
      <c r="AR13" s="18">
        <v>0.45</v>
      </c>
      <c r="AS13" s="18">
        <v>0.15</v>
      </c>
      <c r="AT13" s="18">
        <v>3.56</v>
      </c>
      <c r="AU13" s="18">
        <v>7.88</v>
      </c>
      <c r="AV13" s="18">
        <v>3.04</v>
      </c>
      <c r="AW13" s="18">
        <v>0.85</v>
      </c>
      <c r="AX13" s="19">
        <v>4.18</v>
      </c>
    </row>
    <row r="14" spans="2:80" x14ac:dyDescent="0.25">
      <c r="AP14" s="16" t="s">
        <v>208</v>
      </c>
      <c r="AQ14" s="17">
        <v>2.59</v>
      </c>
      <c r="AR14" s="18">
        <v>0.53</v>
      </c>
      <c r="AS14" s="18">
        <v>0.62</v>
      </c>
      <c r="AT14" s="18">
        <v>4.18</v>
      </c>
      <c r="AU14" s="18">
        <v>9.24</v>
      </c>
      <c r="AV14" s="18">
        <v>2.21</v>
      </c>
      <c r="AW14" s="18">
        <v>0.28000000000000003</v>
      </c>
      <c r="AX14" s="19">
        <v>4.18</v>
      </c>
    </row>
    <row r="15" spans="2:80" x14ac:dyDescent="0.25">
      <c r="AP15" s="16" t="s">
        <v>208</v>
      </c>
      <c r="AQ15" s="17">
        <v>1.89</v>
      </c>
      <c r="AR15" s="18">
        <v>0.45</v>
      </c>
      <c r="AS15" s="18">
        <v>0.62</v>
      </c>
      <c r="AT15" s="18">
        <v>4.18</v>
      </c>
      <c r="AU15" s="18">
        <v>9.24</v>
      </c>
      <c r="AV15" s="18">
        <v>3.56</v>
      </c>
      <c r="AW15" s="18">
        <v>0.85</v>
      </c>
      <c r="AX15" s="19">
        <v>0</v>
      </c>
    </row>
    <row r="16" spans="2:80" x14ac:dyDescent="0.25">
      <c r="AP16" s="16" t="s">
        <v>208</v>
      </c>
      <c r="AQ16" s="17">
        <v>2.21</v>
      </c>
      <c r="AR16" s="18">
        <v>0.39</v>
      </c>
      <c r="AS16" s="18">
        <v>0.15</v>
      </c>
      <c r="AT16" s="18">
        <v>3.04</v>
      </c>
      <c r="AU16" s="18">
        <v>7.88</v>
      </c>
      <c r="AV16" s="18">
        <v>3.56</v>
      </c>
      <c r="AW16" s="18">
        <v>0.85</v>
      </c>
      <c r="AX16" s="19">
        <v>0</v>
      </c>
    </row>
    <row r="17" spans="42:50" x14ac:dyDescent="0.25">
      <c r="AP17" s="16" t="s">
        <v>208</v>
      </c>
      <c r="AQ17" s="17">
        <v>1.89</v>
      </c>
      <c r="AR17" s="18">
        <v>0.45</v>
      </c>
      <c r="AS17" s="18">
        <v>0.17</v>
      </c>
      <c r="AT17" s="18">
        <v>3.04</v>
      </c>
      <c r="AU17" s="18">
        <v>7.88</v>
      </c>
      <c r="AV17" s="18">
        <v>3.56</v>
      </c>
      <c r="AW17" s="18">
        <v>0.85</v>
      </c>
      <c r="AX17" s="19">
        <v>4.18</v>
      </c>
    </row>
    <row r="18" spans="42:50" x14ac:dyDescent="0.25">
      <c r="AP18" s="16" t="s">
        <v>208</v>
      </c>
      <c r="AQ18" s="17">
        <v>2.59</v>
      </c>
      <c r="AR18" s="18">
        <v>0.53</v>
      </c>
      <c r="AS18" s="18">
        <v>0.62</v>
      </c>
      <c r="AT18" s="18">
        <v>3.04</v>
      </c>
      <c r="AU18" s="18">
        <v>7.88</v>
      </c>
      <c r="AV18" s="18">
        <v>3.56</v>
      </c>
      <c r="AW18" s="18">
        <v>0.28000000000000003</v>
      </c>
      <c r="AX18" s="19">
        <v>2.59</v>
      </c>
    </row>
    <row r="19" spans="42:50" x14ac:dyDescent="0.25">
      <c r="AP19" s="16" t="s">
        <v>209</v>
      </c>
      <c r="AQ19" s="17">
        <v>2.59</v>
      </c>
      <c r="AR19" s="18">
        <v>0.45</v>
      </c>
      <c r="AS19" s="18">
        <v>0.15</v>
      </c>
      <c r="AT19" s="18">
        <v>3.04</v>
      </c>
      <c r="AU19" s="18">
        <v>7.88</v>
      </c>
      <c r="AV19" s="18">
        <v>3.04</v>
      </c>
      <c r="AW19" s="18">
        <v>0.85</v>
      </c>
      <c r="AX19" s="19">
        <v>0</v>
      </c>
    </row>
    <row r="20" spans="42:50" x14ac:dyDescent="0.25">
      <c r="AP20" s="16" t="s">
        <v>209</v>
      </c>
      <c r="AQ20" s="17">
        <v>1.61</v>
      </c>
      <c r="AR20" s="18">
        <v>0.39</v>
      </c>
      <c r="AS20" s="18">
        <v>0.15</v>
      </c>
      <c r="AT20" s="18">
        <v>3.04</v>
      </c>
      <c r="AU20" s="18">
        <v>7.88</v>
      </c>
      <c r="AV20" s="18">
        <v>2.21</v>
      </c>
      <c r="AW20" s="18">
        <v>0.73</v>
      </c>
      <c r="AX20" s="19">
        <v>0.85</v>
      </c>
    </row>
    <row r="21" spans="42:50" x14ac:dyDescent="0.25">
      <c r="AP21" s="16" t="s">
        <v>209</v>
      </c>
      <c r="AQ21" s="17">
        <v>1.89</v>
      </c>
      <c r="AR21" s="18">
        <v>0.45</v>
      </c>
      <c r="AS21" s="18">
        <v>0.15</v>
      </c>
      <c r="AT21" s="18">
        <v>4.18</v>
      </c>
      <c r="AU21" s="18">
        <v>7.88</v>
      </c>
      <c r="AV21" s="18">
        <v>2.59</v>
      </c>
      <c r="AW21" s="18">
        <v>0.85</v>
      </c>
      <c r="AX21" s="19">
        <v>0</v>
      </c>
    </row>
    <row r="22" spans="42:50" x14ac:dyDescent="0.25">
      <c r="AP22" s="16" t="s">
        <v>209</v>
      </c>
      <c r="AQ22" s="17">
        <v>1.89</v>
      </c>
      <c r="AR22" s="18">
        <v>0.45</v>
      </c>
      <c r="AS22" s="18">
        <v>0.17</v>
      </c>
      <c r="AT22" s="18">
        <v>3.04</v>
      </c>
      <c r="AU22" s="18">
        <v>7.88</v>
      </c>
      <c r="AV22" s="18">
        <v>3.56</v>
      </c>
      <c r="AW22" s="18">
        <v>0.85</v>
      </c>
      <c r="AX22" s="19">
        <v>0</v>
      </c>
    </row>
    <row r="23" spans="42:50" x14ac:dyDescent="0.25">
      <c r="AP23" s="16" t="s">
        <v>209</v>
      </c>
      <c r="AQ23" s="17">
        <v>1.61</v>
      </c>
      <c r="AR23" s="18">
        <v>0.45</v>
      </c>
      <c r="AS23" s="18">
        <v>0.17</v>
      </c>
      <c r="AT23" s="18">
        <v>3.04</v>
      </c>
      <c r="AU23" s="18">
        <v>7.88</v>
      </c>
      <c r="AV23" s="18">
        <v>3.56</v>
      </c>
      <c r="AW23" s="18">
        <v>0.28000000000000003</v>
      </c>
      <c r="AX23" s="19">
        <v>0</v>
      </c>
    </row>
    <row r="24" spans="42:50" x14ac:dyDescent="0.25">
      <c r="AP24" s="16" t="s">
        <v>210</v>
      </c>
      <c r="AQ24" s="17">
        <v>3.04</v>
      </c>
      <c r="AR24" s="18">
        <v>0.45</v>
      </c>
      <c r="AS24" s="18">
        <v>0.62</v>
      </c>
      <c r="AT24" s="18">
        <v>4.18</v>
      </c>
      <c r="AU24" s="18">
        <v>7.88</v>
      </c>
      <c r="AV24" s="18">
        <v>3.04</v>
      </c>
      <c r="AW24" s="18">
        <v>0.24</v>
      </c>
      <c r="AX24" s="19">
        <v>4.8899999999999997</v>
      </c>
    </row>
    <row r="25" spans="42:50" x14ac:dyDescent="0.25">
      <c r="AP25" s="16" t="s">
        <v>210</v>
      </c>
      <c r="AQ25" s="17">
        <v>2.59</v>
      </c>
      <c r="AR25" s="18">
        <v>0.45</v>
      </c>
      <c r="AS25" s="18">
        <v>0.62</v>
      </c>
      <c r="AT25" s="18">
        <v>0.85</v>
      </c>
      <c r="AU25" s="18">
        <v>7.88</v>
      </c>
      <c r="AV25" s="18">
        <v>2.21</v>
      </c>
      <c r="AW25" s="18">
        <v>0.28000000000000003</v>
      </c>
      <c r="AX25" s="19">
        <v>2.59</v>
      </c>
    </row>
    <row r="26" spans="42:50" x14ac:dyDescent="0.25">
      <c r="AP26" s="16" t="s">
        <v>210</v>
      </c>
      <c r="AQ26" s="17">
        <v>1.61</v>
      </c>
      <c r="AR26" s="18">
        <v>0.45</v>
      </c>
      <c r="AS26" s="18">
        <v>0.73</v>
      </c>
      <c r="AT26" s="18">
        <v>3.56</v>
      </c>
      <c r="AU26" s="18">
        <v>6.72</v>
      </c>
      <c r="AV26" s="18">
        <v>4.18</v>
      </c>
      <c r="AW26" s="18">
        <v>0.85</v>
      </c>
      <c r="AX26" s="19">
        <v>0</v>
      </c>
    </row>
    <row r="27" spans="42:50" x14ac:dyDescent="0.25">
      <c r="AP27" s="16" t="s">
        <v>210</v>
      </c>
      <c r="AQ27" s="17">
        <v>1.61</v>
      </c>
      <c r="AR27" s="18">
        <v>0.45</v>
      </c>
      <c r="AS27" s="18">
        <v>0.17</v>
      </c>
      <c r="AT27" s="18">
        <v>3.04</v>
      </c>
      <c r="AU27" s="18">
        <v>7.88</v>
      </c>
      <c r="AV27" s="18">
        <v>1.17</v>
      </c>
      <c r="AW27" s="18">
        <v>0.85</v>
      </c>
      <c r="AX27" s="19">
        <v>0</v>
      </c>
    </row>
    <row r="28" spans="42:50" x14ac:dyDescent="0.25">
      <c r="AP28" s="16" t="s">
        <v>210</v>
      </c>
      <c r="AQ28" s="17">
        <v>1.61</v>
      </c>
      <c r="AR28" s="18">
        <v>0.45</v>
      </c>
      <c r="AS28" s="18">
        <v>0.17</v>
      </c>
      <c r="AT28" s="18">
        <v>3.56</v>
      </c>
      <c r="AU28" s="18">
        <v>6.72</v>
      </c>
      <c r="AV28" s="18">
        <v>4.18</v>
      </c>
      <c r="AW28" s="18">
        <v>0.39</v>
      </c>
      <c r="AX28" s="19">
        <v>0</v>
      </c>
    </row>
    <row r="29" spans="42:50" x14ac:dyDescent="0.25">
      <c r="AP29" s="16" t="s">
        <v>211</v>
      </c>
      <c r="AQ29" s="17">
        <v>1.89</v>
      </c>
      <c r="AR29" s="18">
        <v>0.45</v>
      </c>
      <c r="AS29" s="18">
        <v>0.62</v>
      </c>
      <c r="AT29" s="18">
        <v>0</v>
      </c>
      <c r="AU29" s="18">
        <v>7.88</v>
      </c>
      <c r="AV29" s="18">
        <v>4.18</v>
      </c>
      <c r="AW29" s="18">
        <v>0.85</v>
      </c>
      <c r="AX29" s="19">
        <v>0</v>
      </c>
    </row>
    <row r="30" spans="42:50" x14ac:dyDescent="0.25">
      <c r="AP30" s="16" t="s">
        <v>211</v>
      </c>
      <c r="AQ30" s="17">
        <v>1.37</v>
      </c>
      <c r="AR30" s="18">
        <v>0.45</v>
      </c>
      <c r="AS30" s="18">
        <v>0.15</v>
      </c>
      <c r="AT30" s="18">
        <v>4.18</v>
      </c>
      <c r="AU30" s="18">
        <v>7.88</v>
      </c>
      <c r="AV30" s="18">
        <v>3.56</v>
      </c>
      <c r="AW30" s="18">
        <v>0.85</v>
      </c>
      <c r="AX30" s="19">
        <v>0.73</v>
      </c>
    </row>
    <row r="31" spans="42:50" x14ac:dyDescent="0.25">
      <c r="AP31" s="16" t="s">
        <v>211</v>
      </c>
      <c r="AQ31" s="17">
        <v>1.89</v>
      </c>
      <c r="AR31" s="18">
        <v>0.45</v>
      </c>
      <c r="AS31" s="18">
        <v>0.15</v>
      </c>
      <c r="AT31" s="18">
        <v>3.04</v>
      </c>
      <c r="AU31" s="18">
        <v>7.88</v>
      </c>
      <c r="AV31" s="18">
        <v>4.18</v>
      </c>
      <c r="AW31" s="18">
        <v>0.85</v>
      </c>
      <c r="AX31" s="19">
        <v>0</v>
      </c>
    </row>
    <row r="32" spans="42:50" x14ac:dyDescent="0.25">
      <c r="AP32" s="16" t="s">
        <v>211</v>
      </c>
      <c r="AQ32" s="17">
        <v>1.89</v>
      </c>
      <c r="AR32" s="18">
        <v>0.45</v>
      </c>
      <c r="AS32" s="18">
        <v>0.17</v>
      </c>
      <c r="AT32" s="18">
        <v>3.56</v>
      </c>
      <c r="AU32" s="18">
        <v>7.88</v>
      </c>
      <c r="AV32" s="18">
        <v>3.56</v>
      </c>
      <c r="AW32" s="18">
        <v>0.85</v>
      </c>
      <c r="AX32" s="19">
        <v>0.85</v>
      </c>
    </row>
    <row r="33" spans="42:50" x14ac:dyDescent="0.25">
      <c r="AP33" s="16" t="s">
        <v>211</v>
      </c>
      <c r="AQ33" s="17">
        <v>1.89</v>
      </c>
      <c r="AR33" s="18">
        <v>0.45</v>
      </c>
      <c r="AS33" s="18">
        <v>0.15</v>
      </c>
      <c r="AT33" s="18">
        <v>3.04</v>
      </c>
      <c r="AU33" s="18">
        <v>7.88</v>
      </c>
      <c r="AV33" s="18">
        <v>1.17</v>
      </c>
      <c r="AW33" s="18">
        <v>0.85</v>
      </c>
      <c r="AX33" s="19">
        <v>4.18</v>
      </c>
    </row>
    <row r="34" spans="42:50" x14ac:dyDescent="0.25">
      <c r="AP34" s="16" t="s">
        <v>212</v>
      </c>
      <c r="AQ34" s="17">
        <v>2.59</v>
      </c>
      <c r="AR34" s="18">
        <v>0.45</v>
      </c>
      <c r="AS34" s="18">
        <v>0.17</v>
      </c>
      <c r="AT34" s="18">
        <v>3.56</v>
      </c>
      <c r="AU34" s="18">
        <v>7.88</v>
      </c>
      <c r="AV34" s="18">
        <v>2.59</v>
      </c>
      <c r="AW34" s="18">
        <v>0.85</v>
      </c>
      <c r="AX34" s="19">
        <v>4.8899999999999997</v>
      </c>
    </row>
    <row r="35" spans="42:50" x14ac:dyDescent="0.25">
      <c r="AP35" s="16" t="s">
        <v>212</v>
      </c>
      <c r="AQ35" s="17">
        <v>2.21</v>
      </c>
      <c r="AR35" s="18">
        <v>0.39</v>
      </c>
      <c r="AS35" s="18">
        <v>0.62</v>
      </c>
      <c r="AT35" s="18">
        <v>4.18</v>
      </c>
      <c r="AU35" s="18">
        <v>9.24</v>
      </c>
      <c r="AV35" s="18">
        <v>2.59</v>
      </c>
      <c r="AW35" s="18">
        <v>0.24</v>
      </c>
      <c r="AX35" s="19">
        <v>2.21</v>
      </c>
    </row>
    <row r="36" spans="42:50" x14ac:dyDescent="0.25">
      <c r="AP36" s="16" t="s">
        <v>212</v>
      </c>
      <c r="AQ36" s="17">
        <v>1.61</v>
      </c>
      <c r="AR36" s="18">
        <v>0.45</v>
      </c>
      <c r="AS36" s="18">
        <v>0.15</v>
      </c>
      <c r="AT36" s="18">
        <v>3.56</v>
      </c>
      <c r="AU36" s="18">
        <v>7.88</v>
      </c>
      <c r="AV36" s="18">
        <v>3.56</v>
      </c>
      <c r="AW36" s="18">
        <v>0.85</v>
      </c>
      <c r="AX36" s="19">
        <v>0</v>
      </c>
    </row>
    <row r="37" spans="42:50" x14ac:dyDescent="0.25">
      <c r="AP37" s="16" t="s">
        <v>212</v>
      </c>
      <c r="AQ37" s="17">
        <v>1.89</v>
      </c>
      <c r="AR37" s="18">
        <v>0.45</v>
      </c>
      <c r="AS37" s="18">
        <v>0.17</v>
      </c>
      <c r="AT37" s="18">
        <v>3.56</v>
      </c>
      <c r="AU37" s="18">
        <v>7.88</v>
      </c>
      <c r="AV37" s="18">
        <v>1.17</v>
      </c>
      <c r="AW37" s="18">
        <v>0.85</v>
      </c>
      <c r="AX37" s="19">
        <v>2.21</v>
      </c>
    </row>
    <row r="38" spans="42:50" x14ac:dyDescent="0.25">
      <c r="AP38" s="16" t="s">
        <v>212</v>
      </c>
      <c r="AQ38" s="17">
        <v>1.61</v>
      </c>
      <c r="AR38" s="18">
        <v>0.45</v>
      </c>
      <c r="AS38" s="18">
        <v>0.17</v>
      </c>
      <c r="AT38" s="18">
        <v>3.56</v>
      </c>
      <c r="AU38" s="18">
        <v>7.88</v>
      </c>
      <c r="AV38" s="18">
        <v>3.56</v>
      </c>
      <c r="AW38" s="18">
        <v>0.85</v>
      </c>
      <c r="AX38" s="19">
        <v>0</v>
      </c>
    </row>
    <row r="39" spans="42:50" x14ac:dyDescent="0.25">
      <c r="AP39" s="16" t="s">
        <v>213</v>
      </c>
      <c r="AQ39" s="17">
        <v>1.61</v>
      </c>
      <c r="AR39" s="18">
        <v>0.45</v>
      </c>
      <c r="AS39" s="18">
        <v>0.15</v>
      </c>
      <c r="AT39" s="18">
        <v>3.56</v>
      </c>
      <c r="AU39" s="18">
        <v>7.88</v>
      </c>
      <c r="AV39" s="18">
        <v>3.56</v>
      </c>
      <c r="AW39" s="18">
        <v>0.85</v>
      </c>
      <c r="AX39" s="19">
        <v>0</v>
      </c>
    </row>
    <row r="40" spans="42:50" x14ac:dyDescent="0.25">
      <c r="AP40" s="16" t="s">
        <v>213</v>
      </c>
      <c r="AQ40" s="17">
        <v>1.89</v>
      </c>
      <c r="AR40" s="18">
        <v>0.45</v>
      </c>
      <c r="AS40" s="18">
        <v>0.15</v>
      </c>
      <c r="AT40" s="18">
        <v>3.56</v>
      </c>
      <c r="AU40" s="18">
        <v>7.88</v>
      </c>
      <c r="AV40" s="18">
        <v>1.17</v>
      </c>
      <c r="AW40" s="18">
        <v>0.28000000000000003</v>
      </c>
      <c r="AX40" s="19">
        <v>0</v>
      </c>
    </row>
    <row r="41" spans="42:50" x14ac:dyDescent="0.25">
      <c r="AP41" s="16" t="s">
        <v>213</v>
      </c>
      <c r="AQ41" s="17">
        <v>1.61</v>
      </c>
      <c r="AR41" s="18">
        <v>0.39</v>
      </c>
      <c r="AS41" s="18">
        <v>0.17</v>
      </c>
      <c r="AT41" s="18">
        <v>3.56</v>
      </c>
      <c r="AU41" s="18">
        <v>7.88</v>
      </c>
      <c r="AV41" s="18">
        <v>3.56</v>
      </c>
      <c r="AW41" s="18">
        <v>0.28000000000000003</v>
      </c>
      <c r="AX41" s="19">
        <v>0</v>
      </c>
    </row>
    <row r="42" spans="42:50" x14ac:dyDescent="0.25">
      <c r="AP42" s="16" t="s">
        <v>213</v>
      </c>
      <c r="AQ42" s="17">
        <v>1.89</v>
      </c>
      <c r="AR42" s="18">
        <v>0.45</v>
      </c>
      <c r="AS42" s="18">
        <v>0.15</v>
      </c>
      <c r="AT42" s="18">
        <v>3.56</v>
      </c>
      <c r="AU42" s="18">
        <v>7.88</v>
      </c>
      <c r="AV42" s="18">
        <v>4.18</v>
      </c>
      <c r="AW42" s="18">
        <v>0.73</v>
      </c>
      <c r="AX42" s="19">
        <v>0.85</v>
      </c>
    </row>
    <row r="43" spans="42:50" x14ac:dyDescent="0.25">
      <c r="AP43" s="16" t="s">
        <v>213</v>
      </c>
      <c r="AQ43" s="17">
        <v>1.89</v>
      </c>
      <c r="AR43" s="18">
        <v>0.45</v>
      </c>
      <c r="AS43" s="18">
        <v>0.17</v>
      </c>
      <c r="AT43" s="18">
        <v>3.04</v>
      </c>
      <c r="AU43" s="18">
        <v>7.88</v>
      </c>
      <c r="AV43" s="18">
        <v>3.56</v>
      </c>
      <c r="AW43" s="18">
        <v>0.85</v>
      </c>
      <c r="AX43" s="19">
        <v>5.74</v>
      </c>
    </row>
    <row r="44" spans="42:50" x14ac:dyDescent="0.25">
      <c r="AP44" s="16" t="s">
        <v>214</v>
      </c>
      <c r="AQ44" s="17">
        <v>1.61</v>
      </c>
      <c r="AR44" s="18">
        <v>0.45</v>
      </c>
      <c r="AS44" s="18">
        <v>0.15</v>
      </c>
      <c r="AT44" s="18">
        <v>3.56</v>
      </c>
      <c r="AU44" s="18">
        <v>6.72</v>
      </c>
      <c r="AV44" s="18">
        <v>3.56</v>
      </c>
      <c r="AW44" s="18">
        <v>0.85</v>
      </c>
      <c r="AX44" s="19">
        <v>0</v>
      </c>
    </row>
    <row r="45" spans="42:50" x14ac:dyDescent="0.25">
      <c r="AP45" s="16" t="s">
        <v>214</v>
      </c>
      <c r="AQ45" s="17">
        <v>1.61</v>
      </c>
      <c r="AR45" s="18">
        <v>0.45</v>
      </c>
      <c r="AS45" s="18">
        <v>0.15</v>
      </c>
      <c r="AT45" s="18">
        <v>3.04</v>
      </c>
      <c r="AU45" s="18">
        <v>7.88</v>
      </c>
      <c r="AV45" s="18">
        <v>3.56</v>
      </c>
      <c r="AW45" s="18">
        <v>0.33</v>
      </c>
      <c r="AX45" s="19">
        <v>4.18</v>
      </c>
    </row>
    <row r="46" spans="42:50" x14ac:dyDescent="0.25">
      <c r="AP46" s="16" t="s">
        <v>214</v>
      </c>
      <c r="AQ46" s="17">
        <v>1.61</v>
      </c>
      <c r="AR46" s="18">
        <v>0.39</v>
      </c>
      <c r="AS46" s="18">
        <v>0.17</v>
      </c>
      <c r="AT46" s="18">
        <v>3.56</v>
      </c>
      <c r="AU46" s="18">
        <v>7.88</v>
      </c>
      <c r="AV46" s="18">
        <v>3.56</v>
      </c>
      <c r="AW46" s="18">
        <v>0.28000000000000003</v>
      </c>
      <c r="AX46" s="19">
        <v>0</v>
      </c>
    </row>
    <row r="47" spans="42:50" x14ac:dyDescent="0.25">
      <c r="AP47" s="16" t="s">
        <v>214</v>
      </c>
      <c r="AQ47" s="17">
        <v>1.61</v>
      </c>
      <c r="AR47" s="18">
        <v>0.39</v>
      </c>
      <c r="AS47" s="18">
        <v>0.17</v>
      </c>
      <c r="AT47" s="18">
        <v>3.04</v>
      </c>
      <c r="AU47" s="18">
        <v>7.88</v>
      </c>
      <c r="AV47" s="18">
        <v>4.18</v>
      </c>
      <c r="AW47" s="18">
        <v>0.85</v>
      </c>
      <c r="AX47" s="19">
        <v>0</v>
      </c>
    </row>
    <row r="48" spans="42:50" x14ac:dyDescent="0.25">
      <c r="AP48" s="16" t="s">
        <v>214</v>
      </c>
      <c r="AQ48" s="17">
        <v>2.59</v>
      </c>
      <c r="AR48" s="18">
        <v>0.45</v>
      </c>
      <c r="AS48" s="18">
        <v>0.17</v>
      </c>
      <c r="AT48" s="18">
        <v>3.56</v>
      </c>
      <c r="AU48" s="18">
        <v>9.24</v>
      </c>
      <c r="AV48" s="18">
        <v>3.56</v>
      </c>
      <c r="AW48" s="18">
        <v>0.85</v>
      </c>
      <c r="AX48" s="19">
        <v>0</v>
      </c>
    </row>
    <row r="49" spans="42:50" x14ac:dyDescent="0.25">
      <c r="AP49" s="16" t="s">
        <v>215</v>
      </c>
      <c r="AQ49" s="17">
        <v>1.89</v>
      </c>
      <c r="AR49" s="18">
        <v>0.45</v>
      </c>
      <c r="AS49" s="18">
        <v>0.17</v>
      </c>
      <c r="AT49" s="18">
        <v>3.56</v>
      </c>
      <c r="AU49" s="18">
        <v>7.88</v>
      </c>
      <c r="AV49" s="18">
        <v>3.56</v>
      </c>
      <c r="AW49" s="18">
        <v>0.85</v>
      </c>
      <c r="AX49" s="19">
        <v>0</v>
      </c>
    </row>
    <row r="50" spans="42:50" x14ac:dyDescent="0.25">
      <c r="AP50" s="16" t="s">
        <v>215</v>
      </c>
      <c r="AQ50" s="17">
        <v>1.61</v>
      </c>
      <c r="AR50" s="18">
        <v>0.45</v>
      </c>
      <c r="AS50" s="18">
        <v>0.15</v>
      </c>
      <c r="AT50" s="18">
        <v>3.56</v>
      </c>
      <c r="AU50" s="18">
        <v>7.88</v>
      </c>
      <c r="AV50" s="18">
        <v>4.18</v>
      </c>
      <c r="AW50" s="18">
        <v>0.85</v>
      </c>
      <c r="AX50" s="19">
        <v>4.18</v>
      </c>
    </row>
    <row r="51" spans="42:50" x14ac:dyDescent="0.25">
      <c r="AP51" s="16" t="s">
        <v>215</v>
      </c>
      <c r="AQ51" s="17">
        <v>1.61</v>
      </c>
      <c r="AR51" s="18">
        <v>0.53</v>
      </c>
      <c r="AS51" s="18">
        <v>0.62</v>
      </c>
      <c r="AT51" s="18">
        <v>4.18</v>
      </c>
      <c r="AU51" s="18">
        <v>10.83</v>
      </c>
      <c r="AV51" s="18">
        <v>2.59</v>
      </c>
      <c r="AW51" s="18">
        <v>0.17</v>
      </c>
      <c r="AX51" s="19">
        <v>2.21</v>
      </c>
    </row>
    <row r="52" spans="42:50" x14ac:dyDescent="0.25">
      <c r="AP52" s="16" t="s">
        <v>215</v>
      </c>
      <c r="AQ52" s="17">
        <v>1.89</v>
      </c>
      <c r="AR52" s="18">
        <v>0.45</v>
      </c>
      <c r="AS52" s="18">
        <v>0.17</v>
      </c>
      <c r="AT52" s="18">
        <v>3.04</v>
      </c>
      <c r="AU52" s="18">
        <v>7.88</v>
      </c>
      <c r="AV52" s="18">
        <v>3.56</v>
      </c>
      <c r="AW52" s="18">
        <v>0.85</v>
      </c>
      <c r="AX52" s="19">
        <v>0.85</v>
      </c>
    </row>
    <row r="53" spans="42:50" x14ac:dyDescent="0.25">
      <c r="AP53" s="16" t="s">
        <v>215</v>
      </c>
      <c r="AQ53" s="17">
        <v>1.89</v>
      </c>
      <c r="AR53" s="18">
        <v>0.39</v>
      </c>
      <c r="AS53" s="18">
        <v>0.62</v>
      </c>
      <c r="AT53" s="18">
        <v>3.04</v>
      </c>
      <c r="AU53" s="18">
        <v>7.88</v>
      </c>
      <c r="AV53" s="18">
        <v>3.56</v>
      </c>
      <c r="AW53" s="18">
        <v>0.33</v>
      </c>
      <c r="AX53" s="19">
        <v>0</v>
      </c>
    </row>
    <row r="54" spans="42:50" x14ac:dyDescent="0.25">
      <c r="AP54" s="16" t="s">
        <v>216</v>
      </c>
      <c r="AQ54" s="17">
        <v>1.61</v>
      </c>
      <c r="AR54" s="18">
        <v>0.45</v>
      </c>
      <c r="AS54" s="18">
        <v>0.15</v>
      </c>
      <c r="AT54" s="18">
        <v>3.56</v>
      </c>
      <c r="AU54" s="18">
        <v>7.88</v>
      </c>
      <c r="AV54" s="18">
        <v>3.56</v>
      </c>
      <c r="AW54" s="18">
        <v>0.85</v>
      </c>
      <c r="AX54" s="19">
        <v>0.85</v>
      </c>
    </row>
    <row r="55" spans="42:50" x14ac:dyDescent="0.25">
      <c r="AP55" s="16" t="s">
        <v>216</v>
      </c>
      <c r="AQ55" s="17">
        <v>1.61</v>
      </c>
      <c r="AR55" s="18">
        <v>0.45</v>
      </c>
      <c r="AS55" s="18">
        <v>0.15</v>
      </c>
      <c r="AT55" s="18">
        <v>3.56</v>
      </c>
      <c r="AU55" s="18">
        <v>7.88</v>
      </c>
      <c r="AV55" s="18">
        <v>3.56</v>
      </c>
      <c r="AW55" s="18">
        <v>0.85</v>
      </c>
      <c r="AX55" s="19">
        <v>0</v>
      </c>
    </row>
    <row r="56" spans="42:50" x14ac:dyDescent="0.25">
      <c r="AP56" s="16" t="s">
        <v>216</v>
      </c>
      <c r="AQ56" s="17">
        <v>1.61</v>
      </c>
      <c r="AR56" s="18">
        <v>0.45</v>
      </c>
      <c r="AS56" s="18">
        <v>0.17</v>
      </c>
      <c r="AT56" s="18">
        <v>3.56</v>
      </c>
      <c r="AU56" s="18">
        <v>7.88</v>
      </c>
      <c r="AV56" s="18">
        <v>3.56</v>
      </c>
      <c r="AW56" s="18">
        <v>0.85</v>
      </c>
      <c r="AX56" s="19">
        <v>0</v>
      </c>
    </row>
    <row r="57" spans="42:50" x14ac:dyDescent="0.25">
      <c r="AP57" s="16" t="s">
        <v>216</v>
      </c>
      <c r="AQ57" s="17">
        <v>1.89</v>
      </c>
      <c r="AR57" s="18">
        <v>0.45</v>
      </c>
      <c r="AS57" s="18">
        <v>0.17</v>
      </c>
      <c r="AT57" s="18">
        <v>3.56</v>
      </c>
      <c r="AU57" s="18">
        <v>7.88</v>
      </c>
      <c r="AV57" s="18">
        <v>3.56</v>
      </c>
      <c r="AW57" s="18">
        <v>0.85</v>
      </c>
      <c r="AX57" s="19">
        <v>0</v>
      </c>
    </row>
    <row r="58" spans="42:50" x14ac:dyDescent="0.25">
      <c r="AP58" s="16" t="s">
        <v>216</v>
      </c>
      <c r="AQ58" s="17">
        <v>1.89</v>
      </c>
      <c r="AR58" s="18">
        <v>0.39</v>
      </c>
      <c r="AS58" s="18">
        <v>0.15</v>
      </c>
      <c r="AT58" s="18">
        <v>3.04</v>
      </c>
      <c r="AU58" s="18">
        <v>7.88</v>
      </c>
      <c r="AV58" s="18">
        <v>2.21</v>
      </c>
      <c r="AW58" s="18">
        <v>0.85</v>
      </c>
      <c r="AX58" s="19">
        <v>0</v>
      </c>
    </row>
    <row r="59" spans="42:50" x14ac:dyDescent="0.25">
      <c r="AP59" s="16" t="s">
        <v>217</v>
      </c>
      <c r="AQ59" s="17">
        <v>1.89</v>
      </c>
      <c r="AR59" s="18">
        <v>0.45</v>
      </c>
      <c r="AS59" s="18">
        <v>0.39</v>
      </c>
      <c r="AT59" s="18">
        <v>3.56</v>
      </c>
      <c r="AU59" s="18">
        <v>6.72</v>
      </c>
      <c r="AV59" s="18">
        <v>3.56</v>
      </c>
      <c r="AW59" s="18">
        <v>0.33</v>
      </c>
      <c r="AX59" s="19">
        <v>0.85</v>
      </c>
    </row>
    <row r="60" spans="42:50" x14ac:dyDescent="0.25">
      <c r="AP60" s="16" t="s">
        <v>217</v>
      </c>
      <c r="AQ60" s="17">
        <v>1.61</v>
      </c>
      <c r="AR60" s="18">
        <v>0.45</v>
      </c>
      <c r="AS60" s="18">
        <v>0.62</v>
      </c>
      <c r="AT60" s="18">
        <v>3.04</v>
      </c>
      <c r="AU60" s="18">
        <v>7.88</v>
      </c>
      <c r="AV60" s="18">
        <v>3.56</v>
      </c>
      <c r="AW60" s="18">
        <v>0.85</v>
      </c>
      <c r="AX60" s="19">
        <v>0</v>
      </c>
    </row>
    <row r="61" spans="42:50" x14ac:dyDescent="0.25">
      <c r="AP61" s="16" t="s">
        <v>217</v>
      </c>
      <c r="AQ61" s="17">
        <v>2.21</v>
      </c>
      <c r="AR61" s="18">
        <v>0.45</v>
      </c>
      <c r="AS61" s="18">
        <v>0.62</v>
      </c>
      <c r="AT61" s="18">
        <v>4.18</v>
      </c>
      <c r="AU61" s="18">
        <v>6.72</v>
      </c>
      <c r="AV61" s="18">
        <v>2.21</v>
      </c>
      <c r="AW61" s="18">
        <v>0.33</v>
      </c>
      <c r="AX61" s="19">
        <v>4.18</v>
      </c>
    </row>
    <row r="62" spans="42:50" x14ac:dyDescent="0.25">
      <c r="AP62" s="16" t="s">
        <v>217</v>
      </c>
      <c r="AQ62" s="17">
        <v>2.21</v>
      </c>
      <c r="AR62" s="18">
        <v>0.45</v>
      </c>
      <c r="AS62" s="18">
        <v>0.62</v>
      </c>
      <c r="AT62" s="18">
        <v>4.18</v>
      </c>
      <c r="AU62" s="18">
        <v>9.24</v>
      </c>
      <c r="AV62" s="18">
        <v>2.59</v>
      </c>
      <c r="AW62" s="18">
        <v>0.33</v>
      </c>
      <c r="AX62" s="19">
        <v>5.74</v>
      </c>
    </row>
    <row r="63" spans="42:50" ht="15.75" thickBot="1" x14ac:dyDescent="0.3">
      <c r="AP63" s="16" t="s">
        <v>217</v>
      </c>
      <c r="AQ63" s="17">
        <v>1.89</v>
      </c>
      <c r="AR63" s="18">
        <v>0.45</v>
      </c>
      <c r="AS63" s="18">
        <v>0.15</v>
      </c>
      <c r="AT63" s="18">
        <v>0.85</v>
      </c>
      <c r="AU63" s="18">
        <v>7.88</v>
      </c>
      <c r="AV63" s="18">
        <v>3.56</v>
      </c>
      <c r="AW63" s="18">
        <v>0.85</v>
      </c>
      <c r="AX63" s="19">
        <v>4.8899999999999997</v>
      </c>
    </row>
    <row r="64" spans="42:50" x14ac:dyDescent="0.25">
      <c r="AP64" s="10" t="s">
        <v>230</v>
      </c>
      <c r="AQ64" s="11">
        <v>1.9124999999999901</v>
      </c>
      <c r="AR64" s="12">
        <v>0.44599999999999901</v>
      </c>
      <c r="AS64" s="12">
        <v>0.27933333333333299</v>
      </c>
      <c r="AT64" s="12">
        <v>3.4459322033898299</v>
      </c>
      <c r="AU64" s="12">
        <v>7.9328333333333303</v>
      </c>
      <c r="AV64" s="12">
        <v>3.2311666666666601</v>
      </c>
      <c r="AW64" s="12">
        <v>0.68816666666666704</v>
      </c>
      <c r="AX64" s="13">
        <v>3.0851851851851801</v>
      </c>
    </row>
    <row r="65" spans="42:50" x14ac:dyDescent="0.25">
      <c r="AP65" s="16" t="s">
        <v>231</v>
      </c>
      <c r="AQ65" s="17">
        <v>0.35629868088445099</v>
      </c>
      <c r="AR65" s="18">
        <v>2.79999999999999E-2</v>
      </c>
      <c r="AS65" s="18">
        <v>0.203722578250151</v>
      </c>
      <c r="AT65" s="18">
        <v>0.70481905033044001</v>
      </c>
      <c r="AU65" s="18">
        <v>0.71810187686396898</v>
      </c>
      <c r="AV65" s="18">
        <v>0.76922058315905395</v>
      </c>
      <c r="AW65" s="18">
        <v>0.25074217612696997</v>
      </c>
      <c r="AX65" s="19">
        <v>1.65993835309532</v>
      </c>
    </row>
    <row r="66" spans="42:50" x14ac:dyDescent="0.25">
      <c r="AP66" s="16" t="s">
        <v>232</v>
      </c>
      <c r="AQ66" s="17">
        <v>2.26879868088445</v>
      </c>
      <c r="AR66" s="18">
        <v>0.47399999999999898</v>
      </c>
      <c r="AS66" s="18">
        <v>0.48305591158348399</v>
      </c>
      <c r="AT66" s="18">
        <v>4.1507512537202702</v>
      </c>
      <c r="AU66" s="18">
        <v>8.6509352101973001</v>
      </c>
      <c r="AV66" s="18">
        <v>4.00038724982572</v>
      </c>
      <c r="AW66" s="18">
        <v>0.93890884279363795</v>
      </c>
      <c r="AX66" s="19">
        <v>4.7451235382804997</v>
      </c>
    </row>
    <row r="67" spans="42:50" x14ac:dyDescent="0.25">
      <c r="AP67" s="16" t="s">
        <v>233</v>
      </c>
      <c r="AQ67" s="17">
        <v>1.5562013191155399</v>
      </c>
      <c r="AR67" s="18">
        <v>0.41799999999999898</v>
      </c>
      <c r="AS67" s="18">
        <v>7.5610755083182296E-2</v>
      </c>
      <c r="AT67" s="18">
        <v>2.74111315305939</v>
      </c>
      <c r="AU67" s="18">
        <v>7.2147314564693596</v>
      </c>
      <c r="AV67" s="18">
        <v>2.4619460835076099</v>
      </c>
      <c r="AW67" s="18">
        <v>0.43742449053969601</v>
      </c>
      <c r="AX67" s="19">
        <v>1.4252468320898599</v>
      </c>
    </row>
    <row r="68" spans="42:50" ht="15.75" thickBot="1" x14ac:dyDescent="0.3">
      <c r="AP68" s="23" t="s">
        <v>234</v>
      </c>
      <c r="AQ68" s="24">
        <v>1.79239999999999</v>
      </c>
      <c r="AR68" s="25">
        <v>0.44999999999999901</v>
      </c>
      <c r="AS68" s="25">
        <v>0.163333333333333</v>
      </c>
      <c r="AT68" s="25">
        <v>3.33391304347826</v>
      </c>
      <c r="AU68" s="25">
        <v>7.8799999999999901</v>
      </c>
      <c r="AV68" s="25">
        <v>3.4109302325581399</v>
      </c>
      <c r="AW68" s="25">
        <v>0.84441860465116303</v>
      </c>
      <c r="AX68" s="26">
        <v>3.42133333333333</v>
      </c>
    </row>
    <row r="69" spans="42:50" ht="15.75" thickBot="1" x14ac:dyDescent="0.3">
      <c r="AQ69" s="27"/>
      <c r="AR69" s="27"/>
      <c r="AS69" s="27"/>
      <c r="AT69" s="27"/>
      <c r="AU69" s="27"/>
      <c r="AV69" s="27"/>
      <c r="AW69" s="27"/>
      <c r="AX69" s="27"/>
    </row>
    <row r="70" spans="42:50" ht="30" x14ac:dyDescent="0.25">
      <c r="AP70" s="28" t="s">
        <v>235</v>
      </c>
      <c r="AQ70" s="29">
        <v>3.8</v>
      </c>
      <c r="AR70" s="29">
        <v>2.5</v>
      </c>
      <c r="AS70" s="29">
        <v>4.05</v>
      </c>
      <c r="AT70" s="29">
        <v>3.84</v>
      </c>
      <c r="AU70" s="29">
        <v>2.25</v>
      </c>
      <c r="AV70" s="29">
        <v>4.26</v>
      </c>
      <c r="AW70" s="29">
        <v>1.27</v>
      </c>
      <c r="AX70" s="30">
        <v>1.64</v>
      </c>
    </row>
    <row r="71" spans="42:50" x14ac:dyDescent="0.25">
      <c r="AP71" s="31" t="s">
        <v>236</v>
      </c>
      <c r="AQ71" s="32">
        <f t="shared" ref="AQ71:AX71" si="0">AQ70-AQ68</f>
        <v>2.0076000000000098</v>
      </c>
      <c r="AR71" s="32">
        <f t="shared" si="0"/>
        <v>2.0500000000000012</v>
      </c>
      <c r="AS71" s="32">
        <f t="shared" si="0"/>
        <v>3.8866666666666667</v>
      </c>
      <c r="AT71" s="32">
        <f t="shared" si="0"/>
        <v>0.50608695652173985</v>
      </c>
      <c r="AU71" s="32">
        <f t="shared" si="0"/>
        <v>-5.6299999999999901</v>
      </c>
      <c r="AV71" s="32">
        <f t="shared" si="0"/>
        <v>0.84906976744185991</v>
      </c>
      <c r="AW71" s="32">
        <f t="shared" si="0"/>
        <v>0.42558139534883699</v>
      </c>
      <c r="AX71" s="33">
        <f t="shared" si="0"/>
        <v>-1.7813333333333301</v>
      </c>
    </row>
    <row r="72" spans="42:50" ht="15.75" thickBot="1" x14ac:dyDescent="0.3">
      <c r="AP72" s="34" t="s">
        <v>237</v>
      </c>
      <c r="AQ72" s="35">
        <f t="shared" ref="AQ72:AX72" si="1">(AQ71/AQ68)*100</f>
        <v>112.00624860522322</v>
      </c>
      <c r="AR72" s="35">
        <f t="shared" si="1"/>
        <v>455.55555555555679</v>
      </c>
      <c r="AS72" s="35">
        <f t="shared" si="1"/>
        <v>2379.591836734699</v>
      </c>
      <c r="AT72" s="35">
        <f t="shared" si="1"/>
        <v>15.179968701095486</v>
      </c>
      <c r="AU72" s="35">
        <f t="shared" si="1"/>
        <v>-71.446700507614182</v>
      </c>
      <c r="AV72" s="35">
        <f t="shared" si="1"/>
        <v>24.892616076907327</v>
      </c>
      <c r="AW72" s="35">
        <f t="shared" si="1"/>
        <v>50.399339025061927</v>
      </c>
      <c r="AX72" s="36">
        <f t="shared" si="1"/>
        <v>-52.065471551052177</v>
      </c>
    </row>
    <row r="73" spans="42:50" ht="15.75" thickBot="1" x14ac:dyDescent="0.3">
      <c r="AP73" s="37"/>
      <c r="AQ73" s="32"/>
      <c r="AR73" s="32"/>
      <c r="AS73" s="32"/>
      <c r="AT73" s="32"/>
      <c r="AU73" s="32"/>
      <c r="AV73" s="32"/>
      <c r="AW73" s="32"/>
      <c r="AX73" s="32"/>
    </row>
    <row r="74" spans="42:50" ht="30" x14ac:dyDescent="0.25">
      <c r="AP74" s="28" t="s">
        <v>238</v>
      </c>
      <c r="AQ74" s="29">
        <v>3.62</v>
      </c>
      <c r="AR74" s="29">
        <v>2.38</v>
      </c>
      <c r="AS74" s="29">
        <v>3.96</v>
      </c>
      <c r="AT74" s="29">
        <v>3.68</v>
      </c>
      <c r="AU74" s="29">
        <v>2.14</v>
      </c>
      <c r="AV74" s="29">
        <v>4.1100000000000003</v>
      </c>
      <c r="AW74" s="29">
        <v>1.1399999999999999</v>
      </c>
      <c r="AX74" s="30">
        <v>1.5</v>
      </c>
    </row>
    <row r="75" spans="42:50" x14ac:dyDescent="0.25">
      <c r="AP75" s="31" t="s">
        <v>236</v>
      </c>
      <c r="AQ75" s="32">
        <f t="shared" ref="AQ75:AX75" si="2">AQ74-AQ68</f>
        <v>1.8276000000000101</v>
      </c>
      <c r="AR75" s="32">
        <f t="shared" si="2"/>
        <v>1.9300000000000008</v>
      </c>
      <c r="AS75" s="32">
        <f t="shared" si="2"/>
        <v>3.7966666666666669</v>
      </c>
      <c r="AT75" s="32">
        <f t="shared" si="2"/>
        <v>0.34608695652174015</v>
      </c>
      <c r="AU75" s="32">
        <f t="shared" si="2"/>
        <v>-5.7399999999999896</v>
      </c>
      <c r="AV75" s="32">
        <f t="shared" si="2"/>
        <v>0.69906976744186045</v>
      </c>
      <c r="AW75" s="32">
        <f t="shared" si="2"/>
        <v>0.29558139534883687</v>
      </c>
      <c r="AX75" s="33">
        <f t="shared" si="2"/>
        <v>-1.92133333333333</v>
      </c>
    </row>
    <row r="76" spans="42:50" ht="15.75" thickBot="1" x14ac:dyDescent="0.3">
      <c r="AP76" s="34" t="s">
        <v>237</v>
      </c>
      <c r="AQ76" s="35">
        <f>(AQ75/AQ68)*100</f>
        <v>101.96384735550214</v>
      </c>
      <c r="AR76" s="35">
        <f t="shared" ref="AR76:AX76" si="3">(AR75/AR68)*100</f>
        <v>428.88888888889005</v>
      </c>
      <c r="AS76" s="35">
        <f t="shared" si="3"/>
        <v>2324.4897959183722</v>
      </c>
      <c r="AT76" s="35">
        <f t="shared" si="3"/>
        <v>10.38080333854985</v>
      </c>
      <c r="AU76" s="35">
        <f t="shared" si="3"/>
        <v>-72.842639593908586</v>
      </c>
      <c r="AV76" s="35">
        <f t="shared" si="3"/>
        <v>20.494988750255676</v>
      </c>
      <c r="AW76" s="35">
        <f t="shared" si="3"/>
        <v>35.004131093362659</v>
      </c>
      <c r="AX76" s="36">
        <f t="shared" si="3"/>
        <v>-56.157443491816018</v>
      </c>
    </row>
    <row r="77" spans="42:50" ht="15.75" thickBot="1" x14ac:dyDescent="0.3">
      <c r="AQ77" s="27"/>
      <c r="AR77" s="27"/>
      <c r="AS77" s="27"/>
      <c r="AT77" s="27"/>
      <c r="AU77" s="27"/>
      <c r="AV77" s="27"/>
      <c r="AW77" s="27"/>
      <c r="AX77" s="27"/>
    </row>
    <row r="78" spans="42:50" ht="30" x14ac:dyDescent="0.25">
      <c r="AP78" s="28" t="s">
        <v>239</v>
      </c>
      <c r="AQ78" s="38">
        <v>3.55</v>
      </c>
      <c r="AR78" s="29">
        <v>2.44</v>
      </c>
      <c r="AS78" s="29">
        <v>3.99</v>
      </c>
      <c r="AT78" s="29">
        <v>3.75</v>
      </c>
      <c r="AU78" s="29">
        <v>2.2000000000000002</v>
      </c>
      <c r="AV78" s="29">
        <v>4.25</v>
      </c>
      <c r="AW78" s="29">
        <v>1.1599999999999999</v>
      </c>
      <c r="AX78" s="30">
        <v>1.51</v>
      </c>
    </row>
    <row r="79" spans="42:50" x14ac:dyDescent="0.25">
      <c r="AP79" s="31" t="s">
        <v>236</v>
      </c>
      <c r="AQ79" s="39">
        <f>AQ78-AQ68</f>
        <v>1.7576000000000098</v>
      </c>
      <c r="AR79" s="32">
        <f t="shared" ref="AR79:AX79" si="4">AR78-AR68</f>
        <v>1.9900000000000009</v>
      </c>
      <c r="AS79" s="32">
        <f t="shared" si="4"/>
        <v>3.8266666666666671</v>
      </c>
      <c r="AT79" s="32">
        <f t="shared" si="4"/>
        <v>0.41608695652173999</v>
      </c>
      <c r="AU79" s="32">
        <f t="shared" si="4"/>
        <v>-5.6799999999999899</v>
      </c>
      <c r="AV79" s="32">
        <f t="shared" si="4"/>
        <v>0.83906976744186013</v>
      </c>
      <c r="AW79" s="32">
        <f>AW78-AW68</f>
        <v>0.31558139534883689</v>
      </c>
      <c r="AX79" s="33">
        <f t="shared" si="4"/>
        <v>-1.91133333333333</v>
      </c>
    </row>
    <row r="80" spans="42:50" ht="15.75" thickBot="1" x14ac:dyDescent="0.3">
      <c r="AP80" s="34" t="s">
        <v>237</v>
      </c>
      <c r="AQ80" s="40">
        <f>(AQ79/AQ68)*100</f>
        <v>98.05846909172169</v>
      </c>
      <c r="AR80" s="35">
        <f t="shared" ref="AR80:AX80" si="5">(AR79/AR68)*100</f>
        <v>442.22222222222342</v>
      </c>
      <c r="AS80" s="35">
        <f t="shared" si="5"/>
        <v>2342.8571428571481</v>
      </c>
      <c r="AT80" s="35">
        <f t="shared" si="5"/>
        <v>12.480438184663566</v>
      </c>
      <c r="AU80" s="35">
        <f t="shared" si="5"/>
        <v>-72.081218274111635</v>
      </c>
      <c r="AV80" s="35">
        <f t="shared" si="5"/>
        <v>24.599440921797218</v>
      </c>
      <c r="AW80" s="35">
        <f t="shared" si="5"/>
        <v>37.37262462131639</v>
      </c>
      <c r="AX80" s="36">
        <f t="shared" si="5"/>
        <v>-55.865159781761456</v>
      </c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AAB5-2221-47B4-89EA-F0BE36EECA3F}">
  <dimension ref="B1:CB925"/>
  <sheetViews>
    <sheetView topLeftCell="AF33" workbookViewId="0">
      <selection activeCell="AQ63" sqref="AQ63:AX63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3" bestFit="1" customWidth="1"/>
    <col min="43" max="43" width="5.5703125" style="3" bestFit="1" customWidth="1"/>
    <col min="44" max="44" width="6.5703125" style="3" bestFit="1" customWidth="1"/>
    <col min="45" max="45" width="7.5703125" style="3" bestFit="1" customWidth="1"/>
    <col min="46" max="46" width="5.5703125" style="3" bestFit="1" customWidth="1"/>
    <col min="47" max="47" width="6.28515625" style="3" bestFit="1" customWidth="1"/>
    <col min="48" max="49" width="5.5703125" style="3" bestFit="1" customWidth="1"/>
    <col min="50" max="50" width="6.285156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41" t="s">
        <v>0</v>
      </c>
      <c r="C2" s="42"/>
      <c r="D2" s="42"/>
      <c r="E2" s="42"/>
      <c r="F2" s="42"/>
      <c r="G2" s="42"/>
      <c r="H2" s="42"/>
      <c r="I2" s="42"/>
      <c r="J2" s="43"/>
      <c r="L2" s="41" t="s">
        <v>1</v>
      </c>
      <c r="M2" s="42"/>
      <c r="N2" s="42"/>
      <c r="O2" s="42"/>
      <c r="P2" s="42"/>
      <c r="Q2" s="42"/>
      <c r="R2" s="42"/>
      <c r="S2" s="42"/>
      <c r="T2" s="43"/>
      <c r="V2" s="41" t="s">
        <v>2</v>
      </c>
      <c r="W2" s="42"/>
      <c r="X2" s="42"/>
      <c r="Y2" s="42"/>
      <c r="Z2" s="42"/>
      <c r="AA2" s="42"/>
      <c r="AB2" s="42"/>
      <c r="AC2" s="42"/>
      <c r="AD2" s="43"/>
      <c r="AF2" s="41" t="s">
        <v>3</v>
      </c>
      <c r="AG2" s="42"/>
      <c r="AH2" s="42"/>
      <c r="AI2" s="42"/>
      <c r="AJ2" s="42"/>
      <c r="AK2" s="42"/>
      <c r="AL2" s="42"/>
      <c r="AM2" s="42"/>
      <c r="AN2" s="43"/>
      <c r="AP2" s="41" t="s">
        <v>4</v>
      </c>
      <c r="AQ2" s="42"/>
      <c r="AR2" s="42"/>
      <c r="AS2" s="42"/>
      <c r="AT2" s="42"/>
      <c r="AU2" s="42"/>
      <c r="AV2" s="42"/>
      <c r="AW2" s="42"/>
      <c r="AX2" s="43"/>
      <c r="AZ2" s="41" t="s">
        <v>5</v>
      </c>
      <c r="BA2" s="42"/>
      <c r="BB2" s="42"/>
      <c r="BC2" s="42"/>
      <c r="BD2" s="42"/>
      <c r="BE2" s="42"/>
      <c r="BF2" s="42"/>
      <c r="BG2" s="42"/>
      <c r="BH2" s="43"/>
      <c r="BJ2" s="41" t="s">
        <v>6</v>
      </c>
      <c r="BK2" s="42"/>
      <c r="BL2" s="42"/>
      <c r="BM2" s="42"/>
      <c r="BN2" s="42"/>
      <c r="BO2" s="42"/>
      <c r="BP2" s="42"/>
      <c r="BQ2" s="42"/>
      <c r="BR2" s="43"/>
      <c r="BT2" s="41" t="s">
        <v>7</v>
      </c>
      <c r="BU2" s="42"/>
      <c r="BV2" s="42"/>
      <c r="BW2" s="42"/>
      <c r="BX2" s="42"/>
      <c r="BY2" s="42"/>
      <c r="BZ2" s="42"/>
      <c r="CA2" s="42"/>
      <c r="CB2" s="43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135</v>
      </c>
      <c r="AQ4" s="11">
        <v>1.89</v>
      </c>
      <c r="AR4" s="12">
        <v>0.45</v>
      </c>
      <c r="AS4" s="12">
        <v>0.17</v>
      </c>
      <c r="AT4" s="12">
        <v>3.56</v>
      </c>
      <c r="AU4" s="12">
        <v>7.88</v>
      </c>
      <c r="AV4" s="12">
        <v>3.56</v>
      </c>
      <c r="AW4" s="12">
        <v>0.85</v>
      </c>
      <c r="AX4" s="13">
        <v>0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136</v>
      </c>
      <c r="AQ5" s="17">
        <v>1.89</v>
      </c>
      <c r="AR5" s="18">
        <v>0.45</v>
      </c>
      <c r="AS5" s="18">
        <v>0.15</v>
      </c>
      <c r="AT5" s="18">
        <v>3.56</v>
      </c>
      <c r="AU5" s="18">
        <v>7.88</v>
      </c>
      <c r="AV5" s="18">
        <v>4.18</v>
      </c>
      <c r="AW5" s="18">
        <v>0.85</v>
      </c>
      <c r="AX5" s="19">
        <v>5.74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137</v>
      </c>
      <c r="AQ6" s="17">
        <v>2.21</v>
      </c>
      <c r="AR6" s="18">
        <v>0.45</v>
      </c>
      <c r="AS6" s="18">
        <v>0.62</v>
      </c>
      <c r="AT6" s="18">
        <v>4.18</v>
      </c>
      <c r="AU6" s="18">
        <v>9.24</v>
      </c>
      <c r="AV6" s="18">
        <v>2.59</v>
      </c>
      <c r="AW6" s="18">
        <v>0.85</v>
      </c>
      <c r="AX6" s="19">
        <v>4.18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138</v>
      </c>
      <c r="AQ7" s="17">
        <v>2.59</v>
      </c>
      <c r="AR7" s="18">
        <v>0.53</v>
      </c>
      <c r="AS7" s="18">
        <v>0.62</v>
      </c>
      <c r="AT7" s="18">
        <v>0.85</v>
      </c>
      <c r="AU7" s="18">
        <v>6.72</v>
      </c>
      <c r="AV7" s="18">
        <v>1.17</v>
      </c>
      <c r="AW7" s="18">
        <v>0.28000000000000003</v>
      </c>
      <c r="AX7" s="19">
        <v>4.18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139</v>
      </c>
      <c r="AQ8" s="17">
        <v>1.89</v>
      </c>
      <c r="AR8" s="18">
        <v>0.45</v>
      </c>
      <c r="AS8" s="18">
        <v>0.15</v>
      </c>
      <c r="AT8" s="18">
        <v>4.18</v>
      </c>
      <c r="AU8" s="18">
        <v>9.24</v>
      </c>
      <c r="AV8" s="18">
        <v>3.56</v>
      </c>
      <c r="AW8" s="18">
        <v>0.85</v>
      </c>
      <c r="AX8" s="19">
        <v>0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140</v>
      </c>
      <c r="AQ9" s="17">
        <v>1.89</v>
      </c>
      <c r="AR9" s="18">
        <v>0.45</v>
      </c>
      <c r="AS9" s="18">
        <v>0.62</v>
      </c>
      <c r="AT9" s="18">
        <v>3.56</v>
      </c>
      <c r="AU9" s="18">
        <v>7.88</v>
      </c>
      <c r="AV9" s="18">
        <v>3.56</v>
      </c>
      <c r="AW9" s="18">
        <v>0.85</v>
      </c>
      <c r="AX9" s="19">
        <v>0.85</v>
      </c>
    </row>
    <row r="10" spans="2:80" x14ac:dyDescent="0.25">
      <c r="AP10" s="16" t="s">
        <v>141</v>
      </c>
      <c r="AQ10" s="17">
        <v>1.89</v>
      </c>
      <c r="AR10" s="18">
        <v>0.45</v>
      </c>
      <c r="AS10" s="18">
        <v>0.17</v>
      </c>
      <c r="AT10" s="18">
        <v>3.56</v>
      </c>
      <c r="AU10" s="18">
        <v>9.24</v>
      </c>
      <c r="AV10" s="18">
        <v>2.59</v>
      </c>
      <c r="AW10" s="18">
        <v>0.85</v>
      </c>
      <c r="AX10" s="19">
        <v>0</v>
      </c>
    </row>
    <row r="11" spans="2:80" x14ac:dyDescent="0.25">
      <c r="AP11" s="16" t="s">
        <v>142</v>
      </c>
      <c r="AQ11" s="17">
        <v>1.61</v>
      </c>
      <c r="AR11" s="18">
        <v>0.45</v>
      </c>
      <c r="AS11" s="18">
        <v>0.15</v>
      </c>
      <c r="AT11" s="18">
        <v>3.04</v>
      </c>
      <c r="AU11" s="18">
        <v>9.24</v>
      </c>
      <c r="AV11" s="18">
        <v>3.56</v>
      </c>
      <c r="AW11" s="18">
        <v>0.85</v>
      </c>
      <c r="AX11" s="19">
        <v>4.18</v>
      </c>
    </row>
    <row r="12" spans="2:80" x14ac:dyDescent="0.25">
      <c r="AP12" s="16" t="s">
        <v>143</v>
      </c>
      <c r="AQ12" s="17">
        <v>1.61</v>
      </c>
      <c r="AR12" s="18">
        <v>0.45</v>
      </c>
      <c r="AS12" s="18">
        <v>0.15</v>
      </c>
      <c r="AT12" s="18">
        <v>3.56</v>
      </c>
      <c r="AU12" s="18">
        <v>6.72</v>
      </c>
      <c r="AV12" s="18">
        <v>3.04</v>
      </c>
      <c r="AW12" s="18">
        <v>0.85</v>
      </c>
      <c r="AX12" s="19">
        <v>0</v>
      </c>
    </row>
    <row r="13" spans="2:80" x14ac:dyDescent="0.25">
      <c r="AP13" s="16" t="s">
        <v>144</v>
      </c>
      <c r="AQ13" s="17">
        <v>1.89</v>
      </c>
      <c r="AR13" s="18">
        <v>0.45</v>
      </c>
      <c r="AS13" s="18">
        <v>0.17</v>
      </c>
      <c r="AT13" s="18">
        <v>3.56</v>
      </c>
      <c r="AU13" s="18">
        <v>9.24</v>
      </c>
      <c r="AV13" s="18">
        <v>1.89</v>
      </c>
      <c r="AW13" s="18">
        <v>0.73</v>
      </c>
      <c r="AX13" s="19">
        <v>0</v>
      </c>
    </row>
    <row r="14" spans="2:80" x14ac:dyDescent="0.25">
      <c r="AP14" s="16" t="s">
        <v>145</v>
      </c>
      <c r="AQ14" s="17">
        <v>1.61</v>
      </c>
      <c r="AR14" s="18">
        <v>0.45</v>
      </c>
      <c r="AS14" s="18">
        <v>0.15</v>
      </c>
      <c r="AT14" s="18">
        <v>4.18</v>
      </c>
      <c r="AU14" s="18">
        <v>7.88</v>
      </c>
      <c r="AV14" s="18">
        <v>3.56</v>
      </c>
      <c r="AW14" s="18">
        <v>0.85</v>
      </c>
      <c r="AX14" s="19">
        <v>1.17</v>
      </c>
    </row>
    <row r="15" spans="2:80" x14ac:dyDescent="0.25">
      <c r="AP15" s="16" t="s">
        <v>146</v>
      </c>
      <c r="AQ15" s="17">
        <v>2.59</v>
      </c>
      <c r="AR15" s="18">
        <v>0.45</v>
      </c>
      <c r="AS15" s="18">
        <v>0.15</v>
      </c>
      <c r="AT15" s="18">
        <v>3.56</v>
      </c>
      <c r="AU15" s="18">
        <v>7.88</v>
      </c>
      <c r="AV15" s="18">
        <v>3.56</v>
      </c>
      <c r="AW15" s="18">
        <v>0.28000000000000003</v>
      </c>
      <c r="AX15" s="19">
        <v>0.85</v>
      </c>
    </row>
    <row r="16" spans="2:80" x14ac:dyDescent="0.25">
      <c r="AP16" s="16" t="s">
        <v>147</v>
      </c>
      <c r="AQ16" s="17">
        <v>2.59</v>
      </c>
      <c r="AR16" s="18">
        <v>0.45</v>
      </c>
      <c r="AS16" s="18">
        <v>0.17</v>
      </c>
      <c r="AT16" s="18">
        <v>3.56</v>
      </c>
      <c r="AU16" s="18">
        <v>7.88</v>
      </c>
      <c r="AV16" s="18">
        <v>3.56</v>
      </c>
      <c r="AW16" s="18">
        <v>0.85</v>
      </c>
      <c r="AX16" s="19">
        <v>0</v>
      </c>
    </row>
    <row r="17" spans="42:50" x14ac:dyDescent="0.25">
      <c r="AP17" s="16" t="s">
        <v>148</v>
      </c>
      <c r="AQ17" s="17">
        <v>2.21</v>
      </c>
      <c r="AR17" s="18">
        <v>0.45</v>
      </c>
      <c r="AS17" s="18">
        <v>0.62</v>
      </c>
      <c r="AT17" s="18">
        <v>4.8899999999999997</v>
      </c>
      <c r="AU17" s="18">
        <v>7.88</v>
      </c>
      <c r="AV17" s="18">
        <v>2.59</v>
      </c>
      <c r="AW17" s="18">
        <v>0.39</v>
      </c>
      <c r="AX17" s="19">
        <v>4.18</v>
      </c>
    </row>
    <row r="18" spans="42:50" x14ac:dyDescent="0.25">
      <c r="AP18" s="16" t="s">
        <v>149</v>
      </c>
      <c r="AQ18" s="17">
        <v>2.21</v>
      </c>
      <c r="AR18" s="18">
        <v>0.45</v>
      </c>
      <c r="AS18" s="18">
        <v>0.62</v>
      </c>
      <c r="AT18" s="18">
        <v>0.85</v>
      </c>
      <c r="AU18" s="18">
        <v>7.88</v>
      </c>
      <c r="AV18" s="18">
        <v>2.21</v>
      </c>
      <c r="AW18" s="18">
        <v>0.33</v>
      </c>
      <c r="AX18" s="19">
        <v>4.18</v>
      </c>
    </row>
    <row r="19" spans="42:50" x14ac:dyDescent="0.25">
      <c r="AP19" s="16" t="s">
        <v>150</v>
      </c>
      <c r="AQ19" s="17">
        <v>1.61</v>
      </c>
      <c r="AR19" s="18">
        <v>0.39</v>
      </c>
      <c r="AS19" s="18">
        <v>0.15</v>
      </c>
      <c r="AT19" s="18">
        <v>3.56</v>
      </c>
      <c r="AU19" s="18">
        <v>7.88</v>
      </c>
      <c r="AV19" s="18">
        <v>1.89</v>
      </c>
      <c r="AW19" s="18">
        <v>0.85</v>
      </c>
      <c r="AX19" s="19">
        <v>0</v>
      </c>
    </row>
    <row r="20" spans="42:50" x14ac:dyDescent="0.25">
      <c r="AP20" s="16" t="s">
        <v>151</v>
      </c>
      <c r="AQ20" s="17">
        <v>1.61</v>
      </c>
      <c r="AR20" s="18">
        <v>0.45</v>
      </c>
      <c r="AS20" s="18">
        <v>0.15</v>
      </c>
      <c r="AT20" s="18">
        <v>3.04</v>
      </c>
      <c r="AU20" s="18">
        <v>7.88</v>
      </c>
      <c r="AV20" s="18">
        <v>4.18</v>
      </c>
      <c r="AW20" s="18">
        <v>0.73</v>
      </c>
      <c r="AX20" s="19">
        <v>0.85</v>
      </c>
    </row>
    <row r="21" spans="42:50" x14ac:dyDescent="0.25">
      <c r="AP21" s="16" t="s">
        <v>152</v>
      </c>
      <c r="AQ21" s="17">
        <v>1.89</v>
      </c>
      <c r="AR21" s="18">
        <v>0.45</v>
      </c>
      <c r="AS21" s="18">
        <v>0.15</v>
      </c>
      <c r="AT21" s="18">
        <v>3.04</v>
      </c>
      <c r="AU21" s="18">
        <v>9.24</v>
      </c>
      <c r="AV21" s="18">
        <v>3.56</v>
      </c>
      <c r="AW21" s="18">
        <v>0.85</v>
      </c>
      <c r="AX21" s="19">
        <v>0</v>
      </c>
    </row>
    <row r="22" spans="42:50" x14ac:dyDescent="0.25">
      <c r="AP22" s="16" t="s">
        <v>153</v>
      </c>
      <c r="AQ22" s="17">
        <v>2.59</v>
      </c>
      <c r="AR22" s="18">
        <v>0.39</v>
      </c>
      <c r="AS22" s="18">
        <v>0.17</v>
      </c>
      <c r="AT22" s="18">
        <v>3.04</v>
      </c>
      <c r="AU22" s="18">
        <v>7.88</v>
      </c>
      <c r="AV22" s="18">
        <v>3.56</v>
      </c>
      <c r="AW22" s="18">
        <v>0.85</v>
      </c>
      <c r="AX22" s="19">
        <v>0</v>
      </c>
    </row>
    <row r="23" spans="42:50" x14ac:dyDescent="0.25">
      <c r="AP23" s="16" t="s">
        <v>154</v>
      </c>
      <c r="AQ23" s="17">
        <v>1.89</v>
      </c>
      <c r="AR23" s="18">
        <v>0.45</v>
      </c>
      <c r="AS23" s="18">
        <v>0.15</v>
      </c>
      <c r="AT23" s="18">
        <v>3.04</v>
      </c>
      <c r="AU23" s="18">
        <v>9.24</v>
      </c>
      <c r="AV23" s="18">
        <v>4.18</v>
      </c>
      <c r="AW23" s="18">
        <v>0.85</v>
      </c>
      <c r="AX23" s="19">
        <v>0</v>
      </c>
    </row>
    <row r="24" spans="42:50" x14ac:dyDescent="0.25">
      <c r="AP24" s="16" t="s">
        <v>155</v>
      </c>
      <c r="AQ24" s="17">
        <v>2.59</v>
      </c>
      <c r="AR24" s="18">
        <v>0.45</v>
      </c>
      <c r="AS24" s="18">
        <v>0.15</v>
      </c>
      <c r="AT24" s="18">
        <v>3.56</v>
      </c>
      <c r="AU24" s="18">
        <v>7.88</v>
      </c>
      <c r="AV24" s="18">
        <v>2.59</v>
      </c>
      <c r="AW24" s="18">
        <v>0.85</v>
      </c>
      <c r="AX24" s="19">
        <v>0</v>
      </c>
    </row>
    <row r="25" spans="42:50" x14ac:dyDescent="0.25">
      <c r="AP25" s="16" t="s">
        <v>156</v>
      </c>
      <c r="AQ25" s="17">
        <v>1.89</v>
      </c>
      <c r="AR25" s="18">
        <v>0.45</v>
      </c>
      <c r="AS25" s="18">
        <v>0.17</v>
      </c>
      <c r="AT25" s="18">
        <v>3.04</v>
      </c>
      <c r="AU25" s="18">
        <v>6.72</v>
      </c>
      <c r="AV25" s="18">
        <v>4.18</v>
      </c>
      <c r="AW25" s="18">
        <v>0.85</v>
      </c>
      <c r="AX25" s="19">
        <v>0</v>
      </c>
    </row>
    <row r="26" spans="42:50" x14ac:dyDescent="0.25">
      <c r="AP26" s="16" t="s">
        <v>157</v>
      </c>
      <c r="AQ26" s="17">
        <v>1.89</v>
      </c>
      <c r="AR26" s="18">
        <v>0.53</v>
      </c>
      <c r="AS26" s="18">
        <v>0.17</v>
      </c>
      <c r="AT26" s="18">
        <v>3.04</v>
      </c>
      <c r="AU26" s="18">
        <v>7.88</v>
      </c>
      <c r="AV26" s="18">
        <v>3.56</v>
      </c>
      <c r="AW26" s="18">
        <v>0.33</v>
      </c>
      <c r="AX26" s="19">
        <v>0</v>
      </c>
    </row>
    <row r="27" spans="42:50" x14ac:dyDescent="0.25">
      <c r="AP27" s="16" t="s">
        <v>158</v>
      </c>
      <c r="AQ27" s="17">
        <v>1.89</v>
      </c>
      <c r="AR27" s="18">
        <v>0.39</v>
      </c>
      <c r="AS27" s="18">
        <v>0.15</v>
      </c>
      <c r="AT27" s="18">
        <v>3.56</v>
      </c>
      <c r="AU27" s="18">
        <v>9.24</v>
      </c>
      <c r="AV27" s="18">
        <v>3.56</v>
      </c>
      <c r="AW27" s="18">
        <v>0.85</v>
      </c>
      <c r="AX27" s="19">
        <v>4.18</v>
      </c>
    </row>
    <row r="28" spans="42:50" x14ac:dyDescent="0.25">
      <c r="AP28" s="16" t="s">
        <v>159</v>
      </c>
      <c r="AQ28" s="17">
        <v>2.21</v>
      </c>
      <c r="AR28" s="18">
        <v>0.62</v>
      </c>
      <c r="AS28" s="18">
        <v>0.62</v>
      </c>
      <c r="AT28" s="18">
        <v>3.56</v>
      </c>
      <c r="AU28" s="18">
        <v>6.72</v>
      </c>
      <c r="AV28" s="18">
        <v>3.56</v>
      </c>
      <c r="AW28" s="18">
        <v>0.39</v>
      </c>
      <c r="AX28" s="19">
        <v>4.18</v>
      </c>
    </row>
    <row r="29" spans="42:50" x14ac:dyDescent="0.25">
      <c r="AP29" s="16" t="s">
        <v>160</v>
      </c>
      <c r="AQ29" s="17">
        <v>1.89</v>
      </c>
      <c r="AR29" s="18">
        <v>0.45</v>
      </c>
      <c r="AS29" s="18">
        <v>0.62</v>
      </c>
      <c r="AT29" s="18">
        <v>4.18</v>
      </c>
      <c r="AU29" s="18">
        <v>7.88</v>
      </c>
      <c r="AV29" s="18">
        <v>4.18</v>
      </c>
      <c r="AW29" s="18">
        <v>0.73</v>
      </c>
      <c r="AX29" s="19">
        <v>0</v>
      </c>
    </row>
    <row r="30" spans="42:50" x14ac:dyDescent="0.25">
      <c r="AP30" s="16" t="s">
        <v>161</v>
      </c>
      <c r="AQ30" s="17">
        <v>1.89</v>
      </c>
      <c r="AR30" s="18">
        <v>0.39</v>
      </c>
      <c r="AS30" s="18">
        <v>0.15</v>
      </c>
      <c r="AT30" s="18">
        <v>3.04</v>
      </c>
      <c r="AU30" s="18">
        <v>7.88</v>
      </c>
      <c r="AV30" s="18">
        <v>4.18</v>
      </c>
      <c r="AW30" s="18">
        <v>0.85</v>
      </c>
      <c r="AX30" s="19">
        <v>0</v>
      </c>
    </row>
    <row r="31" spans="42:50" x14ac:dyDescent="0.25">
      <c r="AP31" s="16" t="s">
        <v>162</v>
      </c>
      <c r="AQ31" s="17">
        <v>1.61</v>
      </c>
      <c r="AR31" s="18">
        <v>0.45</v>
      </c>
      <c r="AS31" s="18">
        <v>0.17</v>
      </c>
      <c r="AT31" s="18">
        <v>3.04</v>
      </c>
      <c r="AU31" s="18">
        <v>7.88</v>
      </c>
      <c r="AV31" s="18">
        <v>3.56</v>
      </c>
      <c r="AW31" s="18">
        <v>0.85</v>
      </c>
      <c r="AX31" s="19">
        <v>0</v>
      </c>
    </row>
    <row r="32" spans="42:50" x14ac:dyDescent="0.25">
      <c r="AP32" s="16" t="s">
        <v>163</v>
      </c>
      <c r="AQ32" s="17">
        <v>1.89</v>
      </c>
      <c r="AR32" s="18">
        <v>0.45</v>
      </c>
      <c r="AS32" s="18">
        <v>0.15</v>
      </c>
      <c r="AT32" s="18">
        <v>4.18</v>
      </c>
      <c r="AU32" s="18">
        <v>7.88</v>
      </c>
      <c r="AV32" s="18">
        <v>2.59</v>
      </c>
      <c r="AW32" s="18">
        <v>0.28000000000000003</v>
      </c>
      <c r="AX32" s="19">
        <v>0</v>
      </c>
    </row>
    <row r="33" spans="42:50" x14ac:dyDescent="0.25">
      <c r="AP33" s="16" t="s">
        <v>164</v>
      </c>
      <c r="AQ33" s="17">
        <v>1.89</v>
      </c>
      <c r="AR33" s="18">
        <v>0.45</v>
      </c>
      <c r="AS33" s="18">
        <v>0.15</v>
      </c>
      <c r="AT33" s="18">
        <v>3.56</v>
      </c>
      <c r="AU33" s="18">
        <v>9.24</v>
      </c>
      <c r="AV33" s="18">
        <v>3.56</v>
      </c>
      <c r="AW33" s="18">
        <v>0.85</v>
      </c>
      <c r="AX33" s="19">
        <v>4.18</v>
      </c>
    </row>
    <row r="34" spans="42:50" x14ac:dyDescent="0.25">
      <c r="AP34" s="16" t="s">
        <v>165</v>
      </c>
      <c r="AQ34" s="17">
        <v>1.89</v>
      </c>
      <c r="AR34" s="18">
        <v>0.45</v>
      </c>
      <c r="AS34" s="18">
        <v>0.15</v>
      </c>
      <c r="AT34" s="18">
        <v>4.18</v>
      </c>
      <c r="AU34" s="18">
        <v>7.88</v>
      </c>
      <c r="AV34" s="18">
        <v>2.21</v>
      </c>
      <c r="AW34" s="18">
        <v>0.73</v>
      </c>
      <c r="AX34" s="19">
        <v>0</v>
      </c>
    </row>
    <row r="35" spans="42:50" x14ac:dyDescent="0.25">
      <c r="AP35" s="16" t="s">
        <v>166</v>
      </c>
      <c r="AQ35" s="17">
        <v>1.61</v>
      </c>
      <c r="AR35" s="18">
        <v>0.45</v>
      </c>
      <c r="AS35" s="18">
        <v>0.15</v>
      </c>
      <c r="AT35" s="18">
        <v>3.04</v>
      </c>
      <c r="AU35" s="18">
        <v>9.24</v>
      </c>
      <c r="AV35" s="18">
        <v>4.18</v>
      </c>
      <c r="AW35" s="18">
        <v>0.85</v>
      </c>
      <c r="AX35" s="19">
        <v>0</v>
      </c>
    </row>
    <row r="36" spans="42:50" x14ac:dyDescent="0.25">
      <c r="AP36" s="16" t="s">
        <v>167</v>
      </c>
      <c r="AQ36" s="17">
        <v>1.89</v>
      </c>
      <c r="AR36" s="18">
        <v>0.45</v>
      </c>
      <c r="AS36" s="18">
        <v>0.15</v>
      </c>
      <c r="AT36" s="18">
        <v>3.04</v>
      </c>
      <c r="AU36" s="18">
        <v>7.88</v>
      </c>
      <c r="AV36" s="18">
        <v>3.56</v>
      </c>
      <c r="AW36" s="18">
        <v>0.85</v>
      </c>
      <c r="AX36" s="19">
        <v>0</v>
      </c>
    </row>
    <row r="37" spans="42:50" x14ac:dyDescent="0.25">
      <c r="AP37" s="16" t="s">
        <v>168</v>
      </c>
      <c r="AQ37" s="17">
        <v>1.61</v>
      </c>
      <c r="AR37" s="18">
        <v>0.45</v>
      </c>
      <c r="AS37" s="18">
        <v>0.15</v>
      </c>
      <c r="AT37" s="18">
        <v>3.04</v>
      </c>
      <c r="AU37" s="18">
        <v>7.88</v>
      </c>
      <c r="AV37" s="18">
        <v>3.56</v>
      </c>
      <c r="AW37" s="18">
        <v>0.85</v>
      </c>
      <c r="AX37" s="19">
        <v>0</v>
      </c>
    </row>
    <row r="38" spans="42:50" x14ac:dyDescent="0.25">
      <c r="AP38" s="16" t="s">
        <v>169</v>
      </c>
      <c r="AQ38" s="17">
        <v>2.21</v>
      </c>
      <c r="AR38" s="18">
        <v>0.45</v>
      </c>
      <c r="AS38" s="18">
        <v>0.62</v>
      </c>
      <c r="AT38" s="18">
        <v>3.04</v>
      </c>
      <c r="AU38" s="18">
        <v>7.88</v>
      </c>
      <c r="AV38" s="18">
        <v>2.59</v>
      </c>
      <c r="AW38" s="18">
        <v>0.28000000000000003</v>
      </c>
      <c r="AX38" s="19">
        <v>4.18</v>
      </c>
    </row>
    <row r="39" spans="42:50" x14ac:dyDescent="0.25">
      <c r="AP39" s="16" t="s">
        <v>170</v>
      </c>
      <c r="AQ39" s="17">
        <v>1.61</v>
      </c>
      <c r="AR39" s="18">
        <v>0.39</v>
      </c>
      <c r="AS39" s="18">
        <v>0.15</v>
      </c>
      <c r="AT39" s="18">
        <v>3.56</v>
      </c>
      <c r="AU39" s="18">
        <v>7.88</v>
      </c>
      <c r="AV39" s="18">
        <v>3.56</v>
      </c>
      <c r="AW39" s="18">
        <v>0.85</v>
      </c>
      <c r="AX39" s="19">
        <v>0</v>
      </c>
    </row>
    <row r="40" spans="42:50" x14ac:dyDescent="0.25">
      <c r="AP40" s="16" t="s">
        <v>171</v>
      </c>
      <c r="AQ40" s="17">
        <v>1.61</v>
      </c>
      <c r="AR40" s="18">
        <v>0.45</v>
      </c>
      <c r="AS40" s="18">
        <v>0.15</v>
      </c>
      <c r="AT40" s="18">
        <v>3.04</v>
      </c>
      <c r="AU40" s="18">
        <v>9.24</v>
      </c>
      <c r="AV40" s="18">
        <v>3.56</v>
      </c>
      <c r="AW40" s="18">
        <v>0.85</v>
      </c>
      <c r="AX40" s="19">
        <v>0</v>
      </c>
    </row>
    <row r="41" spans="42:50" x14ac:dyDescent="0.25">
      <c r="AP41" s="16" t="s">
        <v>172</v>
      </c>
      <c r="AQ41" s="17">
        <v>1.89</v>
      </c>
      <c r="AR41" s="18">
        <v>0.45</v>
      </c>
      <c r="AS41" s="18">
        <v>0.15</v>
      </c>
      <c r="AT41" s="18">
        <v>3.04</v>
      </c>
      <c r="AU41" s="18">
        <v>7.88</v>
      </c>
      <c r="AV41" s="18">
        <v>3.56</v>
      </c>
      <c r="AW41" s="18">
        <v>0.85</v>
      </c>
      <c r="AX41" s="19">
        <v>4.18</v>
      </c>
    </row>
    <row r="42" spans="42:50" x14ac:dyDescent="0.25">
      <c r="AP42" s="16" t="s">
        <v>173</v>
      </c>
      <c r="AQ42" s="17">
        <v>1.61</v>
      </c>
      <c r="AR42" s="18">
        <v>0.45</v>
      </c>
      <c r="AS42" s="18">
        <v>0.15</v>
      </c>
      <c r="AT42" s="18">
        <v>3.56</v>
      </c>
      <c r="AU42" s="18">
        <v>7.88</v>
      </c>
      <c r="AV42" s="18">
        <v>3.56</v>
      </c>
      <c r="AW42" s="18">
        <v>0.73</v>
      </c>
      <c r="AX42" s="19">
        <v>0</v>
      </c>
    </row>
    <row r="43" spans="42:50" x14ac:dyDescent="0.25">
      <c r="AP43" s="16" t="s">
        <v>174</v>
      </c>
      <c r="AQ43" s="17">
        <v>1.61</v>
      </c>
      <c r="AR43" s="18">
        <v>0.45</v>
      </c>
      <c r="AS43" s="18">
        <v>0.15</v>
      </c>
      <c r="AT43" s="18">
        <v>4.18</v>
      </c>
      <c r="AU43" s="18">
        <v>7.88</v>
      </c>
      <c r="AV43" s="18">
        <v>3.56</v>
      </c>
      <c r="AW43" s="18">
        <v>0.85</v>
      </c>
      <c r="AX43" s="19">
        <v>0</v>
      </c>
    </row>
    <row r="44" spans="42:50" x14ac:dyDescent="0.25">
      <c r="AP44" s="16" t="s">
        <v>175</v>
      </c>
      <c r="AQ44" s="17">
        <v>1.61</v>
      </c>
      <c r="AR44" s="18">
        <v>0.45</v>
      </c>
      <c r="AS44" s="18">
        <v>0.15</v>
      </c>
      <c r="AT44" s="18">
        <v>0.85</v>
      </c>
      <c r="AU44" s="18">
        <v>6.72</v>
      </c>
      <c r="AV44" s="18">
        <v>3.56</v>
      </c>
      <c r="AW44" s="18">
        <v>0.85</v>
      </c>
      <c r="AX44" s="19">
        <v>0</v>
      </c>
    </row>
    <row r="45" spans="42:50" x14ac:dyDescent="0.25">
      <c r="AP45" s="16" t="s">
        <v>176</v>
      </c>
      <c r="AQ45" s="17">
        <v>1.89</v>
      </c>
      <c r="AR45" s="18">
        <v>0.45</v>
      </c>
      <c r="AS45" s="18">
        <v>0.15</v>
      </c>
      <c r="AT45" s="18">
        <v>3.56</v>
      </c>
      <c r="AU45" s="18">
        <v>6.72</v>
      </c>
      <c r="AV45" s="18">
        <v>3.56</v>
      </c>
      <c r="AW45" s="18">
        <v>0.85</v>
      </c>
      <c r="AX45" s="19">
        <v>0</v>
      </c>
    </row>
    <row r="46" spans="42:50" x14ac:dyDescent="0.25">
      <c r="AP46" s="16" t="s">
        <v>177</v>
      </c>
      <c r="AQ46" s="17">
        <v>1.89</v>
      </c>
      <c r="AR46" s="18">
        <v>0.45</v>
      </c>
      <c r="AS46" s="18">
        <v>0.15</v>
      </c>
      <c r="AT46" s="18">
        <v>3.56</v>
      </c>
      <c r="AU46" s="18">
        <v>7.88</v>
      </c>
      <c r="AV46" s="18">
        <v>3.56</v>
      </c>
      <c r="AW46" s="18">
        <v>0.85</v>
      </c>
      <c r="AX46" s="19">
        <v>4.8899999999999997</v>
      </c>
    </row>
    <row r="47" spans="42:50" x14ac:dyDescent="0.25">
      <c r="AP47" s="16" t="s">
        <v>178</v>
      </c>
      <c r="AQ47" s="17">
        <v>1.89</v>
      </c>
      <c r="AR47" s="18">
        <v>0.39</v>
      </c>
      <c r="AS47" s="18">
        <v>0.73</v>
      </c>
      <c r="AT47" s="18">
        <v>3.56</v>
      </c>
      <c r="AU47" s="18">
        <v>7.88</v>
      </c>
      <c r="AV47" s="18">
        <v>3.56</v>
      </c>
      <c r="AW47" s="18">
        <v>0.85</v>
      </c>
      <c r="AX47" s="19">
        <v>0</v>
      </c>
    </row>
    <row r="48" spans="42:50" x14ac:dyDescent="0.25">
      <c r="AP48" s="16" t="s">
        <v>179</v>
      </c>
      <c r="AQ48" s="17">
        <v>1.89</v>
      </c>
      <c r="AR48" s="18">
        <v>0.45</v>
      </c>
      <c r="AS48" s="18">
        <v>0.73</v>
      </c>
      <c r="AT48" s="18">
        <v>3.04</v>
      </c>
      <c r="AU48" s="18">
        <v>7.88</v>
      </c>
      <c r="AV48" s="18">
        <v>2.21</v>
      </c>
      <c r="AW48" s="18">
        <v>0.33</v>
      </c>
      <c r="AX48" s="19">
        <v>4.18</v>
      </c>
    </row>
    <row r="49" spans="42:50" x14ac:dyDescent="0.25">
      <c r="AP49" s="16" t="s">
        <v>180</v>
      </c>
      <c r="AQ49" s="17">
        <v>2.21</v>
      </c>
      <c r="AR49" s="18">
        <v>0.45</v>
      </c>
      <c r="AS49" s="18">
        <v>0.73</v>
      </c>
      <c r="AT49" s="18">
        <v>4.18</v>
      </c>
      <c r="AU49" s="18">
        <v>6.72</v>
      </c>
      <c r="AV49" s="18">
        <v>2.21</v>
      </c>
      <c r="AW49" s="18">
        <v>0.85</v>
      </c>
      <c r="AX49" s="19">
        <v>4.18</v>
      </c>
    </row>
    <row r="50" spans="42:50" x14ac:dyDescent="0.25">
      <c r="AP50" s="16" t="s">
        <v>181</v>
      </c>
      <c r="AQ50" s="17">
        <v>2.21</v>
      </c>
      <c r="AR50" s="18">
        <v>0.45</v>
      </c>
      <c r="AS50" s="18">
        <v>0.15</v>
      </c>
      <c r="AT50" s="18">
        <v>3.04</v>
      </c>
      <c r="AU50" s="18">
        <v>7.88</v>
      </c>
      <c r="AV50" s="18">
        <v>3.56</v>
      </c>
      <c r="AW50" s="18">
        <v>0.85</v>
      </c>
      <c r="AX50" s="19">
        <v>0</v>
      </c>
    </row>
    <row r="51" spans="42:50" x14ac:dyDescent="0.25">
      <c r="AP51" s="16" t="s">
        <v>182</v>
      </c>
      <c r="AQ51" s="17">
        <v>1.61</v>
      </c>
      <c r="AR51" s="18">
        <v>0.45</v>
      </c>
      <c r="AS51" s="18">
        <v>0.15</v>
      </c>
      <c r="AT51" s="18">
        <v>3.56</v>
      </c>
      <c r="AU51" s="18">
        <v>9.24</v>
      </c>
      <c r="AV51" s="18">
        <v>3.56</v>
      </c>
      <c r="AW51" s="18">
        <v>0.85</v>
      </c>
      <c r="AX51" s="19">
        <v>0</v>
      </c>
    </row>
    <row r="52" spans="42:50" x14ac:dyDescent="0.25">
      <c r="AP52" s="16" t="s">
        <v>183</v>
      </c>
      <c r="AQ52" s="17">
        <v>1.61</v>
      </c>
      <c r="AR52" s="18">
        <v>0.45</v>
      </c>
      <c r="AS52" s="18">
        <v>0.15</v>
      </c>
      <c r="AT52" s="18">
        <v>4.8899999999999997</v>
      </c>
      <c r="AU52" s="18">
        <v>7.88</v>
      </c>
      <c r="AV52" s="18">
        <v>2.21</v>
      </c>
      <c r="AW52" s="18">
        <v>0.85</v>
      </c>
      <c r="AX52" s="19">
        <v>0</v>
      </c>
    </row>
    <row r="53" spans="42:50" x14ac:dyDescent="0.25">
      <c r="AP53" s="16" t="s">
        <v>184</v>
      </c>
      <c r="AQ53" s="17">
        <v>1.89</v>
      </c>
      <c r="AR53" s="18">
        <v>0.45</v>
      </c>
      <c r="AS53" s="18">
        <v>0.62</v>
      </c>
      <c r="AT53" s="18">
        <v>3.56</v>
      </c>
      <c r="AU53" s="18">
        <v>7.88</v>
      </c>
      <c r="AV53" s="18">
        <v>4.18</v>
      </c>
      <c r="AW53" s="18">
        <v>0.85</v>
      </c>
      <c r="AX53" s="19">
        <v>4.18</v>
      </c>
    </row>
    <row r="54" spans="42:50" x14ac:dyDescent="0.25">
      <c r="AP54" s="16" t="s">
        <v>185</v>
      </c>
      <c r="AQ54" s="17">
        <v>1.89</v>
      </c>
      <c r="AR54" s="18">
        <v>0.45</v>
      </c>
      <c r="AS54" s="18">
        <v>0.17</v>
      </c>
      <c r="AT54" s="18">
        <v>3.56</v>
      </c>
      <c r="AU54" s="18">
        <v>7.88</v>
      </c>
      <c r="AV54" s="18">
        <v>3.56</v>
      </c>
      <c r="AW54" s="18">
        <v>0.17</v>
      </c>
      <c r="AX54" s="19">
        <v>0</v>
      </c>
    </row>
    <row r="55" spans="42:50" x14ac:dyDescent="0.25">
      <c r="AP55" s="16" t="s">
        <v>186</v>
      </c>
      <c r="AQ55" s="17">
        <v>1.89</v>
      </c>
      <c r="AR55" s="18">
        <v>0.45</v>
      </c>
      <c r="AS55" s="18">
        <v>0.15</v>
      </c>
      <c r="AT55" s="18">
        <v>3.04</v>
      </c>
      <c r="AU55" s="18">
        <v>7.88</v>
      </c>
      <c r="AV55" s="18">
        <v>3.04</v>
      </c>
      <c r="AW55" s="18">
        <v>0.39</v>
      </c>
      <c r="AX55" s="19">
        <v>0</v>
      </c>
    </row>
    <row r="56" spans="42:50" x14ac:dyDescent="0.25">
      <c r="AP56" s="16" t="s">
        <v>187</v>
      </c>
      <c r="AQ56" s="17">
        <v>1.61</v>
      </c>
      <c r="AR56" s="18">
        <v>0.45</v>
      </c>
      <c r="AS56" s="18">
        <v>0.15</v>
      </c>
      <c r="AT56" s="18">
        <v>3.56</v>
      </c>
      <c r="AU56" s="18">
        <v>7.88</v>
      </c>
      <c r="AV56" s="18">
        <v>3.56</v>
      </c>
      <c r="AW56" s="18">
        <v>0.24</v>
      </c>
      <c r="AX56" s="19">
        <v>0</v>
      </c>
    </row>
    <row r="57" spans="42:50" x14ac:dyDescent="0.25">
      <c r="AP57" s="16" t="s">
        <v>188</v>
      </c>
      <c r="AQ57" s="17">
        <v>1.89</v>
      </c>
      <c r="AR57" s="18">
        <v>0.45</v>
      </c>
      <c r="AS57" s="18">
        <v>0.15</v>
      </c>
      <c r="AT57" s="18">
        <v>0</v>
      </c>
      <c r="AU57" s="18">
        <v>7.88</v>
      </c>
      <c r="AV57" s="18">
        <v>3.56</v>
      </c>
      <c r="AW57" s="18">
        <v>0.85</v>
      </c>
      <c r="AX57" s="19">
        <v>0</v>
      </c>
    </row>
    <row r="58" spans="42:50" x14ac:dyDescent="0.25">
      <c r="AP58" s="16" t="s">
        <v>189</v>
      </c>
      <c r="AQ58" s="17">
        <v>1.89</v>
      </c>
      <c r="AR58" s="18">
        <v>0.45</v>
      </c>
      <c r="AS58" s="18">
        <v>0.15</v>
      </c>
      <c r="AT58" s="18">
        <v>3.56</v>
      </c>
      <c r="AU58" s="18">
        <v>7.88</v>
      </c>
      <c r="AV58" s="18">
        <v>3.56</v>
      </c>
      <c r="AW58" s="18">
        <v>0.85</v>
      </c>
      <c r="AX58" s="19">
        <v>2.21</v>
      </c>
    </row>
    <row r="59" spans="42:50" x14ac:dyDescent="0.25">
      <c r="AP59" s="16" t="s">
        <v>190</v>
      </c>
      <c r="AQ59" s="17">
        <v>2.21</v>
      </c>
      <c r="AR59" s="18">
        <v>0.45</v>
      </c>
      <c r="AS59" s="18">
        <v>0.62</v>
      </c>
      <c r="AT59" s="18">
        <v>4.18</v>
      </c>
      <c r="AU59" s="18">
        <v>7.88</v>
      </c>
      <c r="AV59" s="18">
        <v>1.89</v>
      </c>
      <c r="AW59" s="18">
        <v>0.28000000000000003</v>
      </c>
      <c r="AX59" s="19">
        <v>2.59</v>
      </c>
    </row>
    <row r="60" spans="42:50" x14ac:dyDescent="0.25">
      <c r="AP60" s="16" t="s">
        <v>191</v>
      </c>
      <c r="AQ60" s="17">
        <v>2.59</v>
      </c>
      <c r="AR60" s="18">
        <v>0.53</v>
      </c>
      <c r="AS60" s="18">
        <v>0.62</v>
      </c>
      <c r="AT60" s="18">
        <v>4.18</v>
      </c>
      <c r="AU60" s="18">
        <v>9.24</v>
      </c>
      <c r="AV60" s="18">
        <v>3.56</v>
      </c>
      <c r="AW60" s="18">
        <v>0.33</v>
      </c>
      <c r="AX60" s="19">
        <v>4.8899999999999997</v>
      </c>
    </row>
    <row r="61" spans="42:50" x14ac:dyDescent="0.25">
      <c r="AP61" s="16" t="s">
        <v>192</v>
      </c>
      <c r="AQ61" s="17">
        <v>1.61</v>
      </c>
      <c r="AR61" s="18">
        <v>0.45</v>
      </c>
      <c r="AS61" s="18">
        <v>0.15</v>
      </c>
      <c r="AT61" s="18">
        <v>3.04</v>
      </c>
      <c r="AU61" s="18">
        <v>9.24</v>
      </c>
      <c r="AV61" s="18">
        <v>3.56</v>
      </c>
      <c r="AW61" s="18">
        <v>0.85</v>
      </c>
      <c r="AX61" s="19">
        <v>0</v>
      </c>
    </row>
    <row r="62" spans="42:50" ht="15.75" thickBot="1" x14ac:dyDescent="0.3">
      <c r="AP62" s="16" t="s">
        <v>193</v>
      </c>
      <c r="AQ62" s="17">
        <v>1.37</v>
      </c>
      <c r="AR62" s="18">
        <v>0.45</v>
      </c>
      <c r="AS62" s="18">
        <v>0.62</v>
      </c>
      <c r="AT62" s="18">
        <v>4.18</v>
      </c>
      <c r="AU62" s="18">
        <v>5.74</v>
      </c>
      <c r="AV62" s="18">
        <v>3.56</v>
      </c>
      <c r="AW62" s="18">
        <v>0.73</v>
      </c>
      <c r="AX62" s="19">
        <v>0.85</v>
      </c>
    </row>
    <row r="63" spans="42:50" x14ac:dyDescent="0.25">
      <c r="AP63" s="10" t="s">
        <v>230</v>
      </c>
      <c r="AQ63" s="11">
        <v>1.91508474576271</v>
      </c>
      <c r="AR63" s="12">
        <v>0.45084745762711798</v>
      </c>
      <c r="AS63" s="12">
        <v>0.27813559322033898</v>
      </c>
      <c r="AT63" s="12">
        <v>3.4129310344827601</v>
      </c>
      <c r="AU63" s="12">
        <v>8.02881355932203</v>
      </c>
      <c r="AV63" s="12">
        <v>3.2879661016949102</v>
      </c>
      <c r="AW63" s="12">
        <v>0.70898305084745805</v>
      </c>
      <c r="AX63" s="13">
        <v>3.4447826086956499</v>
      </c>
    </row>
    <row r="64" spans="42:50" x14ac:dyDescent="0.25">
      <c r="AP64" s="16" t="s">
        <v>231</v>
      </c>
      <c r="AQ64" s="17">
        <v>0.30043117535176</v>
      </c>
      <c r="AR64" s="18">
        <v>3.4360409598455398E-2</v>
      </c>
      <c r="AS64" s="18">
        <v>0.21371987508022899</v>
      </c>
      <c r="AT64" s="18">
        <v>0.76204807663678598</v>
      </c>
      <c r="AU64" s="18">
        <v>0.80870912988867405</v>
      </c>
      <c r="AV64" s="18">
        <v>0.68995892695493299</v>
      </c>
      <c r="AW64" s="18">
        <v>0.228797111775463</v>
      </c>
      <c r="AX64" s="19">
        <v>1.4866649854045699</v>
      </c>
    </row>
    <row r="65" spans="42:50" x14ac:dyDescent="0.25">
      <c r="AP65" s="16" t="s">
        <v>232</v>
      </c>
      <c r="AQ65" s="17">
        <v>2.2155159211144699</v>
      </c>
      <c r="AR65" s="18">
        <v>0.48520786722557302</v>
      </c>
      <c r="AS65" s="18">
        <v>0.49185546830056898</v>
      </c>
      <c r="AT65" s="18">
        <v>4.1749791111195398</v>
      </c>
      <c r="AU65" s="18">
        <v>8.8375226892107008</v>
      </c>
      <c r="AV65" s="18">
        <v>3.97792502864985</v>
      </c>
      <c r="AW65" s="18">
        <v>0.93778016262292097</v>
      </c>
      <c r="AX65" s="19">
        <v>4.93144759410022</v>
      </c>
    </row>
    <row r="66" spans="42:50" x14ac:dyDescent="0.25">
      <c r="AP66" s="16" t="s">
        <v>233</v>
      </c>
      <c r="AQ66" s="17">
        <v>1.6146535704109499</v>
      </c>
      <c r="AR66" s="18">
        <v>0.41648704802866199</v>
      </c>
      <c r="AS66" s="18">
        <v>6.4415718140109102E-2</v>
      </c>
      <c r="AT66" s="18">
        <v>2.6508829578459698</v>
      </c>
      <c r="AU66" s="18">
        <v>7.2201044294333503</v>
      </c>
      <c r="AV66" s="18">
        <v>2.5980071747399802</v>
      </c>
      <c r="AW66" s="18">
        <v>0.48018593907199397</v>
      </c>
      <c r="AX66" s="19">
        <v>1.95811762329107</v>
      </c>
    </row>
    <row r="67" spans="42:50" ht="15.75" thickBot="1" x14ac:dyDescent="0.3">
      <c r="AP67" s="23" t="s">
        <v>234</v>
      </c>
      <c r="AQ67" s="24">
        <v>1.96314285714285</v>
      </c>
      <c r="AR67" s="25">
        <v>0.44999999999999901</v>
      </c>
      <c r="AS67" s="25">
        <v>0.154090909090909</v>
      </c>
      <c r="AT67" s="25">
        <v>3.3247619047619001</v>
      </c>
      <c r="AU67" s="25">
        <v>7.8799999999999901</v>
      </c>
      <c r="AV67" s="25">
        <v>3.5311111111111102</v>
      </c>
      <c r="AW67" s="25">
        <v>0.83399999999999996</v>
      </c>
      <c r="AX67" s="26">
        <v>4.0541176470588196</v>
      </c>
    </row>
    <row r="68" spans="42:50" ht="15.75" thickBot="1" x14ac:dyDescent="0.3">
      <c r="AQ68" s="27"/>
      <c r="AR68" s="27"/>
      <c r="AS68" s="27"/>
      <c r="AT68" s="27"/>
      <c r="AU68" s="27"/>
      <c r="AV68" s="27"/>
      <c r="AW68" s="27"/>
      <c r="AX68" s="27"/>
    </row>
    <row r="69" spans="42:50" ht="30" x14ac:dyDescent="0.25">
      <c r="AP69" s="28" t="s">
        <v>235</v>
      </c>
      <c r="AQ69" s="29">
        <v>3.8</v>
      </c>
      <c r="AR69" s="29">
        <v>2.5</v>
      </c>
      <c r="AS69" s="29">
        <v>4.05</v>
      </c>
      <c r="AT69" s="29">
        <v>3.84</v>
      </c>
      <c r="AU69" s="29">
        <v>2.25</v>
      </c>
      <c r="AV69" s="29">
        <v>4.26</v>
      </c>
      <c r="AW69" s="29">
        <v>1.27</v>
      </c>
      <c r="AX69" s="30">
        <v>1.64</v>
      </c>
    </row>
    <row r="70" spans="42:50" x14ac:dyDescent="0.25">
      <c r="AP70" s="31" t="s">
        <v>236</v>
      </c>
      <c r="AQ70" s="32">
        <f t="shared" ref="AQ70:AX70" si="0">AQ69-AQ67</f>
        <v>1.8368571428571498</v>
      </c>
      <c r="AR70" s="32">
        <f t="shared" si="0"/>
        <v>2.0500000000000012</v>
      </c>
      <c r="AS70" s="32">
        <f t="shared" si="0"/>
        <v>3.895909090909091</v>
      </c>
      <c r="AT70" s="32">
        <f t="shared" si="0"/>
        <v>0.51523809523809971</v>
      </c>
      <c r="AU70" s="32">
        <f t="shared" si="0"/>
        <v>-5.6299999999999901</v>
      </c>
      <c r="AV70" s="32">
        <f t="shared" si="0"/>
        <v>0.72888888888888959</v>
      </c>
      <c r="AW70" s="32">
        <f t="shared" si="0"/>
        <v>0.43600000000000005</v>
      </c>
      <c r="AX70" s="33">
        <f t="shared" si="0"/>
        <v>-2.4141176470588199</v>
      </c>
    </row>
    <row r="71" spans="42:50" ht="15.75" thickBot="1" x14ac:dyDescent="0.3">
      <c r="AP71" s="34" t="s">
        <v>237</v>
      </c>
      <c r="AQ71" s="35">
        <f t="shared" ref="AQ71:AX71" si="1">(AQ70/AQ67)*100</f>
        <v>93.567166351332389</v>
      </c>
      <c r="AR71" s="35">
        <f t="shared" si="1"/>
        <v>455.55555555555679</v>
      </c>
      <c r="AS71" s="35">
        <f t="shared" si="1"/>
        <v>2528.3185840707979</v>
      </c>
      <c r="AT71" s="35">
        <f t="shared" si="1"/>
        <v>15.496992265826567</v>
      </c>
      <c r="AU71" s="35">
        <f t="shared" si="1"/>
        <v>-71.446700507614182</v>
      </c>
      <c r="AV71" s="35">
        <f t="shared" si="1"/>
        <v>20.641913152926396</v>
      </c>
      <c r="AW71" s="35">
        <f t="shared" si="1"/>
        <v>52.278177458033582</v>
      </c>
      <c r="AX71" s="36">
        <f t="shared" si="1"/>
        <v>-59.547301218804385</v>
      </c>
    </row>
    <row r="72" spans="42:50" ht="15.75" thickBot="1" x14ac:dyDescent="0.3">
      <c r="AP72" s="37"/>
      <c r="AQ72" s="32"/>
      <c r="AR72" s="32"/>
      <c r="AS72" s="32"/>
      <c r="AT72" s="32"/>
      <c r="AU72" s="32"/>
      <c r="AV72" s="32"/>
      <c r="AW72" s="32"/>
      <c r="AX72" s="32"/>
    </row>
    <row r="73" spans="42:50" ht="30" x14ac:dyDescent="0.25">
      <c r="AP73" s="28" t="s">
        <v>238</v>
      </c>
      <c r="AQ73" s="29">
        <v>3.62</v>
      </c>
      <c r="AR73" s="29">
        <v>2.38</v>
      </c>
      <c r="AS73" s="29">
        <v>3.96</v>
      </c>
      <c r="AT73" s="29">
        <v>3.68</v>
      </c>
      <c r="AU73" s="29">
        <v>2.14</v>
      </c>
      <c r="AV73" s="29">
        <v>4.1100000000000003</v>
      </c>
      <c r="AW73" s="29">
        <v>1.1399999999999999</v>
      </c>
      <c r="AX73" s="30">
        <v>1.5</v>
      </c>
    </row>
    <row r="74" spans="42:50" x14ac:dyDescent="0.25">
      <c r="AP74" s="31" t="s">
        <v>236</v>
      </c>
      <c r="AQ74" s="32">
        <f t="shared" ref="AQ74:AX74" si="2">AQ73-AQ67</f>
        <v>1.6568571428571501</v>
      </c>
      <c r="AR74" s="32">
        <f t="shared" si="2"/>
        <v>1.9300000000000008</v>
      </c>
      <c r="AS74" s="32">
        <f t="shared" si="2"/>
        <v>3.8059090909090911</v>
      </c>
      <c r="AT74" s="32">
        <f t="shared" si="2"/>
        <v>0.35523809523810002</v>
      </c>
      <c r="AU74" s="32">
        <f t="shared" si="2"/>
        <v>-5.7399999999999896</v>
      </c>
      <c r="AV74" s="32">
        <f t="shared" si="2"/>
        <v>0.57888888888889012</v>
      </c>
      <c r="AW74" s="32">
        <f t="shared" si="2"/>
        <v>0.30599999999999994</v>
      </c>
      <c r="AX74" s="33">
        <f t="shared" si="2"/>
        <v>-2.5541176470588196</v>
      </c>
    </row>
    <row r="75" spans="42:50" ht="15.75" thickBot="1" x14ac:dyDescent="0.3">
      <c r="AP75" s="34" t="s">
        <v>237</v>
      </c>
      <c r="AQ75" s="35">
        <f>(AQ74/AQ67)*100</f>
        <v>84.3981953136377</v>
      </c>
      <c r="AR75" s="35">
        <f t="shared" ref="AR75:AX75" si="3">(AR74/AR67)*100</f>
        <v>428.88888888889005</v>
      </c>
      <c r="AS75" s="35">
        <f t="shared" si="3"/>
        <v>2469.9115044247806</v>
      </c>
      <c r="AT75" s="35">
        <f t="shared" si="3"/>
        <v>10.684617588083801</v>
      </c>
      <c r="AU75" s="35">
        <f t="shared" si="3"/>
        <v>-72.842639593908586</v>
      </c>
      <c r="AV75" s="35">
        <f t="shared" si="3"/>
        <v>16.393958464443084</v>
      </c>
      <c r="AW75" s="35">
        <f t="shared" si="3"/>
        <v>36.690647482014384</v>
      </c>
      <c r="AX75" s="36">
        <f t="shared" si="3"/>
        <v>-63.000580383052785</v>
      </c>
    </row>
    <row r="76" spans="42:50" ht="15.75" thickBot="1" x14ac:dyDescent="0.3">
      <c r="AQ76" s="27"/>
      <c r="AR76" s="27"/>
      <c r="AS76" s="27"/>
      <c r="AT76" s="27"/>
      <c r="AU76" s="27"/>
      <c r="AV76" s="27"/>
      <c r="AW76" s="27"/>
      <c r="AX76" s="27"/>
    </row>
    <row r="77" spans="42:50" ht="30" x14ac:dyDescent="0.25">
      <c r="AP77" s="28" t="s">
        <v>239</v>
      </c>
      <c r="AQ77" s="38">
        <v>3.55</v>
      </c>
      <c r="AR77" s="29">
        <v>2.44</v>
      </c>
      <c r="AS77" s="29">
        <v>3.99</v>
      </c>
      <c r="AT77" s="29">
        <v>3.75</v>
      </c>
      <c r="AU77" s="29">
        <v>2.2000000000000002</v>
      </c>
      <c r="AV77" s="29">
        <v>4.25</v>
      </c>
      <c r="AW77" s="29">
        <v>1.1599999999999999</v>
      </c>
      <c r="AX77" s="30">
        <v>1.51</v>
      </c>
    </row>
    <row r="78" spans="42:50" x14ac:dyDescent="0.25">
      <c r="AP78" s="31" t="s">
        <v>236</v>
      </c>
      <c r="AQ78" s="39">
        <f>AQ77-AQ67</f>
        <v>1.5868571428571498</v>
      </c>
      <c r="AR78" s="32">
        <f t="shared" ref="AR78:AX78" si="4">AR77-AR67</f>
        <v>1.9900000000000009</v>
      </c>
      <c r="AS78" s="32">
        <f t="shared" si="4"/>
        <v>3.8359090909090914</v>
      </c>
      <c r="AT78" s="32">
        <f t="shared" si="4"/>
        <v>0.42523809523809986</v>
      </c>
      <c r="AU78" s="32">
        <f t="shared" si="4"/>
        <v>-5.6799999999999899</v>
      </c>
      <c r="AV78" s="32">
        <f t="shared" si="4"/>
        <v>0.7188888888888898</v>
      </c>
      <c r="AW78" s="32">
        <f>AW77-AW67</f>
        <v>0.32599999999999996</v>
      </c>
      <c r="AX78" s="33">
        <f t="shared" si="4"/>
        <v>-2.5441176470588198</v>
      </c>
    </row>
    <row r="79" spans="42:50" ht="15.75" thickBot="1" x14ac:dyDescent="0.3">
      <c r="AP79" s="34" t="s">
        <v>237</v>
      </c>
      <c r="AQ79" s="40">
        <f>(AQ78/AQ67)*100</f>
        <v>80.832484354534202</v>
      </c>
      <c r="AR79" s="35">
        <f t="shared" ref="AR79:AX79" si="5">(AR78/AR67)*100</f>
        <v>442.22222222222342</v>
      </c>
      <c r="AS79" s="35">
        <f t="shared" si="5"/>
        <v>2489.380530973453</v>
      </c>
      <c r="AT79" s="35">
        <f t="shared" si="5"/>
        <v>12.790031509596261</v>
      </c>
      <c r="AU79" s="35">
        <f t="shared" si="5"/>
        <v>-72.081218274111635</v>
      </c>
      <c r="AV79" s="35">
        <f t="shared" si="5"/>
        <v>20.358716173694177</v>
      </c>
      <c r="AW79" s="35">
        <f t="shared" si="5"/>
        <v>39.088729016786566</v>
      </c>
      <c r="AX79" s="36">
        <f t="shared" si="5"/>
        <v>-62.753917585606466</v>
      </c>
    </row>
    <row r="80" spans="42:50" x14ac:dyDescent="0.25">
      <c r="AQ80" s="27"/>
      <c r="AR80" s="27"/>
      <c r="AS80" s="27"/>
      <c r="AT80" s="27"/>
      <c r="AU80" s="27"/>
      <c r="AV80" s="27"/>
      <c r="AW80" s="27"/>
      <c r="AX80" s="27"/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CF5A-B485-4465-A829-82046B80EAA1}">
  <dimension ref="B1:CB925"/>
  <sheetViews>
    <sheetView tabSelected="1" topLeftCell="AG33" workbookViewId="0">
      <selection activeCell="BH72" sqref="BH72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1.42578125" style="3" bestFit="1" customWidth="1"/>
    <col min="43" max="44" width="6.5703125" style="3" bestFit="1" customWidth="1"/>
    <col min="45" max="45" width="7.5703125" style="3" bestFit="1" customWidth="1"/>
    <col min="46" max="46" width="5.5703125" style="3" bestFit="1" customWidth="1"/>
    <col min="47" max="47" width="6.28515625" style="3" bestFit="1" customWidth="1"/>
    <col min="48" max="49" width="5.5703125" style="3" bestFit="1" customWidth="1"/>
    <col min="50" max="50" width="6.285156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41" t="s">
        <v>0</v>
      </c>
      <c r="C2" s="42"/>
      <c r="D2" s="42"/>
      <c r="E2" s="42"/>
      <c r="F2" s="42"/>
      <c r="G2" s="42"/>
      <c r="H2" s="42"/>
      <c r="I2" s="42"/>
      <c r="J2" s="43"/>
      <c r="L2" s="41" t="s">
        <v>1</v>
      </c>
      <c r="M2" s="42"/>
      <c r="N2" s="42"/>
      <c r="O2" s="42"/>
      <c r="P2" s="42"/>
      <c r="Q2" s="42"/>
      <c r="R2" s="42"/>
      <c r="S2" s="42"/>
      <c r="T2" s="43"/>
      <c r="V2" s="41" t="s">
        <v>2</v>
      </c>
      <c r="W2" s="42"/>
      <c r="X2" s="42"/>
      <c r="Y2" s="42"/>
      <c r="Z2" s="42"/>
      <c r="AA2" s="42"/>
      <c r="AB2" s="42"/>
      <c r="AC2" s="42"/>
      <c r="AD2" s="43"/>
      <c r="AF2" s="41" t="s">
        <v>3</v>
      </c>
      <c r="AG2" s="42"/>
      <c r="AH2" s="42"/>
      <c r="AI2" s="42"/>
      <c r="AJ2" s="42"/>
      <c r="AK2" s="42"/>
      <c r="AL2" s="42"/>
      <c r="AM2" s="42"/>
      <c r="AN2" s="43"/>
      <c r="AP2" s="41" t="s">
        <v>4</v>
      </c>
      <c r="AQ2" s="42"/>
      <c r="AR2" s="42"/>
      <c r="AS2" s="42"/>
      <c r="AT2" s="42"/>
      <c r="AU2" s="42"/>
      <c r="AV2" s="42"/>
      <c r="AW2" s="42"/>
      <c r="AX2" s="43"/>
      <c r="AZ2" s="41" t="s">
        <v>5</v>
      </c>
      <c r="BA2" s="42"/>
      <c r="BB2" s="42"/>
      <c r="BC2" s="42"/>
      <c r="BD2" s="42"/>
      <c r="BE2" s="42"/>
      <c r="BF2" s="42"/>
      <c r="BG2" s="42"/>
      <c r="BH2" s="43"/>
      <c r="BJ2" s="41" t="s">
        <v>6</v>
      </c>
      <c r="BK2" s="42"/>
      <c r="BL2" s="42"/>
      <c r="BM2" s="42"/>
      <c r="BN2" s="42"/>
      <c r="BO2" s="42"/>
      <c r="BP2" s="42"/>
      <c r="BQ2" s="42"/>
      <c r="BR2" s="43"/>
      <c r="BT2" s="41" t="s">
        <v>7</v>
      </c>
      <c r="BU2" s="42"/>
      <c r="BV2" s="42"/>
      <c r="BW2" s="42"/>
      <c r="BX2" s="42"/>
      <c r="BY2" s="42"/>
      <c r="BZ2" s="42"/>
      <c r="CA2" s="42"/>
      <c r="CB2" s="43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218</v>
      </c>
      <c r="AQ4" s="11">
        <v>2.21</v>
      </c>
      <c r="AR4" s="12">
        <v>0.39</v>
      </c>
      <c r="AS4" s="12">
        <v>0.17</v>
      </c>
      <c r="AT4" s="12">
        <v>4.18</v>
      </c>
      <c r="AU4" s="12">
        <v>7.88</v>
      </c>
      <c r="AV4" s="12">
        <v>3.56</v>
      </c>
      <c r="AW4" s="12">
        <v>0.85</v>
      </c>
      <c r="AX4" s="13">
        <v>0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218</v>
      </c>
      <c r="AQ5" s="17">
        <v>1.89</v>
      </c>
      <c r="AR5" s="18">
        <v>0.39</v>
      </c>
      <c r="AS5" s="18">
        <v>0.15</v>
      </c>
      <c r="AT5" s="18">
        <v>3.56</v>
      </c>
      <c r="AU5" s="18">
        <v>7.88</v>
      </c>
      <c r="AV5" s="18">
        <v>3.56</v>
      </c>
      <c r="AW5" s="18">
        <v>0.85</v>
      </c>
      <c r="AX5" s="19">
        <v>4.18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218</v>
      </c>
      <c r="AQ6" s="17">
        <v>1.89</v>
      </c>
      <c r="AR6" s="18">
        <v>0.45</v>
      </c>
      <c r="AS6" s="18">
        <v>0.17</v>
      </c>
      <c r="AT6" s="18">
        <v>3.56</v>
      </c>
      <c r="AU6" s="18">
        <v>7.88</v>
      </c>
      <c r="AV6" s="18">
        <v>3.56</v>
      </c>
      <c r="AW6" s="18">
        <v>0.85</v>
      </c>
      <c r="AX6" s="19">
        <v>0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218</v>
      </c>
      <c r="AQ7" s="17">
        <v>1.89</v>
      </c>
      <c r="AR7" s="18">
        <v>0.45</v>
      </c>
      <c r="AS7" s="18">
        <v>0.15</v>
      </c>
      <c r="AT7" s="18">
        <v>3.56</v>
      </c>
      <c r="AU7" s="18">
        <v>7.88</v>
      </c>
      <c r="AV7" s="18">
        <v>2.21</v>
      </c>
      <c r="AW7" s="18">
        <v>0.85</v>
      </c>
      <c r="AX7" s="19">
        <v>0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218</v>
      </c>
      <c r="AQ8" s="17">
        <v>1.61</v>
      </c>
      <c r="AR8" s="18">
        <v>0.45</v>
      </c>
      <c r="AS8" s="18">
        <v>0.15</v>
      </c>
      <c r="AT8" s="18">
        <v>3.04</v>
      </c>
      <c r="AU8" s="18">
        <v>7.88</v>
      </c>
      <c r="AV8" s="18">
        <v>3.56</v>
      </c>
      <c r="AW8" s="18">
        <v>0.85</v>
      </c>
      <c r="AX8" s="19">
        <v>0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219</v>
      </c>
      <c r="AQ9" s="17">
        <v>2.59</v>
      </c>
      <c r="AR9" s="18">
        <v>0.53</v>
      </c>
      <c r="AS9" s="18">
        <v>0.62</v>
      </c>
      <c r="AT9" s="18">
        <v>0.85</v>
      </c>
      <c r="AU9" s="18">
        <v>6.72</v>
      </c>
      <c r="AV9" s="18">
        <v>1.17</v>
      </c>
      <c r="AW9" s="18">
        <v>0.28000000000000003</v>
      </c>
      <c r="AX9" s="19">
        <v>4.18</v>
      </c>
    </row>
    <row r="10" spans="2:80" x14ac:dyDescent="0.25">
      <c r="AP10" s="16" t="s">
        <v>219</v>
      </c>
      <c r="AQ10" s="17">
        <v>1.89</v>
      </c>
      <c r="AR10" s="18">
        <v>0.45</v>
      </c>
      <c r="AS10" s="18">
        <v>0.15</v>
      </c>
      <c r="AT10" s="18">
        <v>4.18</v>
      </c>
      <c r="AU10" s="18">
        <v>9.24</v>
      </c>
      <c r="AV10" s="18">
        <v>3.56</v>
      </c>
      <c r="AW10" s="18">
        <v>0.85</v>
      </c>
      <c r="AX10" s="19">
        <v>0</v>
      </c>
    </row>
    <row r="11" spans="2:80" x14ac:dyDescent="0.25">
      <c r="AP11" s="16" t="s">
        <v>219</v>
      </c>
      <c r="AQ11" s="17">
        <v>1.89</v>
      </c>
      <c r="AR11" s="18">
        <v>0.45</v>
      </c>
      <c r="AS11" s="18">
        <v>0.17</v>
      </c>
      <c r="AT11" s="18">
        <v>3.56</v>
      </c>
      <c r="AU11" s="18">
        <v>7.88</v>
      </c>
      <c r="AV11" s="18">
        <v>3.56</v>
      </c>
      <c r="AW11" s="18">
        <v>0.85</v>
      </c>
      <c r="AX11" s="19">
        <v>0</v>
      </c>
    </row>
    <row r="12" spans="2:80" x14ac:dyDescent="0.25">
      <c r="AP12" s="16" t="s">
        <v>219</v>
      </c>
      <c r="AQ12" s="17">
        <v>1.89</v>
      </c>
      <c r="AR12" s="18">
        <v>0.45</v>
      </c>
      <c r="AS12" s="18">
        <v>0.15</v>
      </c>
      <c r="AT12" s="18">
        <v>3.56</v>
      </c>
      <c r="AU12" s="18">
        <v>7.88</v>
      </c>
      <c r="AV12" s="18">
        <v>4.18</v>
      </c>
      <c r="AW12" s="18">
        <v>0.85</v>
      </c>
      <c r="AX12" s="19">
        <v>5.74</v>
      </c>
    </row>
    <row r="13" spans="2:80" x14ac:dyDescent="0.25">
      <c r="AP13" s="16" t="s">
        <v>219</v>
      </c>
      <c r="AQ13" s="17">
        <v>2.21</v>
      </c>
      <c r="AR13" s="18">
        <v>0.45</v>
      </c>
      <c r="AS13" s="18">
        <v>0.62</v>
      </c>
      <c r="AT13" s="18">
        <v>4.18</v>
      </c>
      <c r="AU13" s="18">
        <v>9.24</v>
      </c>
      <c r="AV13" s="18">
        <v>2.59</v>
      </c>
      <c r="AW13" s="18">
        <v>0.85</v>
      </c>
      <c r="AX13" s="19">
        <v>4.18</v>
      </c>
    </row>
    <row r="14" spans="2:80" x14ac:dyDescent="0.25">
      <c r="AP14" s="16" t="s">
        <v>220</v>
      </c>
      <c r="AQ14" s="17">
        <v>1.61</v>
      </c>
      <c r="AR14" s="18">
        <v>0.45</v>
      </c>
      <c r="AS14" s="18">
        <v>0.15</v>
      </c>
      <c r="AT14" s="18">
        <v>3.56</v>
      </c>
      <c r="AU14" s="18">
        <v>6.72</v>
      </c>
      <c r="AV14" s="18">
        <v>3.04</v>
      </c>
      <c r="AW14" s="18">
        <v>0.85</v>
      </c>
      <c r="AX14" s="19">
        <v>0</v>
      </c>
    </row>
    <row r="15" spans="2:80" x14ac:dyDescent="0.25">
      <c r="AP15" s="16" t="s">
        <v>220</v>
      </c>
      <c r="AQ15" s="17">
        <v>1.89</v>
      </c>
      <c r="AR15" s="18">
        <v>0.45</v>
      </c>
      <c r="AS15" s="18">
        <v>0.17</v>
      </c>
      <c r="AT15" s="18">
        <v>3.56</v>
      </c>
      <c r="AU15" s="18">
        <v>9.24</v>
      </c>
      <c r="AV15" s="18">
        <v>1.89</v>
      </c>
      <c r="AW15" s="18">
        <v>0.73</v>
      </c>
      <c r="AX15" s="19">
        <v>0</v>
      </c>
    </row>
    <row r="16" spans="2:80" x14ac:dyDescent="0.25">
      <c r="AP16" s="16" t="s">
        <v>220</v>
      </c>
      <c r="AQ16" s="17">
        <v>1.61</v>
      </c>
      <c r="AR16" s="18">
        <v>0.45</v>
      </c>
      <c r="AS16" s="18">
        <v>0.15</v>
      </c>
      <c r="AT16" s="18">
        <v>4.18</v>
      </c>
      <c r="AU16" s="18">
        <v>7.88</v>
      </c>
      <c r="AV16" s="18">
        <v>3.56</v>
      </c>
      <c r="AW16" s="18">
        <v>0.85</v>
      </c>
      <c r="AX16" s="19">
        <v>1.17</v>
      </c>
    </row>
    <row r="17" spans="42:50" x14ac:dyDescent="0.25">
      <c r="AP17" s="16" t="s">
        <v>220</v>
      </c>
      <c r="AQ17" s="17">
        <v>1.89</v>
      </c>
      <c r="AR17" s="18">
        <v>0.45</v>
      </c>
      <c r="AS17" s="18">
        <v>0.17</v>
      </c>
      <c r="AT17" s="18">
        <v>3.56</v>
      </c>
      <c r="AU17" s="18">
        <v>9.24</v>
      </c>
      <c r="AV17" s="18">
        <v>2.59</v>
      </c>
      <c r="AW17" s="18">
        <v>0.85</v>
      </c>
      <c r="AX17" s="19">
        <v>0</v>
      </c>
    </row>
    <row r="18" spans="42:50" x14ac:dyDescent="0.25">
      <c r="AP18" s="16" t="s">
        <v>220</v>
      </c>
      <c r="AQ18" s="17">
        <v>1.61</v>
      </c>
      <c r="AR18" s="18">
        <v>0.45</v>
      </c>
      <c r="AS18" s="18">
        <v>0.15</v>
      </c>
      <c r="AT18" s="18">
        <v>3.04</v>
      </c>
      <c r="AU18" s="18">
        <v>9.24</v>
      </c>
      <c r="AV18" s="18">
        <v>3.56</v>
      </c>
      <c r="AW18" s="18">
        <v>0.85</v>
      </c>
      <c r="AX18" s="19">
        <v>4.18</v>
      </c>
    </row>
    <row r="19" spans="42:50" x14ac:dyDescent="0.25">
      <c r="AP19" s="16" t="s">
        <v>221</v>
      </c>
      <c r="AQ19" s="17">
        <v>2.21</v>
      </c>
      <c r="AR19" s="18">
        <v>0.45</v>
      </c>
      <c r="AS19" s="18">
        <v>0.62</v>
      </c>
      <c r="AT19" s="18">
        <v>4.8899999999999997</v>
      </c>
      <c r="AU19" s="18">
        <v>7.88</v>
      </c>
      <c r="AV19" s="18">
        <v>2.59</v>
      </c>
      <c r="AW19" s="18">
        <v>0.39</v>
      </c>
      <c r="AX19" s="19">
        <v>4.18</v>
      </c>
    </row>
    <row r="20" spans="42:50" x14ac:dyDescent="0.25">
      <c r="AP20" s="16" t="s">
        <v>221</v>
      </c>
      <c r="AQ20" s="17">
        <v>2.21</v>
      </c>
      <c r="AR20" s="18">
        <v>0.45</v>
      </c>
      <c r="AS20" s="18">
        <v>0.62</v>
      </c>
      <c r="AT20" s="18">
        <v>0.85</v>
      </c>
      <c r="AU20" s="18">
        <v>7.88</v>
      </c>
      <c r="AV20" s="18">
        <v>2.21</v>
      </c>
      <c r="AW20" s="18">
        <v>0.33</v>
      </c>
      <c r="AX20" s="19">
        <v>4.18</v>
      </c>
    </row>
    <row r="21" spans="42:50" x14ac:dyDescent="0.25">
      <c r="AP21" s="16" t="s">
        <v>221</v>
      </c>
      <c r="AQ21" s="17">
        <v>1.61</v>
      </c>
      <c r="AR21" s="18">
        <v>0.45</v>
      </c>
      <c r="AS21" s="18">
        <v>0.15</v>
      </c>
      <c r="AT21" s="18">
        <v>4.18</v>
      </c>
      <c r="AU21" s="18">
        <v>7.88</v>
      </c>
      <c r="AV21" s="18">
        <v>3.56</v>
      </c>
      <c r="AW21" s="18">
        <v>0.85</v>
      </c>
      <c r="AX21" s="19">
        <v>1.17</v>
      </c>
    </row>
    <row r="22" spans="42:50" x14ac:dyDescent="0.25">
      <c r="AP22" s="16" t="s">
        <v>221</v>
      </c>
      <c r="AQ22" s="17">
        <v>2.59</v>
      </c>
      <c r="AR22" s="18">
        <v>0.45</v>
      </c>
      <c r="AS22" s="18">
        <v>0.15</v>
      </c>
      <c r="AT22" s="18">
        <v>3.56</v>
      </c>
      <c r="AU22" s="18">
        <v>7.88</v>
      </c>
      <c r="AV22" s="18">
        <v>3.56</v>
      </c>
      <c r="AW22" s="18">
        <v>0.28000000000000003</v>
      </c>
      <c r="AX22" s="19">
        <v>0.85</v>
      </c>
    </row>
    <row r="23" spans="42:50" x14ac:dyDescent="0.25">
      <c r="AP23" s="16" t="s">
        <v>221</v>
      </c>
      <c r="AQ23" s="17">
        <v>2.59</v>
      </c>
      <c r="AR23" s="18">
        <v>0.45</v>
      </c>
      <c r="AS23" s="18">
        <v>0.17</v>
      </c>
      <c r="AT23" s="18">
        <v>3.56</v>
      </c>
      <c r="AU23" s="18">
        <v>7.88</v>
      </c>
      <c r="AV23" s="18">
        <v>3.56</v>
      </c>
      <c r="AW23" s="18">
        <v>0.85</v>
      </c>
      <c r="AX23" s="19">
        <v>0</v>
      </c>
    </row>
    <row r="24" spans="42:50" x14ac:dyDescent="0.25">
      <c r="AP24" s="16" t="s">
        <v>222</v>
      </c>
      <c r="AQ24" s="17">
        <v>2.59</v>
      </c>
      <c r="AR24" s="18">
        <v>0.39</v>
      </c>
      <c r="AS24" s="18">
        <v>0.17</v>
      </c>
      <c r="AT24" s="18">
        <v>3.04</v>
      </c>
      <c r="AU24" s="18">
        <v>7.88</v>
      </c>
      <c r="AV24" s="18">
        <v>3.56</v>
      </c>
      <c r="AW24" s="18">
        <v>0.85</v>
      </c>
      <c r="AX24" s="19">
        <v>0</v>
      </c>
    </row>
    <row r="25" spans="42:50" x14ac:dyDescent="0.25">
      <c r="AP25" s="16" t="s">
        <v>222</v>
      </c>
      <c r="AQ25" s="17">
        <v>1.89</v>
      </c>
      <c r="AR25" s="18">
        <v>0.45</v>
      </c>
      <c r="AS25" s="18">
        <v>0.15</v>
      </c>
      <c r="AT25" s="18">
        <v>3.04</v>
      </c>
      <c r="AU25" s="18">
        <v>9.24</v>
      </c>
      <c r="AV25" s="18">
        <v>4.18</v>
      </c>
      <c r="AW25" s="18">
        <v>0.85</v>
      </c>
      <c r="AX25" s="19">
        <v>0</v>
      </c>
    </row>
    <row r="26" spans="42:50" x14ac:dyDescent="0.25">
      <c r="AP26" s="16" t="s">
        <v>222</v>
      </c>
      <c r="AQ26" s="17">
        <v>1.61</v>
      </c>
      <c r="AR26" s="18">
        <v>0.39</v>
      </c>
      <c r="AS26" s="18">
        <v>0.15</v>
      </c>
      <c r="AT26" s="18">
        <v>3.56</v>
      </c>
      <c r="AU26" s="18">
        <v>7.88</v>
      </c>
      <c r="AV26" s="18">
        <v>1.89</v>
      </c>
      <c r="AW26" s="18">
        <v>0.85</v>
      </c>
      <c r="AX26" s="19">
        <v>0</v>
      </c>
    </row>
    <row r="27" spans="42:50" x14ac:dyDescent="0.25">
      <c r="AP27" s="16" t="s">
        <v>222</v>
      </c>
      <c r="AQ27" s="17">
        <v>1.61</v>
      </c>
      <c r="AR27" s="18">
        <v>0.45</v>
      </c>
      <c r="AS27" s="18">
        <v>0.15</v>
      </c>
      <c r="AT27" s="18">
        <v>3.04</v>
      </c>
      <c r="AU27" s="18">
        <v>7.88</v>
      </c>
      <c r="AV27" s="18">
        <v>4.18</v>
      </c>
      <c r="AW27" s="18">
        <v>0.73</v>
      </c>
      <c r="AX27" s="19">
        <v>0.85</v>
      </c>
    </row>
    <row r="28" spans="42:50" x14ac:dyDescent="0.25">
      <c r="AP28" s="16" t="s">
        <v>222</v>
      </c>
      <c r="AQ28" s="17">
        <v>1.89</v>
      </c>
      <c r="AR28" s="18">
        <v>0.45</v>
      </c>
      <c r="AS28" s="18">
        <v>0.15</v>
      </c>
      <c r="AT28" s="18">
        <v>3.04</v>
      </c>
      <c r="AU28" s="18">
        <v>9.24</v>
      </c>
      <c r="AV28" s="18">
        <v>3.56</v>
      </c>
      <c r="AW28" s="18">
        <v>0.85</v>
      </c>
      <c r="AX28" s="19">
        <v>0</v>
      </c>
    </row>
    <row r="29" spans="42:50" x14ac:dyDescent="0.25">
      <c r="AP29" s="16" t="s">
        <v>223</v>
      </c>
      <c r="AQ29" s="17">
        <v>1.89</v>
      </c>
      <c r="AR29" s="18">
        <v>0.39</v>
      </c>
      <c r="AS29" s="18">
        <v>0.15</v>
      </c>
      <c r="AT29" s="18">
        <v>3.56</v>
      </c>
      <c r="AU29" s="18">
        <v>9.24</v>
      </c>
      <c r="AV29" s="18">
        <v>3.56</v>
      </c>
      <c r="AW29" s="18">
        <v>0.85</v>
      </c>
      <c r="AX29" s="19">
        <v>4.18</v>
      </c>
    </row>
    <row r="30" spans="42:50" x14ac:dyDescent="0.25">
      <c r="AP30" s="16" t="s">
        <v>223</v>
      </c>
      <c r="AQ30" s="17">
        <v>2.21</v>
      </c>
      <c r="AR30" s="18">
        <v>0.62</v>
      </c>
      <c r="AS30" s="18">
        <v>0.62</v>
      </c>
      <c r="AT30" s="18">
        <v>3.56</v>
      </c>
      <c r="AU30" s="18">
        <v>6.72</v>
      </c>
      <c r="AV30" s="18">
        <v>3.56</v>
      </c>
      <c r="AW30" s="18">
        <v>0.39</v>
      </c>
      <c r="AX30" s="19">
        <v>4.18</v>
      </c>
    </row>
    <row r="31" spans="42:50" x14ac:dyDescent="0.25">
      <c r="AP31" s="16" t="s">
        <v>223</v>
      </c>
      <c r="AQ31" s="17">
        <v>2.59</v>
      </c>
      <c r="AR31" s="18">
        <v>0.45</v>
      </c>
      <c r="AS31" s="18">
        <v>0.15</v>
      </c>
      <c r="AT31" s="18">
        <v>3.56</v>
      </c>
      <c r="AU31" s="18">
        <v>7.88</v>
      </c>
      <c r="AV31" s="18">
        <v>2.59</v>
      </c>
      <c r="AW31" s="18">
        <v>0.85</v>
      </c>
      <c r="AX31" s="19">
        <v>0</v>
      </c>
    </row>
    <row r="32" spans="42:50" x14ac:dyDescent="0.25">
      <c r="AP32" s="16" t="s">
        <v>223</v>
      </c>
      <c r="AQ32" s="17">
        <v>1.89</v>
      </c>
      <c r="AR32" s="18">
        <v>0.45</v>
      </c>
      <c r="AS32" s="18">
        <v>0.17</v>
      </c>
      <c r="AT32" s="18">
        <v>3.04</v>
      </c>
      <c r="AU32" s="18">
        <v>6.72</v>
      </c>
      <c r="AV32" s="18">
        <v>4.18</v>
      </c>
      <c r="AW32" s="18">
        <v>0.85</v>
      </c>
      <c r="AX32" s="19">
        <v>0</v>
      </c>
    </row>
    <row r="33" spans="42:50" x14ac:dyDescent="0.25">
      <c r="AP33" s="16" t="s">
        <v>223</v>
      </c>
      <c r="AQ33" s="17">
        <v>1.89</v>
      </c>
      <c r="AR33" s="18">
        <v>0.53</v>
      </c>
      <c r="AS33" s="18">
        <v>0.17</v>
      </c>
      <c r="AT33" s="18">
        <v>3.04</v>
      </c>
      <c r="AU33" s="18">
        <v>7.88</v>
      </c>
      <c r="AV33" s="18">
        <v>3.56</v>
      </c>
      <c r="AW33" s="18">
        <v>0.33</v>
      </c>
      <c r="AX33" s="19">
        <v>0</v>
      </c>
    </row>
    <row r="34" spans="42:50" x14ac:dyDescent="0.25">
      <c r="AP34" s="16" t="s">
        <v>224</v>
      </c>
      <c r="AQ34" s="17">
        <v>1.89</v>
      </c>
      <c r="AR34" s="18">
        <v>0.45</v>
      </c>
      <c r="AS34" s="18">
        <v>0.15</v>
      </c>
      <c r="AT34" s="18">
        <v>4.18</v>
      </c>
      <c r="AU34" s="18">
        <v>7.88</v>
      </c>
      <c r="AV34" s="18">
        <v>2.59</v>
      </c>
      <c r="AW34" s="18">
        <v>0.28000000000000003</v>
      </c>
      <c r="AX34" s="19">
        <v>0</v>
      </c>
    </row>
    <row r="35" spans="42:50" x14ac:dyDescent="0.25">
      <c r="AP35" s="16" t="s">
        <v>224</v>
      </c>
      <c r="AQ35" s="17">
        <v>1.89</v>
      </c>
      <c r="AR35" s="18">
        <v>0.45</v>
      </c>
      <c r="AS35" s="18">
        <v>0.15</v>
      </c>
      <c r="AT35" s="18">
        <v>3.56</v>
      </c>
      <c r="AU35" s="18">
        <v>9.24</v>
      </c>
      <c r="AV35" s="18">
        <v>3.56</v>
      </c>
      <c r="AW35" s="18">
        <v>0.85</v>
      </c>
      <c r="AX35" s="19">
        <v>4.18</v>
      </c>
    </row>
    <row r="36" spans="42:50" x14ac:dyDescent="0.25">
      <c r="AP36" s="16" t="s">
        <v>224</v>
      </c>
      <c r="AQ36" s="17">
        <v>1.89</v>
      </c>
      <c r="AR36" s="18">
        <v>0.45</v>
      </c>
      <c r="AS36" s="18">
        <v>0.62</v>
      </c>
      <c r="AT36" s="18">
        <v>4.18</v>
      </c>
      <c r="AU36" s="18">
        <v>7.88</v>
      </c>
      <c r="AV36" s="18">
        <v>4.18</v>
      </c>
      <c r="AW36" s="18">
        <v>0.73</v>
      </c>
      <c r="AX36" s="19">
        <v>0</v>
      </c>
    </row>
    <row r="37" spans="42:50" x14ac:dyDescent="0.25">
      <c r="AP37" s="16" t="s">
        <v>224</v>
      </c>
      <c r="AQ37" s="17">
        <v>1.89</v>
      </c>
      <c r="AR37" s="18">
        <v>0.39</v>
      </c>
      <c r="AS37" s="18">
        <v>0.15</v>
      </c>
      <c r="AT37" s="18">
        <v>3.04</v>
      </c>
      <c r="AU37" s="18">
        <v>7.88</v>
      </c>
      <c r="AV37" s="18">
        <v>4.18</v>
      </c>
      <c r="AW37" s="18">
        <v>0.85</v>
      </c>
      <c r="AX37" s="19">
        <v>0</v>
      </c>
    </row>
    <row r="38" spans="42:50" x14ac:dyDescent="0.25">
      <c r="AP38" s="16" t="s">
        <v>224</v>
      </c>
      <c r="AQ38" s="17">
        <v>1.61</v>
      </c>
      <c r="AR38" s="18">
        <v>0.45</v>
      </c>
      <c r="AS38" s="18">
        <v>0.17</v>
      </c>
      <c r="AT38" s="18">
        <v>3.04</v>
      </c>
      <c r="AU38" s="18">
        <v>7.88</v>
      </c>
      <c r="AV38" s="18">
        <v>3.56</v>
      </c>
      <c r="AW38" s="18">
        <v>0.85</v>
      </c>
      <c r="AX38" s="19">
        <v>0</v>
      </c>
    </row>
    <row r="39" spans="42:50" x14ac:dyDescent="0.25">
      <c r="AP39" s="16" t="s">
        <v>225</v>
      </c>
      <c r="AQ39" s="17">
        <v>1.61</v>
      </c>
      <c r="AR39" s="18">
        <v>0.45</v>
      </c>
      <c r="AS39" s="18">
        <v>0.15</v>
      </c>
      <c r="AT39" s="18">
        <v>3.04</v>
      </c>
      <c r="AU39" s="18">
        <v>7.88</v>
      </c>
      <c r="AV39" s="18">
        <v>3.56</v>
      </c>
      <c r="AW39" s="18">
        <v>0.85</v>
      </c>
      <c r="AX39" s="19">
        <v>0</v>
      </c>
    </row>
    <row r="40" spans="42:50" x14ac:dyDescent="0.25">
      <c r="AP40" s="16" t="s">
        <v>225</v>
      </c>
      <c r="AQ40" s="17">
        <v>2.21</v>
      </c>
      <c r="AR40" s="18">
        <v>0.45</v>
      </c>
      <c r="AS40" s="18">
        <v>0.62</v>
      </c>
      <c r="AT40" s="18">
        <v>3.04</v>
      </c>
      <c r="AU40" s="18">
        <v>7.88</v>
      </c>
      <c r="AV40" s="18">
        <v>2.59</v>
      </c>
      <c r="AW40" s="18">
        <v>0.28000000000000003</v>
      </c>
      <c r="AX40" s="19">
        <v>4.18</v>
      </c>
    </row>
    <row r="41" spans="42:50" x14ac:dyDescent="0.25">
      <c r="AP41" s="16" t="s">
        <v>225</v>
      </c>
      <c r="AQ41" s="17">
        <v>1.89</v>
      </c>
      <c r="AR41" s="18">
        <v>0.45</v>
      </c>
      <c r="AS41" s="18">
        <v>0.15</v>
      </c>
      <c r="AT41" s="18">
        <v>4.18</v>
      </c>
      <c r="AU41" s="18">
        <v>7.88</v>
      </c>
      <c r="AV41" s="18">
        <v>2.21</v>
      </c>
      <c r="AW41" s="18">
        <v>0.73</v>
      </c>
      <c r="AX41" s="19">
        <v>0</v>
      </c>
    </row>
    <row r="42" spans="42:50" x14ac:dyDescent="0.25">
      <c r="AP42" s="16" t="s">
        <v>225</v>
      </c>
      <c r="AQ42" s="17">
        <v>1.61</v>
      </c>
      <c r="AR42" s="18">
        <v>0.45</v>
      </c>
      <c r="AS42" s="18">
        <v>0.15</v>
      </c>
      <c r="AT42" s="18">
        <v>3.04</v>
      </c>
      <c r="AU42" s="18">
        <v>9.24</v>
      </c>
      <c r="AV42" s="18">
        <v>4.18</v>
      </c>
      <c r="AW42" s="18">
        <v>0.85</v>
      </c>
      <c r="AX42" s="19">
        <v>0</v>
      </c>
    </row>
    <row r="43" spans="42:50" x14ac:dyDescent="0.25">
      <c r="AP43" s="16" t="s">
        <v>225</v>
      </c>
      <c r="AQ43" s="17">
        <v>1.89</v>
      </c>
      <c r="AR43" s="18">
        <v>0.45</v>
      </c>
      <c r="AS43" s="18">
        <v>0.15</v>
      </c>
      <c r="AT43" s="18">
        <v>3.04</v>
      </c>
      <c r="AU43" s="18">
        <v>7.88</v>
      </c>
      <c r="AV43" s="18">
        <v>3.56</v>
      </c>
      <c r="AW43" s="18">
        <v>0.85</v>
      </c>
      <c r="AX43" s="19">
        <v>0</v>
      </c>
    </row>
    <row r="44" spans="42:50" x14ac:dyDescent="0.25">
      <c r="AP44" s="16" t="s">
        <v>226</v>
      </c>
      <c r="AQ44" s="17">
        <v>1.61</v>
      </c>
      <c r="AR44" s="18">
        <v>0.45</v>
      </c>
      <c r="AS44" s="18">
        <v>0.15</v>
      </c>
      <c r="AT44" s="18">
        <v>3.56</v>
      </c>
      <c r="AU44" s="18">
        <v>7.88</v>
      </c>
      <c r="AV44" s="18">
        <v>3.56</v>
      </c>
      <c r="AW44" s="18">
        <v>0.73</v>
      </c>
      <c r="AX44" s="19">
        <v>0</v>
      </c>
    </row>
    <row r="45" spans="42:50" x14ac:dyDescent="0.25">
      <c r="AP45" s="16" t="s">
        <v>226</v>
      </c>
      <c r="AQ45" s="17">
        <v>1.61</v>
      </c>
      <c r="AR45" s="18">
        <v>0.45</v>
      </c>
      <c r="AS45" s="18">
        <v>0.15</v>
      </c>
      <c r="AT45" s="18">
        <v>4.18</v>
      </c>
      <c r="AU45" s="18">
        <v>7.88</v>
      </c>
      <c r="AV45" s="18">
        <v>3.56</v>
      </c>
      <c r="AW45" s="18">
        <v>0.85</v>
      </c>
      <c r="AX45" s="19">
        <v>0</v>
      </c>
    </row>
    <row r="46" spans="42:50" x14ac:dyDescent="0.25">
      <c r="AP46" s="16" t="s">
        <v>226</v>
      </c>
      <c r="AQ46" s="17">
        <v>1.61</v>
      </c>
      <c r="AR46" s="18">
        <v>0.39</v>
      </c>
      <c r="AS46" s="18">
        <v>0.15</v>
      </c>
      <c r="AT46" s="18">
        <v>3.56</v>
      </c>
      <c r="AU46" s="18">
        <v>7.88</v>
      </c>
      <c r="AV46" s="18">
        <v>3.56</v>
      </c>
      <c r="AW46" s="18">
        <v>0.85</v>
      </c>
      <c r="AX46" s="19">
        <v>0</v>
      </c>
    </row>
    <row r="47" spans="42:50" x14ac:dyDescent="0.25">
      <c r="AP47" s="16" t="s">
        <v>226</v>
      </c>
      <c r="AQ47" s="17">
        <v>1.61</v>
      </c>
      <c r="AR47" s="18">
        <v>0.45</v>
      </c>
      <c r="AS47" s="18">
        <v>0.15</v>
      </c>
      <c r="AT47" s="18">
        <v>3.04</v>
      </c>
      <c r="AU47" s="18">
        <v>9.24</v>
      </c>
      <c r="AV47" s="18">
        <v>3.56</v>
      </c>
      <c r="AW47" s="18">
        <v>0.85</v>
      </c>
      <c r="AX47" s="19">
        <v>0</v>
      </c>
    </row>
    <row r="48" spans="42:50" x14ac:dyDescent="0.25">
      <c r="AP48" s="16" t="s">
        <v>226</v>
      </c>
      <c r="AQ48" s="17">
        <v>1.89</v>
      </c>
      <c r="AR48" s="18">
        <v>0.45</v>
      </c>
      <c r="AS48" s="18">
        <v>0.15</v>
      </c>
      <c r="AT48" s="18">
        <v>3.04</v>
      </c>
      <c r="AU48" s="18">
        <v>7.88</v>
      </c>
      <c r="AV48" s="18">
        <v>3.56</v>
      </c>
      <c r="AW48" s="18">
        <v>0.85</v>
      </c>
      <c r="AX48" s="19">
        <v>4.18</v>
      </c>
    </row>
    <row r="49" spans="42:50" x14ac:dyDescent="0.25">
      <c r="AP49" s="16" t="s">
        <v>227</v>
      </c>
      <c r="AQ49" s="17">
        <v>1.89</v>
      </c>
      <c r="AR49" s="18">
        <v>0.39</v>
      </c>
      <c r="AS49" s="18">
        <v>0.73</v>
      </c>
      <c r="AT49" s="18">
        <v>3.56</v>
      </c>
      <c r="AU49" s="18">
        <v>7.88</v>
      </c>
      <c r="AV49" s="18">
        <v>3.56</v>
      </c>
      <c r="AW49" s="18">
        <v>0.85</v>
      </c>
      <c r="AX49" s="19">
        <v>0</v>
      </c>
    </row>
    <row r="50" spans="42:50" x14ac:dyDescent="0.25">
      <c r="AP50" s="16" t="s">
        <v>227</v>
      </c>
      <c r="AQ50" s="17">
        <v>1.89</v>
      </c>
      <c r="AR50" s="18">
        <v>0.45</v>
      </c>
      <c r="AS50" s="18">
        <v>0.73</v>
      </c>
      <c r="AT50" s="18">
        <v>3.04</v>
      </c>
      <c r="AU50" s="18">
        <v>7.88</v>
      </c>
      <c r="AV50" s="18">
        <v>2.21</v>
      </c>
      <c r="AW50" s="18">
        <v>0.33</v>
      </c>
      <c r="AX50" s="19">
        <v>4.18</v>
      </c>
    </row>
    <row r="51" spans="42:50" x14ac:dyDescent="0.25">
      <c r="AP51" s="16" t="s">
        <v>227</v>
      </c>
      <c r="AQ51" s="17">
        <v>1.61</v>
      </c>
      <c r="AR51" s="18">
        <v>0.45</v>
      </c>
      <c r="AS51" s="18">
        <v>0.15</v>
      </c>
      <c r="AT51" s="18">
        <v>0.85</v>
      </c>
      <c r="AU51" s="18">
        <v>6.72</v>
      </c>
      <c r="AV51" s="18">
        <v>3.56</v>
      </c>
      <c r="AW51" s="18">
        <v>0.85</v>
      </c>
      <c r="AX51" s="19">
        <v>0</v>
      </c>
    </row>
    <row r="52" spans="42:50" x14ac:dyDescent="0.25">
      <c r="AP52" s="16" t="s">
        <v>227</v>
      </c>
      <c r="AQ52" s="17">
        <v>1.89</v>
      </c>
      <c r="AR52" s="18">
        <v>0.45</v>
      </c>
      <c r="AS52" s="18">
        <v>0.15</v>
      </c>
      <c r="AT52" s="18">
        <v>3.56</v>
      </c>
      <c r="AU52" s="18">
        <v>6.72</v>
      </c>
      <c r="AV52" s="18">
        <v>3.56</v>
      </c>
      <c r="AW52" s="18">
        <v>0.85</v>
      </c>
      <c r="AX52" s="19">
        <v>0</v>
      </c>
    </row>
    <row r="53" spans="42:50" x14ac:dyDescent="0.25">
      <c r="AP53" s="16" t="s">
        <v>227</v>
      </c>
      <c r="AQ53" s="17">
        <v>1.89</v>
      </c>
      <c r="AR53" s="18">
        <v>0.45</v>
      </c>
      <c r="AS53" s="18">
        <v>0.15</v>
      </c>
      <c r="AT53" s="18">
        <v>3.56</v>
      </c>
      <c r="AU53" s="18">
        <v>7.88</v>
      </c>
      <c r="AV53" s="18">
        <v>3.56</v>
      </c>
      <c r="AW53" s="18">
        <v>0.85</v>
      </c>
      <c r="AX53" s="19">
        <v>4.8899999999999997</v>
      </c>
    </row>
    <row r="54" spans="42:50" x14ac:dyDescent="0.25">
      <c r="AP54" s="16" t="s">
        <v>228</v>
      </c>
      <c r="AQ54" s="17">
        <v>1.61</v>
      </c>
      <c r="AR54" s="18">
        <v>0.45</v>
      </c>
      <c r="AS54" s="18">
        <v>0.15</v>
      </c>
      <c r="AT54" s="18">
        <v>4.8899999999999997</v>
      </c>
      <c r="AU54" s="18">
        <v>7.88</v>
      </c>
      <c r="AV54" s="18">
        <v>2.21</v>
      </c>
      <c r="AW54" s="18">
        <v>0.85</v>
      </c>
      <c r="AX54" s="19">
        <v>0</v>
      </c>
    </row>
    <row r="55" spans="42:50" x14ac:dyDescent="0.25">
      <c r="AP55" s="16" t="s">
        <v>228</v>
      </c>
      <c r="AQ55" s="17">
        <v>1.89</v>
      </c>
      <c r="AR55" s="18">
        <v>0.45</v>
      </c>
      <c r="AS55" s="18">
        <v>0.62</v>
      </c>
      <c r="AT55" s="18">
        <v>3.56</v>
      </c>
      <c r="AU55" s="18">
        <v>7.88</v>
      </c>
      <c r="AV55" s="18">
        <v>4.18</v>
      </c>
      <c r="AW55" s="18">
        <v>0.85</v>
      </c>
      <c r="AX55" s="19">
        <v>4.18</v>
      </c>
    </row>
    <row r="56" spans="42:50" x14ac:dyDescent="0.25">
      <c r="AP56" s="16" t="s">
        <v>228</v>
      </c>
      <c r="AQ56" s="17">
        <v>2.21</v>
      </c>
      <c r="AR56" s="18">
        <v>0.45</v>
      </c>
      <c r="AS56" s="18">
        <v>0.73</v>
      </c>
      <c r="AT56" s="18">
        <v>4.18</v>
      </c>
      <c r="AU56" s="18">
        <v>6.72</v>
      </c>
      <c r="AV56" s="18">
        <v>2.21</v>
      </c>
      <c r="AW56" s="18">
        <v>0.85</v>
      </c>
      <c r="AX56" s="19">
        <v>4.18</v>
      </c>
    </row>
    <row r="57" spans="42:50" x14ac:dyDescent="0.25">
      <c r="AP57" s="16" t="s">
        <v>228</v>
      </c>
      <c r="AQ57" s="17">
        <v>2.21</v>
      </c>
      <c r="AR57" s="18">
        <v>0.45</v>
      </c>
      <c r="AS57" s="18">
        <v>0.15</v>
      </c>
      <c r="AT57" s="18">
        <v>3.04</v>
      </c>
      <c r="AU57" s="18">
        <v>7.88</v>
      </c>
      <c r="AV57" s="18">
        <v>3.56</v>
      </c>
      <c r="AW57" s="18">
        <v>0.85</v>
      </c>
      <c r="AX57" s="19">
        <v>0</v>
      </c>
    </row>
    <row r="58" spans="42:50" x14ac:dyDescent="0.25">
      <c r="AP58" s="16" t="s">
        <v>228</v>
      </c>
      <c r="AQ58" s="17">
        <v>1.61</v>
      </c>
      <c r="AR58" s="18">
        <v>0.45</v>
      </c>
      <c r="AS58" s="18">
        <v>0.15</v>
      </c>
      <c r="AT58" s="18">
        <v>3.56</v>
      </c>
      <c r="AU58" s="18">
        <v>9.24</v>
      </c>
      <c r="AV58" s="18">
        <v>3.56</v>
      </c>
      <c r="AW58" s="18">
        <v>0.85</v>
      </c>
      <c r="AX58" s="19">
        <v>0</v>
      </c>
    </row>
    <row r="59" spans="42:50" x14ac:dyDescent="0.25">
      <c r="AP59" s="16" t="s">
        <v>229</v>
      </c>
      <c r="AQ59" s="17">
        <v>1.89</v>
      </c>
      <c r="AR59" s="18">
        <v>0.45</v>
      </c>
      <c r="AS59" s="18">
        <v>0.15</v>
      </c>
      <c r="AT59" s="18">
        <v>0</v>
      </c>
      <c r="AU59" s="18">
        <v>7.88</v>
      </c>
      <c r="AV59" s="18">
        <v>3.56</v>
      </c>
      <c r="AW59" s="18">
        <v>0.85</v>
      </c>
      <c r="AX59" s="19">
        <v>0</v>
      </c>
    </row>
    <row r="60" spans="42:50" x14ac:dyDescent="0.25">
      <c r="AP60" s="16" t="s">
        <v>229</v>
      </c>
      <c r="AQ60" s="17">
        <v>1.89</v>
      </c>
      <c r="AR60" s="18">
        <v>0.45</v>
      </c>
      <c r="AS60" s="18">
        <v>0.15</v>
      </c>
      <c r="AT60" s="18">
        <v>3.56</v>
      </c>
      <c r="AU60" s="18">
        <v>7.88</v>
      </c>
      <c r="AV60" s="18">
        <v>3.56</v>
      </c>
      <c r="AW60" s="18">
        <v>0.85</v>
      </c>
      <c r="AX60" s="19">
        <v>2.21</v>
      </c>
    </row>
    <row r="61" spans="42:50" x14ac:dyDescent="0.25">
      <c r="AP61" s="16" t="s">
        <v>229</v>
      </c>
      <c r="AQ61" s="17">
        <v>1.89</v>
      </c>
      <c r="AR61" s="18">
        <v>0.45</v>
      </c>
      <c r="AS61" s="18">
        <v>0.17</v>
      </c>
      <c r="AT61" s="18">
        <v>3.56</v>
      </c>
      <c r="AU61" s="18">
        <v>7.88</v>
      </c>
      <c r="AV61" s="18">
        <v>3.56</v>
      </c>
      <c r="AW61" s="18">
        <v>0.17</v>
      </c>
      <c r="AX61" s="19">
        <v>0</v>
      </c>
    </row>
    <row r="62" spans="42:50" x14ac:dyDescent="0.25">
      <c r="AP62" s="16" t="s">
        <v>229</v>
      </c>
      <c r="AQ62" s="17">
        <v>1.89</v>
      </c>
      <c r="AR62" s="18">
        <v>0.45</v>
      </c>
      <c r="AS62" s="18">
        <v>0.15</v>
      </c>
      <c r="AT62" s="18">
        <v>3.04</v>
      </c>
      <c r="AU62" s="18">
        <v>7.88</v>
      </c>
      <c r="AV62" s="18">
        <v>3.04</v>
      </c>
      <c r="AW62" s="18">
        <v>0.39</v>
      </c>
      <c r="AX62" s="19">
        <v>0</v>
      </c>
    </row>
    <row r="63" spans="42:50" ht="15.75" thickBot="1" x14ac:dyDescent="0.3">
      <c r="AP63" s="16" t="s">
        <v>229</v>
      </c>
      <c r="AQ63" s="17">
        <v>1.61</v>
      </c>
      <c r="AR63" s="18">
        <v>0.45</v>
      </c>
      <c r="AS63" s="18">
        <v>0.15</v>
      </c>
      <c r="AT63" s="18">
        <v>3.56</v>
      </c>
      <c r="AU63" s="18">
        <v>7.88</v>
      </c>
      <c r="AV63" s="18">
        <v>3.56</v>
      </c>
      <c r="AW63" s="18">
        <v>0.24</v>
      </c>
      <c r="AX63" s="19">
        <v>0</v>
      </c>
    </row>
    <row r="64" spans="42:50" x14ac:dyDescent="0.25">
      <c r="AP64" s="10" t="s">
        <v>230</v>
      </c>
      <c r="AQ64" s="11">
        <v>1.90699999999999</v>
      </c>
      <c r="AR64" s="12">
        <v>0.44749999999999901</v>
      </c>
      <c r="AS64" s="12">
        <v>0.24533333333333299</v>
      </c>
      <c r="AT64" s="12">
        <v>3.40491525423728</v>
      </c>
      <c r="AU64" s="12">
        <v>8.0166666666666604</v>
      </c>
      <c r="AV64" s="12">
        <v>3.2978333333333301</v>
      </c>
      <c r="AW64" s="12">
        <v>0.73150000000000004</v>
      </c>
      <c r="AX64" s="13">
        <v>3.5904761904761902</v>
      </c>
    </row>
    <row r="65" spans="42:50" x14ac:dyDescent="0.25">
      <c r="AP65" s="16" t="s">
        <v>231</v>
      </c>
      <c r="AQ65" s="17">
        <v>0.27877888490103803</v>
      </c>
      <c r="AR65" s="18">
        <v>3.41869858279433E-2</v>
      </c>
      <c r="AS65" s="18">
        <v>0.19302389028879799</v>
      </c>
      <c r="AT65" s="18">
        <v>0.74938024762467503</v>
      </c>
      <c r="AU65" s="18">
        <v>0.71290173859297601</v>
      </c>
      <c r="AV65" s="18">
        <v>0.67530756367417799</v>
      </c>
      <c r="AW65" s="18">
        <v>0.21639335325590101</v>
      </c>
      <c r="AX65" s="19">
        <v>1.3769928456793601</v>
      </c>
    </row>
    <row r="66" spans="42:50" x14ac:dyDescent="0.25">
      <c r="AP66" s="16" t="s">
        <v>232</v>
      </c>
      <c r="AQ66" s="17">
        <v>2.1857788849010298</v>
      </c>
      <c r="AR66" s="18">
        <v>0.481686985827943</v>
      </c>
      <c r="AS66" s="18">
        <v>0.43835722362213198</v>
      </c>
      <c r="AT66" s="18">
        <v>4.1542955018619603</v>
      </c>
      <c r="AU66" s="18">
        <v>8.7295684052596396</v>
      </c>
      <c r="AV66" s="18">
        <v>3.9731408970075099</v>
      </c>
      <c r="AW66" s="18">
        <v>0.94789335325590196</v>
      </c>
      <c r="AX66" s="19">
        <v>4.96746903615555</v>
      </c>
    </row>
    <row r="67" spans="42:50" x14ac:dyDescent="0.25">
      <c r="AP67" s="16" t="s">
        <v>233</v>
      </c>
      <c r="AQ67" s="17">
        <v>1.6282211150989601</v>
      </c>
      <c r="AR67" s="18">
        <v>0.41331301417205601</v>
      </c>
      <c r="AS67" s="18">
        <v>5.2309443044534602E-2</v>
      </c>
      <c r="AT67" s="18">
        <v>2.65553500661261</v>
      </c>
      <c r="AU67" s="18">
        <v>7.3037649280736803</v>
      </c>
      <c r="AV67" s="18">
        <v>2.6225257696591502</v>
      </c>
      <c r="AW67" s="18">
        <v>0.51510664674409901</v>
      </c>
      <c r="AX67" s="19">
        <v>2.2134833447968201</v>
      </c>
    </row>
    <row r="68" spans="42:50" ht="15.75" thickBot="1" x14ac:dyDescent="0.3">
      <c r="AP68" s="23" t="s">
        <v>234</v>
      </c>
      <c r="AQ68" s="24">
        <v>1.89</v>
      </c>
      <c r="AR68" s="25">
        <v>0.44999999999999901</v>
      </c>
      <c r="AS68" s="25">
        <v>0.15448979591836701</v>
      </c>
      <c r="AT68" s="25">
        <v>3.3354545454545401</v>
      </c>
      <c r="AU68" s="25">
        <v>7.8799999999999901</v>
      </c>
      <c r="AV68" s="25">
        <v>3.53189189189189</v>
      </c>
      <c r="AW68" s="25">
        <v>0.83750000000000002</v>
      </c>
      <c r="AX68" s="26">
        <v>4.2273333333333296</v>
      </c>
    </row>
    <row r="69" spans="42:50" ht="15.75" thickBot="1" x14ac:dyDescent="0.3">
      <c r="AQ69" s="27"/>
      <c r="AR69" s="27"/>
      <c r="AS69" s="27"/>
      <c r="AT69" s="27"/>
      <c r="AU69" s="27"/>
      <c r="AV69" s="27"/>
      <c r="AW69" s="27"/>
      <c r="AX69" s="27"/>
    </row>
    <row r="70" spans="42:50" ht="30" x14ac:dyDescent="0.25">
      <c r="AP70" s="28" t="s">
        <v>235</v>
      </c>
      <c r="AQ70" s="29">
        <v>3.8</v>
      </c>
      <c r="AR70" s="29">
        <v>2.5</v>
      </c>
      <c r="AS70" s="29">
        <v>4.05</v>
      </c>
      <c r="AT70" s="29">
        <v>3.84</v>
      </c>
      <c r="AU70" s="29">
        <v>2.25</v>
      </c>
      <c r="AV70" s="29">
        <v>4.26</v>
      </c>
      <c r="AW70" s="29">
        <v>1.27</v>
      </c>
      <c r="AX70" s="30">
        <v>1.64</v>
      </c>
    </row>
    <row r="71" spans="42:50" x14ac:dyDescent="0.25">
      <c r="AP71" s="31" t="s">
        <v>236</v>
      </c>
      <c r="AQ71" s="32">
        <f t="shared" ref="AQ71:AX71" si="0">AQ70-AQ68</f>
        <v>1.91</v>
      </c>
      <c r="AR71" s="32">
        <f t="shared" si="0"/>
        <v>2.0500000000000012</v>
      </c>
      <c r="AS71" s="32">
        <f t="shared" si="0"/>
        <v>3.8955102040816327</v>
      </c>
      <c r="AT71" s="32">
        <f t="shared" si="0"/>
        <v>0.50454545454545974</v>
      </c>
      <c r="AU71" s="32">
        <f t="shared" si="0"/>
        <v>-5.6299999999999901</v>
      </c>
      <c r="AV71" s="32">
        <f t="shared" si="0"/>
        <v>0.72810810810810978</v>
      </c>
      <c r="AW71" s="32">
        <f t="shared" si="0"/>
        <v>0.4325</v>
      </c>
      <c r="AX71" s="33">
        <f t="shared" si="0"/>
        <v>-2.5873333333333299</v>
      </c>
    </row>
    <row r="72" spans="42:50" ht="15.75" thickBot="1" x14ac:dyDescent="0.3">
      <c r="AP72" s="34" t="s">
        <v>237</v>
      </c>
      <c r="AQ72" s="35">
        <f t="shared" ref="AQ72:AX72" si="1">(AQ71/AQ68)*100</f>
        <v>101.05820105820106</v>
      </c>
      <c r="AR72" s="35">
        <f t="shared" si="1"/>
        <v>455.55555555555679</v>
      </c>
      <c r="AS72" s="35">
        <f t="shared" si="1"/>
        <v>2521.5323645970993</v>
      </c>
      <c r="AT72" s="35">
        <f t="shared" si="1"/>
        <v>15.126737530662485</v>
      </c>
      <c r="AU72" s="35">
        <f t="shared" si="1"/>
        <v>-71.446700507614182</v>
      </c>
      <c r="AV72" s="35">
        <f t="shared" si="1"/>
        <v>20.615243342516131</v>
      </c>
      <c r="AW72" s="35">
        <f t="shared" si="1"/>
        <v>51.64179104477612</v>
      </c>
      <c r="AX72" s="36">
        <f t="shared" si="1"/>
        <v>-61.204857278031831</v>
      </c>
    </row>
    <row r="73" spans="42:50" ht="15.75" thickBot="1" x14ac:dyDescent="0.3">
      <c r="AP73" s="37"/>
      <c r="AQ73" s="32"/>
      <c r="AR73" s="32"/>
      <c r="AS73" s="32"/>
      <c r="AT73" s="32"/>
      <c r="AU73" s="32"/>
      <c r="AV73" s="32"/>
      <c r="AW73" s="32"/>
      <c r="AX73" s="32"/>
    </row>
    <row r="74" spans="42:50" ht="30" x14ac:dyDescent="0.25">
      <c r="AP74" s="28" t="s">
        <v>238</v>
      </c>
      <c r="AQ74" s="29">
        <v>3.62</v>
      </c>
      <c r="AR74" s="29">
        <v>2.38</v>
      </c>
      <c r="AS74" s="29">
        <v>3.96</v>
      </c>
      <c r="AT74" s="29">
        <v>3.68</v>
      </c>
      <c r="AU74" s="29">
        <v>2.14</v>
      </c>
      <c r="AV74" s="29">
        <v>4.1100000000000003</v>
      </c>
      <c r="AW74" s="29">
        <v>1.1399999999999999</v>
      </c>
      <c r="AX74" s="30">
        <v>1.5</v>
      </c>
    </row>
    <row r="75" spans="42:50" x14ac:dyDescent="0.25">
      <c r="AP75" s="31" t="s">
        <v>236</v>
      </c>
      <c r="AQ75" s="32">
        <f t="shared" ref="AQ75:AX75" si="2">AQ74-AQ68</f>
        <v>1.7300000000000002</v>
      </c>
      <c r="AR75" s="32">
        <f t="shared" si="2"/>
        <v>1.9300000000000008</v>
      </c>
      <c r="AS75" s="32">
        <f t="shared" si="2"/>
        <v>3.8055102040816329</v>
      </c>
      <c r="AT75" s="32">
        <f t="shared" si="2"/>
        <v>0.34454545454546004</v>
      </c>
      <c r="AU75" s="32">
        <f t="shared" si="2"/>
        <v>-5.7399999999999896</v>
      </c>
      <c r="AV75" s="32">
        <f t="shared" si="2"/>
        <v>0.57810810810811031</v>
      </c>
      <c r="AW75" s="32">
        <f t="shared" si="2"/>
        <v>0.30249999999999988</v>
      </c>
      <c r="AX75" s="33">
        <f t="shared" si="2"/>
        <v>-2.7273333333333296</v>
      </c>
    </row>
    <row r="76" spans="42:50" ht="15.75" thickBot="1" x14ac:dyDescent="0.3">
      <c r="AP76" s="34" t="s">
        <v>237</v>
      </c>
      <c r="AQ76" s="35">
        <f>(AQ75/AQ68)*100</f>
        <v>91.534391534391546</v>
      </c>
      <c r="AR76" s="35">
        <f t="shared" ref="AR76:AX76" si="3">(AR75/AR68)*100</f>
        <v>428.88888888889005</v>
      </c>
      <c r="AS76" s="35">
        <f t="shared" si="3"/>
        <v>2463.276089828275</v>
      </c>
      <c r="AT76" s="35">
        <f t="shared" si="3"/>
        <v>10.329790133551557</v>
      </c>
      <c r="AU76" s="35">
        <f t="shared" si="3"/>
        <v>-72.842639593908586</v>
      </c>
      <c r="AV76" s="35">
        <f t="shared" si="3"/>
        <v>16.368227731864167</v>
      </c>
      <c r="AW76" s="35">
        <f t="shared" si="3"/>
        <v>36.119402985074615</v>
      </c>
      <c r="AX76" s="36">
        <f t="shared" si="3"/>
        <v>-64.516637754297406</v>
      </c>
    </row>
    <row r="77" spans="42:50" ht="15.75" thickBot="1" x14ac:dyDescent="0.3">
      <c r="AQ77" s="27"/>
      <c r="AR77" s="27"/>
      <c r="AS77" s="27"/>
      <c r="AT77" s="27"/>
      <c r="AU77" s="27"/>
      <c r="AV77" s="27"/>
      <c r="AW77" s="27"/>
      <c r="AX77" s="27"/>
    </row>
    <row r="78" spans="42:50" ht="30" x14ac:dyDescent="0.25">
      <c r="AP78" s="28" t="s">
        <v>239</v>
      </c>
      <c r="AQ78" s="38">
        <v>3.55</v>
      </c>
      <c r="AR78" s="29">
        <v>2.44</v>
      </c>
      <c r="AS78" s="29">
        <v>3.99</v>
      </c>
      <c r="AT78" s="29">
        <v>3.75</v>
      </c>
      <c r="AU78" s="29">
        <v>2.2000000000000002</v>
      </c>
      <c r="AV78" s="29">
        <v>4.25</v>
      </c>
      <c r="AW78" s="29">
        <v>1.1599999999999999</v>
      </c>
      <c r="AX78" s="30">
        <v>1.51</v>
      </c>
    </row>
    <row r="79" spans="42:50" x14ac:dyDescent="0.25">
      <c r="AP79" s="31" t="s">
        <v>236</v>
      </c>
      <c r="AQ79" s="39">
        <f>AQ78-AQ68</f>
        <v>1.66</v>
      </c>
      <c r="AR79" s="32">
        <f t="shared" ref="AR79:AX79" si="4">AR78-AR68</f>
        <v>1.9900000000000009</v>
      </c>
      <c r="AS79" s="32">
        <f t="shared" si="4"/>
        <v>3.8355102040816331</v>
      </c>
      <c r="AT79" s="32">
        <f t="shared" si="4"/>
        <v>0.41454545454545988</v>
      </c>
      <c r="AU79" s="32">
        <f t="shared" si="4"/>
        <v>-5.6799999999999899</v>
      </c>
      <c r="AV79" s="32">
        <f t="shared" si="4"/>
        <v>0.71810810810810999</v>
      </c>
      <c r="AW79" s="32">
        <f>AW78-AW68</f>
        <v>0.3224999999999999</v>
      </c>
      <c r="AX79" s="33">
        <f t="shared" si="4"/>
        <v>-2.7173333333333298</v>
      </c>
    </row>
    <row r="80" spans="42:50" ht="15.75" thickBot="1" x14ac:dyDescent="0.3">
      <c r="AP80" s="34" t="s">
        <v>237</v>
      </c>
      <c r="AQ80" s="40">
        <f>(AQ79/AQ68)*100</f>
        <v>87.830687830687822</v>
      </c>
      <c r="AR80" s="35">
        <f t="shared" ref="AR80:AX80" si="5">(AR79/AR68)*100</f>
        <v>442.22222222222342</v>
      </c>
      <c r="AS80" s="35">
        <f t="shared" si="5"/>
        <v>2482.6948480845504</v>
      </c>
      <c r="AT80" s="35">
        <f t="shared" si="5"/>
        <v>12.428454619787587</v>
      </c>
      <c r="AU80" s="35">
        <f t="shared" si="5"/>
        <v>-72.081218274111635</v>
      </c>
      <c r="AV80" s="35">
        <f t="shared" si="5"/>
        <v>20.332108968472671</v>
      </c>
      <c r="AW80" s="35">
        <f t="shared" si="5"/>
        <v>38.507462686567152</v>
      </c>
      <c r="AX80" s="36">
        <f t="shared" si="5"/>
        <v>-64.280082005992725</v>
      </c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 1, MQTT</vt:lpstr>
      <vt:lpstr>vol 1, Matter</vt:lpstr>
      <vt:lpstr>vol 2, MQTT</vt:lpstr>
      <vt:lpstr>vol 2, Matter</vt:lpstr>
      <vt:lpstr>vol 3, MQTT</vt:lpstr>
      <vt:lpstr>vol 3, Matter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2024-07-24T06:07:41Z</dcterms:created>
  <dcterms:modified xsi:type="dcterms:W3CDTF">2024-08-18T17:17:07Z</dcterms:modified>
  <cp:category/>
  <cp:contentStatus/>
</cp:coreProperties>
</file>